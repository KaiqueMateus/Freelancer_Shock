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\Downloads\Projects (6)\Projects (4)\Projects (2)\Projects\ShockVisual\"/>
    </mc:Choice>
  </mc:AlternateContent>
  <xr:revisionPtr revIDLastSave="0" documentId="13_ncr:1_{A17EEFE9-F4ED-4C81-89B8-852C7D286344}" xr6:coauthVersionLast="47" xr6:coauthVersionMax="47" xr10:uidLastSave="{00000000-0000-0000-0000-000000000000}"/>
  <bookViews>
    <workbookView xWindow="-120" yWindow="-120" windowWidth="26640" windowHeight="14490" activeTab="1" xr2:uid="{5C9BBF36-614D-48EF-8010-3AE140E96BEC}"/>
  </bookViews>
  <sheets>
    <sheet name="Vendas Iplacas e Shock Jan-Mai" sheetId="2" r:id="rId1"/>
    <sheet name="CAC" sheetId="5" r:id="rId2"/>
    <sheet name="Retrabalhos e Motivos" sheetId="7" r:id="rId3"/>
    <sheet name="Metas" sheetId="4" r:id="rId4"/>
    <sheet name="Orçamentos Feitos" sheetId="6" r:id="rId5"/>
    <sheet name="Produtos Mais Vendidos" sheetId="3" r:id="rId6"/>
  </sheets>
  <definedNames>
    <definedName name="_xlnm._FilterDatabase" localSheetId="4" hidden="1">'Orçamentos Feitos'!$A$1:$L$3029</definedName>
    <definedName name="_xlnm._FilterDatabase" localSheetId="5" hidden="1">'Produtos Mais Vendidos'!$A$1:$K$718</definedName>
    <definedName name="_xlnm._FilterDatabase" localSheetId="0" hidden="1">'Vendas Iplacas e Shock Jan-Mai'!$A$1:$O$2310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N9" i="5"/>
  <c r="N8" i="5"/>
  <c r="N7" i="5"/>
  <c r="N6" i="5"/>
  <c r="N5" i="5"/>
  <c r="K16" i="3"/>
  <c r="K2" i="3"/>
  <c r="K17" i="3"/>
  <c r="P2" i="2" a="1"/>
  <c r="P2" i="2" s="1"/>
  <c r="K67" i="3"/>
  <c r="L3029" i="6"/>
  <c r="L3028" i="6"/>
  <c r="L3027" i="6"/>
  <c r="L3026" i="6"/>
  <c r="L3025" i="6"/>
  <c r="L3024" i="6"/>
  <c r="L3023" i="6"/>
  <c r="L3022" i="6"/>
  <c r="L3021" i="6"/>
  <c r="L3020" i="6"/>
  <c r="L3019" i="6"/>
  <c r="L3018" i="6"/>
  <c r="L3017" i="6"/>
  <c r="L3016" i="6"/>
  <c r="L3015" i="6"/>
  <c r="L3014" i="6"/>
  <c r="L3013" i="6"/>
  <c r="L3012" i="6"/>
  <c r="L3011" i="6"/>
  <c r="L3010" i="6"/>
  <c r="L3009" i="6"/>
  <c r="L3008" i="6"/>
  <c r="L3007" i="6"/>
  <c r="L3006" i="6"/>
  <c r="L3005" i="6"/>
  <c r="L3004" i="6"/>
  <c r="L3003" i="6"/>
  <c r="L3002" i="6"/>
  <c r="L3001" i="6"/>
  <c r="L3000" i="6"/>
  <c r="L2999" i="6"/>
  <c r="L2998" i="6"/>
  <c r="L2997" i="6"/>
  <c r="L2996" i="6"/>
  <c r="L2995" i="6"/>
  <c r="L2994" i="6"/>
  <c r="L2993" i="6"/>
  <c r="L2992" i="6"/>
  <c r="L2991" i="6"/>
  <c r="L2990" i="6"/>
  <c r="L2989" i="6"/>
  <c r="L2988" i="6"/>
  <c r="L2987" i="6"/>
  <c r="L2986" i="6"/>
  <c r="L2985" i="6"/>
  <c r="L2984" i="6"/>
  <c r="L2983" i="6"/>
  <c r="L2982" i="6"/>
  <c r="L2981" i="6"/>
  <c r="L2980" i="6"/>
  <c r="L2979" i="6"/>
  <c r="L2978" i="6"/>
  <c r="L2977" i="6"/>
  <c r="L2976" i="6"/>
  <c r="L2975" i="6"/>
  <c r="L2974" i="6"/>
  <c r="L2973" i="6"/>
  <c r="L2972" i="6"/>
  <c r="L2971" i="6"/>
  <c r="L2970" i="6"/>
  <c r="L2969" i="6"/>
  <c r="L2968" i="6"/>
  <c r="L2967" i="6"/>
  <c r="L2966" i="6"/>
  <c r="L2965" i="6"/>
  <c r="L2964" i="6"/>
  <c r="L2963" i="6"/>
  <c r="L2962" i="6"/>
  <c r="L2961" i="6"/>
  <c r="L2960" i="6"/>
  <c r="L2959" i="6"/>
  <c r="L2958" i="6"/>
  <c r="L2957" i="6"/>
  <c r="L2956" i="6"/>
  <c r="L2955" i="6"/>
  <c r="L2954" i="6"/>
  <c r="L2953" i="6"/>
  <c r="L2952" i="6"/>
  <c r="L2951" i="6"/>
  <c r="L2950" i="6"/>
  <c r="L2949" i="6"/>
  <c r="L2948" i="6"/>
  <c r="L2947" i="6"/>
  <c r="L2946" i="6"/>
  <c r="L2945" i="6"/>
  <c r="L2944" i="6"/>
  <c r="L2943" i="6"/>
  <c r="L2942" i="6"/>
  <c r="L2941" i="6"/>
  <c r="L2940" i="6"/>
  <c r="L2939" i="6"/>
  <c r="L2938" i="6"/>
  <c r="L2937" i="6"/>
  <c r="L2936" i="6"/>
  <c r="L2935" i="6"/>
  <c r="L2934" i="6"/>
  <c r="L2933" i="6"/>
  <c r="L2932" i="6"/>
  <c r="L2931" i="6"/>
  <c r="L2930" i="6"/>
  <c r="L2929" i="6"/>
  <c r="L2928" i="6"/>
  <c r="L2927" i="6"/>
  <c r="L2926" i="6"/>
  <c r="L2925" i="6"/>
  <c r="L2924" i="6"/>
  <c r="L2923" i="6"/>
  <c r="L2922" i="6"/>
  <c r="L2921" i="6"/>
  <c r="L2920" i="6"/>
  <c r="L2919" i="6"/>
  <c r="L2918" i="6"/>
  <c r="L2917" i="6"/>
  <c r="L2916" i="6"/>
  <c r="L2915" i="6"/>
  <c r="L2914" i="6"/>
  <c r="L2913" i="6"/>
  <c r="L2912" i="6"/>
  <c r="L2911" i="6"/>
  <c r="L2910" i="6"/>
  <c r="L2909" i="6"/>
  <c r="L2908" i="6"/>
  <c r="L2907" i="6"/>
  <c r="L2906" i="6"/>
  <c r="L2905" i="6"/>
  <c r="L2904" i="6"/>
  <c r="L2903" i="6"/>
  <c r="L2902" i="6"/>
  <c r="L2901" i="6"/>
  <c r="L2900" i="6"/>
  <c r="L2899" i="6"/>
  <c r="L2898" i="6"/>
  <c r="L2897" i="6"/>
  <c r="L2896" i="6"/>
  <c r="L2895" i="6"/>
  <c r="L2894" i="6"/>
  <c r="L2893" i="6"/>
  <c r="L2892" i="6"/>
  <c r="L2891" i="6"/>
  <c r="L2890" i="6"/>
  <c r="L2889" i="6"/>
  <c r="L2888" i="6"/>
  <c r="L2887" i="6"/>
  <c r="L2886" i="6"/>
  <c r="L2885" i="6"/>
  <c r="L2884" i="6"/>
  <c r="L2883" i="6"/>
  <c r="L2882" i="6"/>
  <c r="L2881" i="6"/>
  <c r="L2880" i="6"/>
  <c r="L2879" i="6"/>
  <c r="L2878" i="6"/>
  <c r="L2877" i="6"/>
  <c r="L2876" i="6"/>
  <c r="L2875" i="6"/>
  <c r="L2874" i="6"/>
  <c r="L2873" i="6"/>
  <c r="L2872" i="6"/>
  <c r="L2871" i="6"/>
  <c r="L2870" i="6"/>
  <c r="L2869" i="6"/>
  <c r="L2868" i="6"/>
  <c r="L2867" i="6"/>
  <c r="L2866" i="6"/>
  <c r="L2865" i="6"/>
  <c r="L2864" i="6"/>
  <c r="L2863" i="6"/>
  <c r="L2862" i="6"/>
  <c r="L2861" i="6"/>
  <c r="L2860" i="6"/>
  <c r="L2859" i="6"/>
  <c r="L2858" i="6"/>
  <c r="L2857" i="6"/>
  <c r="L2856" i="6"/>
  <c r="L2855" i="6"/>
  <c r="L2854" i="6"/>
  <c r="L2853" i="6"/>
  <c r="L2852" i="6"/>
  <c r="L2851" i="6"/>
  <c r="L2850" i="6"/>
  <c r="L2849" i="6"/>
  <c r="L2848" i="6"/>
  <c r="L2847" i="6"/>
  <c r="L2846" i="6"/>
  <c r="L2845" i="6"/>
  <c r="L2844" i="6"/>
  <c r="L2843" i="6"/>
  <c r="L2842" i="6"/>
  <c r="L2841" i="6"/>
  <c r="L2840" i="6"/>
  <c r="L2839" i="6"/>
  <c r="L2838" i="6"/>
  <c r="L2837" i="6"/>
  <c r="L2836" i="6"/>
  <c r="L2835" i="6"/>
  <c r="L2834" i="6"/>
  <c r="L2833" i="6"/>
  <c r="L2832" i="6"/>
  <c r="L2831" i="6"/>
  <c r="L2830" i="6"/>
  <c r="L2829" i="6"/>
  <c r="L2828" i="6"/>
  <c r="L2827" i="6"/>
  <c r="L2826" i="6"/>
  <c r="L2825" i="6"/>
  <c r="L2824" i="6"/>
  <c r="L2823" i="6"/>
  <c r="L2822" i="6"/>
  <c r="L2821" i="6"/>
  <c r="L2820" i="6"/>
  <c r="L2819" i="6"/>
  <c r="L2818" i="6"/>
  <c r="L2817" i="6"/>
  <c r="L2816" i="6"/>
  <c r="L2815" i="6"/>
  <c r="L2814" i="6"/>
  <c r="L2813" i="6"/>
  <c r="L2812" i="6"/>
  <c r="L2811" i="6"/>
  <c r="L2810" i="6"/>
  <c r="L2809" i="6"/>
  <c r="L2808" i="6"/>
  <c r="L2807" i="6"/>
  <c r="L2806" i="6"/>
  <c r="L2805" i="6"/>
  <c r="L2804" i="6"/>
  <c r="L2803" i="6"/>
  <c r="L2802" i="6"/>
  <c r="L2801" i="6"/>
  <c r="L2800" i="6"/>
  <c r="L2799" i="6"/>
  <c r="L2798" i="6"/>
  <c r="L2797" i="6"/>
  <c r="L2796" i="6"/>
  <c r="L2795" i="6"/>
  <c r="L2794" i="6"/>
  <c r="L2793" i="6"/>
  <c r="L2792" i="6"/>
  <c r="L2791" i="6"/>
  <c r="L2790" i="6"/>
  <c r="L2789" i="6"/>
  <c r="L2788" i="6"/>
  <c r="L2787" i="6"/>
  <c r="L2786" i="6"/>
  <c r="L2785" i="6"/>
  <c r="L2784" i="6"/>
  <c r="L2783" i="6"/>
  <c r="L2782" i="6"/>
  <c r="L2781" i="6"/>
  <c r="L2780" i="6"/>
  <c r="L2779" i="6"/>
  <c r="L2778" i="6"/>
  <c r="L2777" i="6"/>
  <c r="L2776" i="6"/>
  <c r="L2775" i="6"/>
  <c r="L2774" i="6"/>
  <c r="L2773" i="6"/>
  <c r="L2772" i="6"/>
  <c r="L2771" i="6"/>
  <c r="L2770" i="6"/>
  <c r="L2769" i="6"/>
  <c r="L2768" i="6"/>
  <c r="L2767" i="6"/>
  <c r="L2766" i="6"/>
  <c r="L2765" i="6"/>
  <c r="L2764" i="6"/>
  <c r="L2763" i="6"/>
  <c r="L2762" i="6"/>
  <c r="L2761" i="6"/>
  <c r="L2760" i="6"/>
  <c r="L2759" i="6"/>
  <c r="L2758" i="6"/>
  <c r="L2757" i="6"/>
  <c r="L2756" i="6"/>
  <c r="L2755" i="6"/>
  <c r="L2754" i="6"/>
  <c r="L2753" i="6"/>
  <c r="L2752" i="6"/>
  <c r="L2751" i="6"/>
  <c r="L2750" i="6"/>
  <c r="L2749" i="6"/>
  <c r="L2748" i="6"/>
  <c r="L2747" i="6"/>
  <c r="L2746" i="6"/>
  <c r="L2745" i="6"/>
  <c r="L2744" i="6"/>
  <c r="L2743" i="6"/>
  <c r="L2742" i="6"/>
  <c r="L2741" i="6"/>
  <c r="L2740" i="6"/>
  <c r="L2739" i="6"/>
  <c r="L2738" i="6"/>
  <c r="L2737" i="6"/>
  <c r="L2736" i="6"/>
  <c r="L2735" i="6"/>
  <c r="L2734" i="6"/>
  <c r="L2733" i="6"/>
  <c r="L2732" i="6"/>
  <c r="L2731" i="6"/>
  <c r="L2730" i="6"/>
  <c r="L2729" i="6"/>
  <c r="L2728" i="6"/>
  <c r="L2727" i="6"/>
  <c r="L2726" i="6"/>
  <c r="L2725" i="6"/>
  <c r="L2724" i="6"/>
  <c r="L2723" i="6"/>
  <c r="L2722" i="6"/>
  <c r="L2721" i="6"/>
  <c r="L2720" i="6"/>
  <c r="L2719" i="6"/>
  <c r="L2718" i="6"/>
  <c r="L2717" i="6"/>
  <c r="L2716" i="6"/>
  <c r="L2715" i="6"/>
  <c r="L2714" i="6"/>
  <c r="L2713" i="6"/>
  <c r="L2712" i="6"/>
  <c r="L2711" i="6"/>
  <c r="L2710" i="6"/>
  <c r="L2709" i="6"/>
  <c r="L2708" i="6"/>
  <c r="L2707" i="6"/>
  <c r="L2706" i="6"/>
  <c r="L2705" i="6"/>
  <c r="L2704" i="6"/>
  <c r="L2703" i="6"/>
  <c r="L2702" i="6"/>
  <c r="L2701" i="6"/>
  <c r="L2700" i="6"/>
  <c r="L2699" i="6"/>
  <c r="L2698" i="6"/>
  <c r="L2697" i="6"/>
  <c r="L2696" i="6"/>
  <c r="L2695" i="6"/>
  <c r="L2694" i="6"/>
  <c r="L2693" i="6"/>
  <c r="L2692" i="6"/>
  <c r="L2691" i="6"/>
  <c r="L2690" i="6"/>
  <c r="L2689" i="6"/>
  <c r="L2688" i="6"/>
  <c r="L2687" i="6"/>
  <c r="L2686" i="6"/>
  <c r="L2685" i="6"/>
  <c r="L2684" i="6"/>
  <c r="L2683" i="6"/>
  <c r="L2682" i="6"/>
  <c r="L2681" i="6"/>
  <c r="L2680" i="6"/>
  <c r="L2679" i="6"/>
  <c r="L2678" i="6"/>
  <c r="L2677" i="6"/>
  <c r="L2676" i="6"/>
  <c r="L2675" i="6"/>
  <c r="L2674" i="6"/>
  <c r="L2673" i="6"/>
  <c r="L2672" i="6"/>
  <c r="L2671" i="6"/>
  <c r="L2670" i="6"/>
  <c r="L2669" i="6"/>
  <c r="L2668" i="6"/>
  <c r="L2667" i="6"/>
  <c r="L2666" i="6"/>
  <c r="L2665" i="6"/>
  <c r="L2664" i="6"/>
  <c r="L2663" i="6"/>
  <c r="L2662" i="6"/>
  <c r="L2661" i="6"/>
  <c r="L2660" i="6"/>
  <c r="L2659" i="6"/>
  <c r="L2658" i="6"/>
  <c r="L2657" i="6"/>
  <c r="L2656" i="6"/>
  <c r="L2655" i="6"/>
  <c r="L2654" i="6"/>
  <c r="L2653" i="6"/>
  <c r="L2652" i="6"/>
  <c r="L2651" i="6"/>
  <c r="L2650" i="6"/>
  <c r="L2649" i="6"/>
  <c r="L2648" i="6"/>
  <c r="L2647" i="6"/>
  <c r="L2646" i="6"/>
  <c r="L2645" i="6"/>
  <c r="L2644" i="6"/>
  <c r="L2643" i="6"/>
  <c r="L2642" i="6"/>
  <c r="L2641" i="6"/>
  <c r="L2640" i="6"/>
  <c r="L2639" i="6"/>
  <c r="L2638" i="6"/>
  <c r="L2637" i="6"/>
  <c r="L2636" i="6"/>
  <c r="L2635" i="6"/>
  <c r="L2634" i="6"/>
  <c r="L2633" i="6"/>
  <c r="L2632" i="6"/>
  <c r="L2631" i="6"/>
  <c r="L2630" i="6"/>
  <c r="L2629" i="6"/>
  <c r="L2628" i="6"/>
  <c r="L2627" i="6"/>
  <c r="L2626" i="6"/>
  <c r="L2625" i="6"/>
  <c r="L2624" i="6"/>
  <c r="L2623" i="6"/>
  <c r="L2622" i="6"/>
  <c r="L2621" i="6"/>
  <c r="L2620" i="6"/>
  <c r="L2619" i="6"/>
  <c r="L2618" i="6"/>
  <c r="L2617" i="6"/>
  <c r="L2616" i="6"/>
  <c r="L2615" i="6"/>
  <c r="L2614" i="6"/>
  <c r="L2613" i="6"/>
  <c r="L2612" i="6"/>
  <c r="L2611" i="6"/>
  <c r="L2610" i="6"/>
  <c r="L2609" i="6"/>
  <c r="L2608" i="6"/>
  <c r="L2607" i="6"/>
  <c r="L2606" i="6"/>
  <c r="L2605" i="6"/>
  <c r="L2604" i="6"/>
  <c r="L2603" i="6"/>
  <c r="L2602" i="6"/>
  <c r="L2601" i="6"/>
  <c r="L2600" i="6"/>
  <c r="L2599" i="6"/>
  <c r="L2598" i="6"/>
  <c r="L2597" i="6"/>
  <c r="L2596" i="6"/>
  <c r="L2595" i="6"/>
  <c r="L2594" i="6"/>
  <c r="L2593" i="6"/>
  <c r="L2592" i="6"/>
  <c r="L2591" i="6"/>
  <c r="L2590" i="6"/>
  <c r="L2589" i="6"/>
  <c r="L2588" i="6"/>
  <c r="L2587" i="6"/>
  <c r="L2586" i="6"/>
  <c r="L2585" i="6"/>
  <c r="L2584" i="6"/>
  <c r="L2583" i="6"/>
  <c r="L2582" i="6"/>
  <c r="L2581" i="6"/>
  <c r="L2580" i="6"/>
  <c r="L2579" i="6"/>
  <c r="L2578" i="6"/>
  <c r="L2577" i="6"/>
  <c r="L2576" i="6"/>
  <c r="L2575" i="6"/>
  <c r="L2574" i="6"/>
  <c r="L2573" i="6"/>
  <c r="L2572" i="6"/>
  <c r="L2571" i="6"/>
  <c r="L2570" i="6"/>
  <c r="L2569" i="6"/>
  <c r="L2568" i="6"/>
  <c r="L2567" i="6"/>
  <c r="L2566" i="6"/>
  <c r="L2565" i="6"/>
  <c r="L2564" i="6"/>
  <c r="L2563" i="6"/>
  <c r="L2562" i="6"/>
  <c r="L2561" i="6"/>
  <c r="L2560" i="6"/>
  <c r="L2559" i="6"/>
  <c r="L2558" i="6"/>
  <c r="L2557" i="6"/>
  <c r="L2556" i="6"/>
  <c r="L2555" i="6"/>
  <c r="L2554" i="6"/>
  <c r="L2553" i="6"/>
  <c r="L2552" i="6"/>
  <c r="L2551" i="6"/>
  <c r="L2550" i="6"/>
  <c r="L2549" i="6"/>
  <c r="L2548" i="6"/>
  <c r="L2547" i="6"/>
  <c r="L2546" i="6"/>
  <c r="L2545" i="6"/>
  <c r="L2544" i="6"/>
  <c r="L2543" i="6"/>
  <c r="L2542" i="6"/>
  <c r="L2541" i="6"/>
  <c r="L2540" i="6"/>
  <c r="L2539" i="6"/>
  <c r="L2538" i="6"/>
  <c r="L2537" i="6"/>
  <c r="L2536" i="6"/>
  <c r="L2535" i="6"/>
  <c r="L2534" i="6"/>
  <c r="L2533" i="6"/>
  <c r="L2532" i="6"/>
  <c r="L2531" i="6"/>
  <c r="L2530" i="6"/>
  <c r="L2529" i="6"/>
  <c r="L2528" i="6"/>
  <c r="L2527" i="6"/>
  <c r="L2526" i="6"/>
  <c r="L2525" i="6"/>
  <c r="L2524" i="6"/>
  <c r="L2523" i="6"/>
  <c r="L2522" i="6"/>
  <c r="L2521" i="6"/>
  <c r="L2520" i="6"/>
  <c r="L2519" i="6"/>
  <c r="L2518" i="6"/>
  <c r="L2517" i="6"/>
  <c r="L2516" i="6"/>
  <c r="L2515" i="6"/>
  <c r="L2514" i="6"/>
  <c r="L2513" i="6"/>
  <c r="L2512" i="6"/>
  <c r="L2511" i="6"/>
  <c r="L2510" i="6"/>
  <c r="L2509" i="6"/>
  <c r="L2508" i="6"/>
  <c r="L2507" i="6"/>
  <c r="L2506" i="6"/>
  <c r="L2505" i="6"/>
  <c r="L2504" i="6"/>
  <c r="L2503" i="6"/>
  <c r="L2502" i="6"/>
  <c r="L2501" i="6"/>
  <c r="L2500" i="6"/>
  <c r="L2499" i="6"/>
  <c r="L2498" i="6"/>
  <c r="L2497" i="6"/>
  <c r="L2496" i="6"/>
  <c r="L2495" i="6"/>
  <c r="L2494" i="6"/>
  <c r="L2493" i="6"/>
  <c r="L2492" i="6"/>
  <c r="L2491" i="6"/>
  <c r="L2490" i="6"/>
  <c r="L2489" i="6"/>
  <c r="L2488" i="6"/>
  <c r="L2487" i="6"/>
  <c r="L2486" i="6"/>
  <c r="L2485" i="6"/>
  <c r="L2484" i="6"/>
  <c r="L2483" i="6"/>
  <c r="L2482" i="6"/>
  <c r="L2481" i="6"/>
  <c r="L2480" i="6"/>
  <c r="L2479" i="6"/>
  <c r="L2478" i="6"/>
  <c r="L2477" i="6"/>
  <c r="L2476" i="6"/>
  <c r="L2475" i="6"/>
  <c r="L2474" i="6"/>
  <c r="L2473" i="6"/>
  <c r="L2472" i="6"/>
  <c r="L2471" i="6"/>
  <c r="L2470" i="6"/>
  <c r="L2469" i="6"/>
  <c r="L2468" i="6"/>
  <c r="L2467" i="6"/>
  <c r="L2466" i="6"/>
  <c r="L2465" i="6"/>
  <c r="L2464" i="6"/>
  <c r="L2463" i="6"/>
  <c r="L2462" i="6"/>
  <c r="L2461" i="6"/>
  <c r="L2460" i="6"/>
  <c r="L2459" i="6"/>
  <c r="L2458" i="6"/>
  <c r="L2457" i="6"/>
  <c r="L2456" i="6"/>
  <c r="L2455" i="6"/>
  <c r="L2454" i="6"/>
  <c r="L2453" i="6"/>
  <c r="L2452" i="6"/>
  <c r="L2451" i="6"/>
  <c r="L2450" i="6"/>
  <c r="L2449" i="6"/>
  <c r="L2448" i="6"/>
  <c r="L2447" i="6"/>
  <c r="L2446" i="6"/>
  <c r="L2445" i="6"/>
  <c r="L2444" i="6"/>
  <c r="L2443" i="6"/>
  <c r="L2442" i="6"/>
  <c r="L2441" i="6"/>
  <c r="L2440" i="6"/>
  <c r="L2439" i="6"/>
  <c r="L2438" i="6"/>
  <c r="L2437" i="6"/>
  <c r="L2436" i="6"/>
  <c r="L2435" i="6"/>
  <c r="L2434" i="6"/>
  <c r="L2433" i="6"/>
  <c r="L2432" i="6"/>
  <c r="L2431" i="6"/>
  <c r="L2430" i="6"/>
  <c r="L2429" i="6"/>
  <c r="L2428" i="6"/>
  <c r="L2427" i="6"/>
  <c r="L2426" i="6"/>
  <c r="L2425" i="6"/>
  <c r="L2424" i="6"/>
  <c r="L2423" i="6"/>
  <c r="L2422" i="6"/>
  <c r="L2421" i="6"/>
  <c r="L2420" i="6"/>
  <c r="L2419" i="6"/>
  <c r="L2418" i="6"/>
  <c r="L2417" i="6"/>
  <c r="L2416" i="6"/>
  <c r="L2415" i="6"/>
  <c r="L2414" i="6"/>
  <c r="L2413" i="6"/>
  <c r="L2412" i="6"/>
  <c r="L2411" i="6"/>
  <c r="L2410" i="6"/>
  <c r="L2409" i="6"/>
  <c r="L2408" i="6"/>
  <c r="L2407" i="6"/>
  <c r="L2406" i="6"/>
  <c r="L2405" i="6"/>
  <c r="L2404" i="6"/>
  <c r="L2403" i="6"/>
  <c r="L2402" i="6"/>
  <c r="L2401" i="6"/>
  <c r="L2400" i="6"/>
  <c r="L2399" i="6"/>
  <c r="L2398" i="6"/>
  <c r="L2397" i="6"/>
  <c r="L2396" i="6"/>
  <c r="L2395" i="6"/>
  <c r="L2394" i="6"/>
  <c r="L2393" i="6"/>
  <c r="L2392" i="6"/>
  <c r="L2391" i="6"/>
  <c r="L2390" i="6"/>
  <c r="L2389" i="6"/>
  <c r="L2388" i="6"/>
  <c r="L2387" i="6"/>
  <c r="L2386" i="6"/>
  <c r="L2385" i="6"/>
  <c r="L2384" i="6"/>
  <c r="L2383" i="6"/>
  <c r="L2382" i="6"/>
  <c r="L2381" i="6"/>
  <c r="L2380" i="6"/>
  <c r="L2379" i="6"/>
  <c r="L2378" i="6"/>
  <c r="L2377" i="6"/>
  <c r="L2376" i="6"/>
  <c r="L2375" i="6"/>
  <c r="L2374" i="6"/>
  <c r="L2373" i="6"/>
  <c r="L2372" i="6"/>
  <c r="L2371" i="6"/>
  <c r="L2370" i="6"/>
  <c r="L2369" i="6"/>
  <c r="L2368" i="6"/>
  <c r="L2367" i="6"/>
  <c r="L2366" i="6"/>
  <c r="L2365" i="6"/>
  <c r="L2364" i="6"/>
  <c r="L2363" i="6"/>
  <c r="L2362" i="6"/>
  <c r="L2361" i="6"/>
  <c r="L2360" i="6"/>
  <c r="L2359" i="6"/>
  <c r="L2358" i="6"/>
  <c r="L2357" i="6"/>
  <c r="L2356" i="6"/>
  <c r="L2355" i="6"/>
  <c r="L2354" i="6"/>
  <c r="L2353" i="6"/>
  <c r="L2352" i="6"/>
  <c r="L2351" i="6"/>
  <c r="L2350" i="6"/>
  <c r="L2349" i="6"/>
  <c r="L2348" i="6"/>
  <c r="L2347" i="6"/>
  <c r="L2346" i="6"/>
  <c r="L2345" i="6"/>
  <c r="L2344" i="6"/>
  <c r="L2343" i="6"/>
  <c r="L2342" i="6"/>
  <c r="L2341" i="6"/>
  <c r="L2340" i="6"/>
  <c r="L2339" i="6"/>
  <c r="L2338" i="6"/>
  <c r="L2337" i="6"/>
  <c r="L2336" i="6"/>
  <c r="L2335" i="6"/>
  <c r="L2334" i="6"/>
  <c r="L2333" i="6"/>
  <c r="L2332" i="6"/>
  <c r="L2331" i="6"/>
  <c r="L2330" i="6"/>
  <c r="L2329" i="6"/>
  <c r="L2328" i="6"/>
  <c r="L2327" i="6"/>
  <c r="L2326" i="6"/>
  <c r="L2325" i="6"/>
  <c r="L2324" i="6"/>
  <c r="L2323" i="6"/>
  <c r="L2322" i="6"/>
  <c r="L2321" i="6"/>
  <c r="L2320" i="6"/>
  <c r="L2319" i="6"/>
  <c r="L2318" i="6"/>
  <c r="L2317" i="6"/>
  <c r="L2316" i="6"/>
  <c r="L2315" i="6"/>
  <c r="L2314" i="6"/>
  <c r="L2313" i="6"/>
  <c r="L2312" i="6"/>
  <c r="L2311" i="6"/>
  <c r="L2310" i="6"/>
  <c r="L2309" i="6"/>
  <c r="L2308" i="6"/>
  <c r="L2307" i="6"/>
  <c r="L2306" i="6"/>
  <c r="L2305" i="6"/>
  <c r="L2304" i="6"/>
  <c r="L2303" i="6"/>
  <c r="L2302" i="6"/>
  <c r="L2301" i="6"/>
  <c r="L2300" i="6"/>
  <c r="L2299" i="6"/>
  <c r="L2298" i="6"/>
  <c r="L2297" i="6"/>
  <c r="L2296" i="6"/>
  <c r="L2295" i="6"/>
  <c r="L2294" i="6"/>
  <c r="L2293" i="6"/>
  <c r="L2292" i="6"/>
  <c r="L2291" i="6"/>
  <c r="L2290" i="6"/>
  <c r="L2289" i="6"/>
  <c r="L2288" i="6"/>
  <c r="L2287" i="6"/>
  <c r="L2286" i="6"/>
  <c r="L2285" i="6"/>
  <c r="L2284" i="6"/>
  <c r="L2283" i="6"/>
  <c r="L2282" i="6"/>
  <c r="L2281" i="6"/>
  <c r="L2280" i="6"/>
  <c r="L2279" i="6"/>
  <c r="L2278" i="6"/>
  <c r="L2277" i="6"/>
  <c r="L2276" i="6"/>
  <c r="L2275" i="6"/>
  <c r="L2274" i="6"/>
  <c r="L2273" i="6"/>
  <c r="L2272" i="6"/>
  <c r="L2271" i="6"/>
  <c r="L2270" i="6"/>
  <c r="L2269" i="6"/>
  <c r="L2268" i="6"/>
  <c r="L2267" i="6"/>
  <c r="L2266" i="6"/>
  <c r="L2265" i="6"/>
  <c r="L2264" i="6"/>
  <c r="L2263" i="6"/>
  <c r="L2262" i="6"/>
  <c r="L2261" i="6"/>
  <c r="L2260" i="6"/>
  <c r="L2259" i="6"/>
  <c r="L2258" i="6"/>
  <c r="L2257" i="6"/>
  <c r="L2256" i="6"/>
  <c r="L2255" i="6"/>
  <c r="L2254" i="6"/>
  <c r="L2253" i="6"/>
  <c r="L2252" i="6"/>
  <c r="L2251" i="6"/>
  <c r="L2250" i="6"/>
  <c r="L2249" i="6"/>
  <c r="L2248" i="6"/>
  <c r="L2247" i="6"/>
  <c r="L2246" i="6"/>
  <c r="L2245" i="6"/>
  <c r="L2244" i="6"/>
  <c r="L2243" i="6"/>
  <c r="L2242" i="6"/>
  <c r="L2241" i="6"/>
  <c r="L2240" i="6"/>
  <c r="L2239" i="6"/>
  <c r="L2238" i="6"/>
  <c r="L2237" i="6"/>
  <c r="L2236" i="6"/>
  <c r="L2235" i="6"/>
  <c r="L2234" i="6"/>
  <c r="L2233" i="6"/>
  <c r="L2232" i="6"/>
  <c r="L2231" i="6"/>
  <c r="L2230" i="6"/>
  <c r="L2229" i="6"/>
  <c r="L2228" i="6"/>
  <c r="L2227" i="6"/>
  <c r="L2226" i="6"/>
  <c r="L2225" i="6"/>
  <c r="L2224" i="6"/>
  <c r="L2223" i="6"/>
  <c r="L2222" i="6"/>
  <c r="L2221" i="6"/>
  <c r="L2220" i="6"/>
  <c r="L2219" i="6"/>
  <c r="L2218" i="6"/>
  <c r="L2217" i="6"/>
  <c r="L2216" i="6"/>
  <c r="L2215" i="6"/>
  <c r="L2214" i="6"/>
  <c r="L2213" i="6"/>
  <c r="L2212" i="6"/>
  <c r="L2211" i="6"/>
  <c r="L2210" i="6"/>
  <c r="L2209" i="6"/>
  <c r="L2208" i="6"/>
  <c r="L2207" i="6"/>
  <c r="L2206" i="6"/>
  <c r="L2205" i="6"/>
  <c r="L2204" i="6"/>
  <c r="L2203" i="6"/>
  <c r="L2202" i="6"/>
  <c r="L2201" i="6"/>
  <c r="L2200" i="6"/>
  <c r="L2199" i="6"/>
  <c r="L2198" i="6"/>
  <c r="L2197" i="6"/>
  <c r="L2196" i="6"/>
  <c r="L2195" i="6"/>
  <c r="L2194" i="6"/>
  <c r="L2193" i="6"/>
  <c r="L2192" i="6"/>
  <c r="L2191" i="6"/>
  <c r="L2190" i="6"/>
  <c r="L2189" i="6"/>
  <c r="L2188" i="6"/>
  <c r="L2187" i="6"/>
  <c r="L2186" i="6"/>
  <c r="L2185" i="6"/>
  <c r="L2184" i="6"/>
  <c r="L2183" i="6"/>
  <c r="L2182" i="6"/>
  <c r="L2181" i="6"/>
  <c r="L2180" i="6"/>
  <c r="L2179" i="6"/>
  <c r="L2178" i="6"/>
  <c r="L2177" i="6"/>
  <c r="L2176" i="6"/>
  <c r="L2175" i="6"/>
  <c r="L2174" i="6"/>
  <c r="L2173" i="6"/>
  <c r="L2172" i="6"/>
  <c r="L2171" i="6"/>
  <c r="L2170" i="6"/>
  <c r="L2169" i="6"/>
  <c r="L2168" i="6"/>
  <c r="L2167" i="6"/>
  <c r="L2166" i="6"/>
  <c r="L2165" i="6"/>
  <c r="L2164" i="6"/>
  <c r="L2163" i="6"/>
  <c r="L2162" i="6"/>
  <c r="L2161" i="6"/>
  <c r="L2160" i="6"/>
  <c r="L2159" i="6"/>
  <c r="L2158" i="6"/>
  <c r="L2157" i="6"/>
  <c r="L2156" i="6"/>
  <c r="L2155" i="6"/>
  <c r="L2154" i="6"/>
  <c r="L2153" i="6"/>
  <c r="L2152" i="6"/>
  <c r="L2151" i="6"/>
  <c r="L2150" i="6"/>
  <c r="L2149" i="6"/>
  <c r="L2148" i="6"/>
  <c r="L2147" i="6"/>
  <c r="L2146" i="6"/>
  <c r="L2145" i="6"/>
  <c r="L2144" i="6"/>
  <c r="L2143" i="6"/>
  <c r="L2142" i="6"/>
  <c r="L2141" i="6"/>
  <c r="L2140" i="6"/>
  <c r="L2139" i="6"/>
  <c r="L2138" i="6"/>
  <c r="L2137" i="6"/>
  <c r="L2136" i="6"/>
  <c r="L2135" i="6"/>
  <c r="L2134" i="6"/>
  <c r="L2133" i="6"/>
  <c r="L2132" i="6"/>
  <c r="L2131" i="6"/>
  <c r="L2130" i="6"/>
  <c r="L2129" i="6"/>
  <c r="L2128" i="6"/>
  <c r="L2127" i="6"/>
  <c r="L2126" i="6"/>
  <c r="L2125" i="6"/>
  <c r="L2124" i="6"/>
  <c r="L2123" i="6"/>
  <c r="L2122" i="6"/>
  <c r="L2121" i="6"/>
  <c r="L2120" i="6"/>
  <c r="L2119" i="6"/>
  <c r="L2118" i="6"/>
  <c r="L2117" i="6"/>
  <c r="L2116" i="6"/>
  <c r="L2115" i="6"/>
  <c r="L2114" i="6"/>
  <c r="L2113" i="6"/>
  <c r="L2112" i="6"/>
  <c r="L2111" i="6"/>
  <c r="L2110" i="6"/>
  <c r="L2109" i="6"/>
  <c r="L2108" i="6"/>
  <c r="L2107" i="6"/>
  <c r="L2106" i="6"/>
  <c r="L2105" i="6"/>
  <c r="L2104" i="6"/>
  <c r="L2103" i="6"/>
  <c r="L2102" i="6"/>
  <c r="L2101" i="6"/>
  <c r="L2100" i="6"/>
  <c r="L2099" i="6"/>
  <c r="L2098" i="6"/>
  <c r="L2097" i="6"/>
  <c r="L2096" i="6"/>
  <c r="L2095" i="6"/>
  <c r="L2094" i="6"/>
  <c r="L2093" i="6"/>
  <c r="L2092" i="6"/>
  <c r="L2091" i="6"/>
  <c r="L2090" i="6"/>
  <c r="L2089" i="6"/>
  <c r="L2088" i="6"/>
  <c r="L2087" i="6"/>
  <c r="L2086" i="6"/>
  <c r="L2085" i="6"/>
  <c r="L2084" i="6"/>
  <c r="L2083" i="6"/>
  <c r="L2082" i="6"/>
  <c r="L2081" i="6"/>
  <c r="L2080" i="6"/>
  <c r="L2079" i="6"/>
  <c r="L2078" i="6"/>
  <c r="L2077" i="6"/>
  <c r="L2076" i="6"/>
  <c r="L2075" i="6"/>
  <c r="L2074" i="6"/>
  <c r="L2073" i="6"/>
  <c r="L2072" i="6"/>
  <c r="L2071" i="6"/>
  <c r="L2070" i="6"/>
  <c r="L2069" i="6"/>
  <c r="L2068" i="6"/>
  <c r="L2067" i="6"/>
  <c r="L2066" i="6"/>
  <c r="L2065" i="6"/>
  <c r="L2064" i="6"/>
  <c r="L2063" i="6"/>
  <c r="L2062" i="6"/>
  <c r="L2061" i="6"/>
  <c r="L2060" i="6"/>
  <c r="L2059" i="6"/>
  <c r="L2058" i="6"/>
  <c r="L2057" i="6"/>
  <c r="L2056" i="6"/>
  <c r="L2055" i="6"/>
  <c r="L2054" i="6"/>
  <c r="L2053" i="6"/>
  <c r="L2052" i="6"/>
  <c r="L2051" i="6"/>
  <c r="L2050" i="6"/>
  <c r="L2049" i="6"/>
  <c r="L2048" i="6"/>
  <c r="L2047" i="6"/>
  <c r="L2046" i="6"/>
  <c r="L2045" i="6"/>
  <c r="L2044" i="6"/>
  <c r="L2043" i="6"/>
  <c r="L2042" i="6"/>
  <c r="L2041" i="6"/>
  <c r="L2040" i="6"/>
  <c r="L2039" i="6"/>
  <c r="L2038" i="6"/>
  <c r="L2037" i="6"/>
  <c r="L2036" i="6"/>
  <c r="L2035" i="6"/>
  <c r="L2034" i="6"/>
  <c r="L2033" i="6"/>
  <c r="L2032" i="6"/>
  <c r="L2031" i="6"/>
  <c r="L2030" i="6"/>
  <c r="L2029" i="6"/>
  <c r="L2028" i="6"/>
  <c r="L2027" i="6"/>
  <c r="L2026" i="6"/>
  <c r="L2025" i="6"/>
  <c r="L2024" i="6"/>
  <c r="L2023" i="6"/>
  <c r="L2022" i="6"/>
  <c r="L2021" i="6"/>
  <c r="L2020" i="6"/>
  <c r="L2019" i="6"/>
  <c r="L2018" i="6"/>
  <c r="L2017" i="6"/>
  <c r="L2016" i="6"/>
  <c r="L2015" i="6"/>
  <c r="L2014" i="6"/>
  <c r="L2013" i="6"/>
  <c r="L2012" i="6"/>
  <c r="L2011" i="6"/>
  <c r="L2010" i="6"/>
  <c r="L2009" i="6"/>
  <c r="L2008" i="6"/>
  <c r="L2007" i="6"/>
  <c r="L2006" i="6"/>
  <c r="L2005" i="6"/>
  <c r="L2004" i="6"/>
  <c r="L2003" i="6"/>
  <c r="L2002" i="6"/>
  <c r="L2001" i="6"/>
  <c r="L2000" i="6"/>
  <c r="L1999" i="6"/>
  <c r="L1998" i="6"/>
  <c r="L1997" i="6"/>
  <c r="L1996" i="6"/>
  <c r="L1995" i="6"/>
  <c r="L1994" i="6"/>
  <c r="L1993" i="6"/>
  <c r="L1992" i="6"/>
  <c r="L1991" i="6"/>
  <c r="L1990" i="6"/>
  <c r="L1989" i="6"/>
  <c r="L1988" i="6"/>
  <c r="L1987" i="6"/>
  <c r="L1986" i="6"/>
  <c r="L1985" i="6"/>
  <c r="L1984" i="6"/>
  <c r="L1983" i="6"/>
  <c r="L1982" i="6"/>
  <c r="L1981" i="6"/>
  <c r="L1980" i="6"/>
  <c r="L1979" i="6"/>
  <c r="L1978" i="6"/>
  <c r="L1977" i="6"/>
  <c r="L1976" i="6"/>
  <c r="L1975" i="6"/>
  <c r="L1974" i="6"/>
  <c r="L1973" i="6"/>
  <c r="L1972" i="6"/>
  <c r="L1971" i="6"/>
  <c r="L1970" i="6"/>
  <c r="L1969" i="6"/>
  <c r="L1968" i="6"/>
  <c r="L1967" i="6"/>
  <c r="L1966" i="6"/>
  <c r="L1965" i="6"/>
  <c r="L1964" i="6"/>
  <c r="L1963" i="6"/>
  <c r="L1962" i="6"/>
  <c r="L1961" i="6"/>
  <c r="L1960" i="6"/>
  <c r="L1959" i="6"/>
  <c r="L1958" i="6"/>
  <c r="L1957" i="6"/>
  <c r="L1956" i="6"/>
  <c r="L1955" i="6"/>
  <c r="L1954" i="6"/>
  <c r="L1953" i="6"/>
  <c r="L1952" i="6"/>
  <c r="L1951" i="6"/>
  <c r="L1950" i="6"/>
  <c r="L1949" i="6"/>
  <c r="L1948" i="6"/>
  <c r="L1947" i="6"/>
  <c r="L1946" i="6"/>
  <c r="L1945" i="6"/>
  <c r="L1944" i="6"/>
  <c r="L1943" i="6"/>
  <c r="L1942" i="6"/>
  <c r="L1941" i="6"/>
  <c r="L1940" i="6"/>
  <c r="L1939" i="6"/>
  <c r="L1938" i="6"/>
  <c r="L1937" i="6"/>
  <c r="L1936" i="6"/>
  <c r="L1935" i="6"/>
  <c r="L1934" i="6"/>
  <c r="L1933" i="6"/>
  <c r="L1932" i="6"/>
  <c r="L1931" i="6"/>
  <c r="L1930" i="6"/>
  <c r="L1929" i="6"/>
  <c r="L1928" i="6"/>
  <c r="L1927" i="6"/>
  <c r="L1926" i="6"/>
  <c r="L1925" i="6"/>
  <c r="L1924" i="6"/>
  <c r="L1923" i="6"/>
  <c r="L1922" i="6"/>
  <c r="L1921" i="6"/>
  <c r="L1920" i="6"/>
  <c r="L1919" i="6"/>
  <c r="L1918" i="6"/>
  <c r="L1917" i="6"/>
  <c r="L1916" i="6"/>
  <c r="L1915" i="6"/>
  <c r="L1914" i="6"/>
  <c r="L1913" i="6"/>
  <c r="L1912" i="6"/>
  <c r="L1911" i="6"/>
  <c r="L1910" i="6"/>
  <c r="L1909" i="6"/>
  <c r="L1908" i="6"/>
  <c r="L1907" i="6"/>
  <c r="L1906" i="6"/>
  <c r="L1905" i="6"/>
  <c r="L1904" i="6"/>
  <c r="L1903" i="6"/>
  <c r="L1902" i="6"/>
  <c r="L1901" i="6"/>
  <c r="L1900" i="6"/>
  <c r="L1899" i="6"/>
  <c r="L1898" i="6"/>
  <c r="L1897" i="6"/>
  <c r="L1896" i="6"/>
  <c r="L1895" i="6"/>
  <c r="L1894" i="6"/>
  <c r="L1893" i="6"/>
  <c r="L1892" i="6"/>
  <c r="L1891" i="6"/>
  <c r="L1890" i="6"/>
  <c r="L1889" i="6"/>
  <c r="L1888" i="6"/>
  <c r="L1887" i="6"/>
  <c r="L1886" i="6"/>
  <c r="L1885" i="6"/>
  <c r="L1884" i="6"/>
  <c r="L1883" i="6"/>
  <c r="L1882" i="6"/>
  <c r="L1881" i="6"/>
  <c r="L1880" i="6"/>
  <c r="L1879" i="6"/>
  <c r="L1878" i="6"/>
  <c r="L1877" i="6"/>
  <c r="L1876" i="6"/>
  <c r="L1875" i="6"/>
  <c r="L1874" i="6"/>
  <c r="L1873" i="6"/>
  <c r="L1872" i="6"/>
  <c r="L1871" i="6"/>
  <c r="L1870" i="6"/>
  <c r="L1869" i="6"/>
  <c r="L1868" i="6"/>
  <c r="L1867" i="6"/>
  <c r="L1866" i="6"/>
  <c r="L1865" i="6"/>
  <c r="L1864" i="6"/>
  <c r="L1863" i="6"/>
  <c r="L1862" i="6"/>
  <c r="L1861" i="6"/>
  <c r="L1860" i="6"/>
  <c r="L1859" i="6"/>
  <c r="L1858" i="6"/>
  <c r="L1857" i="6"/>
  <c r="L1856" i="6"/>
  <c r="L1855" i="6"/>
  <c r="L1854" i="6"/>
  <c r="L1853" i="6"/>
  <c r="L1852" i="6"/>
  <c r="L1851" i="6"/>
  <c r="L1850" i="6"/>
  <c r="L1849" i="6"/>
  <c r="L1848" i="6"/>
  <c r="L1847" i="6"/>
  <c r="L1846" i="6"/>
  <c r="L1845" i="6"/>
  <c r="L1844" i="6"/>
  <c r="L1843" i="6"/>
  <c r="L1842" i="6"/>
  <c r="L1841" i="6"/>
  <c r="L1840" i="6"/>
  <c r="L1839" i="6"/>
  <c r="L1838" i="6"/>
  <c r="L1837" i="6"/>
  <c r="L1836" i="6"/>
  <c r="L1835" i="6"/>
  <c r="L1834" i="6"/>
  <c r="L1833" i="6"/>
  <c r="L1832" i="6"/>
  <c r="L1831" i="6"/>
  <c r="L1830" i="6"/>
  <c r="L1829" i="6"/>
  <c r="L1828" i="6"/>
  <c r="L1827" i="6"/>
  <c r="L1826" i="6"/>
  <c r="L1825" i="6"/>
  <c r="L1824" i="6"/>
  <c r="L1823" i="6"/>
  <c r="L1822" i="6"/>
  <c r="L1821" i="6"/>
  <c r="L1820" i="6"/>
  <c r="L1819" i="6"/>
  <c r="L1818" i="6"/>
  <c r="L1817" i="6"/>
  <c r="L1816" i="6"/>
  <c r="L1815" i="6"/>
  <c r="L1814" i="6"/>
  <c r="L1813" i="6"/>
  <c r="L1812" i="6"/>
  <c r="L1811" i="6"/>
  <c r="L1810" i="6"/>
  <c r="L1809" i="6"/>
  <c r="L1808" i="6"/>
  <c r="L1807" i="6"/>
  <c r="L1806" i="6"/>
  <c r="L1805" i="6"/>
  <c r="L1804" i="6"/>
  <c r="L1803" i="6"/>
  <c r="L1802" i="6"/>
  <c r="L1801" i="6"/>
  <c r="L1800" i="6"/>
  <c r="L1799" i="6"/>
  <c r="L1798" i="6"/>
  <c r="L1797" i="6"/>
  <c r="L1796" i="6"/>
  <c r="L1795" i="6"/>
  <c r="L1794" i="6"/>
  <c r="L1793" i="6"/>
  <c r="L1792" i="6"/>
  <c r="L1791" i="6"/>
  <c r="L1790" i="6"/>
  <c r="L1789" i="6"/>
  <c r="L1788" i="6"/>
  <c r="L1787" i="6"/>
  <c r="L1786" i="6"/>
  <c r="L1785" i="6"/>
  <c r="L1784" i="6"/>
  <c r="L1783" i="6"/>
  <c r="L1782" i="6"/>
  <c r="L1781" i="6"/>
  <c r="L1780" i="6"/>
  <c r="L1779" i="6"/>
  <c r="L1778" i="6"/>
  <c r="L1777" i="6"/>
  <c r="L1776" i="6"/>
  <c r="L1775" i="6"/>
  <c r="L1774" i="6"/>
  <c r="L1773" i="6"/>
  <c r="L1772" i="6"/>
  <c r="L1771" i="6"/>
  <c r="L1770" i="6"/>
  <c r="L1769" i="6"/>
  <c r="L1768" i="6"/>
  <c r="L1767" i="6"/>
  <c r="L1766" i="6"/>
  <c r="L1765" i="6"/>
  <c r="L1764" i="6"/>
  <c r="L1763" i="6"/>
  <c r="L1762" i="6"/>
  <c r="L1761" i="6"/>
  <c r="L1760" i="6"/>
  <c r="L1759" i="6"/>
  <c r="L1758" i="6"/>
  <c r="L1757" i="6"/>
  <c r="L1756" i="6"/>
  <c r="L1755" i="6"/>
  <c r="L1754" i="6"/>
  <c r="L1753" i="6"/>
  <c r="L1752" i="6"/>
  <c r="L1751" i="6"/>
  <c r="L1750" i="6"/>
  <c r="L1749" i="6"/>
  <c r="L1748" i="6"/>
  <c r="L1747" i="6"/>
  <c r="L1746" i="6"/>
  <c r="L1745" i="6"/>
  <c r="L1744" i="6"/>
  <c r="L1743" i="6"/>
  <c r="L1742" i="6"/>
  <c r="L1741" i="6"/>
  <c r="L1740" i="6"/>
  <c r="L1739" i="6"/>
  <c r="L1738" i="6"/>
  <c r="L1737" i="6"/>
  <c r="L1736" i="6"/>
  <c r="L1735" i="6"/>
  <c r="L1734" i="6"/>
  <c r="L1733" i="6"/>
  <c r="L1732" i="6"/>
  <c r="L1731" i="6"/>
  <c r="L1730" i="6"/>
  <c r="L1729" i="6"/>
  <c r="L1728" i="6"/>
  <c r="L1727" i="6"/>
  <c r="L1726" i="6"/>
  <c r="L1725" i="6"/>
  <c r="L1724" i="6"/>
  <c r="L1723" i="6"/>
  <c r="L1722" i="6"/>
  <c r="L1721" i="6"/>
  <c r="L1720" i="6"/>
  <c r="L1719" i="6"/>
  <c r="L1718" i="6"/>
  <c r="L1717" i="6"/>
  <c r="L1716" i="6"/>
  <c r="L1715" i="6"/>
  <c r="L1714" i="6"/>
  <c r="L1713" i="6"/>
  <c r="L1712" i="6"/>
  <c r="L1711" i="6"/>
  <c r="L1710" i="6"/>
  <c r="L1709" i="6"/>
  <c r="L1708" i="6"/>
  <c r="L1707" i="6"/>
  <c r="L1706" i="6"/>
  <c r="L1705" i="6"/>
  <c r="L1704" i="6"/>
  <c r="L1703" i="6"/>
  <c r="L1702" i="6"/>
  <c r="L1701" i="6"/>
  <c r="L1700" i="6"/>
  <c r="L1699" i="6"/>
  <c r="L1698" i="6"/>
  <c r="L1697" i="6"/>
  <c r="L1696" i="6"/>
  <c r="L1695" i="6"/>
  <c r="L1694" i="6"/>
  <c r="L1693" i="6"/>
  <c r="L1692" i="6"/>
  <c r="L1691" i="6"/>
  <c r="L1690" i="6"/>
  <c r="L1689" i="6"/>
  <c r="L1688" i="6"/>
  <c r="L1687" i="6"/>
  <c r="L1686" i="6"/>
  <c r="L1685" i="6"/>
  <c r="L1684" i="6"/>
  <c r="L1683" i="6"/>
  <c r="L1682" i="6"/>
  <c r="L1681" i="6"/>
  <c r="L1680" i="6"/>
  <c r="L1679" i="6"/>
  <c r="L1678" i="6"/>
  <c r="L1677" i="6"/>
  <c r="L1676" i="6"/>
  <c r="L1675" i="6"/>
  <c r="L1674" i="6"/>
  <c r="L1673" i="6"/>
  <c r="L1672" i="6"/>
  <c r="L1671" i="6"/>
  <c r="L1670" i="6"/>
  <c r="L1669" i="6"/>
  <c r="L1668" i="6"/>
  <c r="L1667" i="6"/>
  <c r="L1666" i="6"/>
  <c r="L1665" i="6"/>
  <c r="L1664" i="6"/>
  <c r="L1663" i="6"/>
  <c r="L1662" i="6"/>
  <c r="L1661" i="6"/>
  <c r="L1660" i="6"/>
  <c r="L1659" i="6"/>
  <c r="L1658" i="6"/>
  <c r="L1657" i="6"/>
  <c r="L1656" i="6"/>
  <c r="L1655" i="6"/>
  <c r="L1654" i="6"/>
  <c r="L1653" i="6"/>
  <c r="L1652" i="6"/>
  <c r="L1651" i="6"/>
  <c r="L1650" i="6"/>
  <c r="L1649" i="6"/>
  <c r="L1648" i="6"/>
  <c r="L1647" i="6"/>
  <c r="L1646" i="6"/>
  <c r="L1645" i="6"/>
  <c r="L1644" i="6"/>
  <c r="L1643" i="6"/>
  <c r="L1642" i="6"/>
  <c r="L1641" i="6"/>
  <c r="L1640" i="6"/>
  <c r="L1639" i="6"/>
  <c r="L1638" i="6"/>
  <c r="L1637" i="6"/>
  <c r="L1636" i="6"/>
  <c r="L1635" i="6"/>
  <c r="L1634" i="6"/>
  <c r="L1633" i="6"/>
  <c r="L1632" i="6"/>
  <c r="L1631" i="6"/>
  <c r="L1630" i="6"/>
  <c r="L1629" i="6"/>
  <c r="L1628" i="6"/>
  <c r="L1627" i="6"/>
  <c r="L1626" i="6"/>
  <c r="L1625" i="6"/>
  <c r="L1624" i="6"/>
  <c r="L1623" i="6"/>
  <c r="L1622" i="6"/>
  <c r="L1621" i="6"/>
  <c r="L1620" i="6"/>
  <c r="L1619" i="6"/>
  <c r="L1618" i="6"/>
  <c r="L1617" i="6"/>
  <c r="L1616" i="6"/>
  <c r="L1615" i="6"/>
  <c r="L1614" i="6"/>
  <c r="L1613" i="6"/>
  <c r="L1612" i="6"/>
  <c r="L1611" i="6"/>
  <c r="L1610" i="6"/>
  <c r="L1609" i="6"/>
  <c r="L1608" i="6"/>
  <c r="L1607" i="6"/>
  <c r="L1606" i="6"/>
  <c r="L1605" i="6"/>
  <c r="L1604" i="6"/>
  <c r="L1603" i="6"/>
  <c r="L1602" i="6"/>
  <c r="L1601" i="6"/>
  <c r="L1600" i="6"/>
  <c r="L1599" i="6"/>
  <c r="L1598" i="6"/>
  <c r="L1597" i="6"/>
  <c r="L1596" i="6"/>
  <c r="L1595" i="6"/>
  <c r="L1594" i="6"/>
  <c r="L1593" i="6"/>
  <c r="L1592" i="6"/>
  <c r="L1591" i="6"/>
  <c r="L1590" i="6"/>
  <c r="L1589" i="6"/>
  <c r="L1588" i="6"/>
  <c r="L1587" i="6"/>
  <c r="L1586" i="6"/>
  <c r="L1585" i="6"/>
  <c r="L1584" i="6"/>
  <c r="L1583" i="6"/>
  <c r="L1582" i="6"/>
  <c r="L1581" i="6"/>
  <c r="L1580" i="6"/>
  <c r="L1579" i="6"/>
  <c r="L1578" i="6"/>
  <c r="L1577" i="6"/>
  <c r="L1576" i="6"/>
  <c r="L1575" i="6"/>
  <c r="L1574" i="6"/>
  <c r="L1573" i="6"/>
  <c r="L1572" i="6"/>
  <c r="L1571" i="6"/>
  <c r="L1570" i="6"/>
  <c r="L1569" i="6"/>
  <c r="L1568" i="6"/>
  <c r="L1567" i="6"/>
  <c r="L1566" i="6"/>
  <c r="L1565" i="6"/>
  <c r="L1564" i="6"/>
  <c r="L1563" i="6"/>
  <c r="L1562" i="6"/>
  <c r="L1561" i="6"/>
  <c r="L1560" i="6"/>
  <c r="L1559" i="6"/>
  <c r="L1558" i="6"/>
  <c r="L1557" i="6"/>
  <c r="L1556" i="6"/>
  <c r="L1555" i="6"/>
  <c r="L1554" i="6"/>
  <c r="L1553" i="6"/>
  <c r="L1552" i="6"/>
  <c r="L1551" i="6"/>
  <c r="L1550" i="6"/>
  <c r="L1549" i="6"/>
  <c r="L1548" i="6"/>
  <c r="L1547" i="6"/>
  <c r="L1546" i="6"/>
  <c r="L1545" i="6"/>
  <c r="L1544" i="6"/>
  <c r="L1543" i="6"/>
  <c r="L1542" i="6"/>
  <c r="L1541" i="6"/>
  <c r="L1540" i="6"/>
  <c r="L1539" i="6"/>
  <c r="L1538" i="6"/>
  <c r="L1537" i="6"/>
  <c r="L1536" i="6"/>
  <c r="L1535" i="6"/>
  <c r="L1534" i="6"/>
  <c r="L1533" i="6"/>
  <c r="L1532" i="6"/>
  <c r="L1531" i="6"/>
  <c r="L1530" i="6"/>
  <c r="L1529" i="6"/>
  <c r="L1528" i="6"/>
  <c r="L1527" i="6"/>
  <c r="L1526" i="6"/>
  <c r="L1525" i="6"/>
  <c r="L1524" i="6"/>
  <c r="L1523" i="6"/>
  <c r="L1522" i="6"/>
  <c r="L1521" i="6"/>
  <c r="L1520" i="6"/>
  <c r="L1519" i="6"/>
  <c r="L1518" i="6"/>
  <c r="L1517" i="6"/>
  <c r="L1516" i="6"/>
  <c r="L1515" i="6"/>
  <c r="L1514" i="6"/>
  <c r="L1513" i="6"/>
  <c r="L1512" i="6"/>
  <c r="L1511" i="6"/>
  <c r="L1510" i="6"/>
  <c r="L1509" i="6"/>
  <c r="L1508" i="6"/>
  <c r="L1507" i="6"/>
  <c r="L1506" i="6"/>
  <c r="L1505" i="6"/>
  <c r="L1504" i="6"/>
  <c r="L1503" i="6"/>
  <c r="L1502" i="6"/>
  <c r="L1501" i="6"/>
  <c r="L1500" i="6"/>
  <c r="L1499" i="6"/>
  <c r="L1498" i="6"/>
  <c r="L1497" i="6"/>
  <c r="L1496" i="6"/>
  <c r="L1495" i="6"/>
  <c r="L1494" i="6"/>
  <c r="L1493" i="6"/>
  <c r="L1492" i="6"/>
  <c r="L1491" i="6"/>
  <c r="L1490" i="6"/>
  <c r="L1489" i="6"/>
  <c r="L1488" i="6"/>
  <c r="L1487" i="6"/>
  <c r="L1486" i="6"/>
  <c r="L1485" i="6"/>
  <c r="L1484" i="6"/>
  <c r="L1483" i="6"/>
  <c r="L1482" i="6"/>
  <c r="L1481" i="6"/>
  <c r="L1480" i="6"/>
  <c r="L1479" i="6"/>
  <c r="L1478" i="6"/>
  <c r="L1477" i="6"/>
  <c r="L1476" i="6"/>
  <c r="L1475" i="6"/>
  <c r="L1474" i="6"/>
  <c r="L1473" i="6"/>
  <c r="L1472" i="6"/>
  <c r="L1471" i="6"/>
  <c r="L1470" i="6"/>
  <c r="L1469" i="6"/>
  <c r="L1468" i="6"/>
  <c r="L1467" i="6"/>
  <c r="L1466" i="6"/>
  <c r="L1465" i="6"/>
  <c r="L1464" i="6"/>
  <c r="L1463" i="6"/>
  <c r="L1462" i="6"/>
  <c r="L1461" i="6"/>
  <c r="L1460" i="6"/>
  <c r="L1459" i="6"/>
  <c r="L1458" i="6"/>
  <c r="L1457" i="6"/>
  <c r="L1456" i="6"/>
  <c r="L1455" i="6"/>
  <c r="L1454" i="6"/>
  <c r="L1453" i="6"/>
  <c r="L1452" i="6"/>
  <c r="L1451" i="6"/>
  <c r="L1450" i="6"/>
  <c r="L1449" i="6"/>
  <c r="L1448" i="6"/>
  <c r="L1447" i="6"/>
  <c r="L1446" i="6"/>
  <c r="L1445" i="6"/>
  <c r="L1444" i="6"/>
  <c r="L1443" i="6"/>
  <c r="L1442" i="6"/>
  <c r="L1441" i="6"/>
  <c r="L1440" i="6"/>
  <c r="L1439" i="6"/>
  <c r="L1438" i="6"/>
  <c r="L1437" i="6"/>
  <c r="L1436" i="6"/>
  <c r="L1435" i="6"/>
  <c r="L1434" i="6"/>
  <c r="L1433" i="6"/>
  <c r="L1432" i="6"/>
  <c r="L1431" i="6"/>
  <c r="L1430" i="6"/>
  <c r="L1429" i="6"/>
  <c r="L1428" i="6"/>
  <c r="L1427" i="6"/>
  <c r="L1426" i="6"/>
  <c r="L1425" i="6"/>
  <c r="L1424" i="6"/>
  <c r="L1423" i="6"/>
  <c r="L1422" i="6"/>
  <c r="L1421" i="6"/>
  <c r="L1420" i="6"/>
  <c r="L1419" i="6"/>
  <c r="L1418" i="6"/>
  <c r="L1417" i="6"/>
  <c r="L1416" i="6"/>
  <c r="L1415" i="6"/>
  <c r="L1414" i="6"/>
  <c r="L1413" i="6"/>
  <c r="L1412" i="6"/>
  <c r="L1411" i="6"/>
  <c r="L1410" i="6"/>
  <c r="L1409" i="6"/>
  <c r="L1408" i="6"/>
  <c r="L1407" i="6"/>
  <c r="L1406" i="6"/>
  <c r="L1405" i="6"/>
  <c r="L1404" i="6"/>
  <c r="L1403" i="6"/>
  <c r="L1402" i="6"/>
  <c r="L1401" i="6"/>
  <c r="L1400" i="6"/>
  <c r="L1399" i="6"/>
  <c r="L1398" i="6"/>
  <c r="L1397" i="6"/>
  <c r="L1396" i="6"/>
  <c r="L1395" i="6"/>
  <c r="L1394" i="6"/>
  <c r="L1393" i="6"/>
  <c r="L1392" i="6"/>
  <c r="L1391" i="6"/>
  <c r="L1390" i="6"/>
  <c r="L1389" i="6"/>
  <c r="L1388" i="6"/>
  <c r="L1387" i="6"/>
  <c r="L1386" i="6"/>
  <c r="L1385" i="6"/>
  <c r="L1384" i="6"/>
  <c r="L1383" i="6"/>
  <c r="L1382" i="6"/>
  <c r="L1381" i="6"/>
  <c r="L1380" i="6"/>
  <c r="L1379" i="6"/>
  <c r="L1378" i="6"/>
  <c r="L1377" i="6"/>
  <c r="L1376" i="6"/>
  <c r="L1375" i="6"/>
  <c r="L1374" i="6"/>
  <c r="L1373" i="6"/>
  <c r="L1372" i="6"/>
  <c r="L1371" i="6"/>
  <c r="L1370" i="6"/>
  <c r="L1369" i="6"/>
  <c r="L1368" i="6"/>
  <c r="L1367" i="6"/>
  <c r="L1366" i="6"/>
  <c r="L1365" i="6"/>
  <c r="L1364" i="6"/>
  <c r="L1363" i="6"/>
  <c r="L1362" i="6"/>
  <c r="L1361" i="6"/>
  <c r="L1360" i="6"/>
  <c r="L1359" i="6"/>
  <c r="L1358" i="6"/>
  <c r="L1357" i="6"/>
  <c r="L1356" i="6"/>
  <c r="L1355" i="6"/>
  <c r="L1354" i="6"/>
  <c r="L1353" i="6"/>
  <c r="L1352" i="6"/>
  <c r="L1351" i="6"/>
  <c r="L1350" i="6"/>
  <c r="L1349" i="6"/>
  <c r="L1348" i="6"/>
  <c r="L1347" i="6"/>
  <c r="L1346" i="6"/>
  <c r="L1345" i="6"/>
  <c r="L1344" i="6"/>
  <c r="L1343" i="6"/>
  <c r="L1342" i="6"/>
  <c r="L1341" i="6"/>
  <c r="L1340" i="6"/>
  <c r="L1339" i="6"/>
  <c r="L1338" i="6"/>
  <c r="L1337" i="6"/>
  <c r="L1336" i="6"/>
  <c r="L1335" i="6"/>
  <c r="L1334" i="6"/>
  <c r="L1333" i="6"/>
  <c r="L1332" i="6"/>
  <c r="L1331" i="6"/>
  <c r="L1330" i="6"/>
  <c r="L1329" i="6"/>
  <c r="L1328" i="6"/>
  <c r="L1327" i="6"/>
  <c r="L1326" i="6"/>
  <c r="L1325" i="6"/>
  <c r="L1324" i="6"/>
  <c r="L1323" i="6"/>
  <c r="L1322" i="6"/>
  <c r="L1321" i="6"/>
  <c r="L1320" i="6"/>
  <c r="L1319" i="6"/>
  <c r="L1318" i="6"/>
  <c r="L1317" i="6"/>
  <c r="L1316" i="6"/>
  <c r="L1315" i="6"/>
  <c r="L1314" i="6"/>
  <c r="L1313" i="6"/>
  <c r="L1312" i="6"/>
  <c r="L1311" i="6"/>
  <c r="L1310" i="6"/>
  <c r="L1309" i="6"/>
  <c r="L1308" i="6"/>
  <c r="L1307" i="6"/>
  <c r="L1306" i="6"/>
  <c r="L1305" i="6"/>
  <c r="L1304" i="6"/>
  <c r="L1303" i="6"/>
  <c r="L1302" i="6"/>
  <c r="L1301" i="6"/>
  <c r="L1300" i="6"/>
  <c r="L1299" i="6"/>
  <c r="L1298" i="6"/>
  <c r="L1297" i="6"/>
  <c r="L1296" i="6"/>
  <c r="L1295" i="6"/>
  <c r="L1294" i="6"/>
  <c r="L1293" i="6"/>
  <c r="L1292" i="6"/>
  <c r="L1291" i="6"/>
  <c r="L1290" i="6"/>
  <c r="L1289" i="6"/>
  <c r="L1288" i="6"/>
  <c r="L1287" i="6"/>
  <c r="L1286" i="6"/>
  <c r="L1285" i="6"/>
  <c r="L1284" i="6"/>
  <c r="L1283" i="6"/>
  <c r="L1282" i="6"/>
  <c r="L1281" i="6"/>
  <c r="L1280" i="6"/>
  <c r="L1279" i="6"/>
  <c r="L1278" i="6"/>
  <c r="L1277" i="6"/>
  <c r="L1276" i="6"/>
  <c r="L1275" i="6"/>
  <c r="L1274" i="6"/>
  <c r="L1273" i="6"/>
  <c r="L1272" i="6"/>
  <c r="L1271" i="6"/>
  <c r="L1270" i="6"/>
  <c r="L1269" i="6"/>
  <c r="L1268" i="6"/>
  <c r="L1267" i="6"/>
  <c r="L1266" i="6"/>
  <c r="L1265" i="6"/>
  <c r="L1264" i="6"/>
  <c r="L1263" i="6"/>
  <c r="L1262" i="6"/>
  <c r="L1261" i="6"/>
  <c r="L1260" i="6"/>
  <c r="L1259" i="6"/>
  <c r="L1258" i="6"/>
  <c r="L1257" i="6"/>
  <c r="L1256" i="6"/>
  <c r="L1255" i="6"/>
  <c r="L1254" i="6"/>
  <c r="L1253" i="6"/>
  <c r="L1252" i="6"/>
  <c r="L1251" i="6"/>
  <c r="L1250" i="6"/>
  <c r="L1249" i="6"/>
  <c r="L1248" i="6"/>
  <c r="L1247" i="6"/>
  <c r="L1246" i="6"/>
  <c r="L1245" i="6"/>
  <c r="L1244" i="6"/>
  <c r="L1243" i="6"/>
  <c r="L1242" i="6"/>
  <c r="L1241" i="6"/>
  <c r="L1240" i="6"/>
  <c r="L1239" i="6"/>
  <c r="L1238" i="6"/>
  <c r="L1237" i="6"/>
  <c r="L1236" i="6"/>
  <c r="L1235" i="6"/>
  <c r="L1234" i="6"/>
  <c r="L1233" i="6"/>
  <c r="L1232" i="6"/>
  <c r="L1231" i="6"/>
  <c r="L1230" i="6"/>
  <c r="L1229" i="6"/>
  <c r="L1228" i="6"/>
  <c r="L1227" i="6"/>
  <c r="L1226" i="6"/>
  <c r="L1225" i="6"/>
  <c r="L1224" i="6"/>
  <c r="L1223" i="6"/>
  <c r="L1222" i="6"/>
  <c r="L1221" i="6"/>
  <c r="L1220" i="6"/>
  <c r="L1219" i="6"/>
  <c r="L1218" i="6"/>
  <c r="L1217" i="6"/>
  <c r="L1216" i="6"/>
  <c r="L1215" i="6"/>
  <c r="L1214" i="6"/>
  <c r="L1213" i="6"/>
  <c r="L1212" i="6"/>
  <c r="L1211" i="6"/>
  <c r="L1210" i="6"/>
  <c r="L1209" i="6"/>
  <c r="L1208" i="6"/>
  <c r="L1207" i="6"/>
  <c r="L1206" i="6"/>
  <c r="L1205" i="6"/>
  <c r="L1204" i="6"/>
  <c r="L1203" i="6"/>
  <c r="L1202" i="6"/>
  <c r="L1201" i="6"/>
  <c r="L1200" i="6"/>
  <c r="L1199" i="6"/>
  <c r="L1198" i="6"/>
  <c r="L1197" i="6"/>
  <c r="L1196" i="6"/>
  <c r="L1195" i="6"/>
  <c r="L1194" i="6"/>
  <c r="L1193" i="6"/>
  <c r="L1192" i="6"/>
  <c r="L1191" i="6"/>
  <c r="L1190" i="6"/>
  <c r="L1189" i="6"/>
  <c r="L1188" i="6"/>
  <c r="L1187" i="6"/>
  <c r="L1186" i="6"/>
  <c r="L1185" i="6"/>
  <c r="L1184" i="6"/>
  <c r="L1183" i="6"/>
  <c r="L1182" i="6"/>
  <c r="L1181" i="6"/>
  <c r="L1180" i="6"/>
  <c r="L1179" i="6"/>
  <c r="L1178" i="6"/>
  <c r="L1177" i="6"/>
  <c r="L1176" i="6"/>
  <c r="L1175" i="6"/>
  <c r="L1174" i="6"/>
  <c r="L1173" i="6"/>
  <c r="L1172" i="6"/>
  <c r="L1171" i="6"/>
  <c r="L1170" i="6"/>
  <c r="L1169" i="6"/>
  <c r="L1168" i="6"/>
  <c r="L1167" i="6"/>
  <c r="L1166" i="6"/>
  <c r="L1165" i="6"/>
  <c r="L1164" i="6"/>
  <c r="L1163" i="6"/>
  <c r="L1162" i="6"/>
  <c r="L1161" i="6"/>
  <c r="L1160" i="6"/>
  <c r="L1159" i="6"/>
  <c r="L1158" i="6"/>
  <c r="L1157" i="6"/>
  <c r="L1156" i="6"/>
  <c r="L1155" i="6"/>
  <c r="L1154" i="6"/>
  <c r="L1153" i="6"/>
  <c r="L1152" i="6"/>
  <c r="L1151" i="6"/>
  <c r="L1150" i="6"/>
  <c r="L1149" i="6"/>
  <c r="L1148" i="6"/>
  <c r="L1147" i="6"/>
  <c r="L1146" i="6"/>
  <c r="L1145" i="6"/>
  <c r="L1144" i="6"/>
  <c r="L1143" i="6"/>
  <c r="L1142" i="6"/>
  <c r="L1141" i="6"/>
  <c r="L1140" i="6"/>
  <c r="L1139" i="6"/>
  <c r="L1138" i="6"/>
  <c r="L1137" i="6"/>
  <c r="L1136" i="6"/>
  <c r="L1135" i="6"/>
  <c r="L1134" i="6"/>
  <c r="L1133" i="6"/>
  <c r="L1132" i="6"/>
  <c r="L1131" i="6"/>
  <c r="L1130" i="6"/>
  <c r="L1129" i="6"/>
  <c r="L1128" i="6"/>
  <c r="L1127" i="6"/>
  <c r="L1126" i="6"/>
  <c r="L1125" i="6"/>
  <c r="L1124" i="6"/>
  <c r="L1123" i="6"/>
  <c r="L1122" i="6"/>
  <c r="L1121" i="6"/>
  <c r="L1120" i="6"/>
  <c r="L1119" i="6"/>
  <c r="L1118" i="6"/>
  <c r="L1117" i="6"/>
  <c r="L1116" i="6"/>
  <c r="L1115" i="6"/>
  <c r="L1114" i="6"/>
  <c r="L1113" i="6"/>
  <c r="L1112" i="6"/>
  <c r="L1111" i="6"/>
  <c r="L1110" i="6"/>
  <c r="L1109" i="6"/>
  <c r="L1108" i="6"/>
  <c r="L1107" i="6"/>
  <c r="L1106" i="6"/>
  <c r="L1105" i="6"/>
  <c r="L1104" i="6"/>
  <c r="L1103" i="6"/>
  <c r="L1102" i="6"/>
  <c r="L1101" i="6"/>
  <c r="L1100" i="6"/>
  <c r="L1099" i="6"/>
  <c r="L1098" i="6"/>
  <c r="L1097" i="6"/>
  <c r="L1096" i="6"/>
  <c r="L1095" i="6"/>
  <c r="L1094" i="6"/>
  <c r="L1093" i="6"/>
  <c r="L1092" i="6"/>
  <c r="L1091" i="6"/>
  <c r="L1090" i="6"/>
  <c r="L1089" i="6"/>
  <c r="L1088" i="6"/>
  <c r="L1087" i="6"/>
  <c r="L1086" i="6"/>
  <c r="L1085" i="6"/>
  <c r="L1084" i="6"/>
  <c r="L1083" i="6"/>
  <c r="L1082" i="6"/>
  <c r="L1081" i="6"/>
  <c r="L1080" i="6"/>
  <c r="L1079" i="6"/>
  <c r="L1078" i="6"/>
  <c r="L1077" i="6"/>
  <c r="L1076" i="6"/>
  <c r="L1075" i="6"/>
  <c r="L1074" i="6"/>
  <c r="L1073" i="6"/>
  <c r="L1072" i="6"/>
  <c r="L1071" i="6"/>
  <c r="L1070" i="6"/>
  <c r="L1069" i="6"/>
  <c r="L1068" i="6"/>
  <c r="L1067" i="6"/>
  <c r="L1066" i="6"/>
  <c r="L1065" i="6"/>
  <c r="L1064" i="6"/>
  <c r="L1063" i="6"/>
  <c r="L1062" i="6"/>
  <c r="L1061" i="6"/>
  <c r="L1060" i="6"/>
  <c r="L1059" i="6"/>
  <c r="L1058" i="6"/>
  <c r="L1057" i="6"/>
  <c r="L1056" i="6"/>
  <c r="L1055" i="6"/>
  <c r="L1054" i="6"/>
  <c r="L1053" i="6"/>
  <c r="L1052" i="6"/>
  <c r="L1051" i="6"/>
  <c r="L1050" i="6"/>
  <c r="L1049" i="6"/>
  <c r="L1048" i="6"/>
  <c r="L1047" i="6"/>
  <c r="L1046" i="6"/>
  <c r="L1045" i="6"/>
  <c r="L1044" i="6"/>
  <c r="L1043" i="6"/>
  <c r="L1042" i="6"/>
  <c r="L1041" i="6"/>
  <c r="L1040" i="6"/>
  <c r="L1039" i="6"/>
  <c r="L1038" i="6"/>
  <c r="L1037" i="6"/>
  <c r="L1036" i="6"/>
  <c r="L1035" i="6"/>
  <c r="L1034" i="6"/>
  <c r="L1033" i="6"/>
  <c r="L1032" i="6"/>
  <c r="L1031" i="6"/>
  <c r="L1030" i="6"/>
  <c r="L1029" i="6"/>
  <c r="L1028" i="6"/>
  <c r="L1027" i="6"/>
  <c r="L1026" i="6"/>
  <c r="L1025" i="6"/>
  <c r="L1024" i="6"/>
  <c r="L1023" i="6"/>
  <c r="L1022" i="6"/>
  <c r="L1021" i="6"/>
  <c r="L1020" i="6"/>
  <c r="L1019" i="6"/>
  <c r="L1018" i="6"/>
  <c r="L1017" i="6"/>
  <c r="L1016" i="6"/>
  <c r="L1015" i="6"/>
  <c r="L1014" i="6"/>
  <c r="L1013" i="6"/>
  <c r="L1012" i="6"/>
  <c r="L1011" i="6"/>
  <c r="L1010" i="6"/>
  <c r="L1009" i="6"/>
  <c r="L1008" i="6"/>
  <c r="L1007" i="6"/>
  <c r="L1006" i="6"/>
  <c r="L1005" i="6"/>
  <c r="L1004" i="6"/>
  <c r="L1003" i="6"/>
  <c r="L1002" i="6"/>
  <c r="L1001" i="6"/>
  <c r="L1000" i="6"/>
  <c r="L999" i="6"/>
  <c r="L998" i="6"/>
  <c r="L997" i="6"/>
  <c r="L996" i="6"/>
  <c r="L995" i="6"/>
  <c r="L994" i="6"/>
  <c r="L993" i="6"/>
  <c r="L992" i="6"/>
  <c r="L991" i="6"/>
  <c r="L990" i="6"/>
  <c r="L989" i="6"/>
  <c r="L988" i="6"/>
  <c r="L987" i="6"/>
  <c r="L986" i="6"/>
  <c r="L985" i="6"/>
  <c r="L984" i="6"/>
  <c r="L983" i="6"/>
  <c r="L982" i="6"/>
  <c r="L981" i="6"/>
  <c r="L980" i="6"/>
  <c r="L979" i="6"/>
  <c r="L978" i="6"/>
  <c r="L977" i="6"/>
  <c r="L976" i="6"/>
  <c r="L975" i="6"/>
  <c r="L974" i="6"/>
  <c r="L973" i="6"/>
  <c r="L972" i="6"/>
  <c r="L971" i="6"/>
  <c r="L970" i="6"/>
  <c r="L969" i="6"/>
  <c r="L968" i="6"/>
  <c r="L967" i="6"/>
  <c r="L966" i="6"/>
  <c r="L965" i="6"/>
  <c r="L964" i="6"/>
  <c r="L963" i="6"/>
  <c r="L962" i="6"/>
  <c r="L961" i="6"/>
  <c r="L960" i="6"/>
  <c r="L959" i="6"/>
  <c r="L958" i="6"/>
  <c r="L957" i="6"/>
  <c r="L956" i="6"/>
  <c r="L955" i="6"/>
  <c r="L954" i="6"/>
  <c r="L953" i="6"/>
  <c r="L952" i="6"/>
  <c r="L951" i="6"/>
  <c r="L950" i="6"/>
  <c r="L949" i="6"/>
  <c r="L948" i="6"/>
  <c r="L947" i="6"/>
  <c r="L946" i="6"/>
  <c r="L945" i="6"/>
  <c r="L944" i="6"/>
  <c r="L943" i="6"/>
  <c r="L942" i="6"/>
  <c r="L941" i="6"/>
  <c r="L940" i="6"/>
  <c r="L939" i="6"/>
  <c r="L938" i="6"/>
  <c r="L937" i="6"/>
  <c r="L936" i="6"/>
  <c r="L935" i="6"/>
  <c r="L934" i="6"/>
  <c r="L933" i="6"/>
  <c r="L932" i="6"/>
  <c r="L931" i="6"/>
  <c r="L930" i="6"/>
  <c r="L929" i="6"/>
  <c r="L928" i="6"/>
  <c r="L927" i="6"/>
  <c r="L926" i="6"/>
  <c r="L925" i="6"/>
  <c r="L924" i="6"/>
  <c r="L923" i="6"/>
  <c r="L922" i="6"/>
  <c r="L921" i="6"/>
  <c r="L920" i="6"/>
  <c r="L919" i="6"/>
  <c r="L918" i="6"/>
  <c r="L917" i="6"/>
  <c r="L916" i="6"/>
  <c r="L915" i="6"/>
  <c r="L914" i="6"/>
  <c r="L913" i="6"/>
  <c r="L912" i="6"/>
  <c r="L911" i="6"/>
  <c r="L910" i="6"/>
  <c r="L909" i="6"/>
  <c r="L908" i="6"/>
  <c r="L907" i="6"/>
  <c r="L906" i="6"/>
  <c r="L905" i="6"/>
  <c r="L904" i="6"/>
  <c r="L903" i="6"/>
  <c r="L902" i="6"/>
  <c r="L901" i="6"/>
  <c r="L900" i="6"/>
  <c r="L899" i="6"/>
  <c r="L898" i="6"/>
  <c r="L897" i="6"/>
  <c r="L896" i="6"/>
  <c r="L895" i="6"/>
  <c r="L894" i="6"/>
  <c r="L893" i="6"/>
  <c r="L892" i="6"/>
  <c r="L891" i="6"/>
  <c r="L890" i="6"/>
  <c r="L889" i="6"/>
  <c r="L888" i="6"/>
  <c r="L887" i="6"/>
  <c r="L886" i="6"/>
  <c r="L885" i="6"/>
  <c r="L884" i="6"/>
  <c r="L883" i="6"/>
  <c r="L882" i="6"/>
  <c r="L881" i="6"/>
  <c r="L880" i="6"/>
  <c r="L879" i="6"/>
  <c r="L878" i="6"/>
  <c r="L877" i="6"/>
  <c r="L876" i="6"/>
  <c r="L875" i="6"/>
  <c r="L874" i="6"/>
  <c r="L873" i="6"/>
  <c r="L872" i="6"/>
  <c r="L871" i="6"/>
  <c r="L870" i="6"/>
  <c r="L869" i="6"/>
  <c r="L868" i="6"/>
  <c r="L867" i="6"/>
  <c r="L866" i="6"/>
  <c r="L865" i="6"/>
  <c r="L864" i="6"/>
  <c r="L863" i="6"/>
  <c r="L862" i="6"/>
  <c r="L861" i="6"/>
  <c r="L860" i="6"/>
  <c r="L859" i="6"/>
  <c r="L858" i="6"/>
  <c r="L857" i="6"/>
  <c r="L856" i="6"/>
  <c r="L855" i="6"/>
  <c r="L854" i="6"/>
  <c r="L853" i="6"/>
  <c r="L852" i="6"/>
  <c r="L851" i="6"/>
  <c r="L850" i="6"/>
  <c r="L849" i="6"/>
  <c r="L848" i="6"/>
  <c r="L847" i="6"/>
  <c r="L846" i="6"/>
  <c r="L845" i="6"/>
  <c r="L844" i="6"/>
  <c r="L843" i="6"/>
  <c r="L842" i="6"/>
  <c r="L841" i="6"/>
  <c r="L840" i="6"/>
  <c r="L839" i="6"/>
  <c r="L838" i="6"/>
  <c r="L837" i="6"/>
  <c r="L836" i="6"/>
  <c r="L835" i="6"/>
  <c r="L834" i="6"/>
  <c r="L833" i="6"/>
  <c r="L832" i="6"/>
  <c r="L831" i="6"/>
  <c r="L830" i="6"/>
  <c r="L829" i="6"/>
  <c r="L828" i="6"/>
  <c r="L827" i="6"/>
  <c r="L826" i="6"/>
  <c r="L825" i="6"/>
  <c r="L824" i="6"/>
  <c r="L823" i="6"/>
  <c r="L822" i="6"/>
  <c r="L821" i="6"/>
  <c r="L820" i="6"/>
  <c r="L819" i="6"/>
  <c r="L818" i="6"/>
  <c r="L817" i="6"/>
  <c r="L816" i="6"/>
  <c r="L815" i="6"/>
  <c r="L814" i="6"/>
  <c r="L813" i="6"/>
  <c r="L812" i="6"/>
  <c r="L811" i="6"/>
  <c r="L810" i="6"/>
  <c r="L809" i="6"/>
  <c r="L808" i="6"/>
  <c r="L807" i="6"/>
  <c r="L806" i="6"/>
  <c r="L805" i="6"/>
  <c r="L804" i="6"/>
  <c r="L803" i="6"/>
  <c r="L802" i="6"/>
  <c r="L801" i="6"/>
  <c r="L800" i="6"/>
  <c r="L799" i="6"/>
  <c r="L798" i="6"/>
  <c r="L797" i="6"/>
  <c r="L796" i="6"/>
  <c r="L795" i="6"/>
  <c r="L794" i="6"/>
  <c r="L793" i="6"/>
  <c r="L792" i="6"/>
  <c r="L791" i="6"/>
  <c r="L790" i="6"/>
  <c r="L789" i="6"/>
  <c r="L788" i="6"/>
  <c r="L787" i="6"/>
  <c r="L786" i="6"/>
  <c r="L785" i="6"/>
  <c r="L784" i="6"/>
  <c r="L783" i="6"/>
  <c r="L782" i="6"/>
  <c r="L781" i="6"/>
  <c r="L780" i="6"/>
  <c r="L779" i="6"/>
  <c r="L778" i="6"/>
  <c r="L777" i="6"/>
  <c r="L776" i="6"/>
  <c r="L775" i="6"/>
  <c r="L774" i="6"/>
  <c r="L773" i="6"/>
  <c r="L772" i="6"/>
  <c r="L771" i="6"/>
  <c r="L770" i="6"/>
  <c r="L769" i="6"/>
  <c r="L768" i="6"/>
  <c r="L767" i="6"/>
  <c r="L766" i="6"/>
  <c r="L765" i="6"/>
  <c r="L764" i="6"/>
  <c r="L763" i="6"/>
  <c r="L762" i="6"/>
  <c r="L761" i="6"/>
  <c r="L760" i="6"/>
  <c r="L759" i="6"/>
  <c r="L758" i="6"/>
  <c r="L757" i="6"/>
  <c r="L756" i="6"/>
  <c r="L755" i="6"/>
  <c r="L754" i="6"/>
  <c r="L753" i="6"/>
  <c r="L752" i="6"/>
  <c r="L751" i="6"/>
  <c r="L750" i="6"/>
  <c r="L749" i="6"/>
  <c r="L748" i="6"/>
  <c r="L747" i="6"/>
  <c r="L746" i="6"/>
  <c r="L745" i="6"/>
  <c r="L744" i="6"/>
  <c r="L743" i="6"/>
  <c r="L742" i="6"/>
  <c r="L741" i="6"/>
  <c r="L740" i="6"/>
  <c r="L739" i="6"/>
  <c r="L738" i="6"/>
  <c r="L737" i="6"/>
  <c r="L736" i="6"/>
  <c r="L735" i="6"/>
  <c r="L734" i="6"/>
  <c r="L733" i="6"/>
  <c r="L732" i="6"/>
  <c r="L731" i="6"/>
  <c r="L730" i="6"/>
  <c r="L729" i="6"/>
  <c r="L728" i="6"/>
  <c r="L727" i="6"/>
  <c r="L726" i="6"/>
  <c r="L725" i="6"/>
  <c r="L724" i="6"/>
  <c r="L723" i="6"/>
  <c r="L722" i="6"/>
  <c r="L721" i="6"/>
  <c r="L720" i="6"/>
  <c r="L719" i="6"/>
  <c r="L718" i="6"/>
  <c r="L717" i="6"/>
  <c r="L716" i="6"/>
  <c r="L715" i="6"/>
  <c r="L714" i="6"/>
  <c r="L713" i="6"/>
  <c r="L712" i="6"/>
  <c r="L711" i="6"/>
  <c r="L710" i="6"/>
  <c r="L709" i="6"/>
  <c r="L708" i="6"/>
  <c r="L707" i="6"/>
  <c r="L706" i="6"/>
  <c r="L705" i="6"/>
  <c r="L704" i="6"/>
  <c r="L703" i="6"/>
  <c r="L702" i="6"/>
  <c r="L701" i="6"/>
  <c r="L700" i="6"/>
  <c r="L699" i="6"/>
  <c r="L698" i="6"/>
  <c r="L697" i="6"/>
  <c r="L696" i="6"/>
  <c r="L695" i="6"/>
  <c r="L694" i="6"/>
  <c r="L693" i="6"/>
  <c r="L692" i="6"/>
  <c r="L691" i="6"/>
  <c r="L690" i="6"/>
  <c r="L689" i="6"/>
  <c r="L688" i="6"/>
  <c r="L687" i="6"/>
  <c r="L686" i="6"/>
  <c r="L685" i="6"/>
  <c r="L684" i="6"/>
  <c r="L683" i="6"/>
  <c r="L682" i="6"/>
  <c r="L681" i="6"/>
  <c r="L680" i="6"/>
  <c r="L679" i="6"/>
  <c r="L678" i="6"/>
  <c r="L677" i="6"/>
  <c r="L676" i="6"/>
  <c r="L675" i="6"/>
  <c r="L674" i="6"/>
  <c r="L673" i="6"/>
  <c r="L672" i="6"/>
  <c r="L671" i="6"/>
  <c r="L670" i="6"/>
  <c r="L669" i="6"/>
  <c r="L668" i="6"/>
  <c r="L667" i="6"/>
  <c r="L666" i="6"/>
  <c r="L665" i="6"/>
  <c r="L664" i="6"/>
  <c r="L663" i="6"/>
  <c r="L662" i="6"/>
  <c r="L661" i="6"/>
  <c r="L660" i="6"/>
  <c r="L659" i="6"/>
  <c r="L658" i="6"/>
  <c r="L657" i="6"/>
  <c r="L656" i="6"/>
  <c r="L655" i="6"/>
  <c r="L654" i="6"/>
  <c r="L653" i="6"/>
  <c r="L652" i="6"/>
  <c r="L651" i="6"/>
  <c r="L650" i="6"/>
  <c r="L649" i="6"/>
  <c r="L648" i="6"/>
  <c r="L647" i="6"/>
  <c r="L646" i="6"/>
  <c r="L645" i="6"/>
  <c r="L644" i="6"/>
  <c r="L643" i="6"/>
  <c r="L642" i="6"/>
  <c r="L641" i="6"/>
  <c r="L640" i="6"/>
  <c r="L639" i="6"/>
  <c r="L638" i="6"/>
  <c r="L637" i="6"/>
  <c r="L636" i="6"/>
  <c r="L635" i="6"/>
  <c r="L634" i="6"/>
  <c r="L633" i="6"/>
  <c r="L632" i="6"/>
  <c r="L631" i="6"/>
  <c r="L630" i="6"/>
  <c r="L629" i="6"/>
  <c r="L628" i="6"/>
  <c r="L627" i="6"/>
  <c r="L626" i="6"/>
  <c r="L625" i="6"/>
  <c r="L624" i="6"/>
  <c r="L623" i="6"/>
  <c r="L622" i="6"/>
  <c r="L621" i="6"/>
  <c r="L620" i="6"/>
  <c r="L619" i="6"/>
  <c r="L618" i="6"/>
  <c r="L617" i="6"/>
  <c r="L616" i="6"/>
  <c r="L615" i="6"/>
  <c r="L614" i="6"/>
  <c r="L613" i="6"/>
  <c r="L612" i="6"/>
  <c r="L611" i="6"/>
  <c r="L610" i="6"/>
  <c r="L609" i="6"/>
  <c r="L608" i="6"/>
  <c r="L607" i="6"/>
  <c r="L606" i="6"/>
  <c r="L605" i="6"/>
  <c r="L604" i="6"/>
  <c r="L603" i="6"/>
  <c r="L602" i="6"/>
  <c r="L601" i="6"/>
  <c r="L600" i="6"/>
  <c r="L599" i="6"/>
  <c r="L598" i="6"/>
  <c r="L597" i="6"/>
  <c r="L596" i="6"/>
  <c r="L595" i="6"/>
  <c r="L594" i="6"/>
  <c r="L593" i="6"/>
  <c r="L592" i="6"/>
  <c r="L591" i="6"/>
  <c r="L590" i="6"/>
  <c r="L589" i="6"/>
  <c r="L588" i="6"/>
  <c r="L587" i="6"/>
  <c r="L586" i="6"/>
  <c r="L585" i="6"/>
  <c r="L584" i="6"/>
  <c r="L583" i="6"/>
  <c r="L582" i="6"/>
  <c r="L581" i="6"/>
  <c r="L580" i="6"/>
  <c r="L579" i="6"/>
  <c r="L578" i="6"/>
  <c r="L577" i="6"/>
  <c r="L576" i="6"/>
  <c r="L575" i="6"/>
  <c r="L574" i="6"/>
  <c r="L573" i="6"/>
  <c r="L572" i="6"/>
  <c r="L571" i="6"/>
  <c r="L570" i="6"/>
  <c r="L569" i="6"/>
  <c r="L568" i="6"/>
  <c r="L567" i="6"/>
  <c r="L566" i="6"/>
  <c r="L565" i="6"/>
  <c r="L564" i="6"/>
  <c r="L563" i="6"/>
  <c r="L562" i="6"/>
  <c r="L561" i="6"/>
  <c r="L560" i="6"/>
  <c r="L559" i="6"/>
  <c r="L558" i="6"/>
  <c r="L557" i="6"/>
  <c r="L556" i="6"/>
  <c r="L555" i="6"/>
  <c r="L554" i="6"/>
  <c r="L553" i="6"/>
  <c r="L552" i="6"/>
  <c r="L551" i="6"/>
  <c r="L550" i="6"/>
  <c r="L549" i="6"/>
  <c r="L548" i="6"/>
  <c r="L547" i="6"/>
  <c r="L546" i="6"/>
  <c r="L545" i="6"/>
  <c r="L544" i="6"/>
  <c r="L543" i="6"/>
  <c r="L542" i="6"/>
  <c r="L541" i="6"/>
  <c r="L540" i="6"/>
  <c r="L539" i="6"/>
  <c r="L538" i="6"/>
  <c r="L537" i="6"/>
  <c r="L536" i="6"/>
  <c r="L535" i="6"/>
  <c r="L534" i="6"/>
  <c r="L533" i="6"/>
  <c r="L532" i="6"/>
  <c r="L531" i="6"/>
  <c r="L530" i="6"/>
  <c r="L529" i="6"/>
  <c r="L528" i="6"/>
  <c r="L527" i="6"/>
  <c r="L526" i="6"/>
  <c r="L525" i="6"/>
  <c r="L524" i="6"/>
  <c r="L523" i="6"/>
  <c r="L522" i="6"/>
  <c r="L521" i="6"/>
  <c r="L520" i="6"/>
  <c r="L519" i="6"/>
  <c r="L518" i="6"/>
  <c r="L517" i="6"/>
  <c r="L516" i="6"/>
  <c r="L515" i="6"/>
  <c r="L514" i="6"/>
  <c r="L513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184" i="3" l="1"/>
  <c r="K533" i="3"/>
  <c r="K441" i="3"/>
  <c r="K440" i="3"/>
  <c r="K18" i="3"/>
  <c r="K355" i="3"/>
  <c r="K700" i="3"/>
  <c r="K699" i="3"/>
  <c r="K439" i="3"/>
  <c r="K438" i="3"/>
  <c r="K437" i="3"/>
  <c r="K436" i="3"/>
  <c r="K435" i="3"/>
  <c r="K434" i="3"/>
  <c r="K433" i="3"/>
  <c r="K432" i="3"/>
  <c r="K431" i="3"/>
  <c r="K430" i="3"/>
  <c r="K532" i="3"/>
  <c r="K531" i="3"/>
  <c r="K285" i="3"/>
  <c r="K318" i="3"/>
  <c r="K265" i="3"/>
  <c r="K429" i="3"/>
  <c r="K530" i="3"/>
  <c r="K428" i="3"/>
  <c r="K264" i="3"/>
  <c r="K354" i="3"/>
  <c r="K353" i="3"/>
  <c r="K352" i="3"/>
  <c r="K293" i="3"/>
  <c r="K317" i="3"/>
  <c r="K249" i="3"/>
  <c r="K427" i="3"/>
  <c r="K82" i="3"/>
  <c r="K289" i="3"/>
  <c r="K370" i="3"/>
  <c r="K529" i="3"/>
  <c r="K316" i="3"/>
  <c r="K232" i="3"/>
  <c r="K446" i="3"/>
  <c r="K445" i="3"/>
  <c r="K195" i="3"/>
  <c r="K173" i="3"/>
  <c r="K351" i="3"/>
  <c r="K283" i="3"/>
  <c r="K367" i="3"/>
  <c r="K372" i="3"/>
  <c r="K528" i="3"/>
  <c r="K52" i="3"/>
  <c r="K527" i="3"/>
  <c r="K526" i="3"/>
  <c r="K288" i="3"/>
  <c r="K250" i="3"/>
  <c r="K194" i="3"/>
  <c r="K193" i="3"/>
  <c r="K525" i="3"/>
  <c r="K565" i="3"/>
  <c r="K464" i="3"/>
  <c r="K132" i="3"/>
  <c r="K80" i="3"/>
  <c r="K524" i="3"/>
  <c r="K523" i="3"/>
  <c r="K426" i="3"/>
  <c r="K215" i="3"/>
  <c r="K425" i="3"/>
  <c r="K369" i="3"/>
  <c r="K444" i="3"/>
  <c r="K522" i="3"/>
  <c r="K540" i="3"/>
  <c r="K171" i="3"/>
  <c r="K468" i="3"/>
  <c r="K539" i="3"/>
  <c r="K148" i="3"/>
  <c r="K142" i="3"/>
  <c r="K181" i="3"/>
  <c r="K639" i="3"/>
  <c r="K350" i="3"/>
  <c r="K625" i="3"/>
  <c r="K199" i="3"/>
  <c r="K9" i="3"/>
  <c r="K28" i="3"/>
  <c r="K466" i="3"/>
  <c r="K212" i="3"/>
  <c r="K45" i="3"/>
  <c r="K39" i="3"/>
  <c r="K175" i="3"/>
  <c r="K255" i="3"/>
  <c r="K21" i="3"/>
  <c r="K91" i="3"/>
  <c r="K127" i="3"/>
  <c r="K26" i="3"/>
  <c r="K145" i="3"/>
  <c r="K71" i="3"/>
  <c r="K521" i="3"/>
  <c r="K424" i="3"/>
  <c r="K423" i="3"/>
  <c r="K4" i="3"/>
  <c r="K349" i="3"/>
  <c r="K348" i="3"/>
  <c r="K520" i="3"/>
  <c r="K519" i="3"/>
  <c r="K518" i="3"/>
  <c r="K315" i="3"/>
  <c r="K314" i="3"/>
  <c r="K422" i="3"/>
  <c r="K421" i="3"/>
  <c r="K517" i="3"/>
  <c r="K516" i="3"/>
  <c r="K420" i="3"/>
  <c r="K419" i="3"/>
  <c r="K90" i="3"/>
  <c r="K322" i="3"/>
  <c r="K70" i="3"/>
  <c r="K462" i="3"/>
  <c r="K418" i="3"/>
  <c r="K313" i="3"/>
  <c r="K347" i="3"/>
  <c r="K346" i="3"/>
  <c r="K515" i="3"/>
  <c r="K321" i="3"/>
  <c r="K133" i="3"/>
  <c r="K417" i="3"/>
  <c r="K345" i="3"/>
  <c r="K183" i="3"/>
  <c r="K514" i="3"/>
  <c r="K513" i="3"/>
  <c r="K512" i="3"/>
  <c r="K140" i="3"/>
  <c r="K319" i="3"/>
  <c r="K416" i="3"/>
  <c r="K227" i="3"/>
  <c r="K511" i="3"/>
  <c r="K214" i="3"/>
  <c r="K269" i="3"/>
  <c r="K295" i="3"/>
  <c r="K187" i="3"/>
  <c r="K282" i="3"/>
  <c r="K281" i="3"/>
  <c r="K305" i="3"/>
  <c r="K371" i="3"/>
  <c r="K459" i="3"/>
  <c r="K152" i="3"/>
  <c r="K76" i="3"/>
  <c r="K185" i="3"/>
  <c r="K165" i="3"/>
  <c r="K164" i="3"/>
  <c r="K271" i="3"/>
  <c r="K621" i="3"/>
  <c r="K220" i="3"/>
  <c r="K32" i="3"/>
  <c r="K125" i="3"/>
  <c r="K87" i="3"/>
  <c r="K166" i="3"/>
  <c r="K174" i="3"/>
  <c r="K320" i="3"/>
  <c r="K364" i="3"/>
  <c r="K287" i="3"/>
  <c r="K40" i="3"/>
  <c r="K57" i="3"/>
  <c r="K6" i="3"/>
  <c r="K242" i="3"/>
  <c r="K510" i="3"/>
  <c r="K7" i="3"/>
  <c r="K97" i="3"/>
  <c r="K30" i="3"/>
  <c r="K168" i="3"/>
  <c r="K169" i="3"/>
  <c r="K25" i="3"/>
  <c r="K198" i="3"/>
  <c r="K117" i="3"/>
  <c r="K75" i="3"/>
  <c r="K10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344" i="3"/>
  <c r="K312" i="3"/>
  <c r="K403" i="3"/>
  <c r="K509" i="3"/>
  <c r="K402" i="3"/>
  <c r="K401" i="3"/>
  <c r="K508" i="3"/>
  <c r="K507" i="3"/>
  <c r="K506" i="3"/>
  <c r="K400" i="3"/>
  <c r="K399" i="3"/>
  <c r="K263" i="3"/>
  <c r="K177" i="3"/>
  <c r="K343" i="3"/>
  <c r="K280" i="3"/>
  <c r="K505" i="3"/>
  <c r="K231" i="3"/>
  <c r="K230" i="3"/>
  <c r="K192" i="3"/>
  <c r="K191" i="3"/>
  <c r="K279" i="3"/>
  <c r="K14" i="3"/>
  <c r="K163" i="3"/>
  <c r="K162" i="3"/>
  <c r="K290" i="3"/>
  <c r="K48" i="3"/>
  <c r="K229" i="3"/>
  <c r="K357" i="3"/>
  <c r="K95" i="3"/>
  <c r="K303" i="3"/>
  <c r="K624" i="3"/>
  <c r="K104" i="3"/>
  <c r="K342" i="3"/>
  <c r="K341" i="3"/>
  <c r="K180" i="3"/>
  <c r="K311" i="3"/>
  <c r="K310" i="3"/>
  <c r="K564" i="3"/>
  <c r="K225" i="3"/>
  <c r="K226" i="3"/>
  <c r="K398" i="3"/>
  <c r="K284" i="3"/>
  <c r="K89" i="3"/>
  <c r="K270" i="3"/>
  <c r="K197" i="3"/>
  <c r="K294" i="3"/>
  <c r="K182" i="3"/>
  <c r="K218" i="3"/>
  <c r="K8" i="3"/>
  <c r="K157" i="3"/>
  <c r="K465" i="3"/>
  <c r="K135" i="3"/>
  <c r="K207" i="3"/>
  <c r="K64" i="3"/>
  <c r="K126" i="3"/>
  <c r="K20" i="3"/>
  <c r="K46" i="3"/>
  <c r="K66" i="3"/>
  <c r="K110" i="3"/>
  <c r="K504" i="3"/>
  <c r="K397" i="3"/>
  <c r="K340" i="3"/>
  <c r="K339" i="3"/>
  <c r="K338" i="3"/>
  <c r="K86" i="3"/>
  <c r="K503" i="3"/>
  <c r="K502" i="3"/>
  <c r="K278" i="3"/>
  <c r="K501" i="3"/>
  <c r="K268" i="3"/>
  <c r="K396" i="3"/>
  <c r="K500" i="3"/>
  <c r="K256" i="3"/>
  <c r="K395" i="3"/>
  <c r="K337" i="3"/>
  <c r="K336" i="3"/>
  <c r="K499" i="3"/>
  <c r="K394" i="3"/>
  <c r="K262" i="3"/>
  <c r="K15" i="3"/>
  <c r="K538" i="3"/>
  <c r="K190" i="3"/>
  <c r="K189" i="3"/>
  <c r="K188" i="3"/>
  <c r="K277" i="3"/>
  <c r="K239" i="3"/>
  <c r="K128" i="3"/>
  <c r="K276" i="3"/>
  <c r="K275" i="3"/>
  <c r="K228" i="3"/>
  <c r="K224" i="3"/>
  <c r="K498" i="3"/>
  <c r="K537" i="3"/>
  <c r="K103" i="3"/>
  <c r="K393" i="3"/>
  <c r="K186" i="3"/>
  <c r="K274" i="3"/>
  <c r="K139" i="3"/>
  <c r="K302" i="3"/>
  <c r="K261" i="3"/>
  <c r="K159" i="3"/>
  <c r="K335" i="3"/>
  <c r="K458" i="3"/>
  <c r="K536" i="3"/>
  <c r="K535" i="3"/>
  <c r="K461" i="3"/>
  <c r="K392" i="3"/>
  <c r="K23" i="3"/>
  <c r="K273" i="3"/>
  <c r="K334" i="3"/>
  <c r="K391" i="3"/>
  <c r="K178" i="3"/>
  <c r="K443" i="3"/>
  <c r="K31" i="3"/>
  <c r="K333" i="3"/>
  <c r="K332" i="3"/>
  <c r="K331" i="3"/>
  <c r="K556" i="3"/>
  <c r="K47" i="3"/>
  <c r="K309" i="3"/>
  <c r="K308" i="3"/>
  <c r="K306" i="3"/>
  <c r="K259" i="3"/>
  <c r="K623" i="3"/>
  <c r="K356" i="3"/>
  <c r="K243" i="3"/>
  <c r="K138" i="3"/>
  <c r="K203" i="3"/>
  <c r="K37" i="3"/>
  <c r="K22" i="3"/>
  <c r="K79" i="3"/>
  <c r="K92" i="3"/>
  <c r="K156" i="3"/>
  <c r="K718" i="3"/>
  <c r="K698" i="3"/>
  <c r="K697" i="3"/>
  <c r="K696" i="3"/>
  <c r="K706" i="3"/>
  <c r="K637" i="3"/>
  <c r="K656" i="3"/>
  <c r="K655" i="3"/>
  <c r="K217" i="3"/>
  <c r="K695" i="3"/>
  <c r="K368" i="3"/>
  <c r="K694" i="3"/>
  <c r="K654" i="3"/>
  <c r="K693" i="3"/>
  <c r="K707" i="3"/>
  <c r="K645" i="3"/>
  <c r="K636" i="3"/>
  <c r="K635" i="3"/>
  <c r="K628" i="3"/>
  <c r="K575" i="3"/>
  <c r="K590" i="3"/>
  <c r="K641" i="3"/>
  <c r="K589" i="3"/>
  <c r="K647" i="3"/>
  <c r="K562" i="3"/>
  <c r="K561" i="3"/>
  <c r="K497" i="3"/>
  <c r="K155" i="3"/>
  <c r="K463" i="3"/>
  <c r="K567" i="3"/>
  <c r="K93" i="3"/>
  <c r="K10" i="3"/>
  <c r="K252" i="3"/>
  <c r="K73" i="3"/>
  <c r="K245" i="3"/>
  <c r="K158" i="3"/>
  <c r="K219" i="3"/>
  <c r="K61" i="3"/>
  <c r="K496" i="3"/>
  <c r="K495" i="3"/>
  <c r="K35" i="3"/>
  <c r="K36" i="3"/>
  <c r="K38" i="3"/>
  <c r="K204" i="3"/>
  <c r="K361" i="3"/>
  <c r="K130" i="3"/>
  <c r="K240" i="3"/>
  <c r="K213" i="3"/>
  <c r="K88" i="3"/>
  <c r="K74" i="3"/>
  <c r="K77" i="3"/>
  <c r="K692" i="3"/>
  <c r="K691" i="3"/>
  <c r="K667" i="3"/>
  <c r="K690" i="3"/>
  <c r="K689" i="3"/>
  <c r="K666" i="3"/>
  <c r="K665" i="3"/>
  <c r="K710" i="3"/>
  <c r="K688" i="3"/>
  <c r="K687" i="3"/>
  <c r="K469" i="3"/>
  <c r="K172" i="3"/>
  <c r="K651" i="3"/>
  <c r="K634" i="3"/>
  <c r="K716" i="3"/>
  <c r="K301" i="3"/>
  <c r="K114" i="3"/>
  <c r="K286" i="3"/>
  <c r="K233" i="3"/>
  <c r="K619" i="3"/>
  <c r="K292" i="3"/>
  <c r="K618" i="3"/>
  <c r="K617" i="3"/>
  <c r="K633" i="3"/>
  <c r="K632" i="3"/>
  <c r="K631" i="3"/>
  <c r="K616" i="3"/>
  <c r="K557" i="3"/>
  <c r="K453" i="3"/>
  <c r="K573" i="3"/>
  <c r="K553" i="3"/>
  <c r="K572" i="3"/>
  <c r="K578" i="3"/>
  <c r="K551" i="3"/>
  <c r="K330" i="3"/>
  <c r="K595" i="3"/>
  <c r="K615" i="3"/>
  <c r="K550" i="3"/>
  <c r="K147" i="3"/>
  <c r="K588" i="3"/>
  <c r="K614" i="3"/>
  <c r="K715" i="3"/>
  <c r="K19" i="3"/>
  <c r="K613" i="3"/>
  <c r="K296" i="3"/>
  <c r="K59" i="3"/>
  <c r="K167" i="3"/>
  <c r="K457" i="3"/>
  <c r="K60" i="3"/>
  <c r="K222" i="3"/>
  <c r="K549" i="3"/>
  <c r="K241" i="3"/>
  <c r="K24" i="3"/>
  <c r="K612" i="3"/>
  <c r="K452" i="3"/>
  <c r="K582" i="3"/>
  <c r="K234" i="3"/>
  <c r="K83" i="3"/>
  <c r="K119" i="3"/>
  <c r="K27" i="3"/>
  <c r="K246" i="3"/>
  <c r="K221" i="3"/>
  <c r="K120" i="3"/>
  <c r="K247" i="3"/>
  <c r="K664" i="3"/>
  <c r="K705" i="3"/>
  <c r="K686" i="3"/>
  <c r="K685" i="3"/>
  <c r="K684" i="3"/>
  <c r="K709" i="3"/>
  <c r="K663" i="3"/>
  <c r="K630" i="3"/>
  <c r="K99" i="3"/>
  <c r="K683" i="3"/>
  <c r="K5" i="3"/>
  <c r="K329" i="3"/>
  <c r="K43" i="3"/>
  <c r="K555" i="3"/>
  <c r="K552" i="3"/>
  <c r="K653" i="3"/>
  <c r="K644" i="3"/>
  <c r="K682" i="3"/>
  <c r="K577" i="3"/>
  <c r="K652" i="3"/>
  <c r="K681" i="3"/>
  <c r="K69" i="3"/>
  <c r="K620" i="3"/>
  <c r="K300" i="3"/>
  <c r="K587" i="3"/>
  <c r="K611" i="3"/>
  <c r="K643" i="3"/>
  <c r="K571" i="3"/>
  <c r="K570" i="3"/>
  <c r="K714" i="3"/>
  <c r="K390" i="3"/>
  <c r="K541" i="3"/>
  <c r="K123" i="3"/>
  <c r="K559" i="3"/>
  <c r="K360" i="3"/>
  <c r="K451" i="3"/>
  <c r="K210" i="3"/>
  <c r="K610" i="3"/>
  <c r="K594" i="3"/>
  <c r="K202" i="3"/>
  <c r="K548" i="3"/>
  <c r="K547" i="3"/>
  <c r="K593" i="3"/>
  <c r="K546" i="3"/>
  <c r="K586" i="3"/>
  <c r="K609" i="3"/>
  <c r="K96" i="3"/>
  <c r="K566" i="3"/>
  <c r="K622" i="3"/>
  <c r="K85" i="3"/>
  <c r="K389" i="3"/>
  <c r="K450" i="3"/>
  <c r="K248" i="3"/>
  <c r="K297" i="3"/>
  <c r="K591" i="3"/>
  <c r="K111" i="3"/>
  <c r="K581" i="3"/>
  <c r="K56" i="3"/>
  <c r="K456" i="3"/>
  <c r="K638" i="3"/>
  <c r="K136" i="3"/>
  <c r="K118" i="3"/>
  <c r="K206" i="3"/>
  <c r="K53" i="3"/>
  <c r="K116" i="3"/>
  <c r="K151" i="3"/>
  <c r="K49" i="3"/>
  <c r="K143" i="3"/>
  <c r="K244" i="3"/>
  <c r="K62" i="3"/>
  <c r="K717" i="3"/>
  <c r="K662" i="3"/>
  <c r="K608" i="3"/>
  <c r="K661" i="3"/>
  <c r="K704" i="3"/>
  <c r="K680" i="3"/>
  <c r="K679" i="3"/>
  <c r="K708" i="3"/>
  <c r="K660" i="3"/>
  <c r="K678" i="3"/>
  <c r="K677" i="3"/>
  <c r="K676" i="3"/>
  <c r="K675" i="3"/>
  <c r="K209" i="3"/>
  <c r="K674" i="3"/>
  <c r="K703" i="3"/>
  <c r="K629" i="3"/>
  <c r="K388" i="3"/>
  <c r="K387" i="3"/>
  <c r="K702" i="3"/>
  <c r="K494" i="3"/>
  <c r="K713" i="3"/>
  <c r="K102" i="3"/>
  <c r="K712" i="3"/>
  <c r="K642" i="3"/>
  <c r="K137" i="3"/>
  <c r="K493" i="3"/>
  <c r="K627" i="3"/>
  <c r="K640" i="3"/>
  <c r="K366" i="3"/>
  <c r="K492" i="3"/>
  <c r="K491" i="3"/>
  <c r="K490" i="3"/>
  <c r="K489" i="3"/>
  <c r="K488" i="3"/>
  <c r="K487" i="3"/>
  <c r="K486" i="3"/>
  <c r="K485" i="3"/>
  <c r="K442" i="3"/>
  <c r="K585" i="3"/>
  <c r="K607" i="3"/>
  <c r="K606" i="3"/>
  <c r="K605" i="3"/>
  <c r="K236" i="3"/>
  <c r="K362" i="3"/>
  <c r="K201" i="3"/>
  <c r="K42" i="3"/>
  <c r="K328" i="3"/>
  <c r="K327" i="3"/>
  <c r="K560" i="3"/>
  <c r="K112" i="3"/>
  <c r="K604" i="3"/>
  <c r="K365" i="3"/>
  <c r="K545" i="3"/>
  <c r="K447" i="3"/>
  <c r="K134" i="3"/>
  <c r="K603" i="3"/>
  <c r="K602" i="3"/>
  <c r="K455" i="3"/>
  <c r="K258" i="3"/>
  <c r="K374" i="3"/>
  <c r="K63" i="3"/>
  <c r="K363" i="3"/>
  <c r="K51" i="3"/>
  <c r="K580" i="3"/>
  <c r="K144" i="3"/>
  <c r="K44" i="3"/>
  <c r="K449" i="3"/>
  <c r="K558" i="3"/>
  <c r="K579" i="3"/>
  <c r="K3" i="3"/>
  <c r="K359" i="3"/>
  <c r="K237" i="3"/>
  <c r="K257" i="3"/>
  <c r="K107" i="3"/>
  <c r="K304" i="3"/>
  <c r="K101" i="3"/>
  <c r="K72" i="3"/>
  <c r="K115" i="3"/>
  <c r="K216" i="3"/>
  <c r="K122" i="3"/>
  <c r="K176" i="3"/>
  <c r="K150" i="3"/>
  <c r="K54" i="3"/>
  <c r="K484" i="3"/>
  <c r="K483" i="3"/>
  <c r="K482" i="3"/>
  <c r="K386" i="3"/>
  <c r="K41" i="3"/>
  <c r="K326" i="3"/>
  <c r="K481" i="3"/>
  <c r="K385" i="3"/>
  <c r="K384" i="3"/>
  <c r="K383" i="3"/>
  <c r="K382" i="3"/>
  <c r="K480" i="3"/>
  <c r="K479" i="3"/>
  <c r="K251" i="3"/>
  <c r="K460" i="3"/>
  <c r="K381" i="3"/>
  <c r="K478" i="3"/>
  <c r="K477" i="3"/>
  <c r="K307" i="3"/>
  <c r="K34" i="3"/>
  <c r="K94" i="3"/>
  <c r="K267" i="3"/>
  <c r="K476" i="3"/>
  <c r="K208" i="3"/>
  <c r="K380" i="3"/>
  <c r="K325" i="3"/>
  <c r="K161" i="3"/>
  <c r="K153" i="3"/>
  <c r="K373" i="3"/>
  <c r="K324" i="3"/>
  <c r="K323" i="3"/>
  <c r="K141" i="3"/>
  <c r="K475" i="3"/>
  <c r="K474" i="3"/>
  <c r="K179" i="3"/>
  <c r="K272" i="3"/>
  <c r="K534" i="3"/>
  <c r="K563" i="3"/>
  <c r="K58" i="3"/>
  <c r="K131" i="3"/>
  <c r="K196" i="3"/>
  <c r="K205" i="3"/>
  <c r="K626" i="3"/>
  <c r="K65" i="3"/>
  <c r="K235" i="3"/>
  <c r="K78" i="3"/>
  <c r="K260" i="3"/>
  <c r="K211" i="3"/>
  <c r="K291" i="3"/>
  <c r="K574" i="3"/>
  <c r="K129" i="3"/>
  <c r="K154" i="3"/>
  <c r="K121" i="3"/>
  <c r="K11" i="3"/>
  <c r="K108" i="3"/>
  <c r="K29" i="3"/>
  <c r="K100" i="3"/>
  <c r="K81" i="3"/>
  <c r="K659" i="3"/>
  <c r="K646" i="3"/>
  <c r="K673" i="3"/>
  <c r="K473" i="3"/>
  <c r="K658" i="3"/>
  <c r="K379" i="3"/>
  <c r="K657" i="3"/>
  <c r="K672" i="3"/>
  <c r="K671" i="3"/>
  <c r="K701" i="3"/>
  <c r="K472" i="3"/>
  <c r="K378" i="3"/>
  <c r="K377" i="3"/>
  <c r="K670" i="3"/>
  <c r="K669" i="3"/>
  <c r="K376" i="3"/>
  <c r="K12" i="3"/>
  <c r="K266" i="3"/>
  <c r="K650" i="3"/>
  <c r="K668" i="3"/>
  <c r="K554" i="3"/>
  <c r="K471" i="3"/>
  <c r="K55" i="3"/>
  <c r="K470" i="3"/>
  <c r="K68" i="3"/>
  <c r="K576" i="3"/>
  <c r="K124" i="3"/>
  <c r="K584" i="3"/>
  <c r="K601" i="3"/>
  <c r="K600" i="3"/>
  <c r="K599" i="3"/>
  <c r="K598" i="3"/>
  <c r="K569" i="3"/>
  <c r="K568" i="3"/>
  <c r="K358" i="3"/>
  <c r="K375" i="3"/>
  <c r="K649" i="3"/>
  <c r="K160" i="3"/>
  <c r="K711" i="3"/>
  <c r="K113" i="3"/>
  <c r="K467" i="3"/>
  <c r="K597" i="3"/>
  <c r="K200" i="3"/>
  <c r="K544" i="3"/>
  <c r="K543" i="3"/>
  <c r="K542" i="3"/>
  <c r="K596" i="3"/>
  <c r="K298" i="3"/>
  <c r="K592" i="3"/>
  <c r="K146" i="3"/>
  <c r="K84" i="3"/>
  <c r="K648" i="3"/>
  <c r="K583" i="3"/>
  <c r="K454" i="3"/>
  <c r="K299" i="3"/>
  <c r="K448" i="3"/>
  <c r="K253" i="3"/>
  <c r="K170" i="3"/>
  <c r="K13" i="3"/>
  <c r="K223" i="3"/>
  <c r="K105" i="3"/>
  <c r="K149" i="3"/>
  <c r="K109" i="3"/>
  <c r="K33" i="3"/>
  <c r="K98" i="3"/>
  <c r="K50" i="3"/>
  <c r="K254" i="3"/>
  <c r="K238" i="3"/>
  <c r="N8" i="4"/>
  <c r="N7" i="4"/>
  <c r="N6" i="4"/>
  <c r="N4" i="4"/>
  <c r="N5" i="4"/>
  <c r="N3" i="4"/>
  <c r="O5" i="4" l="1"/>
  <c r="O3" i="4"/>
  <c r="O4" i="4"/>
  <c r="O6" i="4"/>
  <c r="O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<sst xmlns="http://schemas.openxmlformats.org/spreadsheetml/2006/main" count="49824" uniqueCount="15358">
  <si>
    <t>Canal</t>
  </si>
  <si>
    <t>O.S.</t>
  </si>
  <si>
    <t>Tipo</t>
  </si>
  <si>
    <t>Empresa</t>
  </si>
  <si>
    <t>Iplacas</t>
  </si>
  <si>
    <t xml:space="preserve">37904 / 46007 </t>
  </si>
  <si>
    <t>GR2 TRANSPORTES</t>
  </si>
  <si>
    <t>GRACIOSA COUNTRY CLUB</t>
  </si>
  <si>
    <t>GRADUAL COMERCIO REPRESENTACOES E IMPORTACAO LTDA.</t>
  </si>
  <si>
    <t>GLOBO BRASIL - INDUSTRIA DE PAINEIS SOLARES LTDA</t>
  </si>
  <si>
    <t>20.686.683 THARLYS EDUARDO SAO PEDRO</t>
  </si>
  <si>
    <t>37.607.324 BRIAN VICTOR ANDRE</t>
  </si>
  <si>
    <t>26.885.880 JULIANA FURLANETTI BALDISSERA</t>
  </si>
  <si>
    <t>40MPA ENGENHARIA</t>
  </si>
  <si>
    <t>35.274.866 SEBASTIAO VIEIRA FILHO</t>
  </si>
  <si>
    <t>48.969.485 JOSE PAULO DE CARVALHO</t>
  </si>
  <si>
    <t>GRAND GARDEN</t>
  </si>
  <si>
    <t>55.274.653 LAIS CRISTINA ALVES</t>
  </si>
  <si>
    <t>GRAPHIMAR IMPRESSOS</t>
  </si>
  <si>
    <t>60.072.681 MARIA EDUARDA GHISI RODRIGUES</t>
  </si>
  <si>
    <t>Graziela Foregato Cavalcante Luciano</t>
  </si>
  <si>
    <t>65.733.955 ANA JULIA MINUSSI SENE</t>
  </si>
  <si>
    <t>Graziella Bonfim</t>
  </si>
  <si>
    <t>A. DE S. AMARAL EMBALAGENS</t>
  </si>
  <si>
    <t>Grazielle Lucena</t>
  </si>
  <si>
    <t>AAMHOR</t>
  </si>
  <si>
    <t>GREEN CORE IRRIGACAO E PAISAGISMO LTDA</t>
  </si>
  <si>
    <t>ACADEMIA PARQUE FITNESS</t>
  </si>
  <si>
    <t>Grupo Huzzo</t>
  </si>
  <si>
    <t>ACERTIVA FERRAMENTAS LTDA</t>
  </si>
  <si>
    <t>GRUPO SP CONSULTORIA E SERVICOS</t>
  </si>
  <si>
    <t>ACQUA EMBALAGENS MG</t>
  </si>
  <si>
    <t>GRUPO TAIZ CAMPBELL</t>
  </si>
  <si>
    <t>ADAO BARBOSA</t>
  </si>
  <si>
    <t>GT COMERCIO E DISTRIBUICAO</t>
  </si>
  <si>
    <t>ADPESP</t>
  </si>
  <si>
    <t>GUANABARA CENTRO DE DIVERSOES</t>
  </si>
  <si>
    <t>ADRIANO DE JESUS SENHORINHO 39872070865</t>
  </si>
  <si>
    <t>Guilherme Santos de Moraes</t>
  </si>
  <si>
    <t>ADRIMAR ELETRICA LTDA</t>
  </si>
  <si>
    <t>GUIMARAES PARTICIPACOES</t>
  </si>
  <si>
    <t>AETOS PARTS</t>
  </si>
  <si>
    <t>Gustavo Mello Coelho</t>
  </si>
  <si>
    <t>AGRO FERREIRA WL</t>
  </si>
  <si>
    <t>GV COMER LOCAC REPRESEN E TRANSP ESPECIAIS LTDA</t>
  </si>
  <si>
    <t>AGUAS DE BOM SUCESSO LTDA</t>
  </si>
  <si>
    <t>HD TOOLS</t>
  </si>
  <si>
    <t>AIDC TECNOLOGIA LTDA</t>
  </si>
  <si>
    <t>HE ENGENHARIA</t>
  </si>
  <si>
    <t>ALAMINO SILVA SOCIEDADE DE ADVOGADOS</t>
  </si>
  <si>
    <t>HEINZ-GLAS DO BRASIL INDUSTRIA E COMERCIO DE EMBALAGENS LTDA.</t>
  </si>
  <si>
    <t>Aldemir Torres Pinto Vilaça</t>
  </si>
  <si>
    <t>Heloísa Pierro</t>
  </si>
  <si>
    <t>Alessandra Alves Silva</t>
  </si>
  <si>
    <t>Heloiza Biazotti Vieira</t>
  </si>
  <si>
    <t>Alex Crivelari</t>
  </si>
  <si>
    <t>HENI TRANSPORTES</t>
  </si>
  <si>
    <t>Alexandre Elesbão De Oliveira</t>
  </si>
  <si>
    <t>Henrique Arantes</t>
  </si>
  <si>
    <t>Aline Carneiro Lauria</t>
  </si>
  <si>
    <t>Henrique Resende Siqueira</t>
  </si>
  <si>
    <t>ALMAI INSTITUTO DE NEURODESENVOLVIMENTO INFANTIL</t>
  </si>
  <si>
    <t>HOBER ARTEFATOS PLASTICOS LTDA</t>
  </si>
  <si>
    <t>ALPHA CLICHERIA E SOLUCOES GRAFICAS LTDA</t>
  </si>
  <si>
    <t>Honda Sumaré - HONDA AUTOMOVEIS DO BRASIL LT</t>
  </si>
  <si>
    <t>ALTO SAO FRANCISCO</t>
  </si>
  <si>
    <t>HOSPITAL MATER DEI S/A</t>
  </si>
  <si>
    <t>ALUD CARGO TRANSPORTES LTDA</t>
  </si>
  <si>
    <t>HOSPITAL SANTA IGNES LTDA</t>
  </si>
  <si>
    <t>ALVORADA PRODUTOS AGROPECUARIOS</t>
  </si>
  <si>
    <t>HOSPITAL UNIMED</t>
  </si>
  <si>
    <t>Amanda Loreta Beck</t>
  </si>
  <si>
    <t>HOSPITAL UNIMED BIRIGUI</t>
  </si>
  <si>
    <t>AMEVE ENGENHARIA</t>
  </si>
  <si>
    <t>HUNTER DOUGLAS DO BRASIL LTDA</t>
  </si>
  <si>
    <t>Ana Luiza Almeida Carmo</t>
  </si>
  <si>
    <t>HUZZO HOSPITAL</t>
  </si>
  <si>
    <t>Anastacio Araujo Neto</t>
  </si>
  <si>
    <t>Hyperion Materials &amp; Technologies Brazil Ltda</t>
  </si>
  <si>
    <t>André Arruda</t>
  </si>
  <si>
    <t>IB TECHNOLOGY</t>
  </si>
  <si>
    <t>Andre Davila</t>
  </si>
  <si>
    <t>IBVET INSTITUTO BRASILEIRO DE VETERINARIA</t>
  </si>
  <si>
    <t>ANDRE HUMMEL - PERICIAS E ADMINISTRACAO JUDICIAL</t>
  </si>
  <si>
    <t>IC TRANSPORTES</t>
  </si>
  <si>
    <t>Andre Vitor Faria Ribeiro</t>
  </si>
  <si>
    <t>ICC INDUSTRIAL COMERCIO EXPORTACAO E IMPORTACAO S.A.</t>
  </si>
  <si>
    <t>Andressa Soares</t>
  </si>
  <si>
    <t>IF CATARINENSE CAMPUS CONCORDIA</t>
  </si>
  <si>
    <t>Angelo Brunno Escorcio Santos</t>
  </si>
  <si>
    <t>IGNES CLELISBEL SODRÉ</t>
  </si>
  <si>
    <t>Antonio Carlos Marostegon</t>
  </si>
  <si>
    <t>Igor Uchoa Duarte</t>
  </si>
  <si>
    <t>APL METALIZACOES</t>
  </si>
  <si>
    <t>IGREJA BATISTA CAMPINAS CAMINHO</t>
  </si>
  <si>
    <t>ARATIRI</t>
  </si>
  <si>
    <t>IGREJA DO NAZARENO CENTRAL</t>
  </si>
  <si>
    <t>ARFRIO S/A ARMAZENS GERAIS FRIGORIFICOS</t>
  </si>
  <si>
    <t>IGREJA VIVA</t>
  </si>
  <si>
    <t>ASELCO AUTOMACAO</t>
  </si>
  <si>
    <t>IMEDIATO</t>
  </si>
  <si>
    <t>ASSOCIACAO CULTURAL E ESPORTIVA PIRATININGA</t>
  </si>
  <si>
    <t>INCORPORACOES COIMBRA SPE LTDA.</t>
  </si>
  <si>
    <t>ASSOCIACAO DE PAIS E MESTRES DA EE ERICO DE ABREU SODRE</t>
  </si>
  <si>
    <t>INDUSTRIA E COMERCIO LEAL LTDA</t>
  </si>
  <si>
    <t>ASSOCIACAO DOS ADQUIRENTES DO EDIFICIL KEY BISCAYNE</t>
  </si>
  <si>
    <t>INDUSTRIA MARILIA DE AUTO PECAS S/A</t>
  </si>
  <si>
    <t>ASSOCIAÇÃO DOS AMIGOS DO RESERVA DA SERRA</t>
  </si>
  <si>
    <t>Indústrias Nucleares do Brasil S/A - INB</t>
  </si>
  <si>
    <t>ASSOCIACAO DOS PROPRIETARIOS E MORADORES DO LOTEAMENTO VILLAGIO PELAVIDA</t>
  </si>
  <si>
    <t>Ines Possari</t>
  </si>
  <si>
    <t>ASSOCIACAO PARA CRIANCAS E ADOLESCENTES COM CANCER - TUCCA</t>
  </si>
  <si>
    <t>INFORMACTION - CONSULTORIA EMPRESARIAL LTDA</t>
  </si>
  <si>
    <t>ASSOCIACAO SWISS PARK COMERCIAL</t>
  </si>
  <si>
    <t>INGE ENGENHARIA E CONSTRUCOES</t>
  </si>
  <si>
    <t>ASSOCIATED SPRING DO BRASIL LTDA</t>
  </si>
  <si>
    <t>INOVA</t>
  </si>
  <si>
    <t>ATLANTIS CONTABILIDADE DIGITAL</t>
  </si>
  <si>
    <t>INOVA IMPRESSO SERVICOS GRAFICOS LTDA</t>
  </si>
  <si>
    <t>ATOP AUTOMACAO</t>
  </si>
  <si>
    <t>INSPER INSTITUTO DE ENSINO E PESQUISA</t>
  </si>
  <si>
    <t>ATTRIO GASTRONOMIA LTDA</t>
  </si>
  <si>
    <t>INST DE PESQUISAS TEC DO ESTADO DE S.PAULO S/A IPT</t>
  </si>
  <si>
    <t>Augusto Cezar Góes de Britto</t>
  </si>
  <si>
    <t>INST.DE PESQUISAS E PROJETOS EM EDUC.COM DE VIDA</t>
  </si>
  <si>
    <t>AURORA</t>
  </si>
  <si>
    <t>INSTITUTO AFFONSO FERREIRA - SOCIEDADE SIMPLES</t>
  </si>
  <si>
    <t>AVANCE CONSTRUCOES E ACESSIBILIDADE</t>
  </si>
  <si>
    <t>INSTITUTO ANCARE LTDA</t>
  </si>
  <si>
    <t>Avirton Pedro Eduardo</t>
  </si>
  <si>
    <t>INSTITUTO NEURONIO &amp; PENSAMENTO LTDA</t>
  </si>
  <si>
    <t>Ayrton Brancalhoni</t>
  </si>
  <si>
    <t>INSTITUTO PHORTE DE EDUCACAO LTDA</t>
  </si>
  <si>
    <t>B B C INDUSTRIA E COMERCIO LTDA</t>
  </si>
  <si>
    <t>INSTITUTO PRESBITERIANO MACKENZIE</t>
  </si>
  <si>
    <t>BANCO INTER S.A.</t>
  </si>
  <si>
    <t>INSTITUTO RECRIE</t>
  </si>
  <si>
    <t>BAVIERA COMERCIO E TRANSPORTE LTDA</t>
  </si>
  <si>
    <t>Irene aparecida kraehnerte</t>
  </si>
  <si>
    <t>BCBR CARD</t>
  </si>
  <si>
    <t>IRMANDADE DA SANTA CASA DE FERNANDOPOLIS</t>
  </si>
  <si>
    <t>BELLO MIMO</t>
  </si>
  <si>
    <t>Isabela Noronha Gustavo Barreiro</t>
  </si>
  <si>
    <t>Benicio Stabile Levy Alves</t>
  </si>
  <si>
    <t>ISABELLA ROGIERI</t>
  </si>
  <si>
    <t>Berenice Aparecida Guerelus Gonçalves Gonçalves</t>
  </si>
  <si>
    <t>Isaque Guanabara</t>
  </si>
  <si>
    <t>BETA</t>
  </si>
  <si>
    <t>Ismael Antônio Berns</t>
  </si>
  <si>
    <t>BHIO SUPPLY</t>
  </si>
  <si>
    <t>ITALAJES VIDROS</t>
  </si>
  <si>
    <t>BIANCA ST MARTIN</t>
  </si>
  <si>
    <t>ITALO ODONE MAZALI</t>
  </si>
  <si>
    <t>Biar Fragata Dinoá &amp; Reis Advogados Associados</t>
  </si>
  <si>
    <t>ITECH</t>
  </si>
  <si>
    <t>BIOS VELEIROS</t>
  </si>
  <si>
    <t>Itenira P. Bernardi</t>
  </si>
  <si>
    <t>BK CONSULTORIA E SERVICOS LTDA</t>
  </si>
  <si>
    <t>Iuri de Oliveira Barouche</t>
  </si>
  <si>
    <t>BLUE FLEET</t>
  </si>
  <si>
    <t>Ivan Carlos Frizollo</t>
  </si>
  <si>
    <t>BONO PNEUS OROSIMBO MAIA</t>
  </si>
  <si>
    <t>IVONE ELISABETE REIS</t>
  </si>
  <si>
    <t>BORGES CONTABILIDADE E CONSULTORIA LTDA</t>
  </si>
  <si>
    <t>J A LONGEVIDADE E MEDICINA PREVENTIVA LTDA</t>
  </si>
  <si>
    <t>BRABA ACADEMIA DE MUSCULACAO LTDA</t>
  </si>
  <si>
    <t>J DIAS</t>
  </si>
  <si>
    <t>Brasitone Componentes Eletronicos Ltda</t>
  </si>
  <si>
    <t>J T &amp; P</t>
  </si>
  <si>
    <t>BRN - RESIDENCIAL 07 EMPREENDIMENTOS IMOBILIARIOS SPE LTDA</t>
  </si>
  <si>
    <t>J. M. DUQUE - COMERCIO DE MATERIAIS ELETRICOS LTDA</t>
  </si>
  <si>
    <t>BRUGNOLA CORRETORA DE SEGUROS LTDA</t>
  </si>
  <si>
    <t>J.L.A. CONSTRUCOES E COMERCIO LTDA</t>
  </si>
  <si>
    <t>Bruna Santos Da Silva De Lima</t>
  </si>
  <si>
    <t>J.S.A. CONSTRUTORA E PAVIMENTADORA LTDA</t>
  </si>
  <si>
    <t>Bruno Daniel Bento</t>
  </si>
  <si>
    <t>Jair Franco Junior</t>
  </si>
  <si>
    <t>Bruno Santos Alves</t>
  </si>
  <si>
    <t>Jairton Lucena Ribeiro</t>
  </si>
  <si>
    <t>BTG LOG CABREUVA I</t>
  </si>
  <si>
    <t>JAQUE PAJONI LUXURY TRAVEL</t>
  </si>
  <si>
    <t>C.E.T.E.C CENTRAL DE TECNOLOGIA EM COBRANCA LTDA</t>
  </si>
  <si>
    <t>Jaqueline Di Raimo</t>
  </si>
  <si>
    <t>CALDEIRARIA CALDLASER LTDA</t>
  </si>
  <si>
    <t>Jaqueline Lima Feitosa</t>
  </si>
  <si>
    <t>Camila Castiñeiras</t>
  </si>
  <si>
    <t>Jaqueline Perlotti Baptista</t>
  </si>
  <si>
    <t>Camila Gregorio de Araujo</t>
  </si>
  <si>
    <t>Jarbas Barbosa de Oliveira Jr</t>
  </si>
  <si>
    <t>CAMPSONDAS COM, PERFURACOES E MAN EM P ART LTDA</t>
  </si>
  <si>
    <t>JC</t>
  </si>
  <si>
    <t>CANNON DO BRASIL REPRESENTACOES LTDA</t>
  </si>
  <si>
    <t>Jean Ribeiro do Prado</t>
  </si>
  <si>
    <t>CAPOANO ARQUITETURA</t>
  </si>
  <si>
    <t>Jeferson Degaspari</t>
  </si>
  <si>
    <t>Carina Flaifel</t>
  </si>
  <si>
    <t>JEFFERSON SANTOS DA MOTA</t>
  </si>
  <si>
    <t>Carla Badan</t>
  </si>
  <si>
    <t>JF AVIATION AIRCRAFT MAINTENANCE LTDA</t>
  </si>
  <si>
    <t>Carla de Abreu Medeiros Bezerra</t>
  </si>
  <si>
    <t>Jhonny Stevan Silva</t>
  </si>
  <si>
    <t>Carlos Alberto Perez</t>
  </si>
  <si>
    <t>Jivago Luz Rome</t>
  </si>
  <si>
    <t>Carlos Renato Sales Da Silva</t>
  </si>
  <si>
    <t>JMA Transportes</t>
  </si>
  <si>
    <t>CARREGA E VAI LTDA</t>
  </si>
  <si>
    <t>João Boratino Esteves</t>
  </si>
  <si>
    <t>Cássio Matos da Silva</t>
  </si>
  <si>
    <t>João Henrique De Miranda</t>
  </si>
  <si>
    <t>Celso Haeitmann</t>
  </si>
  <si>
    <t>João Paulo Sangion</t>
  </si>
  <si>
    <t>CENTRAL DA BARRA - BOURBON</t>
  </si>
  <si>
    <t>JOAO VALVERDE FILHO</t>
  </si>
  <si>
    <t>CENTRO ESPIRITA ALLAN KARDEC</t>
  </si>
  <si>
    <t>João Victor Nardo Marques</t>
  </si>
  <si>
    <t>CENTRO UNIVERSITARIO UNIFATECIE</t>
  </si>
  <si>
    <t>João Vitor dos Santos</t>
  </si>
  <si>
    <t>CEVA VETERINARIA</t>
  </si>
  <si>
    <t>José Adilson Tavernaro</t>
  </si>
  <si>
    <t>CHENANDOA BARBOZA DA SILVA</t>
  </si>
  <si>
    <t>José Carlos Peixoto de Campos</t>
  </si>
  <si>
    <t>Cicero pereira de oliveira</t>
  </si>
  <si>
    <t>José Freitas de Almeida</t>
  </si>
  <si>
    <t>Cintia Salvati</t>
  </si>
  <si>
    <t>José Gustavo Feltz</t>
  </si>
  <si>
    <t>Clarilena Fukugauti</t>
  </si>
  <si>
    <t>JOSE HUMBERTO SILVA</t>
  </si>
  <si>
    <t>Claudia Fernanda Rampazo</t>
  </si>
  <si>
    <t>JOSE ROGERIO PEREIRA</t>
  </si>
  <si>
    <t>Claudinei Dos Santos Silva</t>
  </si>
  <si>
    <t>Josuan Moraes Júnior</t>
  </si>
  <si>
    <t>Claudio Dos Santos Rosa</t>
  </si>
  <si>
    <t>Joyce pereira de souza</t>
  </si>
  <si>
    <t>Cleide Terin</t>
  </si>
  <si>
    <t>JR HIDRELI</t>
  </si>
  <si>
    <t>CLIMA SOLIS</t>
  </si>
  <si>
    <t>Juliana Camargo Xavier</t>
  </si>
  <si>
    <t>CLINICA DE VACINAS SANTA CLARA</t>
  </si>
  <si>
    <t>JULIANA FERNANDA SORATI</t>
  </si>
  <si>
    <t>CLINICAL SEGG ACESSIBILIDADE &amp; SEGURANCA</t>
  </si>
  <si>
    <t>juliana silleman</t>
  </si>
  <si>
    <t>CLUBE PAINEIRAS DO MORUMBY</t>
  </si>
  <si>
    <t>K. L CHOPERIA E RESTAURANTE</t>
  </si>
  <si>
    <t>CODEX</t>
  </si>
  <si>
    <t>Kaique Antônio Ferreira</t>
  </si>
  <si>
    <t>COLMEIA ENGENHARIA</t>
  </si>
  <si>
    <t>KARIMEX COMPONENTES ELETRONICOS LTDA</t>
  </si>
  <si>
    <t>COMFORT DOOR</t>
  </si>
  <si>
    <t>KARINA REIS FAVORETO</t>
  </si>
  <si>
    <t>COMPONENT INDUSTRIA E COMERCIO LTDA</t>
  </si>
  <si>
    <t>Katia Maria Marcondes Vilar</t>
  </si>
  <si>
    <t>COMPTA EMERGING BUSINESS - BRASIL LTDA</t>
  </si>
  <si>
    <t>Kauê Richter pereira</t>
  </si>
  <si>
    <t>CONAB CONSERBOMBAS LTDA</t>
  </si>
  <si>
    <t>KAZA CONDOMINIO CLUBE</t>
  </si>
  <si>
    <t>COND EDIF IMPERIO BLOCO A</t>
  </si>
  <si>
    <t>Kelly Alves falcão Rodrigues</t>
  </si>
  <si>
    <t>CONDOMINIO 2000</t>
  </si>
  <si>
    <t>KIM NETO INDUSTRIA E COMERCIO DE PANIFICACAO LTDA</t>
  </si>
  <si>
    <t>CONDOMINIO ACQUABELLA</t>
  </si>
  <si>
    <t>KMOVE TRANSPORTES</t>
  </si>
  <si>
    <t>CONDOMINIO ARAUCARIA</t>
  </si>
  <si>
    <t>KR SAUDE SERVICOS MEDICOS CONCHAL LTDA</t>
  </si>
  <si>
    <t>CONDOMINIO BENEVENTO II</t>
  </si>
  <si>
    <t>KRISOLL RESINAS PLASTICAS LTDA</t>
  </si>
  <si>
    <t>CONDOMINIO CENTENARIO PLAZA</t>
  </si>
  <si>
    <t>L. C. MATTOS COMERCIO CPFL</t>
  </si>
  <si>
    <t>CONDOMINIO CHAMPS ELYSEES</t>
  </si>
  <si>
    <t>LA PRIME CLINIC</t>
  </si>
  <si>
    <t>CONDOMINIO COMERCIAL DO BCS</t>
  </si>
  <si>
    <t>LA VITA ALIMENTOS</t>
  </si>
  <si>
    <t>CONDOMINIO COSTA DO SOL</t>
  </si>
  <si>
    <t>LABORATORIO DE ANALISES CLINICAS VITAL BRAZIL</t>
  </si>
  <si>
    <t>CONDOMINIO DO EDFICIO UNIVERSAL EMPRESARIAL CENTER</t>
  </si>
  <si>
    <t>LABORATORIO DE PATOLOGIA CLÍNICA DR. FRANCESCHI SS/LTDA</t>
  </si>
  <si>
    <t>CONDOMINIO DO EDIFICIO BELLA VITTA</t>
  </si>
  <si>
    <t>LAHUMAN INDUSTRIA E COMERCIO DE PLASTICOS LIMITADA</t>
  </si>
  <si>
    <t>CONDOMINIO DO EDIFICIO IPANEMA PARK APART HOTEL</t>
  </si>
  <si>
    <t>LAPIENDRIUS INDUSTRIA E COMERCIO LTDA</t>
  </si>
  <si>
    <t>CONDOMINIO DO EDIFICIO JULIA MARIA</t>
  </si>
  <si>
    <t>LAR INCRIVEL CONSTRUTORA LTDA</t>
  </si>
  <si>
    <t>CONDOMINIO DO EDIFICIO MARCO SAULO</t>
  </si>
  <si>
    <t>LAVCLIN</t>
  </si>
  <si>
    <t>CONDOMINIO DO EDIFICIO MONIQUE</t>
  </si>
  <si>
    <t>Layon Raphael da Cruz Ferreira</t>
  </si>
  <si>
    <t>CONDOMINIO DO EDIFICIO PARQUE GAIVOTAS</t>
  </si>
  <si>
    <t>LD HEALTH GROUP</t>
  </si>
  <si>
    <t>CONDOMINIO DO EDIFICIO PRISMA V</t>
  </si>
  <si>
    <t>Leandro Freire Ventura</t>
  </si>
  <si>
    <t>CONDOMINIO DO EDIFICIO REMBRANDT</t>
  </si>
  <si>
    <t>Leandro Youssef Chahine da Silva</t>
  </si>
  <si>
    <t>Condomínio do Edifício Residencial Havilah</t>
  </si>
  <si>
    <t>LEONARDI CONSTRUCAO INDUSTRIALIZADA LTDA</t>
  </si>
  <si>
    <t>CONDOMINIO DO EDIFICIO VOLPI</t>
  </si>
  <si>
    <t>Leonardo Bromberg</t>
  </si>
  <si>
    <t>CONDOMINIO E EDIFICIO CANANEIA</t>
  </si>
  <si>
    <t>Leonardo César Bana</t>
  </si>
  <si>
    <t>CONDOMINIO EDIFICIO ANTURIUS</t>
  </si>
  <si>
    <t>Letícia Dantas</t>
  </si>
  <si>
    <t>CONDOMINIO EDIFICIO BELLINI</t>
  </si>
  <si>
    <t>Leticia Yumi Tokashiki</t>
  </si>
  <si>
    <t>CONDOMINIO EDIFICIO CAETES</t>
  </si>
  <si>
    <t>LIFE DESIGNER PROPAGANDA</t>
  </si>
  <si>
    <t>CONDOMINIO EDIFICIO CAMBARA</t>
  </si>
  <si>
    <t>Lifetrek Medical Devices Ltda</t>
  </si>
  <si>
    <t>CONDOMINIO EDIFICIO CHATEAU DU FRONTENAC</t>
  </si>
  <si>
    <t>LIMPA JA - SOLUCOES EM PRODUTOS DE LIMPEZA.</t>
  </si>
  <si>
    <t>CONDOMINIO EDIFICIO DAS HORTENSIAS</t>
  </si>
  <si>
    <t>LINKED</t>
  </si>
  <si>
    <t>CONDOMINIO EDIFICIO FERNANDO</t>
  </si>
  <si>
    <t>LIQUEXPRESS TRANSPORTES RODOVIARIOS LTDA</t>
  </si>
  <si>
    <t>CONDOMINIO EDIFICIO GREENFIELD</t>
  </si>
  <si>
    <t>Lisandra Marques Aliseda</t>
  </si>
  <si>
    <t>CONDOMINIO EDIFICIO GUANABARA</t>
  </si>
  <si>
    <t>LITOGRAFIA BANDEIRANTES LTDA</t>
  </si>
  <si>
    <t>CONDOMINIO EDIFICIO JANDIRA</t>
  </si>
  <si>
    <t>Lizandro de Andrade Teles</t>
  </si>
  <si>
    <t>CONDOMINIO EDIFICIO MANSAO TINTORETTO</t>
  </si>
  <si>
    <t>LME ENGENHARIA E MANUTENCOES ELETRICAS</t>
  </si>
  <si>
    <t>CONDOMINIO EDIFICIO MICHELANGELO</t>
  </si>
  <si>
    <t>LOCABENS</t>
  </si>
  <si>
    <t>CONDOMINIO EDIFICIO MY WAY PETROPOLIS</t>
  </si>
  <si>
    <t>LOCAL CONSULTORIA DE IMOVEIS LTDA</t>
  </si>
  <si>
    <t>CONDOMINIO EDIFICIO NEW LIFE</t>
  </si>
  <si>
    <t>LOGICA CONTABIL LTDA</t>
  </si>
  <si>
    <t>CONDOMINIO EDIFICIO NOSSA SENHORA DO CARMO</t>
  </si>
  <si>
    <t>LOGISTICA URBANA</t>
  </si>
  <si>
    <t>CONDOMINIO EDIFICIO OUTEIRO MAIA</t>
  </si>
  <si>
    <t>LOGMAM</t>
  </si>
  <si>
    <t>CONDOMINIO EDIFICIO REQUENA</t>
  </si>
  <si>
    <t>LOGSERVICE</t>
  </si>
  <si>
    <t>CONDOMINIO EDIFICIO RESIDENCIAL ESPACO PAULISTA</t>
  </si>
  <si>
    <t>LPQBR RESTAURANTES E PADARIAS LTDA.</t>
  </si>
  <si>
    <t>CONDOMINIO EDIFICIO ROSANA</t>
  </si>
  <si>
    <t>LTV ENGENHARIA MECANICA E SEGURANCA DO TRABALHO</t>
  </si>
  <si>
    <t>CONDOMINIO EDIFICIO SAINT PATRICK</t>
  </si>
  <si>
    <t>Luana Ferrari Dos Santos</t>
  </si>
  <si>
    <t>CONDOMINIO EDIFICIO SKORPIOS</t>
  </si>
  <si>
    <t>LUCAS ARRAES SAMPAIO OLIVEIRA</t>
  </si>
  <si>
    <t>CONDOMINIO EDIFICIO SOLAR DA BAIA NORTE</t>
  </si>
  <si>
    <t>Lucas Cesar Reis</t>
  </si>
  <si>
    <t>CONDOMINIO EDIFICIO TERRACO ANALIA FRANCO</t>
  </si>
  <si>
    <t>LUCERA</t>
  </si>
  <si>
    <t>CONDOMINIO EDIFICIO TRINDAD M. BIGUCCI</t>
  </si>
  <si>
    <t>Lucia de Oliveira</t>
  </si>
  <si>
    <t>CONDOMINIO EDIFICIO VARAM</t>
  </si>
  <si>
    <t>Luciana de Souza Pereira</t>
  </si>
  <si>
    <t>CONDOMINIO ENGENHEIRO ARMANDO DE ARRUDA PEREIRA II</t>
  </si>
  <si>
    <t>Lucimara Aparecida Oliveira</t>
  </si>
  <si>
    <t>CONDOMINIO ESSENZIALE DUE</t>
  </si>
  <si>
    <t>Luiz Carlos Reis</t>
  </si>
  <si>
    <t>CONDOMINIO GIARDINO D' ITALIA</t>
  </si>
  <si>
    <t>Luiz Fernando Da Costa Dias</t>
  </si>
  <si>
    <t>CONDOMINIO ILHAS DO ATLANTICO RESIDENCE</t>
  </si>
  <si>
    <t>LUVATA SAO PAULO - COMERCIO E INDUSTRIA LTDA</t>
  </si>
  <si>
    <t>CONDOMINIO JOY GARDEN</t>
  </si>
  <si>
    <t>Luzinete Caetano</t>
  </si>
  <si>
    <t>CONDOMINIO LA SIERRA JUNDIAI</t>
  </si>
  <si>
    <t>LY DO BRASIL INDUSTRIA E COMERCIO DE ARTEFATOS DE BORRACHA LTDA.</t>
  </si>
  <si>
    <t>CONDOMINIO MAIS ALTOS MORUMBI</t>
  </si>
  <si>
    <t>Lygia Maria Barros Nascimento</t>
  </si>
  <si>
    <t>CONDOMINIO MANSAO PRINCIPADO DE MONACO</t>
  </si>
  <si>
    <t>M A CRIVELARI COCA LTDA</t>
  </si>
  <si>
    <t>CONDOMINIO MINHA PRAIA II</t>
  </si>
  <si>
    <t>M G M CONSTRUTORA LT</t>
  </si>
  <si>
    <t>CONDOMINIO MISCE - VILA MADALENA</t>
  </si>
  <si>
    <t>M M ASSESSORIA A EVENTOS CONGRESSOS E PROMOCOES LTDA</t>
  </si>
  <si>
    <t>CONDOMINIO MORADA MORUMBI</t>
  </si>
  <si>
    <t>M S L DO BRASIL AGENCIAMENTOS E TRANSPORTES LTDA.</t>
  </si>
  <si>
    <t>CONDOMINIO NETUNO</t>
  </si>
  <si>
    <t>M&amp;R INDUSTRIA E COMERCIO DE ALIMENTOS LTDA</t>
  </si>
  <si>
    <t>CONDOMINIO ON PANAMBY</t>
  </si>
  <si>
    <t>M.A. CONSTRUTORA</t>
  </si>
  <si>
    <t>CONDOMINIO PARQUE DAS NACOES</t>
  </si>
  <si>
    <t>MADELON CHAVES FAIAS</t>
  </si>
  <si>
    <t>CONDOMINIO PLATINUM</t>
  </si>
  <si>
    <t>MAF SERVICOS</t>
  </si>
  <si>
    <t>CONDOMINIO PROJETO IMOBILIARIO E 31</t>
  </si>
  <si>
    <t>MAGNET</t>
  </si>
  <si>
    <t>CONDOMINIO RESIDENCIAL AGUA MARINHA</t>
  </si>
  <si>
    <t>Magnum Brotto</t>
  </si>
  <si>
    <t>CONDOMINIO RESIDENCIAL ARITANA</t>
  </si>
  <si>
    <t>Maira Catena</t>
  </si>
  <si>
    <t>CONDOMINIO RESIDENCIAL BELLA VITA</t>
  </si>
  <si>
    <t>Maíra Salazar</t>
  </si>
  <si>
    <t>CONDOMINIO RESIDENCIAL CASA GRANDE DO IPE</t>
  </si>
  <si>
    <t>MAIS DISTRIBUIDORA DE BEBIDAS E PRODUTOS ALIMENTICIOS</t>
  </si>
  <si>
    <t>CONDOMINIO RESIDENCIAL COLINAS CACHOEIRA</t>
  </si>
  <si>
    <t>MAISA LEMOS PRADO DE CARVALHO MEDEIROS</t>
  </si>
  <si>
    <t>CONDOMINIO RESIDENCIAL EDIFICIO MONACO</t>
  </si>
  <si>
    <t>MANDI BUTANTA</t>
  </si>
  <si>
    <t>CONDOMINIO RESIDENCIAL FISCHER XXIII</t>
  </si>
  <si>
    <t>MAPLE BEAR PENHA</t>
  </si>
  <si>
    <t>CONDOMINIO RESIDENCIAL HAROLDO PEDERNEIRAS</t>
  </si>
  <si>
    <t>Marcelino Novaes de Souza</t>
  </si>
  <si>
    <t>CONDOMINIO RESIDENCIAL ILHAS INDONESIAS</t>
  </si>
  <si>
    <t>Marcelly Ramos AJala</t>
  </si>
  <si>
    <t>CONDOMINIO RESIDENCIAL MERITO</t>
  </si>
  <si>
    <t>Marcelo de Aguiar Coimbra</t>
  </si>
  <si>
    <t>CONDOMINIO RESIDENCIAL MORADA DOS CLASSICOS-EDIFICIO CHOPIN</t>
  </si>
  <si>
    <t>Marcelo henrique Nunes Moia</t>
  </si>
  <si>
    <t>CONDOMINIO RESIDENCIAL PARQUE CANTO DOS CANARIOS</t>
  </si>
  <si>
    <t>Marcelo kojima</t>
  </si>
  <si>
    <t>CONDOMINIO RESIDENCIAL PARQUE SOL DO PORTO</t>
  </si>
  <si>
    <t>Marcelo Pizzotti Maldi</t>
  </si>
  <si>
    <t>CONDOMINIO RESIDENCIAL PLAZA DAS FLORES</t>
  </si>
  <si>
    <t>MARCELO PUCCINI CAMINHA FILHO</t>
  </si>
  <si>
    <t>CONDOMINIO RESIDENCIAL PORTAL BARRA FUNDA - VILA RUDGE</t>
  </si>
  <si>
    <t>Marcelo Silva</t>
  </si>
  <si>
    <t>CONDOMINIO RESIDENCIAL PORTAL DO LAGO II</t>
  </si>
  <si>
    <t>Marcelo Souza</t>
  </si>
  <si>
    <t>CONDOMINIO RESIDENCIAL PORTO DAS AGUAS</t>
  </si>
  <si>
    <t>Marcelo Souza Cerqueira</t>
  </si>
  <si>
    <t>CONDOMINIO RESIDENCIAL TOP LIFE</t>
  </si>
  <si>
    <t>Marcelo Venâncio Matoso</t>
  </si>
  <si>
    <t>CONDOMINIO RESIDENCIAL VERDICANTTO</t>
  </si>
  <si>
    <t>MARCIA CRISTIAN LABIAK</t>
  </si>
  <si>
    <t>CONDOMINIO RESIDENCIAL VISTA POLITECNICA</t>
  </si>
  <si>
    <t>MARCIO ALEXANDRE DECRESCENZO GROTA</t>
  </si>
  <si>
    <t>CONDOMINIO ROMA</t>
  </si>
  <si>
    <t>MARCIO APARECIDO BALLAMINO</t>
  </si>
  <si>
    <t>CONDOMINIO SAN DIEGO</t>
  </si>
  <si>
    <t>Marcio Imoto</t>
  </si>
  <si>
    <t>CONDOMINIO SPORT'S GARDEN ALTO DA LAPA</t>
  </si>
  <si>
    <t>MARCIO LEME DE PAULA</t>
  </si>
  <si>
    <t>CONDOMINIO UP LAGO DOS PATOS</t>
  </si>
  <si>
    <t>Márcio William Souto Viana</t>
  </si>
  <si>
    <t>CONDOMINIO VERANO</t>
  </si>
  <si>
    <t>MARCOS FLORINDO</t>
  </si>
  <si>
    <t>CONDOMINIO VILLAGGIO DI MILANO</t>
  </si>
  <si>
    <t>Marcus Vinicius</t>
  </si>
  <si>
    <t>CONDOMINIO VISTA VALPARAISO</t>
  </si>
  <si>
    <t>Marcus Vinicius Amadeu Damasceno</t>
  </si>
  <si>
    <t>CONECT GESTAO E ADMINISTRACAO DE IMOVEIS LTDA</t>
  </si>
  <si>
    <t>Maria Cristina Costa Ferreira</t>
  </si>
  <si>
    <t>CONJUNTO RESIDENCIAL PARQUE DOS EUCALIPTOS</t>
  </si>
  <si>
    <t>Maria de Fátima D Tozzo</t>
  </si>
  <si>
    <t>CONJUNTO RESIDENCIAL ROSALIA</t>
  </si>
  <si>
    <t>Maria Elena Bianchi</t>
  </si>
  <si>
    <t>CONSULADO GERAL DE PORTUGAL EM SAO PAULO</t>
  </si>
  <si>
    <t>Maria Fernanda Dezem</t>
  </si>
  <si>
    <t>COUNTRY PARK</t>
  </si>
  <si>
    <t>Maria Luisa Masarin</t>
  </si>
  <si>
    <t>Covabra Loja 10</t>
  </si>
  <si>
    <t>Mariana Vargas Carvalho Pitangui</t>
  </si>
  <si>
    <t>COVABRA Loja 22</t>
  </si>
  <si>
    <t>Mariane Luci Barbosa Silva</t>
  </si>
  <si>
    <t>Covabra Loja 5</t>
  </si>
  <si>
    <t>MARINA ROLIM GIOSA CAMARGO</t>
  </si>
  <si>
    <t>COVESI PARTICIPACOES E NEGOCIOS EMPRESARIAIS LTDA</t>
  </si>
  <si>
    <t>MARIO LASAR SEGALL</t>
  </si>
  <si>
    <t>CRESPO SOLUCOES EM TECNOLOGIA E SEGURANCA</t>
  </si>
  <si>
    <t>Marpha Comunicação Visual</t>
  </si>
  <si>
    <t>CROSSFIT LAGOA</t>
  </si>
  <si>
    <t>MARVULLE ENGENHARIA E MONTAGENS INDUSTRIAIS LTDA</t>
  </si>
  <si>
    <t>DACARTO INDUSTRIA E COMERCIO DE PLASTICOS LTDA</t>
  </si>
  <si>
    <t>MARZO VITORINO - INDUSTRIA E COMERCIO DE MOVEIS LTDA</t>
  </si>
  <si>
    <t>DAMARFE PRODUTOS QUIMICOS LTDA (11) 97627-9807</t>
  </si>
  <si>
    <t>MASA DOZE EMPREENDIMENTOS IMOBILIARIOS LTDA</t>
  </si>
  <si>
    <t>Daniel Lopes Nakashima Santos</t>
  </si>
  <si>
    <t>MASON EQUIPAMENTOS LTDA.</t>
  </si>
  <si>
    <t>Danielle Henrique</t>
  </si>
  <si>
    <t>MASTER CIENTIFICA</t>
  </si>
  <si>
    <t>DEBORA PINA ALMEIDA</t>
  </si>
  <si>
    <t>MASTERSOL INDUSTRIA E COMERCIO DE AQUECEDORES SOLAR LTDA</t>
  </si>
  <si>
    <t>DELPAK EMBALAGENS LTDA</t>
  </si>
  <si>
    <t>MATEUS LINCOLN CONSTRUCOES</t>
  </si>
  <si>
    <t>DELTA PROJETOS GERENC E CONSTRU LTDA</t>
  </si>
  <si>
    <t>MATHIAS SERVICOS DE PINTURAS E REFORMAS LTDA</t>
  </si>
  <si>
    <t>DENVER TECNOLOGIA LTDA</t>
  </si>
  <si>
    <t>Matz Bech</t>
  </si>
  <si>
    <t>Diane Aline Ribeiro</t>
  </si>
  <si>
    <t>Mauro Alves Ramos Batista</t>
  </si>
  <si>
    <t>Diego Duarte</t>
  </si>
  <si>
    <t>Mauro Cristino De Oliveira</t>
  </si>
  <si>
    <t>DIOCLAN EQUIPAMENTOS INDUSTRIAIS LTDA</t>
  </si>
  <si>
    <t>Mauro Etsuo Sasamoto</t>
  </si>
  <si>
    <t>DO REI 2000 ALIMENTOS</t>
  </si>
  <si>
    <t>MAVI PAPER</t>
  </si>
  <si>
    <t>Domingos Dell Aquilla Barone</t>
  </si>
  <si>
    <t>MAXI RUBBER INDUSTRIAS QUIMICAS LTDA</t>
  </si>
  <si>
    <t>DORMETAL</t>
  </si>
  <si>
    <t>MAXSOY ALIMENTOS LTDA</t>
  </si>
  <si>
    <t>Douglas Rose</t>
  </si>
  <si>
    <t>Maxwell da Silva Paassaes Júnior</t>
  </si>
  <si>
    <t>DROGAO SUPER</t>
  </si>
  <si>
    <t>Mayara Aparecida Machado</t>
  </si>
  <si>
    <t>DWF COMUNICACAO VISUAL</t>
  </si>
  <si>
    <t>Mazak</t>
  </si>
  <si>
    <t>DYLL COMERCIO E SERVICOS LTDA</t>
  </si>
  <si>
    <t>MBL PARK</t>
  </si>
  <si>
    <t>E.C. MATERIAIS PARA CONSTRUCAO LTDA</t>
  </si>
  <si>
    <t>MED ANCHIETA CENTRO MEDICO LTDA</t>
  </si>
  <si>
    <t>EDIFICIO ANSARAH</t>
  </si>
  <si>
    <t>MEIWA INDUSTRIA E COMERCIO LTDA</t>
  </si>
  <si>
    <t>EDIFICIO ILHA DE CAPRI</t>
  </si>
  <si>
    <t>METALARTCAR FUNILARIA E PINTURA LTDA</t>
  </si>
  <si>
    <t>EDIFICIO O ATENEU</t>
  </si>
  <si>
    <t>METALURGICA RIGITEC LTDA</t>
  </si>
  <si>
    <t>EDIFICIO ORIENTE SQUARE</t>
  </si>
  <si>
    <t>METALURGICA SAO RAPHAEL LTDA</t>
  </si>
  <si>
    <t>EDIFICIO RESIDENCIAL DONA OLIVIA</t>
  </si>
  <si>
    <t>METALURGICA TECH VISION LTDA</t>
  </si>
  <si>
    <t>EDIFICIO SMART ALTO DE SANTANA</t>
  </si>
  <si>
    <t>METAS CEREAIS</t>
  </si>
  <si>
    <t>EDIFICIO VENTIMIGLIA</t>
  </si>
  <si>
    <t>MGT GESTAO TRIBUTARIA LTDA</t>
  </si>
  <si>
    <t>EDISONDA</t>
  </si>
  <si>
    <t>Michele Cristina Leardini</t>
  </si>
  <si>
    <t>Edson Salatini</t>
  </si>
  <si>
    <t>MICROBIAL</t>
  </si>
  <si>
    <t>Eduardo Marques Sophia</t>
  </si>
  <si>
    <t>ML ODONTO SERVICE</t>
  </si>
  <si>
    <t>ELAINE ALVES DE OLIVEIRA CARNEIRO</t>
  </si>
  <si>
    <t>MODELO VIDROS INDUSTRIA E COMERCIO LTDA</t>
  </si>
  <si>
    <t>ELETRO TRANSOL TECNOLOGIA</t>
  </si>
  <si>
    <t>Monica Nicodemos de Mendonça Moreira</t>
  </si>
  <si>
    <t>Eliane Fernandes</t>
  </si>
  <si>
    <t>MOOV ESTACAO BRAS</t>
  </si>
  <si>
    <t>Elis Sousa</t>
  </si>
  <si>
    <t>MORADAS DO VERDE</t>
  </si>
  <si>
    <t>Elizete Morais Pinheiro Britto</t>
  </si>
  <si>
    <t>MORUMBI IMPLEMENTOS RODOVIÁRIOS</t>
  </si>
  <si>
    <t>Elmiro Saraiva de Souza</t>
  </si>
  <si>
    <t>MOSCA LOGISTICA E TRANSPORTES</t>
  </si>
  <si>
    <t>ELYON MANUFACTURING SOLUTIONS LTDA</t>
  </si>
  <si>
    <t>MOTA E NASCIMENTO LTDA</t>
  </si>
  <si>
    <t>EMBRA EMBRA SERVICOS EM TECNOLOGIA LTDA</t>
  </si>
  <si>
    <t>MP-BIOS REPRESENTACAO E SERVICOS LTDA</t>
  </si>
  <si>
    <t>EMDEC S/A</t>
  </si>
  <si>
    <t>MSE ENGENHARIA LTDA</t>
  </si>
  <si>
    <t>ENCADERNADORA IDEAL COMERCIAL LTDA</t>
  </si>
  <si>
    <t>MTE-THOMSON INDUSTRIA E COMERCIO LTDA</t>
  </si>
  <si>
    <t>ENERGIA TOTALE</t>
  </si>
  <si>
    <t>MULTI MAXI CONVENIENCIA DIGITAL</t>
  </si>
  <si>
    <t>ENGEMECAL</t>
  </si>
  <si>
    <t>MUSEU DA GULA</t>
  </si>
  <si>
    <t>ENGPROTECTION SOLUCOES DE TECNOLOGIA ELETRONICA</t>
  </si>
  <si>
    <t>MW AUTO SOCORRO</t>
  </si>
  <si>
    <t>EPLAX</t>
  </si>
  <si>
    <t>Natalia Gavassa Flores</t>
  </si>
  <si>
    <t>EQUALIZE VILA MARIANA</t>
  </si>
  <si>
    <t>NATALIA VIEL COMERCIO DE ARTIGOS</t>
  </si>
  <si>
    <t>EQUILIBRIO SERVICOS ELETRICOS</t>
  </si>
  <si>
    <t>NATUREZA CONSTRUCOES</t>
  </si>
  <si>
    <t>Eraldo Alves da Silva</t>
  </si>
  <si>
    <t>NAV BRASIL SERVICOS DE NAVEGACAO AEREA S.A. - NAV BRASIL</t>
  </si>
  <si>
    <t>Erika Wroblewski</t>
  </si>
  <si>
    <t>ND BOMBAS COMERCIO E SERVICOS LTDA</t>
  </si>
  <si>
    <t>ESCOLA SENAI ARMANDO DE ARRUDA PEREIRA - CFP 1.23</t>
  </si>
  <si>
    <t>NEOS ENGENHARIA COMERCIO E SERVICOS LTDA</t>
  </si>
  <si>
    <t>ESPACO EDUCACAO S A</t>
  </si>
  <si>
    <t>NEW PARTS</t>
  </si>
  <si>
    <t>ESPERANCA PAPELARIA E VARIEDADES LTDA</t>
  </si>
  <si>
    <t>NEXORAD</t>
  </si>
  <si>
    <t>ESQUADRIBASE COMERCIO DE VIDROS E ESPELHOS LTDA</t>
  </si>
  <si>
    <t>NEXT MARKETING EVENTOS E TRANSPORTE</t>
  </si>
  <si>
    <t>Euma Santana Maia</t>
  </si>
  <si>
    <t>NEXT MEDICAL</t>
  </si>
  <si>
    <t>Everaldo Arguelho Flores</t>
  </si>
  <si>
    <t>NEXTAR</t>
  </si>
  <si>
    <t>EZCOMP COMPONENTES ELETRICOS</t>
  </si>
  <si>
    <t>Nicholas Balbino Souza</t>
  </si>
  <si>
    <t>Fabiana Santos</t>
  </si>
  <si>
    <t>NICOFER COMERCIO DE LAMINADOS LTDA.</t>
  </si>
  <si>
    <t>Fabio Alves Soares</t>
  </si>
  <si>
    <t>NIETTO TRUCK DIESEL</t>
  </si>
  <si>
    <t>Fabio Souza</t>
  </si>
  <si>
    <t>NILO LAMEIRAS FILHO</t>
  </si>
  <si>
    <t>FADELITO CAMPINAS</t>
  </si>
  <si>
    <t>NINE OFFICE BOUTIQUE</t>
  </si>
  <si>
    <t>FANTASTICO ALIMENTOS LTDA</t>
  </si>
  <si>
    <t>NIPPONTECH</t>
  </si>
  <si>
    <t>FARMAFONTE DROGARIA E PERFUMARIA LTDA</t>
  </si>
  <si>
    <t>Nislene Bruno de Castro Loures</t>
  </si>
  <si>
    <t>FATD CONSULTORIA</t>
  </si>
  <si>
    <t>NOAH SERVICOS</t>
  </si>
  <si>
    <t>Felipe Augusto Camargo</t>
  </si>
  <si>
    <t>NORDEO CONSTRUCOES E LOGISTICA LTDA</t>
  </si>
  <si>
    <t>Felipe Sorrentino Silva</t>
  </si>
  <si>
    <t>NOVA AVENTURA COMERCIO DE ARTIGOS ESPORTIVOS LTDA.</t>
  </si>
  <si>
    <t>FENIX CONSTRUTORA LTDA</t>
  </si>
  <si>
    <t>NOVA PLAST</t>
  </si>
  <si>
    <t>Fernando Diniz</t>
  </si>
  <si>
    <t>Nozomu Tamura</t>
  </si>
  <si>
    <t>Fernando Gavitti</t>
  </si>
  <si>
    <t>NP TINTAS</t>
  </si>
  <si>
    <t>Fernando Laguardia</t>
  </si>
  <si>
    <t>NS SUDESTE</t>
  </si>
  <si>
    <t>FERRAGENS AQUAPATI EIRELI</t>
  </si>
  <si>
    <t>NUCLEO ENGENHARIA CONSULTIVA S.A.</t>
  </si>
  <si>
    <t>FERTYBIO FERTILIZANTES</t>
  </si>
  <si>
    <t>NUCLEO ENGENHARIA ELETRICA</t>
  </si>
  <si>
    <t>filipi casas</t>
  </si>
  <si>
    <t>NUCLEO SOCIO EDUCATIVO TIAOZINHO</t>
  </si>
  <si>
    <t>FISCHER</t>
  </si>
  <si>
    <t>OBRAS SOCIAIS E EDUCACIONAIS DE LUZ</t>
  </si>
  <si>
    <t>FIX PARK ESTACIONAMENTOS LTDA</t>
  </si>
  <si>
    <t>ODARA</t>
  </si>
  <si>
    <t>Flavio Augusto Rodrigues Rocha</t>
  </si>
  <si>
    <t>Odete Lucia Teles</t>
  </si>
  <si>
    <t>FLOR DA VILA MINI SALGADOS MIRANDOPOLIS LTDA</t>
  </si>
  <si>
    <t>ODP-SMG LTDA</t>
  </si>
  <si>
    <t>FLUIDRA BRASIL</t>
  </si>
  <si>
    <t>OFAG S.A</t>
  </si>
  <si>
    <t>FLUORTECH INDUSTRIA E COMERCIO S/A</t>
  </si>
  <si>
    <t>OFICIAL DE REGISTRO CIVIL DAS PESSOAS NATURAIS E TABELIAO NOTAS DO DISTRITO DE OURO VERDE</t>
  </si>
  <si>
    <t>FORMAGGIO DISTRIBUICAO DE ALIMENTOS LTDA</t>
  </si>
  <si>
    <t>OFICIAL DE REGISTRO CIVIL DE PESSOAS NATURAIS</t>
  </si>
  <si>
    <t>FORTPLAN</t>
  </si>
  <si>
    <t>OLIFFEL CHURRASCARIA E CAFE LTDA</t>
  </si>
  <si>
    <t>FRANCINY SANTOS</t>
  </si>
  <si>
    <t>OLIVEIRA PAULINIA MATERIAIS PARA CONSTRUCAO LTDA</t>
  </si>
  <si>
    <t>FRANCISCO NEGRAO</t>
  </si>
  <si>
    <t>OMEGA SERVICOS EM SAUDE LTDA</t>
  </si>
  <si>
    <t>FUNDACAO EDUCACIONAL DE BRUSQUE - FEBE</t>
  </si>
  <si>
    <t>ONE ALIMENTOS DO BRASIL LTDA</t>
  </si>
  <si>
    <t>FUNERARIA SAO CRISTOVAO LTDA</t>
  </si>
  <si>
    <t>OPERGEL COMERCI E INDUST DE PROD ALIMENTI LTDA</t>
  </si>
  <si>
    <t>GABRIEL TRINDADE MARIANO</t>
  </si>
  <si>
    <t>OPERGEL COML E IMPORT.</t>
  </si>
  <si>
    <t>GALLI ENGENHARIA LTDA</t>
  </si>
  <si>
    <t>OPTIMA RENOVA LTDA</t>
  </si>
  <si>
    <t>GATE GOURMET LTDA</t>
  </si>
  <si>
    <t>otávio lacerda de paula silva</t>
  </si>
  <si>
    <t>GELPRIME INDUSTRIA E COMERCIO DE PRODUTOS ALIMENTICIOS</t>
  </si>
  <si>
    <t>OUTLET DOS AQUECEDORES</t>
  </si>
  <si>
    <t>Gerardo Majella</t>
  </si>
  <si>
    <t>Ovídio de maio jr</t>
  </si>
  <si>
    <t>Gerson da Penha de Oliveira</t>
  </si>
  <si>
    <t>Pablo Almeida Da Silva</t>
  </si>
  <si>
    <t>GESLA ISOLAMENTOS</t>
  </si>
  <si>
    <t>PADARIA E ROTISSERIA LAGOA TAQUARAL</t>
  </si>
  <si>
    <t>Gisele Valente</t>
  </si>
  <si>
    <t>PADARIA FLORESTA</t>
  </si>
  <si>
    <t>Gleis Coimbra</t>
  </si>
  <si>
    <t>PADRE HAROLDO</t>
  </si>
  <si>
    <t>40.375.942 ANDRE RIOS MELLO</t>
  </si>
  <si>
    <t>PANDIN MOVEIS LTDA</t>
  </si>
  <si>
    <t>4TAKES</t>
  </si>
  <si>
    <t>PANTERA EMBALAGENS PLASTICAS LTDA</t>
  </si>
  <si>
    <t>61.876.332 MARCELLO MANCONI</t>
  </si>
  <si>
    <t>PAO DE QUEIJO OURO MINEIRO</t>
  </si>
  <si>
    <t>A.F.H. COMERCIO E SERVICOS TECNICOS LTDA</t>
  </si>
  <si>
    <t>Paolo Rubez Rocha</t>
  </si>
  <si>
    <t>ACAMPAMENTO NOSSO RECANTO LTDA</t>
  </si>
  <si>
    <t>PAPELARIA 14 DE AGOSTO</t>
  </si>
  <si>
    <t>ACQUA PARK</t>
  </si>
  <si>
    <t>PARISOTTI ENGENHARIA E MONTAGENS</t>
  </si>
  <si>
    <t>Adriana Aparecida Santos</t>
  </si>
  <si>
    <t>PAROQUIA SANTA GENEROSA</t>
  </si>
  <si>
    <t>ADV ADMINISTRACAO</t>
  </si>
  <si>
    <t>PARQUE PIAZZA SAN PIETRO</t>
  </si>
  <si>
    <t>AGROPECUARIA OURO VERDE LTDA</t>
  </si>
  <si>
    <t>PATRIANI INCORPORACAO 35 SPE LTDA</t>
  </si>
  <si>
    <t>AISIN AUTOMOTIVE LTDA.</t>
  </si>
  <si>
    <t>PATRICIA FREIRE</t>
  </si>
  <si>
    <t>ALECIO CAVALLI</t>
  </si>
  <si>
    <t>Patricia Lacombe</t>
  </si>
  <si>
    <t>ALEXANDRE DAS NEVES</t>
  </si>
  <si>
    <t>Patricia Puccini Peres Garcia</t>
  </si>
  <si>
    <t>ALKO DO BRASIL</t>
  </si>
  <si>
    <t>PATRICK JOANATAN GONCALVES QUEIROZ</t>
  </si>
  <si>
    <t>ALS LIFE SCIENCES LTDA.</t>
  </si>
  <si>
    <t>Paula Castello Miguel</t>
  </si>
  <si>
    <t>Alvaro P V da Costa</t>
  </si>
  <si>
    <t>Paula Fernanda Butzen</t>
  </si>
  <si>
    <t>AMERICA FOOTBALL CLUB</t>
  </si>
  <si>
    <t>Paulo Afonso Pinto Do Santos</t>
  </si>
  <si>
    <t>Ana Paula Boni</t>
  </si>
  <si>
    <t>Paulo Cesar Ferreira</t>
  </si>
  <si>
    <t>André Damião</t>
  </si>
  <si>
    <t>Paulo Gustavo Zanese</t>
  </si>
  <si>
    <t>André Nogueira Fass</t>
  </si>
  <si>
    <t>PEDRASIL COMERCIO E LOGISTICA INTEGRADA LTDA.</t>
  </si>
  <si>
    <t>Andrey d'assumpção Lourenço</t>
  </si>
  <si>
    <t>PEDREIRA DIABASIO LTDA</t>
  </si>
  <si>
    <t>APEX SERVICOS ESPECIAIS LTDA</t>
  </si>
  <si>
    <t>PEDREIRA PRONTA ENTREGA LTDA</t>
  </si>
  <si>
    <t>ARENA DAS DUNAS CONCESSAO E EVENTOS S/A</t>
  </si>
  <si>
    <t>PEDRO CATALANO NETO</t>
  </si>
  <si>
    <t>ASSOC DE MORAD E PROP DE LOTES DO LOT PARQUE DAS CAMELIAS</t>
  </si>
  <si>
    <t>Pedro Dias</t>
  </si>
  <si>
    <t>ASSOCIACAO DO EMPREENDIMENTO ARQUIPEO</t>
  </si>
  <si>
    <t>Pedro Donizete Gabbia Junior</t>
  </si>
  <si>
    <t>ASSOCIACAO DOS AMIGOS DO RESIDENCIAL VILA VERDE</t>
  </si>
  <si>
    <t>Pedro Ricardo Del Valle</t>
  </si>
  <si>
    <t>ASSOCIACAO RAIZZ ITAJAI</t>
  </si>
  <si>
    <t>PEG FACA SANTA CRUZ</t>
  </si>
  <si>
    <t>ATACAREJO KIDS</t>
  </si>
  <si>
    <t>PET CENTER COMERCIO E PARTICIPACOES S.A.</t>
  </si>
  <si>
    <t>ATRHOL - AGENCIA E TRANSPORTES HORIZONTINA LTDA</t>
  </si>
  <si>
    <t>PET'S LIFE</t>
  </si>
  <si>
    <t>AUGUSTO LOPES</t>
  </si>
  <si>
    <t>PHITOFARMA FARMACIA DE MANIPULACAO</t>
  </si>
  <si>
    <t>AVATO</t>
  </si>
  <si>
    <t>PIEMONTE RESIDENCIAL CLUB</t>
  </si>
  <si>
    <t>AZZ WSI DO BRASIL LTDA.</t>
  </si>
  <si>
    <t>PLACAR COMERCIO ATACADISTA DE BEBIDAS LTDA</t>
  </si>
  <si>
    <t>BASTOS, BARI, VILELA E ZUGMAN SOCIEDADE DE ADVOGADOS</t>
  </si>
  <si>
    <t>PLANETA PSF</t>
  </si>
  <si>
    <t>BEATRIZ DUARTE TRENTIN</t>
  </si>
  <si>
    <t>PLASTIMIL INDUSTRIA E COMERCIO DE PLASTICOS LTDA.</t>
  </si>
  <si>
    <t>BENS TRANSPORTE DE CARGAS LTDA</t>
  </si>
  <si>
    <t>PMP DRIVE SYSTEMS DO BRASIL COMERCIO LTDA</t>
  </si>
  <si>
    <t>BETON STEEL</t>
  </si>
  <si>
    <t>POA RESGATE</t>
  </si>
  <si>
    <t>BIAPANIDOCES</t>
  </si>
  <si>
    <t>POLIGONAL ENGENHARIA E CONSTRUCOES LTDA</t>
  </si>
  <si>
    <t>BISMARCK SEGURANCA E MONITORAMENTO LTDA</t>
  </si>
  <si>
    <t>POLIMETAL LIGAS E METAIS LTDA</t>
  </si>
  <si>
    <t>BONIN ENGENHARIA</t>
  </si>
  <si>
    <t>POLONIA SOCIEDADE BENEFICENTE DO RIO DE JANEIRO</t>
  </si>
  <si>
    <t>BR4 ENERGIA</t>
  </si>
  <si>
    <t>PONTA DOS FACHOS LOCACAO E ADMINISTRACAO DE IMOVEIS LTDA</t>
  </si>
  <si>
    <t>BRIGADEIRO DOCERIA E CAFE</t>
  </si>
  <si>
    <t>PONTAL ESPORTES</t>
  </si>
  <si>
    <t>BRUNA LUIZA DENGO</t>
  </si>
  <si>
    <t>POOLTHERM AQUECEDORES LTDA</t>
  </si>
  <si>
    <t>Bruno DINIZ DA SILVA</t>
  </si>
  <si>
    <t>PORCELANA HORACILIO RODRIGUES</t>
  </si>
  <si>
    <t>BUSCARIOLI COMERCIO E OFICINA DE MOTORES ELETRICOS LTDA.</t>
  </si>
  <si>
    <t>PORTSOL ESTRUTURAS METALICAS E INSTALACOES LTDA</t>
  </si>
  <si>
    <t>CALL EXPRESS TRANSPORTE E LOGISTICA LTDA</t>
  </si>
  <si>
    <t>POSTO VILA NOVA LTDA</t>
  </si>
  <si>
    <t>CAMPO DOS OUROS</t>
  </si>
  <si>
    <t>PREVISC</t>
  </si>
  <si>
    <t>CAOBELEIREIRO BY LIGA DOS BICHOS COMERCIO E SERVICOS LTDA</t>
  </si>
  <si>
    <t>Priscila Beneti</t>
  </si>
  <si>
    <t>Carina Sales</t>
  </si>
  <si>
    <t>PRISCILA CINTRA SOCOLOWSKI</t>
  </si>
  <si>
    <t>Carlo Velludo Guidi</t>
  </si>
  <si>
    <t>PROBENE FOODS</t>
  </si>
  <si>
    <t>Caroline Jullie Lopes Pena Aguiar</t>
  </si>
  <si>
    <t>PROCISA DO BRASIL PROJ.CONSTR.E INSTALACOES LTDA.</t>
  </si>
  <si>
    <t>CASTELO MOTORS</t>
  </si>
  <si>
    <t>PROCISA DO BRASIL PROJETOS, CONSTRUCOES E INSTALACOES</t>
  </si>
  <si>
    <t>CENTRO EDUCACIONAL JOAO PAULO I S/S LTDA.</t>
  </si>
  <si>
    <t>PROCONNECT INSTALACOES LTDA</t>
  </si>
  <si>
    <t>César Augusto Cyriaco</t>
  </si>
  <si>
    <t>PROJETA E REFORMA</t>
  </si>
  <si>
    <t>Cicero Leite Cavalcante</t>
  </si>
  <si>
    <t>PWS EMBALAGENS E MALETAS LTDA</t>
  </si>
  <si>
    <t>Clara Helena de Oliveira</t>
  </si>
  <si>
    <t>QR IMOVEL</t>
  </si>
  <si>
    <t>CLAUDIA TADIA LOPES LOURENCO</t>
  </si>
  <si>
    <t>RAFAEL GUTIERREZ MACHADO</t>
  </si>
  <si>
    <t>Clecio Santos Rodrigues</t>
  </si>
  <si>
    <t>Rafael Silva</t>
  </si>
  <si>
    <t>CLINICA CARDIOS</t>
  </si>
  <si>
    <t>Rafael Vieira marques</t>
  </si>
  <si>
    <t>Clodoaldo S Silva</t>
  </si>
  <si>
    <t>RAMPS PROJECT</t>
  </si>
  <si>
    <t>COLEGIO DOM BOSCO RIO CLARO</t>
  </si>
  <si>
    <t>Raphael Horn</t>
  </si>
  <si>
    <t>COMPACTOR</t>
  </si>
  <si>
    <t>Raphael Schmidt</t>
  </si>
  <si>
    <t>COMUNIDADE PRESBITERIANA CHACARA PRIMAVERA</t>
  </si>
  <si>
    <t>Rayza Nicácio Pereira</t>
  </si>
  <si>
    <t>COND.ED.POLONI</t>
  </si>
  <si>
    <t>RE9SOL ENERGIA SOLAR</t>
  </si>
  <si>
    <t>CONDOMINIO AQUARELA</t>
  </si>
  <si>
    <t>REAL ALIMENTOS LTDA .</t>
  </si>
  <si>
    <t>CONDOMINIO BRASIL</t>
  </si>
  <si>
    <t>RECICLAR BRASIL</t>
  </si>
  <si>
    <t>Condominio Colorado 3</t>
  </si>
  <si>
    <t>REDEPHARMA</t>
  </si>
  <si>
    <t>CONDOMINIO DO CONJUNTO RESIDENCIAL OURO VERDE</t>
  </si>
  <si>
    <t>Reinaldo Quintão Alves</t>
  </si>
  <si>
    <t>CONDOMINIO DO EDIFICIO DOMUS PROFESSOR MARIO PESSOA</t>
  </si>
  <si>
    <t>REMO CORPORATION LTDA</t>
  </si>
  <si>
    <t>CONDOMINIO DO EDIFICIO LEBLON BUSINESS CENTER</t>
  </si>
  <si>
    <t>Renata Albini</t>
  </si>
  <si>
    <t>CONDOMINIO DO EDIFICIO PARK LORENA</t>
  </si>
  <si>
    <t>RENATA VIDAL CARDOSO GARDENAL</t>
  </si>
  <si>
    <t>CONDOMINIO DO EDIFICIO PROMENADE GEMINIANO GOIS</t>
  </si>
  <si>
    <t>RENATO GONCALVES DE SOUZA</t>
  </si>
  <si>
    <t>CONDOMINIO DO EDIFICIO VARANDAS DO FORTE</t>
  </si>
  <si>
    <t>Renato Jorge Carvalho Pereira</t>
  </si>
  <si>
    <t>CONDOMINIO EDIFICIO ALLEGRO</t>
  </si>
  <si>
    <t>Renato P A Cagiali</t>
  </si>
  <si>
    <t>CONDOMINIO EDIFICIO BV</t>
  </si>
  <si>
    <t>Renato Trevisani</t>
  </si>
  <si>
    <t>CONDOMINIO EDIFICIO CAROLINA</t>
  </si>
  <si>
    <t>RESERVA FAMILY</t>
  </si>
  <si>
    <t>CONDOMINIO EDIFICIO ERNANI</t>
  </si>
  <si>
    <t>RESIDENCE DEL REY</t>
  </si>
  <si>
    <t>CONDOMINIO EDIFICIO GREENPARK</t>
  </si>
  <si>
    <t>RESIDENCIAL AGATA VILLE</t>
  </si>
  <si>
    <t>CONDOMINIO EDIFICIO MAISON D' AMBOISE</t>
  </si>
  <si>
    <t>RESIDENCIAL ALTOS DA SAMUEL MARTINS</t>
  </si>
  <si>
    <t>CONDOMINIO EDIFICIO MONDRIAN</t>
  </si>
  <si>
    <t>RESIDENCIAL CANADIAN VILLAGE</t>
  </si>
  <si>
    <t>CONDOMINIO EDIFICIO NOSSA SENHORA APARECIDA</t>
  </si>
  <si>
    <t>RESIDENCIAL HORIZONTE</t>
  </si>
  <si>
    <t>CONDOMINIO EDIFICIO RAGUEB ISSA</t>
  </si>
  <si>
    <t>RESIDENCIAL MIRANTE DO PARQUE</t>
  </si>
  <si>
    <t>CONDOMINIO EDIFICIO RESIDENCIAL VILLAGE LOUSIANA</t>
  </si>
  <si>
    <t>RESIDENCIAL PARQUE BRASIL</t>
  </si>
  <si>
    <t>CONDOMINIO EDIFICIO SAN DIEGO</t>
  </si>
  <si>
    <t>RESIDENCIAL PARQUE VALENCA III</t>
  </si>
  <si>
    <t>CONDOMINIO EDIFICIO SOLAR DOS CORTES</t>
  </si>
  <si>
    <t>RESIDENCIAL PITAGORAS</t>
  </si>
  <si>
    <t>CONDOMINIO EDIFICIO TUERIS</t>
  </si>
  <si>
    <t>RESIDENCIAL VERDES VALES</t>
  </si>
  <si>
    <t>CONDOMINIO ESPANHA</t>
  </si>
  <si>
    <t>RESIDENCIAL VILA REAL</t>
  </si>
  <si>
    <t>CONDOMINIO HOMELIKE</t>
  </si>
  <si>
    <t>RESIDENCIAL VILLA NOVA</t>
  </si>
  <si>
    <t>CONDOMINIO L ABITARE</t>
  </si>
  <si>
    <t>RESIDENCIAL VIVENDAS DE IPITANGA</t>
  </si>
  <si>
    <t>CONDOMINIO MANHATTAN SQUARE</t>
  </si>
  <si>
    <t>RESINGEO SOLUCOES EM POLIMEROS LTDA.</t>
  </si>
  <si>
    <t>CONDOMINIO MIRANTE BONSUCESSO</t>
  </si>
  <si>
    <t>RESIPLASTIC INDUSTRIA E COMERCIO LTDA</t>
  </si>
  <si>
    <t>CONDOMINIO MORUMBI SUL PARK</t>
  </si>
  <si>
    <t>RESTAURANTE INTERNACIONAL ORIENTAL BRASIL LTDA</t>
  </si>
  <si>
    <t>CONDOMINIO OS COQUEIROS DOS FLAMINGOS E SUB CONDOMINIO LA SERENA</t>
  </si>
  <si>
    <t>RETIN INDUSTRIA E COMERCIO LTDA</t>
  </si>
  <si>
    <t>CONDOMINIO PRIME DESIGN OFFICES</t>
  </si>
  <si>
    <t>Revise Campinas</t>
  </si>
  <si>
    <t>CONDOMINIO RESIDENCIAL ARACA</t>
  </si>
  <si>
    <t>REVIVER CLINICA DE REABILITACAO NEUROLOGICA</t>
  </si>
  <si>
    <t>CONDOMINIO RESIDENCIAL BITTENCOURT 678</t>
  </si>
  <si>
    <t>REZEK FERREIRA INFORMATICA LTDA</t>
  </si>
  <si>
    <t>CONDOMINIO RESIDENCIAL DAS CAMELIAS</t>
  </si>
  <si>
    <t>RGA BOMBAS LTDA</t>
  </si>
  <si>
    <t>CONDOMINIO RESIDENCIAL FONTE DOS PASSAROS</t>
  </si>
  <si>
    <t>RGT ACESSORIOS E PECAS LTDA</t>
  </si>
  <si>
    <t>CONDOMINIO RESIDENCIAL MAPP BARRA FUNDA - PERDIZES</t>
  </si>
  <si>
    <t>RICARDO BOYADJIAN</t>
  </si>
  <si>
    <t>CONDOMINIO RESIDENCIAL PARQUE ARAUCARIA</t>
  </si>
  <si>
    <t>RICARDO BUENO ROCHA LEME</t>
  </si>
  <si>
    <t>CONDOMINIO RESIDENCIAL PIAZZA MILANO</t>
  </si>
  <si>
    <t>Ricardo Capovila</t>
  </si>
  <si>
    <t>CONDOMINIO RESIDENCIAL PORTAL BARRA FUNDA - VILA TIRADENTES</t>
  </si>
  <si>
    <t>Ricardo de Alcântara Aby Azar</t>
  </si>
  <si>
    <t>CONDOMINIO RESIDENCIAL SAO JUDAS IV</t>
  </si>
  <si>
    <t>Ricardo F Serafim</t>
  </si>
  <si>
    <t>CONDOMINIO RESIDENCIAL VILA DAS FLORES</t>
  </si>
  <si>
    <t>RICARDO LUIS DINIZ</t>
  </si>
  <si>
    <t>CONDOMINIO SAINT JEROME</t>
  </si>
  <si>
    <t>RICARDO M RIBEIRO</t>
  </si>
  <si>
    <t>CONDOMINIO STUDIO HOME</t>
  </si>
  <si>
    <t>RICARDO PERREIRA</t>
  </si>
  <si>
    <t>CONDOMINIO VERSOS IPIRANGA</t>
  </si>
  <si>
    <t>Ricardo Pozzo</t>
  </si>
  <si>
    <t>CONDOMINIO VN FREI CANECA</t>
  </si>
  <si>
    <t>RIO HOTEL BRASIL EMPREENDIMENTOS IMOBILIARIOS LTDA.</t>
  </si>
  <si>
    <t>CONJUNTO RESIDENCIAL PORTAL DO LESTE</t>
  </si>
  <si>
    <t>RKF DISTRIBUIDORA LTDA</t>
  </si>
  <si>
    <t>CORRUTELA BAR E RESTAURANTE LTDA</t>
  </si>
  <si>
    <t>ROBERTA LIMA PERIN</t>
  </si>
  <si>
    <t>Covabra Loja 17</t>
  </si>
  <si>
    <t>ROBERTA MOLINA SOARES BUZIGNANI</t>
  </si>
  <si>
    <t>COVABRA Loja 6</t>
  </si>
  <si>
    <t>ROCHACK ENGENHARIA</t>
  </si>
  <si>
    <t>Cristian Parada</t>
  </si>
  <si>
    <t>ROCKTEC</t>
  </si>
  <si>
    <t>DAM SYSTEMS</t>
  </si>
  <si>
    <t>Rodnei Grandi</t>
  </si>
  <si>
    <t>Daniela Lírio Vieira de Almeida</t>
  </si>
  <si>
    <t>Rodolfo B R Pereira</t>
  </si>
  <si>
    <t>DELFIM COMERCIO E INDUSTRIA LTDA</t>
  </si>
  <si>
    <t>Rodolfo guerra</t>
  </si>
  <si>
    <t>Dennis Gallo</t>
  </si>
  <si>
    <t>RODRIGO DAVILA DA SILVA</t>
  </si>
  <si>
    <t>DIAS ALVES CONSTRUCOES &amp; REFORMAS</t>
  </si>
  <si>
    <t>Rodrigo Diogo Rebouças de Holanda</t>
  </si>
  <si>
    <t>DJA COMERCIO DE PISCINAS LTDA - ME</t>
  </si>
  <si>
    <t>Rodrigo Giorno Mele</t>
  </si>
  <si>
    <t>Domingos Soares</t>
  </si>
  <si>
    <t>Rodrigo Silva Porto</t>
  </si>
  <si>
    <t>D'PAULA INDUSTRIA E COMERCIO LTDA</t>
  </si>
  <si>
    <t>ROGERIO RODRIGUES GELATO GROUP LTDA</t>
  </si>
  <si>
    <t>DWF COMUNICACAO VISUAL LTDA</t>
  </si>
  <si>
    <t>ROMAJO COMERCIAL ELETRICA</t>
  </si>
  <si>
    <t>Edgar Fernandes Caires Lourenço</t>
  </si>
  <si>
    <t>ROOL CONSTRUTORA</t>
  </si>
  <si>
    <t>EDIFICIO JARDINS DA VILA</t>
  </si>
  <si>
    <t>Rosimeire Pereira Da Silva</t>
  </si>
  <si>
    <t>EDIFICIO ORION</t>
  </si>
  <si>
    <t>ROSOSUL EXPRESS LTDA</t>
  </si>
  <si>
    <t>EDIFICIO TORRE DE LA DEFENSE</t>
  </si>
  <si>
    <t>ROSSI MAIS RESERVA JAGUARE</t>
  </si>
  <si>
    <t>Edson Dias da Silveira Junior</t>
  </si>
  <si>
    <t>ROVALI INDUSTRIA DE AUTO PECAS LTDA</t>
  </si>
  <si>
    <t>EFFORT ENGENHARIA</t>
  </si>
  <si>
    <t>RP CASES EMBALAGENS E MALETAS LTDA</t>
  </si>
  <si>
    <t>ELETRORARO COMERCIO DE ELETRODOMESTICOS LTDA</t>
  </si>
  <si>
    <t>rubens berossa</t>
  </si>
  <si>
    <t>Elizabeth Gouvea</t>
  </si>
  <si>
    <t>RUBENS MARQUES DE PAIVA JUNIOR</t>
  </si>
  <si>
    <t>ELPACK EMBALAGEM E PRODUTOS DE LIMPEZA</t>
  </si>
  <si>
    <t>RUSSER BRASIL LTDA</t>
  </si>
  <si>
    <t>EMBRIOLOGICA</t>
  </si>
  <si>
    <t>Rutiele pereira da silva</t>
  </si>
  <si>
    <t>ENDEAL</t>
  </si>
  <si>
    <t>S FIGUEIREDO CONSTRUTORA LTDA</t>
  </si>
  <si>
    <t>ENGESHOP</t>
  </si>
  <si>
    <t>SAGE BRASIL INTERIORES AUT IND E COM LTDA.</t>
  </si>
  <si>
    <t>Epson do Brasil</t>
  </si>
  <si>
    <t>SAINT GERMAIN</t>
  </si>
  <si>
    <t>ER ANALITICA</t>
  </si>
  <si>
    <t>Samara Bitencourt Borges</t>
  </si>
  <si>
    <t>ERNESTO GIOVANONI JUNIOR</t>
  </si>
  <si>
    <t>San Conrado</t>
  </si>
  <si>
    <t>ESPACO NOTRE</t>
  </si>
  <si>
    <t>SANASA CAMPINAS</t>
  </si>
  <si>
    <t>ESTILO GRANJA VIANA</t>
  </si>
  <si>
    <t>Sandra Bueno de Oliveira</t>
  </si>
  <si>
    <t>EY TELECOM / GTA TELECOM</t>
  </si>
  <si>
    <t>SANDRA MUNOZ MERINO</t>
  </si>
  <si>
    <t>Fabiano Pires</t>
  </si>
  <si>
    <t>SANEX COMERCIO E INDUSTRIA</t>
  </si>
  <si>
    <t>Fabrizia T Cecilio</t>
  </si>
  <si>
    <t>SAN-SEI COMERCIAL LTDA</t>
  </si>
  <si>
    <t>FAPEG</t>
  </si>
  <si>
    <t>SANTA ELIZA ECO RESORT LTDA.</t>
  </si>
  <si>
    <t>FAZENDA RIO SEM PASSO</t>
  </si>
  <si>
    <t>SANTA ETELVINA VII</t>
  </si>
  <si>
    <t>Fellipe Viana Vicente</t>
  </si>
  <si>
    <t>SAPI</t>
  </si>
  <si>
    <t>Fernando Faccioli</t>
  </si>
  <si>
    <t>SAQUAMOTOS</t>
  </si>
  <si>
    <t>Fernando Lahr</t>
  </si>
  <si>
    <t>SAUDE OCUPACIONAL UNIMED - SOU</t>
  </si>
  <si>
    <t>FILIAL DOMINGOS JORGE</t>
  </si>
  <si>
    <t>Sávio Luiz Couto Monteleone</t>
  </si>
  <si>
    <t>FITAS PROGRESSO</t>
  </si>
  <si>
    <t>SBA GIRASSOL</t>
  </si>
  <si>
    <t>Flavio Baranyi Famula</t>
  </si>
  <si>
    <t>SCANDALLO RESTAURANTE LTDA</t>
  </si>
  <si>
    <t>FLUKKA FARMA</t>
  </si>
  <si>
    <t>Sebastiao C R Silva Claudio</t>
  </si>
  <si>
    <t>FORTBRAS AUTOPECAS S.A.</t>
  </si>
  <si>
    <t>SEMAX ENGENHARIA</t>
  </si>
  <si>
    <t>Francisco Ivanildo de Castro Magalhães</t>
  </si>
  <si>
    <t>SENAR AR/SP</t>
  </si>
  <si>
    <t>FUNDACAO VALEPARAIBANA DE ENSINO</t>
  </si>
  <si>
    <t>SENGEL CONSTRUCOES LTDA E ST UNIF</t>
  </si>
  <si>
    <t>Gabriela Rampim Abreu</t>
  </si>
  <si>
    <t>SEPARI SEPARATORS</t>
  </si>
  <si>
    <t>GCF COMERCIO DE SUPLEMENTOS LTDA</t>
  </si>
  <si>
    <t>SERAFIM SOLUCOES</t>
  </si>
  <si>
    <t>GERARDUS JOHANNES MARIA BARENDSE E OUTROS</t>
  </si>
  <si>
    <t>Sérgio Fabiano De Souza</t>
  </si>
  <si>
    <t>Giovanna Cândido da Silveira</t>
  </si>
  <si>
    <t>Sérgio Luiz Machado</t>
  </si>
  <si>
    <t>25 TABELIAO DE NOTAS</t>
  </si>
  <si>
    <t>SERGIO RODRIGUES FERNANDES JUNIOR</t>
  </si>
  <si>
    <t>59.939.615 IRLANDIA SILVA LOPES</t>
  </si>
  <si>
    <t>SEROBRITA MINERACAO LTDA</t>
  </si>
  <si>
    <t>Abdias m Queiroz filho</t>
  </si>
  <si>
    <t>SEROPEDICA</t>
  </si>
  <si>
    <t>ADEMICON ADMINISTRADORA DE CONSORCIOS S/A</t>
  </si>
  <si>
    <t>SERVICE ACESSORIOS</t>
  </si>
  <si>
    <t>AGENCIA TRILHAS</t>
  </si>
  <si>
    <t>SETOR RESIDENCIAL</t>
  </si>
  <si>
    <t>Albérioo Amorim Silva</t>
  </si>
  <si>
    <t>SHEARER DO BRASIL EMPREENDIMENTOS IMOBILIARIOS, AGROPECUARIA E PARTICIPACOES LTDA</t>
  </si>
  <si>
    <t>Alexandre F. Domingues</t>
  </si>
  <si>
    <t>Sheila Inês Caetano Pereira</t>
  </si>
  <si>
    <t>ALTOS DA AVENIDA</t>
  </si>
  <si>
    <t>SICOOB FLUMINENSE</t>
  </si>
  <si>
    <t>Ana Flávia Cappellano</t>
  </si>
  <si>
    <t>Sidnei Fábio Murgo</t>
  </si>
  <si>
    <t>André Eloy Pimenta Melo</t>
  </si>
  <si>
    <t>SILKSTAR</t>
  </si>
  <si>
    <t>ANISIO COSTA CASTELO BRANCO</t>
  </si>
  <si>
    <t>SILVA CONSTRUCOES E REFORMAS LTDA</t>
  </si>
  <si>
    <t>ARTHREX BRASIL</t>
  </si>
  <si>
    <t>Silvana Alves Mendonca</t>
  </si>
  <si>
    <t>ASSOCIACAO DOS AMIGOS DA CASA DO BANDEIRANTE - AACB</t>
  </si>
  <si>
    <t>Silvani Luiz</t>
  </si>
  <si>
    <t>ASSOCIACAO TAMBORE RESIDENCIAL 2</t>
  </si>
  <si>
    <t>Silvia Marinho</t>
  </si>
  <si>
    <t>Audrey Moreira</t>
  </si>
  <si>
    <t>Silvio Cesar Barros</t>
  </si>
  <si>
    <t>AVITA CARE</t>
  </si>
  <si>
    <t>SIM DISTRIBUIDORA DE VEICULOS E PECAS LTDA</t>
  </si>
  <si>
    <t>BC CONSTRUTORA</t>
  </si>
  <si>
    <t>Simao Ribeiro</t>
  </si>
  <si>
    <t>BEST-X ENGENHARIA LTDA</t>
  </si>
  <si>
    <t>Simone Cavalheiro</t>
  </si>
  <si>
    <t>BIONEURO</t>
  </si>
  <si>
    <t>Simone de Fátima Cavallaro</t>
  </si>
  <si>
    <t>BONO UNIMART</t>
  </si>
  <si>
    <t>SINDICATO DOS TRABALHADORES EM RESTAURANTES</t>
  </si>
  <si>
    <t>BRR ASSESSORIA DE COBRANCA E ADM DE CREDIARIO LTDA</t>
  </si>
  <si>
    <t>SINDICATO DOS TRABALHADORES NO COM HOTELEIRO</t>
  </si>
  <si>
    <t>BS&amp;B Safety System Ltda</t>
  </si>
  <si>
    <t>SINGLE TOLLE</t>
  </si>
  <si>
    <t>Camila Gomes Ventura</t>
  </si>
  <si>
    <t>SIRLENE ANTONIA MOREIRA</t>
  </si>
  <si>
    <t>Carina Cogo Bento</t>
  </si>
  <si>
    <t>SLEEVER INTERNATIONAL LTDA</t>
  </si>
  <si>
    <t>Carlos de souza Gilberti</t>
  </si>
  <si>
    <t>SOC BRAS DE AUTORES COMPOSITORES E ESCRITORES DE MUSICA</t>
  </si>
  <si>
    <t>Celso Mendes Amaro</t>
  </si>
  <si>
    <t>SOCIEDADE HIPICA PAULISTA</t>
  </si>
  <si>
    <t>CHALFIN, GOLDBERG E VAINBOIM SOCIEDADE DE ADVOGADOS</t>
  </si>
  <si>
    <t>Solange Cipelli Pellicci</t>
  </si>
  <si>
    <t>CLARK SOLUTIONS</t>
  </si>
  <si>
    <t>SOLECON ENERGIA - CONSULTORIA &amp; NEGOCIOS</t>
  </si>
  <si>
    <t>Cleria Maria Barcelos da Costa</t>
  </si>
  <si>
    <t>SOLVEIG</t>
  </si>
  <si>
    <t>CMV ENGENHARIA E ARQUITETURA</t>
  </si>
  <si>
    <t>SOTIN SOLUCOES TECNICAS, INDUSTRIA E COMERCIO LTDA</t>
  </si>
  <si>
    <t>Compras Maoli</t>
  </si>
  <si>
    <t>SPEED TRUCK</t>
  </si>
  <si>
    <t>CONDOMINIO ABAETE 11</t>
  </si>
  <si>
    <t>SQUAD 360</t>
  </si>
  <si>
    <t>CONDOMINIO CHACARA ANALIA FRANCO</t>
  </si>
  <si>
    <t>SQUADRA LAPI EMPREENDIMENTOS IMOBILIARIOS LTDA</t>
  </si>
  <si>
    <t>CONDOMINIO DO EDIFICIO BANGUE</t>
  </si>
  <si>
    <t>SS TECNOLOGIA INDUSTRIAL E COMERCIO LTDA</t>
  </si>
  <si>
    <t>CONDOMINIO DO EDIFICIO MARQUES DE SAO VICENTE</t>
  </si>
  <si>
    <t>STAR FARMA</t>
  </si>
  <si>
    <t>CONDOMINIO DO EDIFICIO RESIDENCIAL GUILHERME DE NORWICH</t>
  </si>
  <si>
    <t>STATUS PRO HIGIENE E LIMPEZA LTDA</t>
  </si>
  <si>
    <t>CONDOMINIO EDIFICIO BELA VISTA</t>
  </si>
  <si>
    <t>STEFANINI MG LTDA</t>
  </si>
  <si>
    <t>CONDOMINIO EDIFICIO CODE BERRINI</t>
  </si>
  <si>
    <t>STEINER ENGENHARIA EIRELI</t>
  </si>
  <si>
    <t>CONDOMINIO EDIFICIO ITABORAI</t>
  </si>
  <si>
    <t>Strauss Penedo</t>
  </si>
  <si>
    <t>CONDOMINIO EDIFICIO NELYZA</t>
  </si>
  <si>
    <t>STRONGLIFT CENTRO DE TREINAMENTO</t>
  </si>
  <si>
    <t>CONDOMINIO EDIFICIO RESIDENCIAL ENCOSTA DO SOL</t>
  </si>
  <si>
    <t>STUDIO 190 EVENTOS LTDA</t>
  </si>
  <si>
    <t>CONDOMINIO EDIFICIO SMART CLUB RESIDENCE</t>
  </si>
  <si>
    <t>SUDELETRO</t>
  </si>
  <si>
    <t>CONDOMINIO EDIFICIO VILLE GIVERNY.</t>
  </si>
  <si>
    <t>SUDOESTE PARTICIPACOES E ADMINISTRACAO</t>
  </si>
  <si>
    <t>CONDOMINIO JARDIM DO MAR</t>
  </si>
  <si>
    <t>SUPER HOST BRASIL LTDA.</t>
  </si>
  <si>
    <t>CONDOMINIO MEDITERRANEO</t>
  </si>
  <si>
    <t>SUPLEY LABORATORIO</t>
  </si>
  <si>
    <t>CONDOMINIO NOVO HORIZONTE JARDINS II</t>
  </si>
  <si>
    <t>SUPREMO CITY</t>
  </si>
  <si>
    <t>CONDOMINIO RESID. GRAZIELA VELOSO DE OLIVEIRA</t>
  </si>
  <si>
    <t>Suzana Ávila da Silva</t>
  </si>
  <si>
    <t>CONDOMINIO RESIDENCIAL CHACARA SANTA CRUZ</t>
  </si>
  <si>
    <t>SWEDA INFORMATICA LTDA</t>
  </si>
  <si>
    <t>CONDOMINIO RESIDENCIAL HORIZONTES PRACAS RESIDENCIAIS</t>
  </si>
  <si>
    <t>SWISS PARK PARTICIPACOES LTDA</t>
  </si>
  <si>
    <t>CONDOMINIO RESIDENCIAL PARQUE RIO DAS PEDRAS</t>
  </si>
  <si>
    <t>TABOR PARTICIPACOES LTDA</t>
  </si>
  <si>
    <t>CONDOMINIO RESIDENCIAL PORTINARI</t>
  </si>
  <si>
    <t>TAKASAGO FRAGRANCIAS E AROMAS LTDA</t>
  </si>
  <si>
    <t>CONDOMINIO RESIDENCIAL VIVARTE ALAMEDAS</t>
  </si>
  <si>
    <t>Tales Calegari</t>
  </si>
  <si>
    <t>CONDOMINIO VEDARA</t>
  </si>
  <si>
    <t>TANNER</t>
  </si>
  <si>
    <t>CONFORMETAL</t>
  </si>
  <si>
    <t>TATIANA MEDEIROS PINTO</t>
  </si>
  <si>
    <t>COVABRA CENTRO DE DISTRIBUIÇÃO</t>
  </si>
  <si>
    <t>TAYARA GILLO DA SILVA</t>
  </si>
  <si>
    <t>CRESCE CLINICA ESPECIALIZADA LTDA</t>
  </si>
  <si>
    <t>TEC AND TEC</t>
  </si>
  <si>
    <t>DANIEL LETRAS</t>
  </si>
  <si>
    <t>TECH IMMUNE IMUNIZACAO E PREVENCOES EM SAUDE</t>
  </si>
  <si>
    <t>DELTA LINK COMERCIO E IMPORTACAO LTDA</t>
  </si>
  <si>
    <t>TECHNOSERVICE BRASIL MONTAGENS LTDA</t>
  </si>
  <si>
    <t>DIMEBRAS</t>
  </si>
  <si>
    <t>TECITEC FILTRACAO E TRATAMENTO DE EFLUENTES LTDA</t>
  </si>
  <si>
    <t>Douglas Nathan de Oliveira Nunes</t>
  </si>
  <si>
    <t>TECNOPERFIL</t>
  </si>
  <si>
    <t>E Q U I V E S T.</t>
  </si>
  <si>
    <t>TECTURBO COMPRESSORES PECAS E SERVICOS LTDA</t>
  </si>
  <si>
    <t>EDIFICIO ORIENTAL</t>
  </si>
  <si>
    <t>TELECAM INDUSTRIA E COMERCIO DE FIOS E CABOS LTDA</t>
  </si>
  <si>
    <t>EDIFICIO WINNER FAMILY CLUB</t>
  </si>
  <si>
    <t>TENGE INDUSTRIAL S/A</t>
  </si>
  <si>
    <t>ELECTROCHEMICAL INDUSTRIA E COMERCIO DE PRODUTOS QUIMICOS LTDA</t>
  </si>
  <si>
    <t>Terezinha Goretti Tortato Cavichiolo</t>
  </si>
  <si>
    <t>ELLO CONSTRUTORA</t>
  </si>
  <si>
    <t>TGP BRASIL PROJETOS &amp; TRANSPORTES INTERNACIONAIS LTDA</t>
  </si>
  <si>
    <t>Emuge - Franken Ferramentas de Precisão Ltda</t>
  </si>
  <si>
    <t>THA ENVIADO SERVICOS LTDA</t>
  </si>
  <si>
    <t>EPICA ADMINISTRACAO LTDA</t>
  </si>
  <si>
    <t>Thaina De Oliveira Cunha Dias</t>
  </si>
  <si>
    <t>Erika Machado</t>
  </si>
  <si>
    <t>Tharsio Frezzato</t>
  </si>
  <si>
    <t>ESPROM - COMERCIO E SERVICOS DE PRODUTOS METALICOS LTDA</t>
  </si>
  <si>
    <t>THE OFFER CO.</t>
  </si>
  <si>
    <t>Fabiana Gentil</t>
  </si>
  <si>
    <t>THERMO SERVICE SERVICOS TECNICOS LTDA</t>
  </si>
  <si>
    <t>FAF TEXTIL</t>
  </si>
  <si>
    <t>THERMOMATIC DO BRASIL LTDA</t>
  </si>
  <si>
    <t>Felipe Pereira Da Silva</t>
  </si>
  <si>
    <t>Thiago Figueiredo</t>
  </si>
  <si>
    <t>Fernando Jose Bardou</t>
  </si>
  <si>
    <t>Tiago Brito Dias</t>
  </si>
  <si>
    <t>FILTERINTER ENTERPRISES LTDA</t>
  </si>
  <si>
    <t>Tiago Ferreira dos Santos</t>
  </si>
  <si>
    <t>FLORESTAL EMPREENDIMENTOS LTDA</t>
  </si>
  <si>
    <t>Titanx Refrigeração de Motores LTDA</t>
  </si>
  <si>
    <t>FOX TINTAS</t>
  </si>
  <si>
    <t>TODAY MOEMA</t>
  </si>
  <si>
    <t>Gabriel Rodrigues De Araujo</t>
  </si>
  <si>
    <t>Tomás Lima</t>
  </si>
  <si>
    <t>Geraldo Soares Menezes Filho</t>
  </si>
  <si>
    <t>TOR RHUV USINAGEM E MANUTENCAO INDUSTRIAL</t>
  </si>
  <si>
    <t>Giuliana Castelano</t>
  </si>
  <si>
    <t>TR EMPREENDIMENTOS IMOBILIARIOS LTDA</t>
  </si>
  <si>
    <t>71 ASPICUELTA</t>
  </si>
  <si>
    <t>TRANSCATARINA TRANSPORTE RODOVIARIO LTDA</t>
  </si>
  <si>
    <t>Adriano de Lacerda</t>
  </si>
  <si>
    <t>TRANSMETA</t>
  </si>
  <si>
    <t>Alethea Ruckert de Araujo</t>
  </si>
  <si>
    <t>TRANSMORGUINI LOCACAO E TRANSPORTES LTDA</t>
  </si>
  <si>
    <t>AMANDA DOS SANTOS DA CUNHA LOPES</t>
  </si>
  <si>
    <t>TRANSPORTES RODOVIARIOS TEIXEIRA VARAJAO LTDA</t>
  </si>
  <si>
    <t>Andrea Cristina Ladeira</t>
  </si>
  <si>
    <t>TREND FOR YOU INDUSTRIA E COMERCIO DE VESTUARIOS LTDA</t>
  </si>
  <si>
    <t>ASSOCIACAO DE MORADORES DOS CONDOMINIOS RESIDENCIAIS BELAS ARTES, BELAS ARTES I, BELAS ARTES II E BELAS ARTES III</t>
  </si>
  <si>
    <t>TRES LAGOAS SOLAR</t>
  </si>
  <si>
    <t>ATOL ACAI BAR LTDA</t>
  </si>
  <si>
    <t>TRIMAK RENTAL</t>
  </si>
  <si>
    <t>B R A SERVICOS DE COMUNICACAO LTDA</t>
  </si>
  <si>
    <t>Tuany Candido</t>
  </si>
  <si>
    <t>Bianca Azevedo Lisboa</t>
  </si>
  <si>
    <t>Tulio Christian Mendes</t>
  </si>
  <si>
    <t>BRADESCO AG SAO LEOPOLDO EST UNIF</t>
  </si>
  <si>
    <t>ULTRA COFFEE FACAMP</t>
  </si>
  <si>
    <t>Caetano Del Pozzo</t>
  </si>
  <si>
    <t>ULTRA COMPONENTES AUTOMOTIVO</t>
  </si>
  <si>
    <t>Carla Cristina Rocha de Oliveira Cardoso</t>
  </si>
  <si>
    <t>ULTRA MAQUINAS ASSISTENCIA TECNICA E LOCACOES LTDA</t>
  </si>
  <si>
    <t>CENTRO NACIONAL DE TRANSPORTE</t>
  </si>
  <si>
    <t>UNICRED DO BRASIL</t>
  </si>
  <si>
    <t>CLAUDIO CELIBERTI</t>
  </si>
  <si>
    <t>UNIEDUCAMP FACULDADES INTEGRADAS LTDA</t>
  </si>
  <si>
    <t>COMERCIAL PIRALCOOL LTDA</t>
  </si>
  <si>
    <t>UNIMED OS BANDEIRANTES - LABORATORIO UNIDADE ITATIBA</t>
  </si>
  <si>
    <t>CONDOMINIO ARTIS JARDIM PRUDENCIA</t>
  </si>
  <si>
    <t>UNITED LAB LTDA</t>
  </si>
  <si>
    <t>CONDOMINIO DO EDIFICIO JOSIAS</t>
  </si>
  <si>
    <t>UNITHAL</t>
  </si>
  <si>
    <t>CONDOMINIO DUO RESERVA DO JAPI RESIDENCIAL CLUBE</t>
  </si>
  <si>
    <t>USCS</t>
  </si>
  <si>
    <t>CONDOMINIO EDIFICIO FRADIQUE COUTINHO</t>
  </si>
  <si>
    <t>USETINTAS</t>
  </si>
  <si>
    <t>CONDOMINIO EDIFICIO OLIMPIA PARK</t>
  </si>
  <si>
    <t>USIMETA</t>
  </si>
  <si>
    <t>CONDOMINIO EDIFICIO THE WALDORF</t>
  </si>
  <si>
    <t>UTGARD OBRAS E SERVICOS LTDA</t>
  </si>
  <si>
    <t>CONDOMINIO LIBER VILA PRUDENTE</t>
  </si>
  <si>
    <t>UV PACK COMERCIO E SERVICOS DE ACABAMENTOS GRAFICOS LTDA</t>
  </si>
  <si>
    <t>CONDOMINIO PARQUE DAS VERTENTES</t>
  </si>
  <si>
    <t>valdelice da silva</t>
  </si>
  <si>
    <t>CONDOMINIO RESIDENCIAL FIRENZI</t>
  </si>
  <si>
    <t>VALERIA CONTIN</t>
  </si>
  <si>
    <t>CONDOMINIO RESIDENCIAL PORTAL BARRA FUNDA - VILA PACAEMBU</t>
  </si>
  <si>
    <t>VALESKA DURAZZO DA SILVA</t>
  </si>
  <si>
    <t>CONDOMINIO SPA LIFE GARDEN</t>
  </si>
  <si>
    <t>Valter Craveiro da Silva</t>
  </si>
  <si>
    <t>CONSTRUTAMI ENGENHARIA E COMERCIO LTDA</t>
  </si>
  <si>
    <t>Valter Rossette</t>
  </si>
  <si>
    <t>CTO - CENTRO TRAUMATOLOGICO E ORTOPEDICO LTDA</t>
  </si>
  <si>
    <t>VALUL SERVICE</t>
  </si>
  <si>
    <t>Denyse de Sousa Silva Araújo</t>
  </si>
  <si>
    <t>Vanessa</t>
  </si>
  <si>
    <t>DROGARIA CAMBIAGHI LTDA</t>
  </si>
  <si>
    <t>VANESSA PEREIRA FARINHA</t>
  </si>
  <si>
    <t>EDIFICIO ROYAL GARDEN I</t>
  </si>
  <si>
    <t>Vania Maria Carvalho</t>
  </si>
  <si>
    <t>Elias Rodrigues</t>
  </si>
  <si>
    <t>VANNUCCI IMPORTACAO, EXPORTACAO E COMERCIO DE AUTOPECAS LTDA</t>
  </si>
  <si>
    <t>ENERLAB SERVICOS LTDA</t>
  </si>
  <si>
    <t>VENKON EXPRESS TRANSPORTES</t>
  </si>
  <si>
    <t>ESCOLA SENAI LUIZ VARGA - CFP 5.05</t>
  </si>
  <si>
    <t>Vera Lúcia N Rodriguez</t>
  </si>
  <si>
    <t>Fabio Silvestre Ronzani</t>
  </si>
  <si>
    <t>VERANOPOLIS GUINCHOS</t>
  </si>
  <si>
    <t>FENIX GESTAO DE PATRIMONIO</t>
  </si>
  <si>
    <t>VERDE IMOVEIS E ENERGIA</t>
  </si>
  <si>
    <t>Flaviane Jesus Gonçalves</t>
  </si>
  <si>
    <t>VERDEBIANCO</t>
  </si>
  <si>
    <t>FRIGORIFICO EL'GOLLI LTDA</t>
  </si>
  <si>
    <t>VERI ALIMENTOS FILIAL PAINEIRAS</t>
  </si>
  <si>
    <t>Gerson Rocha de Souza</t>
  </si>
  <si>
    <t>VETNIL INDUSTRIA E COMERCIO DE PRODUTOS VETERIN LTDA</t>
  </si>
  <si>
    <t>ACOS PRIME LTDA</t>
  </si>
  <si>
    <t>VIAESTETIC</t>
  </si>
  <si>
    <t>ALMOFARIZ</t>
  </si>
  <si>
    <t>Victor Borgomoni</t>
  </si>
  <si>
    <t>APROCEN ASSOCIA DE PROPRIE DO RESIDENC PALLOMINO VALLEY</t>
  </si>
  <si>
    <t>VIDA ENGENHARIA LTDA</t>
  </si>
  <si>
    <t>AUTOMATIZE SOLUCOES</t>
  </si>
  <si>
    <t>VILA PARAISO RESTAURANTE LTDA</t>
  </si>
  <si>
    <t>BLOCO C DA SQN 116</t>
  </si>
  <si>
    <t>VILLAGIO PELAVIDA</t>
  </si>
  <si>
    <t>CAMPUS II CAMPINAS SWIFT/CLINICA ESCOLA PSICOL.APLICADA</t>
  </si>
  <si>
    <t>Vilson Alves Feitoza</t>
  </si>
  <si>
    <t>CIM AUTOMACAO LTDA</t>
  </si>
  <si>
    <t>VIMASTER INDUSTRIA E COMERCIO DE COMPONENTES DE VIDRO LTDA.</t>
  </si>
  <si>
    <t>CONCREFER INDUSTRIA E COMERCIO DE POSTES E ARTEFATOS DE CIMENTO LTDA</t>
  </si>
  <si>
    <t>VINHEDO PORTAL - MALL</t>
  </si>
  <si>
    <t>CONDOMINIO DO EDIFICIO PRINCIPE DE GALLES</t>
  </si>
  <si>
    <t>Vinicius Fernandes Aires</t>
  </si>
  <si>
    <t>CONDOMINIO EDIFICIO MARIBEL</t>
  </si>
  <si>
    <t>Vinicius Ramos Silva</t>
  </si>
  <si>
    <t>CONDOMINIO FLAMBOAYNT</t>
  </si>
  <si>
    <t>VINICOLA SUZIN LTDA</t>
  </si>
  <si>
    <t>CONDOMINIO RESIDENCIAL ATHENAS</t>
  </si>
  <si>
    <t>Vitor Fernandes Pinheiro Silva</t>
  </si>
  <si>
    <t>CONDOMINIO RESIDENCIAL VARANDAS CAMPINAS CARLOS GOMES</t>
  </si>
  <si>
    <t>VIVACOM COMERCIO E SERVICOS LTDA</t>
  </si>
  <si>
    <t>Covabra Loja 24</t>
  </si>
  <si>
    <t>VIVIANE NOVAES DE MOURA VIEIRA 01101044128</t>
  </si>
  <si>
    <t>DOCE SAO PAULO CAFE E CHOCOLATE LTDA</t>
  </si>
  <si>
    <t>VIVIANNE WAKUDA PATISSIERE</t>
  </si>
  <si>
    <t>Eduardo Carneiro</t>
  </si>
  <si>
    <t>VIZU HAIR CLUB</t>
  </si>
  <si>
    <t>EQUILIBRIO CARE GESTAO E LOGISTICA DE APOIO EM SAUDE LTDA</t>
  </si>
  <si>
    <t>VLADIMIR DE JESUS PREDA</t>
  </si>
  <si>
    <t>FASS INDUSTRIA E COMERCIO DE PRODUTOS AGROPECUARIOS LTDA</t>
  </si>
  <si>
    <t>VLF ASSESSORIA CONTABIL LTDA</t>
  </si>
  <si>
    <t>FLYER INDUSTRIA AERONAUTICA LTDA</t>
  </si>
  <si>
    <t>WAIMEA SERVICOS ADMINISTRATIVOS E PARTICIPACOES LTDA</t>
  </si>
  <si>
    <t>44.056.389 DANIELLE CEZARINO LOPES</t>
  </si>
  <si>
    <t>Waldir Rodrigues da Silva</t>
  </si>
  <si>
    <t>Anderson Tadeu Dorta Munhoz</t>
  </si>
  <si>
    <t>Walter Antonio Lúcio dos Santos</t>
  </si>
  <si>
    <t>Benedito Maurício Martins de Carvalho</t>
  </si>
  <si>
    <t>Wanalda Alcaantara Guerra</t>
  </si>
  <si>
    <t>CASARAO DAS FERRAMENTAS</t>
  </si>
  <si>
    <t>Wanderley Coelho Baptista</t>
  </si>
  <si>
    <t>CONDOMINIO CONECT LIFE</t>
  </si>
  <si>
    <t>WANIA G KAFTAN</t>
  </si>
  <si>
    <t>CONDOMINIO EDIFICIO SAINT BARTHS</t>
  </si>
  <si>
    <t>WEBMOTORS S.A.</t>
  </si>
  <si>
    <t>CONDOMINIO RESIDENCIAL MONTE CARLO</t>
  </si>
  <si>
    <t>WERK ARQUITETURA</t>
  </si>
  <si>
    <t>DAY CLINIC PARAGOMINAS</t>
  </si>
  <si>
    <t>WG SEGURANCA ELETRONICA</t>
  </si>
  <si>
    <t>EMBATEK TECNOLOGIA EM COSMETICOS LTDA</t>
  </si>
  <si>
    <t>WILIANS DE OLIVEIRA GODOI</t>
  </si>
  <si>
    <t>FERREIRA AGUIAR LTDA</t>
  </si>
  <si>
    <t>WILL GARAGE LTDA</t>
  </si>
  <si>
    <t>AGUAS DE CABREUVA COMERCIAL LTDA.</t>
  </si>
  <si>
    <t>William Artur gabryel pussi</t>
  </si>
  <si>
    <t>Bruna Schmitz</t>
  </si>
  <si>
    <t>WILSON MARCOS DE AGUIAR</t>
  </si>
  <si>
    <t>CONDOMINIO EDIFICIO CALCENTER II</t>
  </si>
  <si>
    <t>WORK LAVANDERIA INDUSTRIAL LTDA</t>
  </si>
  <si>
    <t>CONDOMINIO VILLANOVA GRANJA VIANNA</t>
  </si>
  <si>
    <t>WR GUINCHO &amp; SERVICOS</t>
  </si>
  <si>
    <t>Evandro Alves dos Santos</t>
  </si>
  <si>
    <t>WS CROSS CENTRO DE TREINAMENTO LTDA</t>
  </si>
  <si>
    <t>ASSOCIACAO DOS TRIPULANTES DA LATAM BRASIL - ATL</t>
  </si>
  <si>
    <t>YIELD ENGENHARIA LTDA</t>
  </si>
  <si>
    <t>CONDOMINIO MONT SERRAT</t>
  </si>
  <si>
    <t>ZARA CAFE LTDA</t>
  </si>
  <si>
    <t>GANNA IMPORTACAO</t>
  </si>
  <si>
    <t>ZETU COMERCIO DE ALIMENTOS LTDA</t>
  </si>
  <si>
    <t>EDIFICIO COMERCIAL / APART - HOTEL</t>
  </si>
  <si>
    <t>ZOE STORES</t>
  </si>
  <si>
    <t>CLINICA MEDICA FERNANDA SIMOES LTDA</t>
  </si>
  <si>
    <t>Zoroastro José de Souza Vasconcelos Neto</t>
  </si>
  <si>
    <t>3 RAMOS CONSTRUCOES LTDA</t>
  </si>
  <si>
    <t>PENACHIN RADIADORES</t>
  </si>
  <si>
    <t>MIGUEL RAIMUNDO DA SILVA JUNIOR</t>
  </si>
  <si>
    <t>Bianca Barra de Mello</t>
  </si>
  <si>
    <t>MMTECH</t>
  </si>
  <si>
    <t>CONDOMINIO VILLA PARADISO</t>
  </si>
  <si>
    <t>Caio Marra</t>
  </si>
  <si>
    <t>CONDOMINIO MAXX SANTA ANGELA</t>
  </si>
  <si>
    <t>Roane Malaguti Ribeiro dos Santos</t>
  </si>
  <si>
    <t>Rodrigo de Azevedo Campello</t>
  </si>
  <si>
    <t>FANCOLD</t>
  </si>
  <si>
    <t>TELD ECO CHARGER LTDA</t>
  </si>
  <si>
    <t>PIMENTEL, VEGA, SMILGIN, SOUZA, LIMA ADVOGADOS</t>
  </si>
  <si>
    <t>MOVEMENT CITY &amp; LIFE</t>
  </si>
  <si>
    <t>PINOVA S.A.</t>
  </si>
  <si>
    <t>ROSA RIBEIRO ENGENHARIA E SERVICOS LTDA</t>
  </si>
  <si>
    <t>AUTO POSTO ANDRADE NEVES LTDA</t>
  </si>
  <si>
    <t>CONDOMINIO MONUMENTO SAO PAULO</t>
  </si>
  <si>
    <t>CONDOMINIO DO CONJUNTO RESIDENCIAL REGINA PACIS</t>
  </si>
  <si>
    <t>RUMO STUDIO</t>
  </si>
  <si>
    <t>CONDOMINIO RESIDENCIAL JOSE EUZEBIO CABRAL</t>
  </si>
  <si>
    <t>NARA MARGARETH SILVA AZEVEDO</t>
  </si>
  <si>
    <t>AUTO SHOPPING DAS NACOES UNIDAS</t>
  </si>
  <si>
    <t>Natalie Macedo</t>
  </si>
  <si>
    <t>Manuella Bighetti Sampieri</t>
  </si>
  <si>
    <t>COPPERSTELL BIMETALICOS LTDA</t>
  </si>
  <si>
    <t>INOVA ITAPECERICA</t>
  </si>
  <si>
    <t>GRAFICA E PAPELARIA GUTENBERG</t>
  </si>
  <si>
    <t>MARAMBAIA HOTEL</t>
  </si>
  <si>
    <t>CONDOMINIO EDIFICIO COSTA BLANCA</t>
  </si>
  <si>
    <t>BIOMCROP BIOTECNOLOGIA AGRICOLA LTDA</t>
  </si>
  <si>
    <t>EMTUCO SERVICOS E PARTICIPACOES S.A.</t>
  </si>
  <si>
    <t>PONTIFICIA UNIVERSIDADE CATOLICA DE CAMPINAS-CAMPUS II</t>
  </si>
  <si>
    <t>ARECO CONSULTORIA E TECNOLOGIA</t>
  </si>
  <si>
    <t>CONDOMINIO RESIDENCIAL MIRANTE</t>
  </si>
  <si>
    <t>LANTERY INDUSTRIA E COMERCIO LTDA</t>
  </si>
  <si>
    <t>MARCELO GALVAO</t>
  </si>
  <si>
    <t>Covabra Loja 25</t>
  </si>
  <si>
    <t>AUTOGERACAO SOLAR COMPARTILHADA SUDESTE S.A</t>
  </si>
  <si>
    <t>HAFF ENGENHARIA E CONSTRUCAO</t>
  </si>
  <si>
    <t>TRANSPORTADORA CAPIVARI LIMITADA</t>
  </si>
  <si>
    <t>Benicorte - Corte Usinagem e Gravação</t>
  </si>
  <si>
    <t>PRIME HOUSE SACOMA</t>
  </si>
  <si>
    <t>ARTES FÊNIX</t>
  </si>
  <si>
    <t>TRANS-WAR-TRANSPORTES LTDA</t>
  </si>
  <si>
    <t>CONDOMINIO ALPHABUSINESS</t>
  </si>
  <si>
    <t>PRIMEIRO DE MAIO FUTEBOL CLUBE</t>
  </si>
  <si>
    <t>LIVE SP LTDA.</t>
  </si>
  <si>
    <t>INSTITUTO NOVA EUROPA IDIOMAS LTDA</t>
  </si>
  <si>
    <t>SINERGIA CIENTIFICA</t>
  </si>
  <si>
    <t>DNA PHARMA BRASIL</t>
  </si>
  <si>
    <t>CONDOMINIO RESIDENCIAL AQUARELA</t>
  </si>
  <si>
    <t>CONDOMINIO RESIDENCIAL OPERA HOUSE</t>
  </si>
  <si>
    <t>CENTRO SOCIAL PRESIDENTE KENNEDY</t>
  </si>
  <si>
    <t>CONDOMINIO DO EDIFICIO CASA DOS GERANIOS</t>
  </si>
  <si>
    <t>SOHOME</t>
  </si>
  <si>
    <t>TVS EMISSORA DO SISTEMA BRASILEIRO DE TELEVISAO</t>
  </si>
  <si>
    <t>SOLOJET SHARES</t>
  </si>
  <si>
    <t>UBER-SIGNS</t>
  </si>
  <si>
    <t>SOMA CAMPINAS PRODUTOS DE HIGIENE</t>
  </si>
  <si>
    <t>INTEGRAL MATERIAIS ELETRICOS LTDA</t>
  </si>
  <si>
    <t>Paolo Willians Rodrigues Mantovani</t>
  </si>
  <si>
    <t>UNICMAQ BRASIL COMERCIO DE MAQUINAS E INSTRUMENTOS LTDA</t>
  </si>
  <si>
    <t>Alécio Gonçalves</t>
  </si>
  <si>
    <t>R.D.A CENTER DIESEL</t>
  </si>
  <si>
    <t>EXPRESSO SAO MIGUEL S/A</t>
  </si>
  <si>
    <t>UPA ZONA OESTE - UNIDADE DE PRONTO ATENDIMENTO 24 HORAS</t>
  </si>
  <si>
    <t>Luiz Bessa</t>
  </si>
  <si>
    <t>FERTRON AUTOMAÇÃO E ELETRICA</t>
  </si>
  <si>
    <t>CONDOMINIO CASAS DA TOSCANA</t>
  </si>
  <si>
    <t>USINA DE BENEFICIAMENTO DE LEITE</t>
  </si>
  <si>
    <t>SUPREMA BET LTDA</t>
  </si>
  <si>
    <t>RAIZ SAO PAULO PARQUE RESORT</t>
  </si>
  <si>
    <t>DAY HOME CARE</t>
  </si>
  <si>
    <t>CONDOMINIO RESIDENCIAL PORTAL BARRA FUNDA - VILA MARQUE</t>
  </si>
  <si>
    <t>T&amp;E ANALITICA - CENTRO DE PESQUISA CIENTIFICA</t>
  </si>
  <si>
    <t>Maria Carolina Barrak de Rezende</t>
  </si>
  <si>
    <t>CONDOMINIO COMENDADOR ELIAS ASSI</t>
  </si>
  <si>
    <t>A ARANTES PAPELARIA E INFORMATICA LTDA - ME</t>
  </si>
  <si>
    <t>DELSOL ENGENHARIA LTDA</t>
  </si>
  <si>
    <t>DUMUM ENERGIA SOLAR FACIL</t>
  </si>
  <si>
    <t>BRG EMPREENDIMENTOS IMOBILIARIOS SPE LTDA</t>
  </si>
  <si>
    <t>Alexandre Thiago Guimarães</t>
  </si>
  <si>
    <t>CARTONAV</t>
  </si>
  <si>
    <t>CLINICA C.D.E. DIAGNOSTICOS LIMITADA</t>
  </si>
  <si>
    <t>JULLIANNY SCARPARO</t>
  </si>
  <si>
    <t>ECCO LIMP</t>
  </si>
  <si>
    <t>RTGX COMERCIO, FABRICACAO E USINAGENS DE PECAS</t>
  </si>
  <si>
    <t>J.A SERVICOS</t>
  </si>
  <si>
    <t>Kauam arlan da Silva</t>
  </si>
  <si>
    <t>MARQUES E CAETANO COMERCIO DE LIVROS LTDA</t>
  </si>
  <si>
    <t>KIKO COSMETICS BRASIL LTDA</t>
  </si>
  <si>
    <t>CLINICA DE CIRURGIA E DERMATOLOGIA PARAISO LTDA</t>
  </si>
  <si>
    <t>KOLPLAST</t>
  </si>
  <si>
    <t>CONDOMINIO RESIDENCIAL VENETO</t>
  </si>
  <si>
    <t>COND EDIFICIO CONJUNTO RESID HUGO STRELOW</t>
  </si>
  <si>
    <t>VIARCOND FACILITES</t>
  </si>
  <si>
    <t>NUCTECH</t>
  </si>
  <si>
    <t>VIBE ENERGIA FOTOVOLTAICA</t>
  </si>
  <si>
    <t>HELISTAR TAXI AEREO ESCOLA DE PILOTAGEM E ASSESSORIA AERONAUTICA LTDA</t>
  </si>
  <si>
    <t>Jakeline Alves De Souza</t>
  </si>
  <si>
    <t>CONDOMINIO RESIDENCIAL</t>
  </si>
  <si>
    <t>JALD INDUSTRIA E COMERCIO</t>
  </si>
  <si>
    <t>CONDOMINIO RESIDENCIAL AMERICA MBIGUCCI</t>
  </si>
  <si>
    <t>RESIDENCIAL ILHAS GREGAS</t>
  </si>
  <si>
    <t>PAGV</t>
  </si>
  <si>
    <t>AEON SECURITY</t>
  </si>
  <si>
    <t>HOTEL SESC BLUMENAU</t>
  </si>
  <si>
    <t>A. RAYMOND BRASIL LTDA</t>
  </si>
  <si>
    <t>HUMBERTO ONZI</t>
  </si>
  <si>
    <t>RESIDENCIAL RECANTO DOS PASSAROS</t>
  </si>
  <si>
    <t>CONDOMINIO RESIDENCIAL CALIFORNIA</t>
  </si>
  <si>
    <t>VISUAL GEAC</t>
  </si>
  <si>
    <t>IDEAL NETWORK SOLUCOES EM VOZ, DADOS E IMAGEM</t>
  </si>
  <si>
    <t>ASSOCIACAO ESPACO FELIZ</t>
  </si>
  <si>
    <t>ASSOC DOS ADQUIRENTES DE LOTES NO LOT JARDIM DAS HORTENCIAS</t>
  </si>
  <si>
    <t>RESIDENCIAL VILA GERMANIA</t>
  </si>
  <si>
    <t>ILIKE ENERGIA SOLAR LTDA</t>
  </si>
  <si>
    <t>CONDOMINIO RESIDENCIAL YUCATAN</t>
  </si>
  <si>
    <t>Brian Victor Andre</t>
  </si>
  <si>
    <t>CLUBE JUNDIAIENSE</t>
  </si>
  <si>
    <t>Juvenal Francisco da Silva Neto</t>
  </si>
  <si>
    <t>CONDOMINIO ROSSI IDEAL CONQUISTA</t>
  </si>
  <si>
    <t>SAMURAI PECAS PARA TRATORES S.A.</t>
  </si>
  <si>
    <t>BAUHAUS PINHEIROS BY YOU, INC</t>
  </si>
  <si>
    <t>CEASA CAMPINAS</t>
  </si>
  <si>
    <t>RESORT PRIME SANTA ANGELA</t>
  </si>
  <si>
    <t>HANAOKA SOLUCOES QUIMICAS</t>
  </si>
  <si>
    <t>FRANCISCO TAPAJOS PROJETO RESIDENCIAL LTDA.</t>
  </si>
  <si>
    <t>CONDOMINIO EDIFICIO KIOLA</t>
  </si>
  <si>
    <t>CONDOMINIO SALLES VANNI</t>
  </si>
  <si>
    <t>ESSENZA DI CHEF</t>
  </si>
  <si>
    <t>FT MOTORS PREMIUM COMERCIO DE VEICULOS LTDA</t>
  </si>
  <si>
    <t>CEVA SAUDE ANIMAL</t>
  </si>
  <si>
    <t>BRASAL PAR</t>
  </si>
  <si>
    <t>CHATEAU DE LUMIERE</t>
  </si>
  <si>
    <t>CONDOMINIO JARDIM LEOPOLDINA</t>
  </si>
  <si>
    <t>COMEP INDUSTRIA E COMERCIO LTDA</t>
  </si>
  <si>
    <t>MEGA IMAGEM LTDA</t>
  </si>
  <si>
    <t>CONSTRUTORA RIBEIRO OLIVEIRA LTDA</t>
  </si>
  <si>
    <t>Carlos Eduardo Da Silva Coelho</t>
  </si>
  <si>
    <t>ARTE HIDRAULICA</t>
  </si>
  <si>
    <t>MERCANTIL UNIÃO COM DE PEÇAS</t>
  </si>
  <si>
    <t>SO-ANGEL - VENDAS DE TUDO UM POUCO LTDA</t>
  </si>
  <si>
    <t>WILMAR CRAVEIRO MARINHO DA SILVA</t>
  </si>
  <si>
    <t>Patricia Xavier</t>
  </si>
  <si>
    <t>Wonders galleria</t>
  </si>
  <si>
    <t>MEVO FARMA</t>
  </si>
  <si>
    <t>CONDOMINIO EDIFICIO ANA KAROLINA</t>
  </si>
  <si>
    <t>COVABRA Loja 9 Atual</t>
  </si>
  <si>
    <t>XPRIME CAMPINAS</t>
  </si>
  <si>
    <t>IGREJA FAROL</t>
  </si>
  <si>
    <t>GARDEN CLUB CONDOMINIO</t>
  </si>
  <si>
    <t>SPECIAL HOME TATUAPE</t>
  </si>
  <si>
    <t>YTW SOLUCOES TECNOLOGICAS</t>
  </si>
  <si>
    <t>KLUBER LUBRICATION LUBRIFICANTES ESPECIAIS LTDA</t>
  </si>
  <si>
    <t>YUPI GINASTICA ARTISTICA LTDA</t>
  </si>
  <si>
    <t>CASA JARDIM NEBRASKA</t>
  </si>
  <si>
    <t>COVABRA Loja 23</t>
  </si>
  <si>
    <t>ACHLOR QUIMICA LTDA</t>
  </si>
  <si>
    <t>UCB INDUST DE COMPON ELETRON E INFORM S.A.</t>
  </si>
  <si>
    <t>LAFIO TEXTIL LTDA</t>
  </si>
  <si>
    <t>AG Power comercio e instalação de Paineis Fotovoltaico</t>
  </si>
  <si>
    <t>COVABRA Loja 2</t>
  </si>
  <si>
    <t>ACCESS GESTAO DE DOCUMENTOS LTDA.</t>
  </si>
  <si>
    <t>CONDOMINIO EDIFICIO WINTER PARK</t>
  </si>
  <si>
    <t>MAXIMUS INDUSTRIA E COMERCIO DE EMBALAGENS PLASTICAS LTDA</t>
  </si>
  <si>
    <t>CONDOMINIO EDIFICIO SAINT GERMAIN</t>
  </si>
  <si>
    <t>Bionovis S/A</t>
  </si>
  <si>
    <t>DMS BURNIER</t>
  </si>
  <si>
    <t>BIS AVIATION LINE MAINTENANCE &amp; HANDLING</t>
  </si>
  <si>
    <t>ASSOCI DOS PROPRIE E AMIGOS DO LOTEA RESER DAS PAINEI</t>
  </si>
  <si>
    <t>50.462.730 JANAINA TEREZINHA ALVES SILVA</t>
  </si>
  <si>
    <t>COVABRA LOJA 20</t>
  </si>
  <si>
    <t>L. C. MATTOS COMERCIO DE ALIMENTOS LTDA</t>
  </si>
  <si>
    <t>COVER SERVICOS &amp; ENGENHARIA</t>
  </si>
  <si>
    <t>CONDOMINIO DO EDIFICIO LA RESERVE ARPOADOR</t>
  </si>
  <si>
    <t>COVABRA Loja 21</t>
  </si>
  <si>
    <t>MDM ENGENHARIA</t>
  </si>
  <si>
    <t>SPOT OFFICES PENHA</t>
  </si>
  <si>
    <t>HOSPITAL MATER DEI S.A.</t>
  </si>
  <si>
    <t>PAPEL ONLINE</t>
  </si>
  <si>
    <t>PLAFON ENGENHARIA E SERVICOS ELETRICOS</t>
  </si>
  <si>
    <t>ALIANCA ENGENHARIA E MEIO AMBIENTE</t>
  </si>
  <si>
    <t>GM DOS REIS INDUSTRIA E COMERCIO LTDA</t>
  </si>
  <si>
    <t>ECOPEX INDUSTRIA E COMERCIO LTDA.</t>
  </si>
  <si>
    <t>MUNDIVOX CLOUD</t>
  </si>
  <si>
    <t>PRAFESTA INDUSTRIA E COMERCIO DE EMBALAGENS LTDA</t>
  </si>
  <si>
    <t>DRANFI</t>
  </si>
  <si>
    <t>RESIDENCIAL HELBOR SPAZIO CLUB ALTO DO IPIRANGA</t>
  </si>
  <si>
    <t>CONDOMINIO TREVISO</t>
  </si>
  <si>
    <t>ALCANCE ENGENHARIA</t>
  </si>
  <si>
    <t>COVABRA LOJA 18</t>
  </si>
  <si>
    <t>RESIDENCIAL TORRES DE OZANAM</t>
  </si>
  <si>
    <t>COLEGIO RDS SWISS</t>
  </si>
  <si>
    <t>SOL ATITUDE SOLUCOES EM ENERGIA LTDA</t>
  </si>
  <si>
    <t>CONDOMINIO EDIFICIO ST JAMES</t>
  </si>
  <si>
    <t>CONJUNTO RESIDENCIAL VILLAGIO DA RIVIERA</t>
  </si>
  <si>
    <t>Super Maker</t>
  </si>
  <si>
    <t>VISIONE RESIDENCE</t>
  </si>
  <si>
    <t>COVABRA LOJA 29</t>
  </si>
  <si>
    <t>SYNTEC DO BRASIL LTDA</t>
  </si>
  <si>
    <t>3E EFICIENCIA ENERGETICA LTDA</t>
  </si>
  <si>
    <t>ALPINO INDUSTRIA METALURGICA LTDA</t>
  </si>
  <si>
    <t>Maria lucia pereira</t>
  </si>
  <si>
    <t>COVABRA SUPERMERCADOS LTDA</t>
  </si>
  <si>
    <t>Covabra Loja 3</t>
  </si>
  <si>
    <t>PEXTRON CONTROLES ELETRONICOS LTDA</t>
  </si>
  <si>
    <t>Unicamp</t>
  </si>
  <si>
    <t>ACRILICOS VIP</t>
  </si>
  <si>
    <t>VILA FLOR CONDOMINIO CLUBE</t>
  </si>
  <si>
    <t>HOSPITAL UNIMED SAO ROQUE</t>
  </si>
  <si>
    <t>PROCISA DO BRASIL PROJETOS, CONSTRUCOES E INSTALACOES LTDA.</t>
  </si>
  <si>
    <t>MVS ENGENHARIA</t>
  </si>
  <si>
    <t>PROCISA DO BRASIL PROJETOS, CONSTRUCOES E INSTALACOES L</t>
  </si>
  <si>
    <t>A 4 EMPREITEIRA DE CONSTRUCAO CIVIL E ENGENHARIA</t>
  </si>
  <si>
    <t>KERAKOLL DO BRASIL INDUSTRIA E COMERCIO LTDA.</t>
  </si>
  <si>
    <t>Associação Alphaville Dom Pedro</t>
  </si>
  <si>
    <t>IRAN TARDELI QUEIROZ DA SILVA</t>
  </si>
  <si>
    <t>Humberto de Sousa Pereira Lima Neto</t>
  </si>
  <si>
    <t>SCR SINALIZAO COMERCIO E REPRESENTACOES</t>
  </si>
  <si>
    <t>Matheus Andrade Torres</t>
  </si>
  <si>
    <t>DHL LOGISTICS (BRAZIL) LTDA.</t>
  </si>
  <si>
    <t>GAS LEGAL</t>
  </si>
  <si>
    <t>LINK ENERGY SOLAR</t>
  </si>
  <si>
    <t>COVABRA ADM</t>
  </si>
  <si>
    <t>CONDOMINIO IND CAMBUI</t>
  </si>
  <si>
    <t>SODIE DOCES</t>
  </si>
  <si>
    <t>IC TRANSPORTES LTDA</t>
  </si>
  <si>
    <t>APOIO VISUAL</t>
  </si>
  <si>
    <t>CDE - CLINICA MEDICA LTDA</t>
  </si>
  <si>
    <t>LUNAR BRASIL E-COMMERCE LTDA</t>
  </si>
  <si>
    <t>MNORONHA EVENTOS</t>
  </si>
  <si>
    <t>MUNDO COMUNICACAO</t>
  </si>
  <si>
    <t>DIGIMETTA - INDUSTRIA E COMERCIO E SERVICOS DE SINALIZACAO LTDA</t>
  </si>
  <si>
    <t>M.G PADRONIZA</t>
  </si>
  <si>
    <t>MATERNIDADE DE CAMPINAS</t>
  </si>
  <si>
    <t>Artico log</t>
  </si>
  <si>
    <t>ALPHAVILLE CAMPINAS CLUBE</t>
  </si>
  <si>
    <t>TEADIT BRASIL LTDA</t>
  </si>
  <si>
    <t>BRINDES FALCAO</t>
  </si>
  <si>
    <t>HARIKOA COMUNICAÇÃO</t>
  </si>
  <si>
    <t>Consumidor final</t>
  </si>
  <si>
    <t>HOLAMAQ BLUEBURNER</t>
  </si>
  <si>
    <t>VISUAL CAMP</t>
  </si>
  <si>
    <t>Alex Design</t>
  </si>
  <si>
    <t>COMERCIAL 2001 DO BRASIL</t>
  </si>
  <si>
    <t>PETCALI</t>
  </si>
  <si>
    <t>Contato</t>
  </si>
  <si>
    <t>Trabalho</t>
  </si>
  <si>
    <t>Aprovação</t>
  </si>
  <si>
    <t>Previsão</t>
  </si>
  <si>
    <t>Entrega</t>
  </si>
  <si>
    <t>Faturamento</t>
  </si>
  <si>
    <t>Status atual</t>
  </si>
  <si>
    <t>Vendedor</t>
  </si>
  <si>
    <t>Valor total</t>
  </si>
  <si>
    <t>Status Financeiro</t>
  </si>
  <si>
    <t>Data Financeiro</t>
  </si>
  <si>
    <t>Shock</t>
  </si>
  <si>
    <t xml:space="preserve">38701 / 46913 </t>
  </si>
  <si>
    <t xml:space="preserve">Gabriela - +55 (19) 98434-0036 </t>
  </si>
  <si>
    <t>Sinalização - REFLETIVAS</t>
  </si>
  <si>
    <t>27/03/2026 15:42 (7 dia(s) de atraso)</t>
  </si>
  <si>
    <t>Entregue</t>
  </si>
  <si>
    <t>Victor Franca</t>
  </si>
  <si>
    <t>Faturada</t>
  </si>
  <si>
    <t xml:space="preserve">39943 / 48514 </t>
  </si>
  <si>
    <t xml:space="preserve">Fernando Lamas - +55 (19) 7403-0013 </t>
  </si>
  <si>
    <t>Sinalização/ IPLACAS</t>
  </si>
  <si>
    <t>...</t>
  </si>
  <si>
    <t>Concluída</t>
  </si>
  <si>
    <t>Thiago Iplacas</t>
  </si>
  <si>
    <t>Pago</t>
  </si>
  <si>
    <t xml:space="preserve">39964 / 48351 </t>
  </si>
  <si>
    <t xml:space="preserve">Cristina Oliveira - +55 (11) 97154-1026 </t>
  </si>
  <si>
    <t>Cesto de residuos - PS2MM - SEM IMPRESSÃO - O/C 121.371</t>
  </si>
  <si>
    <t>Em produção</t>
  </si>
  <si>
    <t>Não faturada</t>
  </si>
  <si>
    <t xml:space="preserve">38325 / 46213 </t>
  </si>
  <si>
    <t xml:space="preserve">Juliana - +55 (11) 97154-1026 </t>
  </si>
  <si>
    <t>Sinalização/ IPLACAS - O/C 115.165</t>
  </si>
  <si>
    <t>31/03/2026 17:34 (39 dia(s) de atraso)</t>
  </si>
  <si>
    <t xml:space="preserve">38475 / 46600 </t>
  </si>
  <si>
    <t xml:space="preserve">OPERGEL COMERCIAL E INDUSTRIAL DE PRODUTOS ALIMENTICIOS LTDA - +55 (11) 3021-8988 </t>
  </si>
  <si>
    <t>Sinalização</t>
  </si>
  <si>
    <t>11/04/2026 08:06 (43 dia(s) de atraso)</t>
  </si>
  <si>
    <t xml:space="preserve">38616 / 46599 </t>
  </si>
  <si>
    <t xml:space="preserve">Sean Máximo - +55 (11) 99149-9794 </t>
  </si>
  <si>
    <t>Chapas</t>
  </si>
  <si>
    <t>04/03/2026 17:06 (5 dia(s) de atraso)</t>
  </si>
  <si>
    <t>Charles Machado</t>
  </si>
  <si>
    <t xml:space="preserve">38503 / 46674 </t>
  </si>
  <si>
    <t xml:space="preserve">Everton Cruz - +55 (19) 99245-4655 </t>
  </si>
  <si>
    <t>Sinalização - Pedido : 473.791 e 473.789</t>
  </si>
  <si>
    <t xml:space="preserve">38832 / 47190 </t>
  </si>
  <si>
    <t xml:space="preserve">João - +55 (19) 3327-3303 </t>
  </si>
  <si>
    <t>Material 3/4</t>
  </si>
  <si>
    <t xml:space="preserve">38375 / 46454 </t>
  </si>
  <si>
    <t xml:space="preserve">Ana Alves - +55 (85) 9968-7966 </t>
  </si>
  <si>
    <t>PS 1mm - AMARELO</t>
  </si>
  <si>
    <t>Tissiane Magalhães</t>
  </si>
  <si>
    <t xml:space="preserve">38474 / 46750 </t>
  </si>
  <si>
    <t xml:space="preserve">Gabriela - +55 (16) 99341-6243 </t>
  </si>
  <si>
    <t>FOTOLUMINESCENTE 0,8mm</t>
  </si>
  <si>
    <t xml:space="preserve">39969 / 48576 </t>
  </si>
  <si>
    <t xml:space="preserve">Rodrigo Frota Indaiatuba - +55 (19) 99390-0171 </t>
  </si>
  <si>
    <t>Sinalização*IPLACAS</t>
  </si>
  <si>
    <t>08/06/2026 18:35 (11 dia(s) de atraso)</t>
  </si>
  <si>
    <t xml:space="preserve">39618 / 47747 </t>
  </si>
  <si>
    <t>Sinalização/ IPLACAS - O/C 119.956</t>
  </si>
  <si>
    <t>19/05/2026 16:48 (7 dia(s) de atraso)</t>
  </si>
  <si>
    <t xml:space="preserve">39024 / 47324 </t>
  </si>
  <si>
    <t xml:space="preserve">Isis Pedroni - +55 (19) 99245-4655 </t>
  </si>
  <si>
    <t>Sinalização - O.C 477.781</t>
  </si>
  <si>
    <t>31/03/2026 09:02 (1 dia(s) de atraso)</t>
  </si>
  <si>
    <t xml:space="preserve">38383 / 46469 </t>
  </si>
  <si>
    <t xml:space="preserve">Marceli Welter - (00)00000-0000 </t>
  </si>
  <si>
    <t>Sinalização - O/C 4500028867</t>
  </si>
  <si>
    <t xml:space="preserve">39461 / 47967 </t>
  </si>
  <si>
    <t xml:space="preserve">Leonardo Ballardin - +55 (54) 9244-5440 </t>
  </si>
  <si>
    <t>FAIXA REFLETIVA VEICULO LONGO</t>
  </si>
  <si>
    <t>27/04/2026 16:16 (3 dia(s) de atraso)</t>
  </si>
  <si>
    <t xml:space="preserve">38382 / 46485 </t>
  </si>
  <si>
    <t xml:space="preserve">Clarissa - +55 (11) 3336-3645 </t>
  </si>
  <si>
    <t>Sinalização / IPLACAS - O/C 657228</t>
  </si>
  <si>
    <t>10/03/2026 14:35 (20 dia(s) de atraso)</t>
  </si>
  <si>
    <t xml:space="preserve">39557 / 47761 </t>
  </si>
  <si>
    <t xml:space="preserve">Carlos Henrique - +55 (22) 2737-7350 </t>
  </si>
  <si>
    <t>Adesivo Verm Refletivo * 50659</t>
  </si>
  <si>
    <t xml:space="preserve">38442 / 45962 </t>
  </si>
  <si>
    <t xml:space="preserve">compras - +55 (19) 99245-4655 </t>
  </si>
  <si>
    <t>28/02/2026 09:17 (5 dia(s) de atraso)</t>
  </si>
  <si>
    <t xml:space="preserve">38016 / 46159 </t>
  </si>
  <si>
    <t xml:space="preserve">Geovanna Franco - BK - +55 (11) 97545-8847 </t>
  </si>
  <si>
    <t>18/02/2026 14:47 (16 dia(s) de atraso)</t>
  </si>
  <si>
    <t xml:space="preserve">38507 / 46801 </t>
  </si>
  <si>
    <t xml:space="preserve">Alexandre Pelizaro - +55 (19) 3869-5853 </t>
  </si>
  <si>
    <t>28/02/2026 09:17 (1 dia(s) de atraso)</t>
  </si>
  <si>
    <t xml:space="preserve">38536 / 46770 </t>
  </si>
  <si>
    <t xml:space="preserve">Kiko Saruhashi - +55 (11) 98266-4118 </t>
  </si>
  <si>
    <t>ACM MACFIT 2mm</t>
  </si>
  <si>
    <t>10/03/2026 17:39 (5 dia(s) de atraso)</t>
  </si>
  <si>
    <t xml:space="preserve">37975 / 46069 </t>
  </si>
  <si>
    <t xml:space="preserve">Camila Castro - +55 (31) 9512-6100 </t>
  </si>
  <si>
    <t>04/02/2026 15:56 (5 dia(s) de atraso)</t>
  </si>
  <si>
    <t xml:space="preserve">38420 / 46641 </t>
  </si>
  <si>
    <t xml:space="preserve">Arthur Cardoso - +55 (11) 94230-8530 </t>
  </si>
  <si>
    <t>Sinalização/ IPLACAS - O/C 24135</t>
  </si>
  <si>
    <t>05/03/2026 12:12 (8 dia(s) de atraso)</t>
  </si>
  <si>
    <t xml:space="preserve">39857 / 48384 </t>
  </si>
  <si>
    <t xml:space="preserve">Daiane - +55 (11) 97154-1026 </t>
  </si>
  <si>
    <t>Sinalização/ IPLACAS - O/C 120.884</t>
  </si>
  <si>
    <t>23/05/2026 07:40 (1 dia(s) de atraso)</t>
  </si>
  <si>
    <t xml:space="preserve">37891 / 45995 </t>
  </si>
  <si>
    <t xml:space="preserve">Rafael Murilo Vieira - (00)00000-0000 </t>
  </si>
  <si>
    <t>Sinalização*14983</t>
  </si>
  <si>
    <t>02/02/2026 15:24 (13 dia(s) de atraso)</t>
  </si>
  <si>
    <t>Carina</t>
  </si>
  <si>
    <t xml:space="preserve">38278 / 46472 </t>
  </si>
  <si>
    <t xml:space="preserve">Camila Prevedel - +55 (19) 99348-3052 </t>
  </si>
  <si>
    <t>Comunicação Visual</t>
  </si>
  <si>
    <t xml:space="preserve">39477 / 47882 </t>
  </si>
  <si>
    <t xml:space="preserve">Compras - +55 (19) 99605-7624 </t>
  </si>
  <si>
    <t>Sinalização/ IPLACAS - ACM 2MM - MACFIT - O/C 043071/ 043096</t>
  </si>
  <si>
    <t>28/04/2026 16:33 (4 dia(s) de atraso)</t>
  </si>
  <si>
    <t xml:space="preserve">38070 / 46211 </t>
  </si>
  <si>
    <t xml:space="preserve">SERGIO SANTOS - +55 (11) 99645-3738 </t>
  </si>
  <si>
    <t>10/02/2026 19:06 (6 dia(s) de atraso)</t>
  </si>
  <si>
    <t xml:space="preserve">39264 / 47697 </t>
  </si>
  <si>
    <t xml:space="preserve">Jefferson - +55 (19) 98366-3132 </t>
  </si>
  <si>
    <t>Serviço de Impressão - JEFFERSON</t>
  </si>
  <si>
    <t>22/04/2026 17:33 (7 dia(s) de atraso)</t>
  </si>
  <si>
    <t xml:space="preserve">38051 / 46209 </t>
  </si>
  <si>
    <t xml:space="preserve">Gustavo - +55 (19) 3277-0369 </t>
  </si>
  <si>
    <t>Padronização de Sala</t>
  </si>
  <si>
    <t xml:space="preserve">38972 / 47362 </t>
  </si>
  <si>
    <t xml:space="preserve">Bruno Orlandini - +55 (18) 98148-8794 </t>
  </si>
  <si>
    <t>PS 2mm + VINIL</t>
  </si>
  <si>
    <t>01/04/2026 14:47 (1 dia(s) de atraso)</t>
  </si>
  <si>
    <t xml:space="preserve">38362 / 46538 </t>
  </si>
  <si>
    <t xml:space="preserve">Larissa - +55 (19) 97821-8585 </t>
  </si>
  <si>
    <t>Limitador de Altura com Estrutura Chamado 185401</t>
  </si>
  <si>
    <t xml:space="preserve">38180 / 46370 </t>
  </si>
  <si>
    <t xml:space="preserve">Stefano - +55 (19) 98366-3132 </t>
  </si>
  <si>
    <t>Placas Promoção</t>
  </si>
  <si>
    <t>03/03/2026 18:14 (25 dia(s) de atraso)</t>
  </si>
  <si>
    <t xml:space="preserve">39808 / 48347 </t>
  </si>
  <si>
    <t xml:space="preserve">Reinaldo - +55 (19) 97409-8993 </t>
  </si>
  <si>
    <t>Impressão Acrilico</t>
  </si>
  <si>
    <t>21/05/2026 08:35 (2 dia(s) de atraso)</t>
  </si>
  <si>
    <t xml:space="preserve">38933 / 46587 </t>
  </si>
  <si>
    <t xml:space="preserve">Compras - +55 (11) 94038-1865 </t>
  </si>
  <si>
    <t>Sinalização - O/C 109.009</t>
  </si>
  <si>
    <t>01/04/2026 14:47 (5 dia(s) de atraso)</t>
  </si>
  <si>
    <t xml:space="preserve">39321 / 47608 </t>
  </si>
  <si>
    <t>Sinalização/ IPLACAS - O/C 118.945</t>
  </si>
  <si>
    <t>21/05/2026 18:23 (29 dia(s) de atraso)</t>
  </si>
  <si>
    <t xml:space="preserve">39922 / 48474 </t>
  </si>
  <si>
    <t xml:space="preserve">Financeiro Paineiras - +55 (19) 98967-2707 </t>
  </si>
  <si>
    <t>ACM REFLETIVO</t>
  </si>
  <si>
    <t xml:space="preserve">38742 / 47017 </t>
  </si>
  <si>
    <t xml:space="preserve">Fabrini - +55 (19) 99955-7699 </t>
  </si>
  <si>
    <t>Letra caixa em PVC Exp + Acrílico 2mm</t>
  </si>
  <si>
    <t>18/03/2026 18:06 (5 dia(s) de atraso)</t>
  </si>
  <si>
    <t xml:space="preserve">40040 / 47725 </t>
  </si>
  <si>
    <t xml:space="preserve">Lucas Amaral - +55 (11) 97154-1026 </t>
  </si>
  <si>
    <t>Sinalização/ IPLACAS - O/C 121.646</t>
  </si>
  <si>
    <t xml:space="preserve">40044 / 48667 </t>
  </si>
  <si>
    <t xml:space="preserve">Claudemir Silva Gonçalves - +55 (11) 91511-6606 </t>
  </si>
  <si>
    <t>LONA</t>
  </si>
  <si>
    <t>29/05/2026 09:48 (1 dia(s) de atraso)</t>
  </si>
  <si>
    <t xml:space="preserve">38521 / 46759 </t>
  </si>
  <si>
    <t xml:space="preserve">SERGIO DA CONCEIÇÃO - +55 (19) 98952-3635 </t>
  </si>
  <si>
    <t>VINIL REFLETIVO COLMEIA / IPLACAS</t>
  </si>
  <si>
    <t xml:space="preserve">39812 / 48379 </t>
  </si>
  <si>
    <t xml:space="preserve">39416 / 47886 </t>
  </si>
  <si>
    <t xml:space="preserve">Finaneiro - +55 (19) 2042-2940 </t>
  </si>
  <si>
    <t>POSTE - OC/ 150420268</t>
  </si>
  <si>
    <t>05/05/2026 10:53 (13 dia(s) de atraso)</t>
  </si>
  <si>
    <t xml:space="preserve">38108 / 46283 </t>
  </si>
  <si>
    <t>Sinalização/ IPLACAS - O/C 114.307</t>
  </si>
  <si>
    <t>04/03/2026 17:04 (28 dia(s) de atraso)</t>
  </si>
  <si>
    <t xml:space="preserve">39981 / 48577 </t>
  </si>
  <si>
    <t xml:space="preserve">Mult Maxi - +55 (27) 99999-3713 </t>
  </si>
  <si>
    <t>05/06/2026 11:41 (7 dia(s) de atraso)</t>
  </si>
  <si>
    <t xml:space="preserve">39423 / 47815 </t>
  </si>
  <si>
    <t xml:space="preserve">Roberto Holando - +55 (11) 91572-5396 </t>
  </si>
  <si>
    <t>Sinalização / IPLACAS - o/c 4500039101</t>
  </si>
  <si>
    <t>12/05/2026 14:02 (13 dia(s) de atraso)</t>
  </si>
  <si>
    <t xml:space="preserve">39373 / 47856 </t>
  </si>
  <si>
    <t xml:space="preserve">Compras - +55 (33) 8467-6636 </t>
  </si>
  <si>
    <t>24/04/2026 14:31 (2 dia(s) de atraso)</t>
  </si>
  <si>
    <t xml:space="preserve">39689 / 47929 </t>
  </si>
  <si>
    <t xml:space="preserve">Michael Franco - +55 (12) 98130-6361 </t>
  </si>
  <si>
    <t>Letra Caixa 10mm</t>
  </si>
  <si>
    <t>28/05/2026 15:53 (15 dia(s) de atraso)</t>
  </si>
  <si>
    <t xml:space="preserve">39885 / 47923 </t>
  </si>
  <si>
    <t xml:space="preserve">Andréia - +55 (49) 8889-0194 </t>
  </si>
  <si>
    <t>ALUMINIO C/BRAILE</t>
  </si>
  <si>
    <t xml:space="preserve">38885 / 47199 </t>
  </si>
  <si>
    <t xml:space="preserve">Laisla Cristina De Brito - +55 (31) 3339-9221 </t>
  </si>
  <si>
    <t>Placas Sinalização - O/C 408370</t>
  </si>
  <si>
    <t>26/03/2026 16:47 (1 dia(s) de atraso)</t>
  </si>
  <si>
    <t xml:space="preserve">38659 / 46796 </t>
  </si>
  <si>
    <t xml:space="preserve">MATHEUS - +55 (11) 97011-1891 </t>
  </si>
  <si>
    <t>Sinalização/ IPLACAS - O/C 260.201</t>
  </si>
  <si>
    <t>24/03/2026 17:12 (11 dia(s) de atraso)</t>
  </si>
  <si>
    <t xml:space="preserve">39004 / 47403 </t>
  </si>
  <si>
    <t xml:space="preserve">Marcio - +55 (19) 3306-6000 </t>
  </si>
  <si>
    <t>Sinalização - Displays A4</t>
  </si>
  <si>
    <t xml:space="preserve">39978 / 48563 </t>
  </si>
  <si>
    <t xml:space="preserve">Jair de Souza Lima - +55 (19) 97605-0093 </t>
  </si>
  <si>
    <t>01/06/2026 18:52 (3 dia(s) de atraso)</t>
  </si>
  <si>
    <t xml:space="preserve">38115 / 46292 </t>
  </si>
  <si>
    <t>30/01/2026 14:33 (2 dia(s) de atraso)</t>
  </si>
  <si>
    <t xml:space="preserve">37848 / 45909 </t>
  </si>
  <si>
    <t xml:space="preserve">Felipe - +55 (13) 98843-6516 </t>
  </si>
  <si>
    <t>23/01/2026 12:52 (3 dia(s) de atraso)</t>
  </si>
  <si>
    <t xml:space="preserve">38831 / 46620 </t>
  </si>
  <si>
    <t xml:space="preserve">Financeiro - +55 (15) 99196-8293 </t>
  </si>
  <si>
    <t xml:space="preserve">39956 / 48540 </t>
  </si>
  <si>
    <t xml:space="preserve">38044 / 46123 </t>
  </si>
  <si>
    <t xml:space="preserve">Dinacir José Bilibio - +55 (44) 3518-3300 </t>
  </si>
  <si>
    <t>Placas Sinalização - O/C 24.623</t>
  </si>
  <si>
    <t>25/02/2026 16:37 (26 dia(s) de atraso)</t>
  </si>
  <si>
    <t xml:space="preserve">39762 / 48323 </t>
  </si>
  <si>
    <t xml:space="preserve">Paulo Matos - +55 (12) 99712-7818 </t>
  </si>
  <si>
    <t>SITE#15511</t>
  </si>
  <si>
    <t xml:space="preserve">38655 / 46985 </t>
  </si>
  <si>
    <t xml:space="preserve">Matheus - +55 (11) 97176-6866 </t>
  </si>
  <si>
    <t>FOTOLUMINESCENTE 0,8mm + PVC EXP. FOTOL. 2mm*PC095639</t>
  </si>
  <si>
    <t>13/03/2026 15:11 (1 dia(s) de atraso)</t>
  </si>
  <si>
    <t xml:space="preserve">40019 / 48519 </t>
  </si>
  <si>
    <t xml:space="preserve">Marilia Beatriz - +55 (21) 97417-8932 </t>
  </si>
  <si>
    <t>ACM</t>
  </si>
  <si>
    <t>11/06/2026 12:23 (9 dia(s) de atraso)</t>
  </si>
  <si>
    <t xml:space="preserve">40073 / 48714 </t>
  </si>
  <si>
    <t xml:space="preserve">Ana Peinado - +55 (11) 5070-1915 </t>
  </si>
  <si>
    <t>Sinalização *IPLACAS</t>
  </si>
  <si>
    <t>11/06/2026 12:24 (2 dia(s) de atraso)</t>
  </si>
  <si>
    <t xml:space="preserve">39305 / 47748 </t>
  </si>
  <si>
    <t xml:space="preserve">Rodrigo Lima - +55 (71) 8165-2782 </t>
  </si>
  <si>
    <t xml:space="preserve">39966 / 48511 </t>
  </si>
  <si>
    <t xml:space="preserve">Camila Elite - +55 (11) 91976-5062 </t>
  </si>
  <si>
    <t>05/06/2026 11:53 (7 dia(s) de atraso)</t>
  </si>
  <si>
    <t xml:space="preserve">39413 / 46572 </t>
  </si>
  <si>
    <t xml:space="preserve">Carlos DM - +55 (11) 96909-0170 </t>
  </si>
  <si>
    <t>ALUMINIO + ACM + PS 2mm</t>
  </si>
  <si>
    <t>06/05/2026 14:21 (1 dia(s) de atraso)</t>
  </si>
  <si>
    <t xml:space="preserve">39465 / 47717 </t>
  </si>
  <si>
    <t xml:space="preserve">Aldo Salvatierra - +55 (21) 96852-1383 </t>
  </si>
  <si>
    <t>Placas Sinalização - O/C 326</t>
  </si>
  <si>
    <t>05/05/2026 16:24 (6 dia(s) de atraso)</t>
  </si>
  <si>
    <t xml:space="preserve">38776 / 47083 </t>
  </si>
  <si>
    <t xml:space="preserve">Fabiana - +55 (19) 99461-8699 </t>
  </si>
  <si>
    <t>PS 2mm</t>
  </si>
  <si>
    <t>24/03/2026 17:12 (5 dia(s) de atraso)</t>
  </si>
  <si>
    <t xml:space="preserve">39570 / 48102 </t>
  </si>
  <si>
    <t xml:space="preserve">Compras - +55 (21) 3042-5450 </t>
  </si>
  <si>
    <t>SITE*15451</t>
  </si>
  <si>
    <t>05/05/2026 16:25 (4 dia(s) de atraso)</t>
  </si>
  <si>
    <t xml:space="preserve">40133 / 48769 </t>
  </si>
  <si>
    <t xml:space="preserve">Adm Plaza Das Flores - +55 (19) 3238-9030 </t>
  </si>
  <si>
    <t>Sinalização - Fotoluminescente</t>
  </si>
  <si>
    <t xml:space="preserve">39167 / 47602 </t>
  </si>
  <si>
    <t xml:space="preserve">João Abrantes - +55 (67) 8155-5652 </t>
  </si>
  <si>
    <t>ALUMINIO</t>
  </si>
  <si>
    <t>14/04/2026 15:15 (4 dia(s) de atraso)</t>
  </si>
  <si>
    <t xml:space="preserve">38878 / 47131 </t>
  </si>
  <si>
    <t>26/03/2026 10:29 (3 dia(s) de atraso)</t>
  </si>
  <si>
    <t xml:space="preserve">40025 / 48632 </t>
  </si>
  <si>
    <t xml:space="preserve">- - (00)00000-0000 </t>
  </si>
  <si>
    <t>Lona Backdrop</t>
  </si>
  <si>
    <t xml:space="preserve">37907 / 45702 </t>
  </si>
  <si>
    <t>Sinalização EM BRAILE</t>
  </si>
  <si>
    <t>29/01/2026 16:36 (3 dia(s) de atraso)</t>
  </si>
  <si>
    <t xml:space="preserve">39671 / 47521 </t>
  </si>
  <si>
    <t xml:space="preserve">Compras - (00)00000-0000 </t>
  </si>
  <si>
    <t>Placas Sinalização- O/C 051846</t>
  </si>
  <si>
    <t>19/05/2026 10:00 (6 dia(s) de atraso)</t>
  </si>
  <si>
    <t xml:space="preserve">37984 / 45893 </t>
  </si>
  <si>
    <t xml:space="preserve">Norma - +55 (11) 4582-3220 </t>
  </si>
  <si>
    <t>Sinalização / IPLACAS- O/C 63.410</t>
  </si>
  <si>
    <t>12/02/2026 17:48 (14 dia(s) de atraso)</t>
  </si>
  <si>
    <t xml:space="preserve">39425 / 47922 </t>
  </si>
  <si>
    <t xml:space="preserve">Luana Reis - +55 (11) 99847-1422 </t>
  </si>
  <si>
    <t>CAVALETE BRANCO</t>
  </si>
  <si>
    <t xml:space="preserve">39900 / 48441 </t>
  </si>
  <si>
    <t xml:space="preserve">Robson Rocha - +55 (11) 99288-9886 </t>
  </si>
  <si>
    <t xml:space="preserve">38768 / 47106 </t>
  </si>
  <si>
    <t xml:space="preserve">38350 / 46539 </t>
  </si>
  <si>
    <t xml:space="preserve">Leandro - +55 (19) 99801-7373 </t>
  </si>
  <si>
    <t>Pedido: 3390 - Adesivos Solo</t>
  </si>
  <si>
    <t>13/02/2026 16:57 (1 dia(s) de atraso)</t>
  </si>
  <si>
    <t xml:space="preserve">38954 / 47310 </t>
  </si>
  <si>
    <t xml:space="preserve">Anna Vieira - +55 (12) 99126-9991 </t>
  </si>
  <si>
    <t>ACM + POSTE</t>
  </si>
  <si>
    <t xml:space="preserve">39150 / 47081 </t>
  </si>
  <si>
    <t xml:space="preserve">Sinalizar Comunicação visual - +55 (73) 9991-5341 </t>
  </si>
  <si>
    <t>ALUMINIO C/ BRAILE - CORRIMÃO C/ CURVATURA</t>
  </si>
  <si>
    <t>16/04/2026 10:01 (3 dia(s) de atraso)</t>
  </si>
  <si>
    <t xml:space="preserve">38276 / 46498 </t>
  </si>
  <si>
    <t xml:space="preserve">Alexandre - +55 (19) 98447-5737 </t>
  </si>
  <si>
    <t>03/03/2026 18:10 (15 dia(s) de atraso)</t>
  </si>
  <si>
    <t xml:space="preserve">39196 / 46198 </t>
  </si>
  <si>
    <t>Sinalização/ IPLACAS - O/C 118.469</t>
  </si>
  <si>
    <t>19/05/2026 09:57 (36 dia(s) de atraso)</t>
  </si>
  <si>
    <t xml:space="preserve">39051 / 47447 </t>
  </si>
  <si>
    <t xml:space="preserve">Compras - +55 (11) 99765-1419 </t>
  </si>
  <si>
    <t>Placas Sinalização</t>
  </si>
  <si>
    <t xml:space="preserve">40031 / 47377 </t>
  </si>
  <si>
    <t xml:space="preserve">William Loureiro - +55 (21) 2215-5521 </t>
  </si>
  <si>
    <t>ACM MACFIT 2mm* O/C 224652</t>
  </si>
  <si>
    <t xml:space="preserve">39096 / 47495 </t>
  </si>
  <si>
    <t xml:space="preserve">Franco - (00)00000-0000 </t>
  </si>
  <si>
    <t>16/04/2026 10:01 (9 dia(s) de atraso)</t>
  </si>
  <si>
    <t xml:space="preserve">38207 / 46399 </t>
  </si>
  <si>
    <t xml:space="preserve">Ecopex - +55 (11) 91255-2880 </t>
  </si>
  <si>
    <t xml:space="preserve">39605 / 47851 </t>
  </si>
  <si>
    <t xml:space="preserve">Luis Henrique Santos - +55 (11) 94608-7377 </t>
  </si>
  <si>
    <t>ACM REFLETIVO + ACM</t>
  </si>
  <si>
    <t>29/05/2026 15:00 (18 dia(s) de atraso)</t>
  </si>
  <si>
    <t xml:space="preserve">38415 / 46563 </t>
  </si>
  <si>
    <t xml:space="preserve">Gustavo - +55 (11) 98970-3963 </t>
  </si>
  <si>
    <t>CRACHA PS 2mm + CRACHA PS 1mm com ventosa</t>
  </si>
  <si>
    <t>09/03/2026 15:15 (11 dia(s) de atraso)</t>
  </si>
  <si>
    <t xml:space="preserve">39912 / 48479 </t>
  </si>
  <si>
    <t xml:space="preserve">Carmem Gallo - +55 (19) 99615-4610 </t>
  </si>
  <si>
    <t>05/06/2026 11:49 (8 dia(s) de atraso)</t>
  </si>
  <si>
    <t xml:space="preserve">38562 / 46832 </t>
  </si>
  <si>
    <t xml:space="preserve">Leandro - +55 (19) 3246-2940 </t>
  </si>
  <si>
    <t>ETIQUETA TEMPERATURA - Pedido #1348844</t>
  </si>
  <si>
    <t>28/02/2026 09:18 (1 dia(s) de atraso)</t>
  </si>
  <si>
    <t xml:space="preserve">38145 / 46323 </t>
  </si>
  <si>
    <t xml:space="preserve">Financeiro Chateau - Paloma Mares - +55 999 558 980 </t>
  </si>
  <si>
    <t>09/02/2026 06:56 (5 dia(s) de atraso)</t>
  </si>
  <si>
    <t xml:space="preserve">37799 / 44540 </t>
  </si>
  <si>
    <t xml:space="preserve">Ingrid - +55 (19) 3367-6404 </t>
  </si>
  <si>
    <t>FAIXA</t>
  </si>
  <si>
    <t>13/02/2026 08:32 (28 dia(s) de atraso)</t>
  </si>
  <si>
    <t xml:space="preserve">39989 / 48594 </t>
  </si>
  <si>
    <t xml:space="preserve">The Stickers - +55 (19) 99224-7003 </t>
  </si>
  <si>
    <t>10/06/2026 15:19 (14 dia(s) de atraso)</t>
  </si>
  <si>
    <t xml:space="preserve">38509 / 46682 </t>
  </si>
  <si>
    <t xml:space="preserve">Aline Azevedo - Leonardi - +55 (11) 99684-5310 </t>
  </si>
  <si>
    <t>Placas Sinalização - O/C125249</t>
  </si>
  <si>
    <t>06/03/2026 16:47 (3 dia(s) de atraso)</t>
  </si>
  <si>
    <t xml:space="preserve">39015 / 47378 </t>
  </si>
  <si>
    <t xml:space="preserve">Leonardo Lana - +55 (11) 91749-5295 </t>
  </si>
  <si>
    <t>ACM REFLETIVO + ABRAÇADEIRA TIPO REGUA</t>
  </si>
  <si>
    <t>09/04/2026 17:26 (8 dia(s) de atraso)</t>
  </si>
  <si>
    <t xml:space="preserve">38553 / 46831 </t>
  </si>
  <si>
    <t xml:space="preserve">Edson Rocha - +55 (41) 9681-9719 </t>
  </si>
  <si>
    <t>23/03/2026 10:17 (17 dia(s) de atraso)</t>
  </si>
  <si>
    <t xml:space="preserve">38417 / 46678 </t>
  </si>
  <si>
    <t xml:space="preserve">Compras - +55 (19) 99949-5386 </t>
  </si>
  <si>
    <t>23/02/2026 17:26 (3 dia(s) de atraso)</t>
  </si>
  <si>
    <t xml:space="preserve">38811 / 47141 </t>
  </si>
  <si>
    <t xml:space="preserve">Email da empresa - +55 (19) 97409-2909 </t>
  </si>
  <si>
    <t>31/03/2026 09:03 (8 dia(s) de atraso)</t>
  </si>
  <si>
    <t xml:space="preserve">38102 / 46270 </t>
  </si>
  <si>
    <t xml:space="preserve">Luciana - +55 (11) 4588-7860 </t>
  </si>
  <si>
    <t>Logo BRAHMA</t>
  </si>
  <si>
    <t xml:space="preserve">38444 / 46677 </t>
  </si>
  <si>
    <t xml:space="preserve">aquino.katia - +55 (11) 97423-0071 </t>
  </si>
  <si>
    <t xml:space="preserve">40071 / 47860 </t>
  </si>
  <si>
    <t>Sinalização/ IPLACAS - O/C 121.773</t>
  </si>
  <si>
    <t xml:space="preserve">38942 / 47090 </t>
  </si>
  <si>
    <t xml:space="preserve">Anderson Cardoso - +55 (62) 8302-4183 </t>
  </si>
  <si>
    <t>Sinalização / IPLACAS - O/C 41662</t>
  </si>
  <si>
    <t>30/03/2026 14:36 (3 dia(s) de atraso)</t>
  </si>
  <si>
    <t xml:space="preserve">38544 / 46838 </t>
  </si>
  <si>
    <t xml:space="preserve">Pri Rondanini - +55 (19) 99297-6666 </t>
  </si>
  <si>
    <t xml:space="preserve">38468 / 46559 </t>
  </si>
  <si>
    <t xml:space="preserve">Larissa - +55 (19) 99820-3470 </t>
  </si>
  <si>
    <t>Adesivos Solo 188036</t>
  </si>
  <si>
    <t>20/04/2026 14:47 (56 dia(s) de atraso)</t>
  </si>
  <si>
    <t xml:space="preserve">38431 / 46671 </t>
  </si>
  <si>
    <t xml:space="preserve">Glauber - +55 (19) 99801-7373 </t>
  </si>
  <si>
    <t>Rota de Fuga / Emergência - O.C 3441</t>
  </si>
  <si>
    <t xml:space="preserve">39599 / 48139 </t>
  </si>
  <si>
    <t xml:space="preserve">Compras - +55 (19) 98991-7938 </t>
  </si>
  <si>
    <t>Impressão Acrílico 5mm</t>
  </si>
  <si>
    <t xml:space="preserve">38320 / 46553 </t>
  </si>
  <si>
    <t xml:space="preserve">Eliane - +55 (19) 99742-4593 </t>
  </si>
  <si>
    <t>19/02/2026 19:11 (6 dia(s) de atraso)</t>
  </si>
  <si>
    <t xml:space="preserve">39220 / 47582 </t>
  </si>
  <si>
    <t xml:space="preserve">Renato - +55 (24) 99922-7628 </t>
  </si>
  <si>
    <t>PLACA OBRA</t>
  </si>
  <si>
    <t xml:space="preserve">40085 / 48463 </t>
  </si>
  <si>
    <t xml:space="preserve">Everton Cruz - +55 (31) 9373-0055 </t>
  </si>
  <si>
    <t>Sinalização - O.C 4503256653</t>
  </si>
  <si>
    <t>05/06/2026 16:55 (3 dia(s) de atraso)</t>
  </si>
  <si>
    <t xml:space="preserve">39968 / 48274 </t>
  </si>
  <si>
    <t xml:space="preserve">Flavia Omura - +55 (11) 98565-1448 </t>
  </si>
  <si>
    <t>PVC EXP. FOTOLUMINESCENTE 2mm</t>
  </si>
  <si>
    <t xml:space="preserve">39309 / 47783 </t>
  </si>
  <si>
    <t xml:space="preserve">Rennã Soeiro - +55 (11) 91653-7062 </t>
  </si>
  <si>
    <t xml:space="preserve">38578 / 46855 </t>
  </si>
  <si>
    <t xml:space="preserve">. - +55 (19) 99589-7492 </t>
  </si>
  <si>
    <t>PROCON</t>
  </si>
  <si>
    <t>09/03/2026 09:34 (6 dia(s) de atraso)</t>
  </si>
  <si>
    <t xml:space="preserve">38758 / 46974 </t>
  </si>
  <si>
    <t xml:space="preserve">Administração e Contabilidade - +55 (19) 98332-2263 </t>
  </si>
  <si>
    <t>25/03/2026 16:06 (5 dia(s) de atraso)</t>
  </si>
  <si>
    <t xml:space="preserve">38308 / 46530 </t>
  </si>
  <si>
    <t xml:space="preserve">Tatiane - +55 (11) 95190-3890 </t>
  </si>
  <si>
    <t>26/02/2026 14:51 (9 dia(s) de atraso)</t>
  </si>
  <si>
    <t xml:space="preserve">38032 / 46177 </t>
  </si>
  <si>
    <t>Placas ACM 10x1,22m</t>
  </si>
  <si>
    <t>04/02/2026 16:29 (7 dia(s) de atraso)</t>
  </si>
  <si>
    <t xml:space="preserve">37784 / 45818 </t>
  </si>
  <si>
    <t xml:space="preserve">Jessica Soares Lucas - +55 (21) 98041-1638 </t>
  </si>
  <si>
    <t>26/01/2026 16:09 (7 dia(s) de atraso)</t>
  </si>
  <si>
    <t xml:space="preserve">39534 / 48031 </t>
  </si>
  <si>
    <t xml:space="preserve">Osvaldo Norberto Santos - (00)0000-0000 </t>
  </si>
  <si>
    <t>08/05/2026 16:57 (8 dia(s) de atraso)</t>
  </si>
  <si>
    <t xml:space="preserve">38280 / 46138 </t>
  </si>
  <si>
    <t>O.S 77969: Crachás + Lona</t>
  </si>
  <si>
    <t>03/03/2026 14:49 (15 dia(s) de atraso)</t>
  </si>
  <si>
    <t xml:space="preserve">37843 / 45861 </t>
  </si>
  <si>
    <t xml:space="preserve">Cassio - +55 (11) 94113-6830 </t>
  </si>
  <si>
    <t>Limitador de Altura - chamado 182533</t>
  </si>
  <si>
    <t>25/02/2026 16:34 (36 dia(s) de atraso)</t>
  </si>
  <si>
    <t xml:space="preserve">38615 / 46924 </t>
  </si>
  <si>
    <t xml:space="preserve">Sil de Oliveirah - +55 (11) 99800-0122 </t>
  </si>
  <si>
    <t>26/03/2026 16:45 (21 dia(s) de atraso)</t>
  </si>
  <si>
    <t xml:space="preserve">39672 / 48191 </t>
  </si>
  <si>
    <t xml:space="preserve">Felipe Inoue - +55 (11) 3550-0000 </t>
  </si>
  <si>
    <t>Sinalização/ IPLACAS- O/C 1340568187</t>
  </si>
  <si>
    <t xml:space="preserve">38899 / 47286 </t>
  </si>
  <si>
    <t xml:space="preserve">Magali - +55 (19) 3272-9606 </t>
  </si>
  <si>
    <t>Totem Cubo - Wobblers - Lona</t>
  </si>
  <si>
    <t>02/04/2026 17:31 (13 dia(s) de atraso)</t>
  </si>
  <si>
    <t xml:space="preserve">37905 / 45994 </t>
  </si>
  <si>
    <t xml:space="preserve">Fabio Lima - +55 (19) 98142-7148 </t>
  </si>
  <si>
    <t>02/02/2026 15:23 (6 dia(s) de atraso)</t>
  </si>
  <si>
    <t xml:space="preserve">37910 / 45986 </t>
  </si>
  <si>
    <t xml:space="preserve">Moises - +55 (19) 99861-9873 </t>
  </si>
  <si>
    <t>Placas em Aluminio</t>
  </si>
  <si>
    <t>03/02/2026 11:11 (6 dia(s) de atraso)</t>
  </si>
  <si>
    <t xml:space="preserve">39471 / 47979 </t>
  </si>
  <si>
    <t>Sinalização/ IPLACAS - O/C 119.455</t>
  </si>
  <si>
    <t>14/05/2026 15:40 (16 dia(s) de atraso)</t>
  </si>
  <si>
    <t xml:space="preserve">39898 / 48495 </t>
  </si>
  <si>
    <t>Sinalização/ IPLACAS - O/C 121.050</t>
  </si>
  <si>
    <t xml:space="preserve">38159 / 46217 </t>
  </si>
  <si>
    <t xml:space="preserve">Eliane - +55 (19) 3306-8588 </t>
  </si>
  <si>
    <t>18/02/2026 14:46 (7 dia(s) de atraso)</t>
  </si>
  <si>
    <t xml:space="preserve">39675 / 48171 </t>
  </si>
  <si>
    <t>Sinalização/ IPLACAS- O/C 58133</t>
  </si>
  <si>
    <t xml:space="preserve">38348 / 46584 </t>
  </si>
  <si>
    <t xml:space="preserve">Tarcisio - +55 (19) 98839-9645 </t>
  </si>
  <si>
    <t xml:space="preserve">38791 / 46930 </t>
  </si>
  <si>
    <t xml:space="preserve">Bruno Silva - +55 (32) 9108-0141 </t>
  </si>
  <si>
    <t>FAIXA REFLETIVA</t>
  </si>
  <si>
    <t xml:space="preserve">37876 / 45974 </t>
  </si>
  <si>
    <t xml:space="preserve">Rafael - +55 (19) 99962-3372 </t>
  </si>
  <si>
    <t>30/01/2026 16:02 (9 dia(s) de atraso)</t>
  </si>
  <si>
    <t xml:space="preserve">40115 / 48641 </t>
  </si>
  <si>
    <t xml:space="preserve">Compras - +55 (11) 5505-5778 </t>
  </si>
  <si>
    <t xml:space="preserve">40021 / 48507 </t>
  </si>
  <si>
    <t xml:space="preserve">Compras Dias Alves - +55 (11) 99936-8863 </t>
  </si>
  <si>
    <t xml:space="preserve">39161 / 47598 </t>
  </si>
  <si>
    <t>11/04/2026 08:07 (4 dia(s) de atraso)</t>
  </si>
  <si>
    <t xml:space="preserve">39745 / 48264 </t>
  </si>
  <si>
    <t xml:space="preserve">Compras - +55 (83) 9387-2477 </t>
  </si>
  <si>
    <t xml:space="preserve">37899 / 45999 </t>
  </si>
  <si>
    <t xml:space="preserve">Compras - +55 (67) 9601-3131 </t>
  </si>
  <si>
    <t>30/01/2026 14:33 (3 dia(s) de atraso)</t>
  </si>
  <si>
    <t xml:space="preserve">40022 / 48617 </t>
  </si>
  <si>
    <t xml:space="preserve">Brenno Abra - +55 (43) 99862-1111 </t>
  </si>
  <si>
    <t>PVC EXP. FOTOL. 2mm + PS 2mm* O/C 003279</t>
  </si>
  <si>
    <t>05/06/2026 11:49 (1 dia(s) de atraso)</t>
  </si>
  <si>
    <t xml:space="preserve">39154 / 47574 </t>
  </si>
  <si>
    <t xml:space="preserve">Fabio Rodrigo Macedo Ferreira - +55 (11) 99380-4422 </t>
  </si>
  <si>
    <t>PS 2mm - COMANDA FRENTE / VERSO</t>
  </si>
  <si>
    <t>29/04/2026 14:42 (16 dia(s) de atraso)</t>
  </si>
  <si>
    <t xml:space="preserve">39060 / 47458 </t>
  </si>
  <si>
    <t xml:space="preserve">Compras - +55 (19) 98857-2866 </t>
  </si>
  <si>
    <t xml:space="preserve">39727 / 47876 </t>
  </si>
  <si>
    <t xml:space="preserve">Planeta Psf Rodrigues - +55 (11) 2022-4627 </t>
  </si>
  <si>
    <t>GABARITO CARGA+ PNE</t>
  </si>
  <si>
    <t>11/05/2026 14:15 (3 dia(s) de atraso)</t>
  </si>
  <si>
    <t xml:space="preserve">39427 / 47494 </t>
  </si>
  <si>
    <t xml:space="preserve">Willas Carvalho - +55 (21) 97507-2649 </t>
  </si>
  <si>
    <t xml:space="preserve">38931 / 47284 </t>
  </si>
  <si>
    <t xml:space="preserve">Elgolli Compras - +55 (47) 3562-8675 </t>
  </si>
  <si>
    <t xml:space="preserve">39897 / 48494 </t>
  </si>
  <si>
    <t>Sinalização/ IPLACAS - o/c 120.983</t>
  </si>
  <si>
    <t>29/05/2026 17:11 (3 dia(s) de atraso)</t>
  </si>
  <si>
    <t xml:space="preserve">Lucas - +55 (19) 99339-9578 </t>
  </si>
  <si>
    <t>Sinalização - De olho na validade</t>
  </si>
  <si>
    <t xml:space="preserve">40132 / 48660 </t>
  </si>
  <si>
    <t>Sinalização/ IPLACAS - O/C 122.000</t>
  </si>
  <si>
    <t xml:space="preserve">39516 / 48002 </t>
  </si>
  <si>
    <t xml:space="preserve">Josiane - +55 (12) 99149-0433 </t>
  </si>
  <si>
    <t>ACM + PS2mm + VINIL</t>
  </si>
  <si>
    <t>12/05/2026 14:02 (6 dia(s) de atraso)</t>
  </si>
  <si>
    <t xml:space="preserve">39896 / 48485 </t>
  </si>
  <si>
    <t xml:space="preserve">Katia Maria Marcondes Vilar - +55 (19) 99166-3431 </t>
  </si>
  <si>
    <t>10/06/2026 15:17 (15 dia(s) de atraso)</t>
  </si>
  <si>
    <t xml:space="preserve">38730 / 47062 </t>
  </si>
  <si>
    <t xml:space="preserve">Juliana - (00)00000-0000 </t>
  </si>
  <si>
    <t>Serviço de Corte</t>
  </si>
  <si>
    <t>16/03/2026 17:09 (6 dia(s) de atraso)</t>
  </si>
  <si>
    <t xml:space="preserve">37957 / 46090 </t>
  </si>
  <si>
    <t xml:space="preserve">Condomínio Parque Das Nações - +55 (19) 3243-6384 </t>
  </si>
  <si>
    <t>Sinalização*14989</t>
  </si>
  <si>
    <t xml:space="preserve">38074 / 46229 </t>
  </si>
  <si>
    <t xml:space="preserve">Padrão - +55 (19) 92001-8298 </t>
  </si>
  <si>
    <t>Corte ACM preto</t>
  </si>
  <si>
    <t xml:space="preserve">38299 / 46512 </t>
  </si>
  <si>
    <t>03/03/2026 18:11 (13 dia(s) de atraso)</t>
  </si>
  <si>
    <t xml:space="preserve">39355 / 47726 </t>
  </si>
  <si>
    <t xml:space="preserve">Arqª Bruna Sentanin - +55 (11) 3759-8100 </t>
  </si>
  <si>
    <t>CRACHA PS 2mm</t>
  </si>
  <si>
    <t xml:space="preserve">39778 / 47462 </t>
  </si>
  <si>
    <t>15/05/2026 17:03 (2 dia(s) de atraso)</t>
  </si>
  <si>
    <t>Pagamento sinal</t>
  </si>
  <si>
    <t xml:space="preserve">38021 / 46076 </t>
  </si>
  <si>
    <t xml:space="preserve">Claudia Caricati - +55 (11) 3313-8036 </t>
  </si>
  <si>
    <t>Sinalização - O/C 1187</t>
  </si>
  <si>
    <t>04/02/2026 16:31 (5 dia(s) de atraso)</t>
  </si>
  <si>
    <t xml:space="preserve">38334 / 46575 </t>
  </si>
  <si>
    <t xml:space="preserve">SERVIÇO NACIONAL DE APRENIZAGEM RURAL - (00)00000-0000 </t>
  </si>
  <si>
    <t>Sinalização*15069</t>
  </si>
  <si>
    <t>23/02/2026 15:15 (10 dia(s) de atraso)</t>
  </si>
  <si>
    <t xml:space="preserve">38601 / 46898 </t>
  </si>
  <si>
    <t xml:space="preserve">leandro - +55 (19) 3221-3320 </t>
  </si>
  <si>
    <t>03/03/2026 18:09 (1 dia(s) de atraso)</t>
  </si>
  <si>
    <t xml:space="preserve">38971 / 47359 </t>
  </si>
  <si>
    <t xml:space="preserve">Suzana - +55 (19) 99715-3713 </t>
  </si>
  <si>
    <t>ACRILICO + ALUMINIO+ PS 2mm COM BRAILE</t>
  </si>
  <si>
    <t xml:space="preserve">39408 / 47909 </t>
  </si>
  <si>
    <t xml:space="preserve">Elizeu - +55 (11) 95374-3034 </t>
  </si>
  <si>
    <t>PS 1mm - BOTÃO EMERGENCIA</t>
  </si>
  <si>
    <t xml:space="preserve">39302 / 47703 </t>
  </si>
  <si>
    <t xml:space="preserve">Patrícia Dias - +55 (21) 99633-0222 </t>
  </si>
  <si>
    <t>PS 2mm + FOTOL 0,8mm + PVC EXP FOTOL 2mm</t>
  </si>
  <si>
    <t>22/04/2026 15:05 (6 dia(s) de atraso)</t>
  </si>
  <si>
    <t xml:space="preserve">37754 / 45826 </t>
  </si>
  <si>
    <t>21/01/2026 16:03 (8 dia(s) de atraso)</t>
  </si>
  <si>
    <t xml:space="preserve">38975 / 47198 </t>
  </si>
  <si>
    <t xml:space="preserve">Operacional Marambaia - +55 (47) 9932-2209 </t>
  </si>
  <si>
    <t>13/04/2026 11:18 (11 dia(s) de atraso)</t>
  </si>
  <si>
    <t xml:space="preserve">38476 / 46601 </t>
  </si>
  <si>
    <t>21/05/2026 17:17 (2 dia(s) de atraso)</t>
  </si>
  <si>
    <t xml:space="preserve">39073 / 47373 </t>
  </si>
  <si>
    <t xml:space="preserve">Contas a Pagar - +55 (47) 3224-5500 </t>
  </si>
  <si>
    <t>Sinalização/ IPLACAS - O/C 043126</t>
  </si>
  <si>
    <t>15/04/2026 17:45 (5 dia(s) de atraso)</t>
  </si>
  <si>
    <t xml:space="preserve">38360 / 46594 </t>
  </si>
  <si>
    <t xml:space="preserve">Rayana - +55 (21) 99212-0533 </t>
  </si>
  <si>
    <t xml:space="preserve">38158 / 46344 </t>
  </si>
  <si>
    <t xml:space="preserve">Henrique Xavier - +55 (19) 99905-4432 </t>
  </si>
  <si>
    <t>MEDALHAS E TROFÉUS</t>
  </si>
  <si>
    <t xml:space="preserve">39744 / 48304 </t>
  </si>
  <si>
    <t>Sinalização/ IPLACAS / O/C 25060</t>
  </si>
  <si>
    <t>05/06/2026 11:51 (9 dia(s) de atraso)</t>
  </si>
  <si>
    <t xml:space="preserve">39628 / 47475 </t>
  </si>
  <si>
    <t xml:space="preserve">Isabel - +55 114 496 588 0/ </t>
  </si>
  <si>
    <t>Sinalização/ IPLACAS - O/C 009810 - 009691</t>
  </si>
  <si>
    <t xml:space="preserve">39947 / 48516 </t>
  </si>
  <si>
    <t xml:space="preserve">Jamily - +55 (19) 99162-5244 </t>
  </si>
  <si>
    <t>02/06/2026 17:09 (4 dia(s) de atraso)</t>
  </si>
  <si>
    <t xml:space="preserve">38926 / 47309 </t>
  </si>
  <si>
    <t xml:space="preserve">Altaneide Araujo - +55 (77) 9971-3535 </t>
  </si>
  <si>
    <t xml:space="preserve">39847 / 47164 </t>
  </si>
  <si>
    <t xml:space="preserve">Isabela - +55 (19) 9170-0147 </t>
  </si>
  <si>
    <t>POLIONDA</t>
  </si>
  <si>
    <t>27/05/2026 18:52 (5 dia(s) de atraso)</t>
  </si>
  <si>
    <t xml:space="preserve">39615 / 48112 </t>
  </si>
  <si>
    <t xml:space="preserve">Administração SAN PIETRO - +55 (19) 97401-7203 </t>
  </si>
  <si>
    <t xml:space="preserve">39518 / 48040 </t>
  </si>
  <si>
    <t xml:space="preserve">Lpqbr Restaurantes e Padarias Ltda. - +55 (11) 3564-0503 </t>
  </si>
  <si>
    <t>SITE*15445</t>
  </si>
  <si>
    <t xml:space="preserve">38552 / 46774 </t>
  </si>
  <si>
    <t xml:space="preserve">Departamento Técnico T2 - +55 (11) 91327-7718 </t>
  </si>
  <si>
    <t xml:space="preserve">39640 / 47811 </t>
  </si>
  <si>
    <t xml:space="preserve">Spot Administrativo - +55 (11) 94445-8188 </t>
  </si>
  <si>
    <t xml:space="preserve">39749 / 48306 </t>
  </si>
  <si>
    <t xml:space="preserve">Luciano - +55 (19) 3307-8666 </t>
  </si>
  <si>
    <t>SITE#15501</t>
  </si>
  <si>
    <t xml:space="preserve">38736 / 47069 </t>
  </si>
  <si>
    <t>Totem Gato</t>
  </si>
  <si>
    <t>11/06/2026 16:13 (52 dia(s) de atraso)</t>
  </si>
  <si>
    <t xml:space="preserve">38398 / 46339 </t>
  </si>
  <si>
    <t>Sinalização/ IPLACAS - O/C 115.451</t>
  </si>
  <si>
    <t>04/03/2026 17:05 (12 dia(s) de atraso)</t>
  </si>
  <si>
    <t xml:space="preserve">39072 / 47318 </t>
  </si>
  <si>
    <t xml:space="preserve">Leonardo Leite - +55 (11) 2189-5300 </t>
  </si>
  <si>
    <t>Placas Sinalização - O/C 86025</t>
  </si>
  <si>
    <t>15/04/2026 17:46 (5 dia(s) de atraso)</t>
  </si>
  <si>
    <t xml:space="preserve">39319 / 47718 </t>
  </si>
  <si>
    <t xml:space="preserve">Compras - +55 (51) 9300-9210 </t>
  </si>
  <si>
    <t>27/04/2026 18:06 (5 dia(s) de atraso)</t>
  </si>
  <si>
    <t xml:space="preserve">39863 / 48443 </t>
  </si>
  <si>
    <t xml:space="preserve">Luciene Theodoro - +55 (11) 99530-6697 </t>
  </si>
  <si>
    <t>27/05/2026 18:51 (1 dia(s) de atraso)</t>
  </si>
  <si>
    <t xml:space="preserve">39352 / 47814 </t>
  </si>
  <si>
    <t xml:space="preserve">Contas a pagar - +55 (11) 3263-1300 </t>
  </si>
  <si>
    <t>Placas Sinalização - O/C 86262</t>
  </si>
  <si>
    <t xml:space="preserve">38358 / 46307 </t>
  </si>
  <si>
    <t xml:space="preserve">Cassio - +55 (19) 3803-0000 </t>
  </si>
  <si>
    <t>Adesivos Solo 187414</t>
  </si>
  <si>
    <t xml:space="preserve">38003 / 46100 </t>
  </si>
  <si>
    <t xml:space="preserve">Rafael Santos - +55 (15) 99645-3305 </t>
  </si>
  <si>
    <t>Placas Sinalização- O/C 038111</t>
  </si>
  <si>
    <t>13/02/2026 15:45 (16 dia(s) de atraso)</t>
  </si>
  <si>
    <t xml:space="preserve">38275 / 46501 </t>
  </si>
  <si>
    <t>Sinalização PS 2mm</t>
  </si>
  <si>
    <t xml:space="preserve">39456 / 47943 </t>
  </si>
  <si>
    <t xml:space="preserve">Leonardo Martins - +55 (11) 3257-2692 </t>
  </si>
  <si>
    <t>ACRILICO</t>
  </si>
  <si>
    <t xml:space="preserve">39025 / 47419 </t>
  </si>
  <si>
    <t xml:space="preserve">Breno Oliveira - +55 (21) 99559-4915 </t>
  </si>
  <si>
    <t xml:space="preserve">38466 / 44977 </t>
  </si>
  <si>
    <t xml:space="preserve">Gabriel - +55 (42) 9995-3891 </t>
  </si>
  <si>
    <t>04/03/2026 17:11 (1 dia(s) de atraso)</t>
  </si>
  <si>
    <t xml:space="preserve">38506 / 46749 </t>
  </si>
  <si>
    <t xml:space="preserve">Beatriz - +55 (19) 92001-8298 </t>
  </si>
  <si>
    <t>Etiquetas Lunar</t>
  </si>
  <si>
    <t xml:space="preserve">39799 / 48374 </t>
  </si>
  <si>
    <t xml:space="preserve">Gráfica Imediatos - +55 (28) 3542-2923 </t>
  </si>
  <si>
    <t>SITE#15521</t>
  </si>
  <si>
    <t xml:space="preserve">39139 / 47569 </t>
  </si>
  <si>
    <t xml:space="preserve">Renan Furlan - +55 (11) 98358-6774 </t>
  </si>
  <si>
    <t xml:space="preserve">39093 / 47376 </t>
  </si>
  <si>
    <t xml:space="preserve">Raphael Campelo - +55 (11) 98348-6100 </t>
  </si>
  <si>
    <t>16/04/2026 09:59 (7 dia(s) de atraso)</t>
  </si>
  <si>
    <t>11/02/2026 14:48 (5 dia(s) de atraso)</t>
  </si>
  <si>
    <t xml:space="preserve">39641 / 45911 </t>
  </si>
  <si>
    <t xml:space="preserve">Carlos - +55 (19) 99460-5760 </t>
  </si>
  <si>
    <t xml:space="preserve">38583 / 46875 </t>
  </si>
  <si>
    <t xml:space="preserve">Marcel Wagner - +55 (41) 9872-8800 </t>
  </si>
  <si>
    <t xml:space="preserve">38604 / 46885 </t>
  </si>
  <si>
    <t xml:space="preserve">Cristiane Almeida - +55 (19) 99599-6168 </t>
  </si>
  <si>
    <t>Adesivação Veiculo</t>
  </si>
  <si>
    <t xml:space="preserve">38452 / 46732 </t>
  </si>
  <si>
    <t>Sinalização/ IPLACAS - O/C 115.679</t>
  </si>
  <si>
    <t>12/03/2026 14:20 (20 dia(s) de atraso)</t>
  </si>
  <si>
    <t xml:space="preserve">39044 / 47205 </t>
  </si>
  <si>
    <t xml:space="preserve">Andrea Evangelista/BRA - +55 (11) 2540-9150 </t>
  </si>
  <si>
    <t>14/04/2026 15:14 (12 dia(s) de atraso)</t>
  </si>
  <si>
    <t xml:space="preserve">39095 / 47507 </t>
  </si>
  <si>
    <t xml:space="preserve">Giovana Motta - +55 (11) 97418-6900 </t>
  </si>
  <si>
    <t>ACM REFLETIVO + PS 2mm</t>
  </si>
  <si>
    <t>14/04/2026 15:14 (5 dia(s) de atraso)</t>
  </si>
  <si>
    <t xml:space="preserve">39627 / 47792 </t>
  </si>
  <si>
    <t xml:space="preserve">José Manoel da Rocha - +55 (42) 9931-5727 </t>
  </si>
  <si>
    <t>ACRILICO* O/C PC11807</t>
  </si>
  <si>
    <t>20/05/2026 10:25 (8 dia(s) de atraso)</t>
  </si>
  <si>
    <t xml:space="preserve">38062 / 46212 </t>
  </si>
  <si>
    <t xml:space="preserve">Assistec Piscinas - +55 (19) 99391-1595 </t>
  </si>
  <si>
    <t xml:space="preserve">39789 / 48299 </t>
  </si>
  <si>
    <t xml:space="preserve">Compras - +55 (19) 97416-9788 </t>
  </si>
  <si>
    <t>08/06/2026 18:35 (18 dia(s) de atraso)</t>
  </si>
  <si>
    <t xml:space="preserve">40095 / 48753 </t>
  </si>
  <si>
    <t xml:space="preserve">CONDOMÍNIO CONJUNTO RESIDENCIAL ALTO DE PINHEIROS 2000 - +55 (11) 9666-2345 </t>
  </si>
  <si>
    <t>SITE#15620</t>
  </si>
  <si>
    <t>05/06/2026 11:50 (2 dia(s) de atraso)</t>
  </si>
  <si>
    <t xml:space="preserve">38305 / 46527 </t>
  </si>
  <si>
    <t>06/03/2026 16:50 (17 dia(s) de atraso)</t>
  </si>
  <si>
    <t xml:space="preserve">38306 / 46528 </t>
  </si>
  <si>
    <t xml:space="preserve">39092 / 47496 </t>
  </si>
  <si>
    <t xml:space="preserve">Fabrício Silva - +55 (19) 99145-3883 </t>
  </si>
  <si>
    <t>13/04/2026 10:01 (4 dia(s) de atraso)</t>
  </si>
  <si>
    <t xml:space="preserve">38291 / 46513 </t>
  </si>
  <si>
    <t xml:space="preserve">João Vitor - +55 (19) 92001-8298 </t>
  </si>
  <si>
    <t>Corte Alumínio 1mm e ACM 3mm</t>
  </si>
  <si>
    <t xml:space="preserve">39511 / 48003 </t>
  </si>
  <si>
    <t xml:space="preserve">Geovane - +55 (21) 99592-3725 </t>
  </si>
  <si>
    <t>05/05/2026 16:54 (5 dia(s) de atraso)</t>
  </si>
  <si>
    <t xml:space="preserve">37933 / 46043 </t>
  </si>
  <si>
    <t xml:space="preserve">Allan Fonseca - +55 (21) 97962-6207 </t>
  </si>
  <si>
    <t>30/01/2026 14:31 (4 dia(s) de atraso)</t>
  </si>
  <si>
    <t xml:space="preserve">39460 / 47966 </t>
  </si>
  <si>
    <t xml:space="preserve">Leandro Jovino - +55 (11) 99896-5005 </t>
  </si>
  <si>
    <t xml:space="preserve">39877 / 48467 </t>
  </si>
  <si>
    <t>Placas em Alumínio 1mm</t>
  </si>
  <si>
    <t xml:space="preserve">40007 / 48610 </t>
  </si>
  <si>
    <t>05/06/2026 11:48 (7 dia(s) de atraso)</t>
  </si>
  <si>
    <t xml:space="preserve">39259 / 47701 </t>
  </si>
  <si>
    <t xml:space="preserve">Alexandre Elesbão De Oliveira - +55 (12) 9960-4524 </t>
  </si>
  <si>
    <t>Sinalização*15365</t>
  </si>
  <si>
    <t>16/04/2026 10:00 (3 dia(s) de atraso)</t>
  </si>
  <si>
    <t xml:space="preserve">38130 / 46309 </t>
  </si>
  <si>
    <t xml:space="preserve">38048 / 46179 </t>
  </si>
  <si>
    <t xml:space="preserve">Cristiane - +55 (19) 99583-9796 </t>
  </si>
  <si>
    <t>Padronização de Frota SCUDO</t>
  </si>
  <si>
    <t>28/01/2026 17:44 (1 dia(s) de atraso)</t>
  </si>
  <si>
    <t xml:space="preserve">38030 / 46180 </t>
  </si>
  <si>
    <t xml:space="preserve">Marcelo Amaral - +55 (24) 97402-0378 </t>
  </si>
  <si>
    <t xml:space="preserve">38677 / 46578 </t>
  </si>
  <si>
    <t xml:space="preserve">Gestao - Ramon Guimarães - +55 (22) 99253-0113 </t>
  </si>
  <si>
    <t>ACM - Placar CIPA</t>
  </si>
  <si>
    <t xml:space="preserve">38072 / 46202 </t>
  </si>
  <si>
    <t xml:space="preserve">Serginho - +55 (13) 98133-3303 </t>
  </si>
  <si>
    <t>10/02/2026 16:00 (6 dia(s) de atraso)</t>
  </si>
  <si>
    <t xml:space="preserve">39110 / 47549 </t>
  </si>
  <si>
    <t xml:space="preserve">ADM - +55 (11) 3170-3444 </t>
  </si>
  <si>
    <t>Sinalização*15306</t>
  </si>
  <si>
    <t>13/04/2026 10:00 (10 dia(s) de atraso)</t>
  </si>
  <si>
    <t xml:space="preserve">38331 / 46504 </t>
  </si>
  <si>
    <t xml:space="preserve">CONDOMINIO VISTA VALPARAÍSO - +55 (11) 96863-1243 </t>
  </si>
  <si>
    <t>23/02/2026 15:13 (4 dia(s) de atraso)</t>
  </si>
  <si>
    <t xml:space="preserve">38537 / 46771 </t>
  </si>
  <si>
    <t xml:space="preserve">Marton - +55 (19) 97117-1961 </t>
  </si>
  <si>
    <t xml:space="preserve">38391 / 46593 </t>
  </si>
  <si>
    <t xml:space="preserve">Danyelli - +55 (19) 99627-5914 </t>
  </si>
  <si>
    <t>19/02/2026 19:12 (1 dia(s) de atraso)</t>
  </si>
  <si>
    <t xml:space="preserve">38100 / 46244 </t>
  </si>
  <si>
    <t xml:space="preserve">Nicola - +55 (11) 98131-6944 </t>
  </si>
  <si>
    <t>11/02/2026 14:40 (5 dia(s) de atraso)</t>
  </si>
  <si>
    <t xml:space="preserve">37798 / 45753 </t>
  </si>
  <si>
    <t xml:space="preserve">IRAN - +55 (19) 99817-9067 </t>
  </si>
  <si>
    <t>Placa em ACM</t>
  </si>
  <si>
    <t>26/01/2026 11:59 (5 dia(s) de atraso)</t>
  </si>
  <si>
    <t xml:space="preserve">40083 / 48575 </t>
  </si>
  <si>
    <t xml:space="preserve">Valmir Ferron Fratéi - +55 (11) 98350-7557 </t>
  </si>
  <si>
    <t>05/06/2026 11:45 (3 dia(s) de atraso)</t>
  </si>
  <si>
    <t xml:space="preserve">39293 / 47758 </t>
  </si>
  <si>
    <t xml:space="preserve">Isabelly Argentino - +55 (19) 99518-9874 </t>
  </si>
  <si>
    <t>18/04/2026 08:55 (2 dia(s) de atraso)</t>
  </si>
  <si>
    <t xml:space="preserve">39255 / 47695 </t>
  </si>
  <si>
    <t>PLACAS NÚMEROS</t>
  </si>
  <si>
    <t xml:space="preserve">37774 / 45852 </t>
  </si>
  <si>
    <t xml:space="preserve">Rafael Guedes - +55 (84) 3211-4275 </t>
  </si>
  <si>
    <t>Sinalização - ACRILICO BRAILE - O/C - 043984/1</t>
  </si>
  <si>
    <t xml:space="preserve">39469 / 47974 </t>
  </si>
  <si>
    <t xml:space="preserve">39331 / 47776 </t>
  </si>
  <si>
    <t xml:space="preserve">. - +55 (11) 91976-5062 </t>
  </si>
  <si>
    <t>29/04/2026 14:43 (7 dia(s) de atraso)</t>
  </si>
  <si>
    <t xml:space="preserve">39901 / 48497 </t>
  </si>
  <si>
    <t xml:space="preserve">Renan Alves | Compras - +55 (11) 96363-5682 </t>
  </si>
  <si>
    <t>Precificador Gôndola Porta Etiqueta Em L 50x3,5cm</t>
  </si>
  <si>
    <t xml:space="preserve">38259 / 46406 </t>
  </si>
  <si>
    <t>24/02/2026 15:24 (8 dia(s) de atraso)</t>
  </si>
  <si>
    <t xml:space="preserve">38002 / 46105 </t>
  </si>
  <si>
    <t xml:space="preserve">Milena Sequetim - +55 (11) 98253-6245 </t>
  </si>
  <si>
    <t>24/02/2026 15:24 (27 dia(s) de atraso)</t>
  </si>
  <si>
    <t xml:space="preserve">39226 / 47401 </t>
  </si>
  <si>
    <t xml:space="preserve">Compras - (19)99113-9769 </t>
  </si>
  <si>
    <t xml:space="preserve">39075 / 47336 </t>
  </si>
  <si>
    <t xml:space="preserve">Felipe - +55 (11) 97154-1026 </t>
  </si>
  <si>
    <t>DEFLETOR PARA AR CONDICIONADO - O/C 118.080</t>
  </si>
  <si>
    <t>23/05/2026 07:41 (50 dia(s) de atraso)</t>
  </si>
  <si>
    <t xml:space="preserve">39693 / 48188 </t>
  </si>
  <si>
    <t xml:space="preserve">AMANDA - +55 (19) 98328-3612 </t>
  </si>
  <si>
    <t>Placa Atendimento - 203121</t>
  </si>
  <si>
    <t>14/05/2026 15:42 (6 dia(s) de atraso)</t>
  </si>
  <si>
    <t xml:space="preserve">39791 / 48367 </t>
  </si>
  <si>
    <t xml:space="preserve">COND ARTIS JARDIM PRUDENCIA - (00)00000-0000 </t>
  </si>
  <si>
    <t>SITE#15498</t>
  </si>
  <si>
    <t>01/06/2026 18:53 (12 dia(s) de atraso)</t>
  </si>
  <si>
    <t xml:space="preserve">38161 / 46257 </t>
  </si>
  <si>
    <t xml:space="preserve">Horquidea Rodrigues - +55 (11) 98824-3629 </t>
  </si>
  <si>
    <t>09/02/2026 15:45 (3 dia(s) de atraso)</t>
  </si>
  <si>
    <t xml:space="preserve">39349 / 47791 </t>
  </si>
  <si>
    <t xml:space="preserve">39397 / 47846 </t>
  </si>
  <si>
    <t xml:space="preserve">Tathi Felix - +55 (19) 99825-2860 </t>
  </si>
  <si>
    <t>Sinalização - Placas Sobrepostas</t>
  </si>
  <si>
    <t xml:space="preserve">38807 / 46788 </t>
  </si>
  <si>
    <t xml:space="preserve">Compras - +55 (19) 99657-3297 </t>
  </si>
  <si>
    <t>PS 2mm c/ e s/ sistema deslizante</t>
  </si>
  <si>
    <t>26/03/2026 16:45 (6 dia(s) de atraso)</t>
  </si>
  <si>
    <t xml:space="preserve">38647 / 46722 </t>
  </si>
  <si>
    <t xml:space="preserve">Compras - +55 (21) 99702-4230 </t>
  </si>
  <si>
    <t>ACRILICO*P00383</t>
  </si>
  <si>
    <t xml:space="preserve">39873 / 48462 </t>
  </si>
  <si>
    <t>Placas em Alumínio</t>
  </si>
  <si>
    <t xml:space="preserve">38304 / 46526 </t>
  </si>
  <si>
    <t xml:space="preserve">38307 / 46529 </t>
  </si>
  <si>
    <t xml:space="preserve">37805 / 45886 </t>
  </si>
  <si>
    <t xml:space="preserve">Gustavo Elorza - +55 (11) 94002-5475 </t>
  </si>
  <si>
    <t>20/01/2026 12:26 (5 dia(s) de atraso)</t>
  </si>
  <si>
    <t xml:space="preserve">38031 / 46173 </t>
  </si>
  <si>
    <t xml:space="preserve">Renan Domingues - Compras Monte Mor - +55 (11) 94778-3810 </t>
  </si>
  <si>
    <t>12/02/2026 17:47 (9 dia(s) de atraso)</t>
  </si>
  <si>
    <t xml:space="preserve">39308 / 47762 </t>
  </si>
  <si>
    <t xml:space="preserve">Lidiane Carraro - +55 (19) 97112-8927 </t>
  </si>
  <si>
    <t>Troféus</t>
  </si>
  <si>
    <t>27/04/2026 18:05 (4 dia(s) de atraso)</t>
  </si>
  <si>
    <t xml:space="preserve">39616 / 48159 </t>
  </si>
  <si>
    <t>Placas em Alumínio + Vinil Laminado</t>
  </si>
  <si>
    <t>15/05/2026 17:04 (8 dia(s) de atraso)</t>
  </si>
  <si>
    <t xml:space="preserve">38558 / 45580 </t>
  </si>
  <si>
    <t xml:space="preserve">Compras - +55 (21) 96442-6324 </t>
  </si>
  <si>
    <t>12/03/2026 14:20 (7 dia(s) de atraso)</t>
  </si>
  <si>
    <t xml:space="preserve">38266 / 46417 </t>
  </si>
  <si>
    <t xml:space="preserve">Compras - +55 (11) 5549-8399 </t>
  </si>
  <si>
    <t>Placas Sinalização - O/C 002498</t>
  </si>
  <si>
    <t>20/02/2026 15:01 (8 dia(s) de atraso)</t>
  </si>
  <si>
    <t xml:space="preserve">39639 / 48179 </t>
  </si>
  <si>
    <t xml:space="preserve">Rafael Bianchini - +55 (19) 99600-8111 </t>
  </si>
  <si>
    <t>ALUMINIO* O/C 20260429-01</t>
  </si>
  <si>
    <t xml:space="preserve">38346 / 46407 </t>
  </si>
  <si>
    <t xml:space="preserve">Compras Lantery - +55 (11) 93756-6095 </t>
  </si>
  <si>
    <t>20/02/2026 15:01 (4 dia(s) de atraso)</t>
  </si>
  <si>
    <t xml:space="preserve">39043 / 47451 </t>
  </si>
  <si>
    <t xml:space="preserve">Re9sol Energia solar e Soluções em energia. - +55 (81) 9467-6655 </t>
  </si>
  <si>
    <t>PS 1mm</t>
  </si>
  <si>
    <t xml:space="preserve">38317 / 46548 </t>
  </si>
  <si>
    <t>26/02/2026 14:52 (9 dia(s) de atraso)</t>
  </si>
  <si>
    <t xml:space="preserve">40000 / 48606 </t>
  </si>
  <si>
    <t xml:space="preserve">Gabrielle - +55 (11) 94506-1151 </t>
  </si>
  <si>
    <t>OC-00018989 - Placar CIPA</t>
  </si>
  <si>
    <t xml:space="preserve">39374 / 47863 </t>
  </si>
  <si>
    <t xml:space="preserve">iload.net - +55 (11) 99854-1497 </t>
  </si>
  <si>
    <t>PVC EXP. FOTOL. 2mm</t>
  </si>
  <si>
    <t xml:space="preserve">40113 / 48735 </t>
  </si>
  <si>
    <t xml:space="preserve">Compras SOHOME - Bruna Tecco - +55 (44) 9845-0504 </t>
  </si>
  <si>
    <t>PS 1mm - Painel Hipnótico * O/C 48128</t>
  </si>
  <si>
    <t xml:space="preserve">40120 / 48339 </t>
  </si>
  <si>
    <t xml:space="preserve">Carla SILVA - +55 (19) 99403-1151 </t>
  </si>
  <si>
    <t>Etiquetas Logo Ceva - 1371130</t>
  </si>
  <si>
    <t xml:space="preserve">38744 / 46803 </t>
  </si>
  <si>
    <t xml:space="preserve">Administração Raiz São Paulo - +55 (11) 99638-3263 </t>
  </si>
  <si>
    <t>23/03/2026 16:58 (5 dia(s) de atraso)</t>
  </si>
  <si>
    <t xml:space="preserve">40041 / 48636 </t>
  </si>
  <si>
    <t xml:space="preserve">Lenice Brito - +55 (11) 94024-7257 </t>
  </si>
  <si>
    <t>Sinalização/ IPLACAS - O/C 051451</t>
  </si>
  <si>
    <t xml:space="preserve">39801 / 48366 </t>
  </si>
  <si>
    <t>05/06/2026 11:50 (14 dia(s) de atraso)</t>
  </si>
  <si>
    <t xml:space="preserve">38747 / 47053 </t>
  </si>
  <si>
    <t>Sinalização - Chamado 191118</t>
  </si>
  <si>
    <t xml:space="preserve">38090 / 46254 </t>
  </si>
  <si>
    <t xml:space="preserve">PAULO CESAR MELO MATOS - +55 (12) 99712-7818 </t>
  </si>
  <si>
    <t>12/02/2026 17:48 (7 dia(s) de atraso)</t>
  </si>
  <si>
    <t xml:space="preserve">39064 / 47478 </t>
  </si>
  <si>
    <t xml:space="preserve">Josuan Moraes Jr - +55 (47) 9651-6469 </t>
  </si>
  <si>
    <t>14/04/2026 18:01 (6 dia(s) de atraso)</t>
  </si>
  <si>
    <t xml:space="preserve">38936 / 46653 </t>
  </si>
  <si>
    <t xml:space="preserve">Compras - +55 (11) 97823-6870 </t>
  </si>
  <si>
    <t xml:space="preserve">38531 / 46818 </t>
  </si>
  <si>
    <t xml:space="preserve">LUCIANA - +55 (11) 97150-0289 </t>
  </si>
  <si>
    <t>Sinalização - ps2mm PVC - O/C 130997</t>
  </si>
  <si>
    <t>05/03/2026 17:35 (1 dia(s) de atraso)</t>
  </si>
  <si>
    <t xml:space="preserve">38024 / 46345 </t>
  </si>
  <si>
    <t xml:space="preserve">Grace justino - +55 (11) 99231-1817 </t>
  </si>
  <si>
    <t>02/02/2026 15:23 (4 dia(s) de atraso)</t>
  </si>
  <si>
    <t xml:space="preserve">39695 / 48065 </t>
  </si>
  <si>
    <t xml:space="preserve">Larissa - +55 (11) 99644-4770 </t>
  </si>
  <si>
    <t>Quadro de Aviso - 200448</t>
  </si>
  <si>
    <t>14/05/2026 15:42 (2 dia(s) de atraso)</t>
  </si>
  <si>
    <t xml:space="preserve">38140 / 46189 </t>
  </si>
  <si>
    <t xml:space="preserve">‎Gustavo Nascimento - +55 (48) 9693-5275 </t>
  </si>
  <si>
    <t>11/02/2026 14:41 (6 dia(s) de atraso)</t>
  </si>
  <si>
    <t xml:space="preserve">38434 / 46702 </t>
  </si>
  <si>
    <t xml:space="preserve">Paulo Akamine 赤嶺 - +55 (34) 3428-3725 </t>
  </si>
  <si>
    <t>04/03/2026 17:09 (6 dia(s) de atraso)</t>
  </si>
  <si>
    <t xml:space="preserve">38835 / 47159 </t>
  </si>
  <si>
    <t xml:space="preserve">Arthurzinho Compras Speed - +55 (11) 91489-0253 </t>
  </si>
  <si>
    <t>PS 1mm -TAMPA PLACA COM 4 FUROS COM ELASTICO</t>
  </si>
  <si>
    <t xml:space="preserve">39580 / 48116 </t>
  </si>
  <si>
    <t xml:space="preserve">Ana Carulina - +55 (11) 98285-7223 </t>
  </si>
  <si>
    <t>ACM + PS2mm + PS 2mm com Braile</t>
  </si>
  <si>
    <t xml:space="preserve">39751 / 48265 </t>
  </si>
  <si>
    <t xml:space="preserve">Compras - +55 (15) 98116-2160 </t>
  </si>
  <si>
    <t xml:space="preserve">38541 / 46837 </t>
  </si>
  <si>
    <t xml:space="preserve">RAYANA LIMA PEDROSA - +55 (31) 3212-6400 </t>
  </si>
  <si>
    <t>Sinalização*15145</t>
  </si>
  <si>
    <t>03/03/2026 14:48 (4 dia(s) de atraso)</t>
  </si>
  <si>
    <t xml:space="preserve">39985 / 48580 </t>
  </si>
  <si>
    <t>05/06/2026 11:46 (7 dia(s) de atraso)</t>
  </si>
  <si>
    <t xml:space="preserve">38534 / 46817 </t>
  </si>
  <si>
    <t xml:space="preserve">Osvaldo Yhara - +55 (19) 3254-2962 </t>
  </si>
  <si>
    <t xml:space="preserve">39806 / 48363 </t>
  </si>
  <si>
    <t xml:space="preserve">Financeiro (Dranfi) - +55 (11) 98909-0212 </t>
  </si>
  <si>
    <t xml:space="preserve">40119 / 48754 </t>
  </si>
  <si>
    <t xml:space="preserve">Wanessa - +55 (19) 3737-0770 </t>
  </si>
  <si>
    <t>Sinalização - JATEADO</t>
  </si>
  <si>
    <t xml:space="preserve">38805 / 47142 </t>
  </si>
  <si>
    <t xml:space="preserve">Email da empresa - +55 (11) 4550-9120 </t>
  </si>
  <si>
    <t>PS 1mm - ALUMINIO - DISPLAY</t>
  </si>
  <si>
    <t xml:space="preserve">38216 / 45866 </t>
  </si>
  <si>
    <t>Sinalização / IPLACAS - O/C 63.311</t>
  </si>
  <si>
    <t>12/02/2026 17:49 (6 dia(s) de atraso)</t>
  </si>
  <si>
    <t xml:space="preserve">39746 / 48287 </t>
  </si>
  <si>
    <t xml:space="preserve">Ary Medeiros - +55 (19) 99975-3020 </t>
  </si>
  <si>
    <t>23/05/2026 07:42 (5 dia(s) de atraso)</t>
  </si>
  <si>
    <t xml:space="preserve">37930 / 46037 </t>
  </si>
  <si>
    <t>04/02/2026 16:28 (7 dia(s) de atraso)</t>
  </si>
  <si>
    <t xml:space="preserve">39838 / 48417 </t>
  </si>
  <si>
    <t xml:space="preserve">39421 / 47895 </t>
  </si>
  <si>
    <t xml:space="preserve">Roberto Leal - +55 (19) 98812-4536 </t>
  </si>
  <si>
    <t xml:space="preserve">39148 / 47487 </t>
  </si>
  <si>
    <t xml:space="preserve">Compras Suprema - +55 (15) 99636-9068 </t>
  </si>
  <si>
    <t>ACM*PO_BET0003297</t>
  </si>
  <si>
    <t xml:space="preserve">39665 / 48166 </t>
  </si>
  <si>
    <t xml:space="preserve">Vimaster Administração - +55 (83) 9118-5611 </t>
  </si>
  <si>
    <t>ACRILICO* O/C 7072</t>
  </si>
  <si>
    <t xml:space="preserve">38088 / 45880 </t>
  </si>
  <si>
    <t xml:space="preserve">Cleide - +55 (19) 3269-9257 </t>
  </si>
  <si>
    <t>Impressão UV - INOX E ACM ESCOVADO</t>
  </si>
  <si>
    <t xml:space="preserve">38686 / 47014 </t>
  </si>
  <si>
    <t xml:space="preserve">Eraldo Alves da Silva - +55 190 000 000 </t>
  </si>
  <si>
    <t>Sinalização - Acrílico Rose</t>
  </si>
  <si>
    <t>11/03/2026 14:33 (1 dia(s) de atraso)</t>
  </si>
  <si>
    <t xml:space="preserve">39008 / 47407 </t>
  </si>
  <si>
    <t xml:space="preserve">Edivanei - +55 (15) 99707-7794 </t>
  </si>
  <si>
    <t>VIVIL - REFLETIVO VEICULO LONGO</t>
  </si>
  <si>
    <t xml:space="preserve">39667 / 48209 </t>
  </si>
  <si>
    <t xml:space="preserve">Envio nfe e boleto - +55 (11) 5335-0456 </t>
  </si>
  <si>
    <t>14/05/2026 12:13 (1 dia(s) de atraso)</t>
  </si>
  <si>
    <t xml:space="preserve">39502 / 48021 </t>
  </si>
  <si>
    <t xml:space="preserve">André Vitor - +55 (19) 99367-5739 </t>
  </si>
  <si>
    <t xml:space="preserve">39310 / 47723 </t>
  </si>
  <si>
    <t xml:space="preserve">Administração Sol Do Porto - +55 (21) 99655-8735 </t>
  </si>
  <si>
    <t>23/04/2026 15:03 (1 dia(s) de atraso)</t>
  </si>
  <si>
    <t xml:space="preserve">38857 / 47196 </t>
  </si>
  <si>
    <t>Adesivos Solo 194039</t>
  </si>
  <si>
    <t>26/03/2026 16:44 (6 dia(s) de atraso)</t>
  </si>
  <si>
    <t xml:space="preserve">39680 / 48162 </t>
  </si>
  <si>
    <t xml:space="preserve">Mayara Aparecida Machado - +55 (19) 99309-9237 </t>
  </si>
  <si>
    <t>12/05/2026 18:07 (4 dia(s) de atraso)</t>
  </si>
  <si>
    <t xml:space="preserve">39994 / 48599 </t>
  </si>
  <si>
    <t>OC-00019341 - Quadro de gestão.</t>
  </si>
  <si>
    <t xml:space="preserve">39995 / 48601 </t>
  </si>
  <si>
    <t xml:space="preserve">Gabrielle Marques Da Silva - +55 (11) 94506-1151 </t>
  </si>
  <si>
    <t>OC-00019340 - Quadro de gestão.</t>
  </si>
  <si>
    <t xml:space="preserve">39999 / 48605 </t>
  </si>
  <si>
    <t>OC-00019342 - Quadro de gestão.</t>
  </si>
  <si>
    <t xml:space="preserve">39426 / 47641 </t>
  </si>
  <si>
    <t xml:space="preserve">Jackson - +55 (11) 3666-4805 </t>
  </si>
  <si>
    <t xml:space="preserve">38251 / 46465 </t>
  </si>
  <si>
    <t xml:space="preserve">Bruno Muniz - +55 (19) 98455-0026 </t>
  </si>
  <si>
    <t>24/02/2026 16:13 (11 dia(s) de atraso)</t>
  </si>
  <si>
    <t xml:space="preserve">38950 / 46443 </t>
  </si>
  <si>
    <t xml:space="preserve">Sanira - +55 (21) 2525-0500 </t>
  </si>
  <si>
    <t>16/04/2026 14:57 (20 dia(s) de atraso)</t>
  </si>
  <si>
    <t xml:space="preserve">40049 / 48676 </t>
  </si>
  <si>
    <t xml:space="preserve">Felipe Fabian - +55 (18) 98184-8740 </t>
  </si>
  <si>
    <t>09/06/2026 17:14 (5 dia(s) de atraso)</t>
  </si>
  <si>
    <t xml:space="preserve">39202 / 47515 </t>
  </si>
  <si>
    <t xml:space="preserve">Danilo - Net Turbo - +55 (19) 3749-8996 </t>
  </si>
  <si>
    <t>ACM - PLACAR CIPA*5986</t>
  </si>
  <si>
    <t xml:space="preserve">39846 / 48433 </t>
  </si>
  <si>
    <t xml:space="preserve">Marco Rocha - +55 (22) 99228-1296 </t>
  </si>
  <si>
    <t xml:space="preserve">38079 / 46236 </t>
  </si>
  <si>
    <t xml:space="preserve">Marco - +55 (11) 97303-2312 </t>
  </si>
  <si>
    <t>09/02/2026 15:45 (5 dia(s) de atraso)</t>
  </si>
  <si>
    <t xml:space="preserve">39422 / 47914 </t>
  </si>
  <si>
    <t xml:space="preserve">Nercia - +55 (16) 3946-5896 </t>
  </si>
  <si>
    <t>Sinalização / IPLACAS - O/C 32330</t>
  </si>
  <si>
    <t>30/04/2026 15:33 (1 dia(s) de atraso)</t>
  </si>
  <si>
    <t xml:space="preserve">39777 / 48340 </t>
  </si>
  <si>
    <t xml:space="preserve">Kelly Fêrraz - +55 (11) 94482-0929 </t>
  </si>
  <si>
    <t>25/02/2026 16:26 (5 dia(s) de atraso)</t>
  </si>
  <si>
    <t xml:space="preserve">38075 / 46235 </t>
  </si>
  <si>
    <t>09/02/2026 15:42 (7 dia(s) de atraso)</t>
  </si>
  <si>
    <t xml:space="preserve">38019 / 46167 </t>
  </si>
  <si>
    <t xml:space="preserve">Eduardo Abreu - +55 (22) 99825-1504 </t>
  </si>
  <si>
    <t xml:space="preserve">38678 / 46950 </t>
  </si>
  <si>
    <t xml:space="preserve">Lucelia - +55 (19) 3803-0000 </t>
  </si>
  <si>
    <t>Poste - Chamado 192089</t>
  </si>
  <si>
    <t xml:space="preserve">38837 / 47163 </t>
  </si>
  <si>
    <t xml:space="preserve">Vinicius - +55 (19) 2121-4801 </t>
  </si>
  <si>
    <t>Placa Veicular</t>
  </si>
  <si>
    <t>23/03/2026 10:18 (3 dia(s) de atraso)</t>
  </si>
  <si>
    <t xml:space="preserve">38219 / 46426 </t>
  </si>
  <si>
    <t xml:space="preserve">Claudinei - +55 (19) 99407-6359 </t>
  </si>
  <si>
    <t>Sinalização *FAIXA REFLETIVA</t>
  </si>
  <si>
    <t>04/02/2026 15:55 (2 dia(s) de atraso)</t>
  </si>
  <si>
    <t xml:space="preserve">39142 / 47370 </t>
  </si>
  <si>
    <t xml:space="preserve">Debora Matos Figueiredo de Melo - +55 (19) 3848-8500 </t>
  </si>
  <si>
    <t>Placas Sinalização - O/C 748030</t>
  </si>
  <si>
    <t>30/04/2026 15:33 (22 dia(s) de atraso)</t>
  </si>
  <si>
    <t xml:space="preserve">39087 / 47489 </t>
  </si>
  <si>
    <t xml:space="preserve">Cristina Scheffel - +55 (00) 0000-0000 </t>
  </si>
  <si>
    <t xml:space="preserve">39250 / 47694 </t>
  </si>
  <si>
    <t xml:space="preserve">Andrea Juanilho Magalhaes - +55 (11) 9744-7505 </t>
  </si>
  <si>
    <t>Sinalização*15360</t>
  </si>
  <si>
    <t>14/04/2026 15:14 (1 dia(s) de atraso)</t>
  </si>
  <si>
    <t xml:space="preserve">39034 / 47435 </t>
  </si>
  <si>
    <t xml:space="preserve">Sylvio - +55 (19) 9604-7799 </t>
  </si>
  <si>
    <t>Acrílico</t>
  </si>
  <si>
    <t xml:space="preserve">39088 / 47500 </t>
  </si>
  <si>
    <t xml:space="preserve">Courtyard e Residence Inn Barra da Tijuca - +55 (21) 96610-0647 </t>
  </si>
  <si>
    <t xml:space="preserve">37839 / 45931 </t>
  </si>
  <si>
    <t>30/01/2026 14:33 (10 dia(s) de atraso)</t>
  </si>
  <si>
    <t xml:space="preserve">38226 / 46441 </t>
  </si>
  <si>
    <t xml:space="preserve">Moises Gomes - +55 (19) 98838-8527 </t>
  </si>
  <si>
    <t>Adesivos Brasiliense</t>
  </si>
  <si>
    <t>10/02/2026 19:06 (1 dia(s) de atraso)</t>
  </si>
  <si>
    <t xml:space="preserve">38900 / 47281 </t>
  </si>
  <si>
    <t>07/04/2026 16:27 (11 dia(s) de atraso)</t>
  </si>
  <si>
    <t xml:space="preserve">39796 / 48361 </t>
  </si>
  <si>
    <t>27/05/2026 16:54 (7 dia(s) de atraso)</t>
  </si>
  <si>
    <t xml:space="preserve">38059 / 46162 </t>
  </si>
  <si>
    <t>Impressão UV</t>
  </si>
  <si>
    <t>03/02/2026 11:10 (4 dia(s) de atraso)</t>
  </si>
  <si>
    <t xml:space="preserve">38258 / 46373 </t>
  </si>
  <si>
    <t xml:space="preserve">ADMINISTRACÃO Jardim Mar - +55 (81) 8182-4831 </t>
  </si>
  <si>
    <t xml:space="preserve">37979 / 45934 </t>
  </si>
  <si>
    <t xml:space="preserve">Larissa - (19)97821-8585 </t>
  </si>
  <si>
    <t>Chamado 182530</t>
  </si>
  <si>
    <t>02/02/2026 09:37 (5 dia(s) de atraso)</t>
  </si>
  <si>
    <t xml:space="preserve">38631 / 46870 </t>
  </si>
  <si>
    <t xml:space="preserve">Compras - +55 (11) 94442-2996 </t>
  </si>
  <si>
    <t>20/03/2026 15:12 (10 dia(s) de atraso)</t>
  </si>
  <si>
    <t xml:space="preserve">39636 / 48170 </t>
  </si>
  <si>
    <t xml:space="preserve">Vanessa - +55 (11) 94513-2972 </t>
  </si>
  <si>
    <t xml:space="preserve">40032 / 48653 </t>
  </si>
  <si>
    <t xml:space="preserve">39560 / 48091 </t>
  </si>
  <si>
    <t xml:space="preserve">Isabela - +55 (19) 98922-0276 </t>
  </si>
  <si>
    <t xml:space="preserve">38898 / 47178 </t>
  </si>
  <si>
    <t>PS 1mm*46170</t>
  </si>
  <si>
    <t xml:space="preserve">38221 / 46413 </t>
  </si>
  <si>
    <t xml:space="preserve">Compras - +55 (15) 3552-1539 </t>
  </si>
  <si>
    <t>19/02/2026 14:16 (8 dia(s) de atraso)</t>
  </si>
  <si>
    <t xml:space="preserve">38210 / 45494 </t>
  </si>
  <si>
    <t xml:space="preserve">Isaias - +55 (19) 3031-7448 </t>
  </si>
  <si>
    <t>Quadro de Gestão</t>
  </si>
  <si>
    <t>26/02/2026 17:53 (16 dia(s) de atraso)</t>
  </si>
  <si>
    <t xml:space="preserve">38165 / 46332 </t>
  </si>
  <si>
    <t xml:space="preserve">Sol Silva - +55 (11) 98253-5984 </t>
  </si>
  <si>
    <t>17/02/2026 14:57 (7 dia(s) de atraso)</t>
  </si>
  <si>
    <t xml:space="preserve">38010 / 46153 </t>
  </si>
  <si>
    <t>Sinalização/ IPLACAS - O/C 114.034</t>
  </si>
  <si>
    <t>09/02/2026 17:25 (10 dia(s) de atraso)</t>
  </si>
  <si>
    <t xml:space="preserve">38922 / 47305 </t>
  </si>
  <si>
    <t xml:space="preserve">Roane Malaguti Ribeiro dos Santos - +55 (12) 99790-6515 </t>
  </si>
  <si>
    <t>Sinalização*15253</t>
  </si>
  <si>
    <t>01/04/2026 14:47 (9 dia(s) de atraso)</t>
  </si>
  <si>
    <t xml:space="preserve">39734 / 48275 </t>
  </si>
  <si>
    <t xml:space="preserve">César Augusto Cyriaco - +55 (11) 98689-4310 </t>
  </si>
  <si>
    <t xml:space="preserve">40066 / 48532 </t>
  </si>
  <si>
    <t xml:space="preserve">Fernando Angra - +55 (19) 99763-1327 </t>
  </si>
  <si>
    <t xml:space="preserve">38651 / 46978 </t>
  </si>
  <si>
    <t xml:space="preserve">Paulo Moreira - +55 (11) 99715-5690 </t>
  </si>
  <si>
    <t xml:space="preserve">38674 / 46889 </t>
  </si>
  <si>
    <t xml:space="preserve">Larissa - +55 (11) 4487-6450 </t>
  </si>
  <si>
    <t>Sinalização - chamado 192036</t>
  </si>
  <si>
    <t xml:space="preserve">39136 / 47536 </t>
  </si>
  <si>
    <t>Sinalização - chamado 196400</t>
  </si>
  <si>
    <t xml:space="preserve">38127 / 46260 </t>
  </si>
  <si>
    <t>Chamado 186518 - TROCA DE ADESIVO TOTEM INTERFONE.</t>
  </si>
  <si>
    <t xml:space="preserve">38147 / 46259 </t>
  </si>
  <si>
    <t xml:space="preserve">Larissa - +55 (19) 99429-6047 </t>
  </si>
  <si>
    <t>Remoção de Adesivos - 186381</t>
  </si>
  <si>
    <t xml:space="preserve">39173 / 47483 </t>
  </si>
  <si>
    <t xml:space="preserve">Cleber Martins - +55 (11) 4994-9126 </t>
  </si>
  <si>
    <t>16/04/2026 18:20 (8 dia(s) de atraso)</t>
  </si>
  <si>
    <t xml:space="preserve">37836 / 45905 </t>
  </si>
  <si>
    <t xml:space="preserve">Sérgio - +55 (12) 99773-2811 </t>
  </si>
  <si>
    <t>16/02/2026 11:29 (25 dia(s) de atraso)</t>
  </si>
  <si>
    <t xml:space="preserve">39940 / 47905 </t>
  </si>
  <si>
    <t xml:space="preserve">George - (00)00000-0000 </t>
  </si>
  <si>
    <t>Faixa Largura Excedente</t>
  </si>
  <si>
    <t>26/05/2026 10:36 (4 dia(s) de atraso)</t>
  </si>
  <si>
    <t xml:space="preserve">39464 / 47910 </t>
  </si>
  <si>
    <t xml:space="preserve">Mari - +55 (11) 98031-3257 </t>
  </si>
  <si>
    <t>PS 2mm + ESTACA</t>
  </si>
  <si>
    <t xml:space="preserve">39914 / 48513 </t>
  </si>
  <si>
    <t>PS 2mm + FOTOL 0,8mm</t>
  </si>
  <si>
    <t xml:space="preserve">38985 / 44512 </t>
  </si>
  <si>
    <t>Sinalização - O.C 257317</t>
  </si>
  <si>
    <t>11/04/2026 07:49 (12 dia(s) de atraso)</t>
  </si>
  <si>
    <t xml:space="preserve">39637 / 48135 </t>
  </si>
  <si>
    <t xml:space="preserve">Fabio Santos - +55 (19) 98186-7757 </t>
  </si>
  <si>
    <t xml:space="preserve">39105 / 47477 </t>
  </si>
  <si>
    <t xml:space="preserve">Lucas Henrique - +55 (19) 98108-0925 </t>
  </si>
  <si>
    <t>ALUMINIO*769</t>
  </si>
  <si>
    <t xml:space="preserve">39992 / 48596 </t>
  </si>
  <si>
    <t>OC-00019343 - Quadro de gestão.</t>
  </si>
  <si>
    <t xml:space="preserve">40137 / 48804 </t>
  </si>
  <si>
    <t xml:space="preserve">Paulo Fernando - +55 (22) 99994-6200 </t>
  </si>
  <si>
    <t>ACRILICO COM BRAILE</t>
  </si>
  <si>
    <t xml:space="preserve">37794 / 45876 </t>
  </si>
  <si>
    <t xml:space="preserve">38700 / 47004 </t>
  </si>
  <si>
    <t>23/03/2026 16:58 (7 dia(s) de atraso)</t>
  </si>
  <si>
    <t xml:space="preserve">39905 / 48279 </t>
  </si>
  <si>
    <t xml:space="preserve">Gabriel Borges - +55 (21) 4063-5085 </t>
  </si>
  <si>
    <t>Sinalização/ IPLACAS - O/C 000110</t>
  </si>
  <si>
    <t xml:space="preserve">39906 / 48278 </t>
  </si>
  <si>
    <t xml:space="preserve">Gabriel Borges - (00)00000-0000 </t>
  </si>
  <si>
    <t>Sinalização/ IPLACAS - O/C 000111</t>
  </si>
  <si>
    <t xml:space="preserve">37728 / 45785 </t>
  </si>
  <si>
    <t>08/01/2026 17:01 (1 dia(s) de atraso)</t>
  </si>
  <si>
    <t xml:space="preserve">38329 / 46565 </t>
  </si>
  <si>
    <t xml:space="preserve">Luiz Fernando Pereira - +55 (11) 99569-5826 </t>
  </si>
  <si>
    <t>17/02/2026 11:41 (1 dia(s) de atraso)</t>
  </si>
  <si>
    <t xml:space="preserve">38887 / 46989 </t>
  </si>
  <si>
    <t xml:space="preserve">Simone - +55 (19) 99710-6325 </t>
  </si>
  <si>
    <t xml:space="preserve">37828 / 45842 </t>
  </si>
  <si>
    <t xml:space="preserve">Soraya - +55 (19) 3016-1317 </t>
  </si>
  <si>
    <t>26/01/2026 16:09 (4 dia(s) de atraso)</t>
  </si>
  <si>
    <t xml:space="preserve">38614 / 46813 </t>
  </si>
  <si>
    <t xml:space="preserve">Marketing Fass Agro - +55 (16) 99181-2669 </t>
  </si>
  <si>
    <t xml:space="preserve">39979 / 48585 </t>
  </si>
  <si>
    <t xml:space="preserve">Condomínio Casas Da Toscana - +55 (11) 9523-6525 </t>
  </si>
  <si>
    <t xml:space="preserve">39134 / 47481 </t>
  </si>
  <si>
    <t xml:space="preserve">Carina Polleto - +55 (19) 3836-6900 </t>
  </si>
  <si>
    <t>Sinalização / IPLACAS - O/C 4400050909</t>
  </si>
  <si>
    <t>14/04/2026 15:15 (5 dia(s) de atraso)</t>
  </si>
  <si>
    <t xml:space="preserve">38580 / 46660 </t>
  </si>
  <si>
    <t>Sinalização - IMPRESSÃO U.V EM AÇO INOX DO CLIENTE</t>
  </si>
  <si>
    <t xml:space="preserve">40094 / 48746 </t>
  </si>
  <si>
    <t xml:space="preserve">Abymael Germano - +55 (11) 95276-6194 </t>
  </si>
  <si>
    <t xml:space="preserve">38193 / 46383 </t>
  </si>
  <si>
    <t xml:space="preserve">Alex Betarelo - +55 (19) 99668-4822 </t>
  </si>
  <si>
    <t>ADESIVOS CALL EXPRESS</t>
  </si>
  <si>
    <t>02/02/2026 15:26 (3 dia(s) de atraso)</t>
  </si>
  <si>
    <t xml:space="preserve">39307 / 47787 </t>
  </si>
  <si>
    <t xml:space="preserve">Jean Salca - +55 (11) 4591-0807 </t>
  </si>
  <si>
    <t xml:space="preserve">39556 / 47645 </t>
  </si>
  <si>
    <t xml:space="preserve">Vitor Almeida - +55 (71) 8114-8867 </t>
  </si>
  <si>
    <t xml:space="preserve">38829 / 47143 </t>
  </si>
  <si>
    <t xml:space="preserve">Escritório Prudente Síndicos Profissionais - +55 (11) 99977-8309 </t>
  </si>
  <si>
    <t>ACM REFLETIVO + POSTE</t>
  </si>
  <si>
    <t>07/04/2026 16:26 (21 dia(s) de atraso)</t>
  </si>
  <si>
    <t xml:space="preserve">39817 / 48396 </t>
  </si>
  <si>
    <t xml:space="preserve">Anderson Luis dos santos - +55 (19) 3854-2233 </t>
  </si>
  <si>
    <t>SITE#15524</t>
  </si>
  <si>
    <t xml:space="preserve">39904 / 48498 </t>
  </si>
  <si>
    <t xml:space="preserve">Luciano Hideki De Faria Endo - +55 (11) 99300-4224 </t>
  </si>
  <si>
    <t>05/06/2026 11:45 (7 dia(s) de atraso)</t>
  </si>
  <si>
    <t xml:space="preserve">39953 / 48325 </t>
  </si>
  <si>
    <t xml:space="preserve">FT MOTORS PREMIUM - +55 (11) 96967-6662 </t>
  </si>
  <si>
    <t>Sinalização - Tampa Placa</t>
  </si>
  <si>
    <t>29/05/2026 15:06 (1 dia(s) de atraso)</t>
  </si>
  <si>
    <t xml:space="preserve">39138 / 47513 </t>
  </si>
  <si>
    <t xml:space="preserve">Wesley Gava - +55 (27) 99653-5505 </t>
  </si>
  <si>
    <t xml:space="preserve">38086 / 46242 </t>
  </si>
  <si>
    <t xml:space="preserve">Thiago Theophilo - +55 (24) 99907-9033 </t>
  </si>
  <si>
    <t>13/02/2026 15:47 (8 dia(s) de atraso)</t>
  </si>
  <si>
    <t xml:space="preserve">38852 / 47201 </t>
  </si>
  <si>
    <t xml:space="preserve">Flávio Thomaz - +55 (21) 99156-6570 </t>
  </si>
  <si>
    <t>25/03/2026 16:05 (1 dia(s) de atraso)</t>
  </si>
  <si>
    <t xml:space="preserve">39503 / 48028 </t>
  </si>
  <si>
    <t xml:space="preserve">paulo - +55 (11) 94242-4646 </t>
  </si>
  <si>
    <t>GABARITO</t>
  </si>
  <si>
    <t>29/04/2026 17:34 (5 dia(s) de atraso)</t>
  </si>
  <si>
    <t xml:space="preserve">39371 / 47839 </t>
  </si>
  <si>
    <t xml:space="preserve">Filipe Augusto Pereira - +55 (48) 8412-2288 </t>
  </si>
  <si>
    <t xml:space="preserve">38561 / 46847 </t>
  </si>
  <si>
    <t xml:space="preserve">Wander Costa - +55 (19) 99821-3552 </t>
  </si>
  <si>
    <t>10/03/2026 17:40 (4 dia(s) de atraso)</t>
  </si>
  <si>
    <t xml:space="preserve">38638 / 46959 </t>
  </si>
  <si>
    <t xml:space="preserve">Guilherme ? - +55 (61) 9559-9684 </t>
  </si>
  <si>
    <t>ACM + ACRILICO - LIVRE/FECHADO + CAVALETE</t>
  </si>
  <si>
    <t xml:space="preserve">38816 / 47168 </t>
  </si>
  <si>
    <t xml:space="preserve">Arquitetura Patrimônio - +55 (11) 2714-5685 </t>
  </si>
  <si>
    <t xml:space="preserve">39631 / 48168 </t>
  </si>
  <si>
    <t xml:space="preserve">Helen, Jussara e Naila - +55 (11) 99991-2454 </t>
  </si>
  <si>
    <t>GABARITO - NUMEROS -PNE -GESTANTE - IDOSO</t>
  </si>
  <si>
    <t xml:space="preserve">37800 / 45884 </t>
  </si>
  <si>
    <t xml:space="preserve">Jéssica - +55 (19) 98107-5551 </t>
  </si>
  <si>
    <t>30/01/2026 14:31 (10 dia(s) de atraso)</t>
  </si>
  <si>
    <t xml:space="preserve">37939 / 45990 </t>
  </si>
  <si>
    <t xml:space="preserve">Victor - +55 (73) 9837-8608 </t>
  </si>
  <si>
    <t>23/02/2026 16:50 (26 dia(s) de atraso)</t>
  </si>
  <si>
    <t xml:space="preserve">39172 / 47550 </t>
  </si>
  <si>
    <t xml:space="preserve">Fernando Pedro - +55 (11) 97379-8995 </t>
  </si>
  <si>
    <t>ACM + ACM COM BRAILE</t>
  </si>
  <si>
    <t xml:space="preserve">40045 / 48663 </t>
  </si>
  <si>
    <t xml:space="preserve">Eraldo - +55 (11) 96064-4032 </t>
  </si>
  <si>
    <t xml:space="preserve">38443 / 46706 </t>
  </si>
  <si>
    <t xml:space="preserve">Compras - +55 (11) 99101-5101 </t>
  </si>
  <si>
    <t xml:space="preserve">38480 / 46711 </t>
  </si>
  <si>
    <t xml:space="preserve">PAGV CONSTRUÇÃO - +55 (19) 3249-0085 </t>
  </si>
  <si>
    <t>09/03/2026 17:44 (10 dia(s) de atraso)</t>
  </si>
  <si>
    <t xml:space="preserve">38617 / 46925 </t>
  </si>
  <si>
    <t xml:space="preserve">Vinícius Alex De Souza Ribeiro - +55 (21) 99213-0309 </t>
  </si>
  <si>
    <t xml:space="preserve">38856 / 47117 </t>
  </si>
  <si>
    <t>Chamado - 193831</t>
  </si>
  <si>
    <t>23/03/2026 16:58 (3 dia(s) de atraso)</t>
  </si>
  <si>
    <t xml:space="preserve">39156 / 47537 </t>
  </si>
  <si>
    <t>Chamado - 197714</t>
  </si>
  <si>
    <t xml:space="preserve">38302 / 46531 </t>
  </si>
  <si>
    <t xml:space="preserve">Luiz Roberto Salvador - +55 (19) 99128-3565 </t>
  </si>
  <si>
    <t>18/02/2026 17:11 (2 dia(s) de atraso)</t>
  </si>
  <si>
    <t xml:space="preserve">38663 / 46948 </t>
  </si>
  <si>
    <t xml:space="preserve">André Carrara - +55 (19) 3765-6575 </t>
  </si>
  <si>
    <t>Sinalização - 18518 OG</t>
  </si>
  <si>
    <t>24/03/2026 17:11 (7 dia(s) de atraso)</t>
  </si>
  <si>
    <t xml:space="preserve">38815 / 47161 </t>
  </si>
  <si>
    <t xml:space="preserve">. - +55 (51) 14200-1330 </t>
  </si>
  <si>
    <t>25/03/2026 16:05 (2 dia(s) de atraso)</t>
  </si>
  <si>
    <t xml:space="preserve">39997 / 48603 </t>
  </si>
  <si>
    <t>OC-00019345 - Quadro de gestão.</t>
  </si>
  <si>
    <t xml:space="preserve">39474 / 47841 </t>
  </si>
  <si>
    <t>Placas Sinalização - O/C 002870</t>
  </si>
  <si>
    <t xml:space="preserve">38033 / 46041 </t>
  </si>
  <si>
    <t xml:space="preserve">Vitória Berbert - +55 (19) 99906-6309 </t>
  </si>
  <si>
    <t>11/02/2026 14:41 (8 dia(s) de atraso)</t>
  </si>
  <si>
    <t xml:space="preserve">39251 / 47384 </t>
  </si>
  <si>
    <t xml:space="preserve">Beatriz Betarello - +55 (11) 97220-7765 </t>
  </si>
  <si>
    <t xml:space="preserve">38054 / 46164 </t>
  </si>
  <si>
    <t xml:space="preserve">Elza - +55 (19) 99520-1395 </t>
  </si>
  <si>
    <t>11/02/2026 14:41 (9 dia(s) de atraso)</t>
  </si>
  <si>
    <t xml:space="preserve">39103 / 47530 </t>
  </si>
  <si>
    <t xml:space="preserve">MAISA LEMOS PRADO DE CARVALHO MEDEIROS - +55 (11) 99228-9691 </t>
  </si>
  <si>
    <t>Sinalização*15300</t>
  </si>
  <si>
    <t>13/04/2026 10:00 (13 dia(s) de atraso)</t>
  </si>
  <si>
    <t xml:space="preserve">38554 / 46625 </t>
  </si>
  <si>
    <t xml:space="preserve">Chemann Gomes - +55 (47) 9981-1184 </t>
  </si>
  <si>
    <t>ACM ALUMINIO 3mm - COM REFLETIVO GRAU COMERCIAL</t>
  </si>
  <si>
    <t xml:space="preserve">39296 / 47744 </t>
  </si>
  <si>
    <t xml:space="preserve">Laisa - +55 (11) 8555-8738 </t>
  </si>
  <si>
    <t xml:space="preserve">38389 / 46203 </t>
  </si>
  <si>
    <t xml:space="preserve">Fernando Alves - +55 (11) 94539-1694 </t>
  </si>
  <si>
    <t>PS 2mm*24791</t>
  </si>
  <si>
    <t xml:space="preserve">37882 / 45982 </t>
  </si>
  <si>
    <t>15/01/2026 16:37 (1 dia(s) de atraso)</t>
  </si>
  <si>
    <t xml:space="preserve">39991 / 48595 </t>
  </si>
  <si>
    <t>OC-00019347 - Quadro de gestão.</t>
  </si>
  <si>
    <t xml:space="preserve">39998 / 48604 </t>
  </si>
  <si>
    <t>OC-00019346 - Quadro de gestão.</t>
  </si>
  <si>
    <t xml:space="preserve">38113 / 46279 </t>
  </si>
  <si>
    <t xml:space="preserve">Lucyo Antunes - +55 (31) 9224-3731 </t>
  </si>
  <si>
    <t xml:space="preserve">38502 / 46780 </t>
  </si>
  <si>
    <t>ACM + ACRILICO - LIVRE/FECHADO</t>
  </si>
  <si>
    <t>05/03/2026 12:12 (1 dia(s) de atraso)</t>
  </si>
  <si>
    <t xml:space="preserve">39805 / 48358 </t>
  </si>
  <si>
    <t xml:space="preserve">Compras - +55 (19) 99522-1040 </t>
  </si>
  <si>
    <t xml:space="preserve">Compras - +55 (19) 99113-9769 </t>
  </si>
  <si>
    <t>Sinalização - ACM Preto</t>
  </si>
  <si>
    <t xml:space="preserve">38364 / 46604 </t>
  </si>
  <si>
    <t xml:space="preserve">Fernando Lahr - +55 (19) 99852-2622 </t>
  </si>
  <si>
    <t>Sinalização*15090</t>
  </si>
  <si>
    <t>04/03/2026 17:06 (16 dia(s) de atraso)</t>
  </si>
  <si>
    <t xml:space="preserve">38467 / 46642 </t>
  </si>
  <si>
    <t xml:space="preserve">Eliane Meira - +55 (21) 99354-8777 </t>
  </si>
  <si>
    <t xml:space="preserve">39702 / 48236 </t>
  </si>
  <si>
    <t>PEDIDO 4431 BRZ</t>
  </si>
  <si>
    <t>23/05/2026 07:44 (10 dia(s) de atraso)</t>
  </si>
  <si>
    <t xml:space="preserve">39908 / 48469 </t>
  </si>
  <si>
    <t>Sinalização - PS 1mm</t>
  </si>
  <si>
    <t xml:space="preserve">38917 / 47221 </t>
  </si>
  <si>
    <t>31/03/2026 09:04 (7 dia(s) de atraso)</t>
  </si>
  <si>
    <t xml:space="preserve">38934 / 47315 </t>
  </si>
  <si>
    <t>23/03/2026 10:19 (3 dia(s) de atraso)</t>
  </si>
  <si>
    <t xml:space="preserve">38723 / 47055 </t>
  </si>
  <si>
    <t>VINIL</t>
  </si>
  <si>
    <t>12/03/2026 14:21 (1 dia(s) de atraso)</t>
  </si>
  <si>
    <t xml:space="preserve">40023 / 48614 </t>
  </si>
  <si>
    <t xml:space="preserve">?Ricardo? - +55 (15) 99700-5709 </t>
  </si>
  <si>
    <t>PS 2mm + ACRILICO</t>
  </si>
  <si>
    <t>05/06/2026 11:47 (1 dia(s) de atraso)</t>
  </si>
  <si>
    <t xml:space="preserve">38874 / 47166 </t>
  </si>
  <si>
    <t xml:space="preserve">Gabriel Tavares - +55 (16) 99963-8664 </t>
  </si>
  <si>
    <t>26/03/2026 16:46 (1 dia(s) de atraso)</t>
  </si>
  <si>
    <t xml:space="preserve">38356 / 46592 </t>
  </si>
  <si>
    <t xml:space="preserve">Marcio - +55 (21) 99298-1896 </t>
  </si>
  <si>
    <t>ACRILICO 3mm</t>
  </si>
  <si>
    <t>23/02/2026 15:15 (3 dia(s) de atraso)</t>
  </si>
  <si>
    <t xml:space="preserve">38373 / 46525 </t>
  </si>
  <si>
    <t xml:space="preserve">Igor Uchoa Duarte - +55 (21) 97238-1340 </t>
  </si>
  <si>
    <t xml:space="preserve">39851 / 48414 </t>
  </si>
  <si>
    <t>26/05/2026 17:37 (4 dia(s) de atraso)</t>
  </si>
  <si>
    <t xml:space="preserve">38359 / 46348 </t>
  </si>
  <si>
    <t xml:space="preserve">Atendimento Grupo CRFF Vila do Grão Piazza Romana Napolitano - +55 (19) 99662-8041 </t>
  </si>
  <si>
    <t>24/02/2026 16:12 (4 dia(s) de atraso)</t>
  </si>
  <si>
    <t xml:space="preserve">38186 / 46366 </t>
  </si>
  <si>
    <t xml:space="preserve">Erick Rodrigues - +55 (11) 99812-0042 </t>
  </si>
  <si>
    <t>13/02/2026 15:45 (2 dia(s) de atraso)</t>
  </si>
  <si>
    <t xml:space="preserve">39030 / 47434 </t>
  </si>
  <si>
    <t xml:space="preserve">Compras - +55 (19) 3269-3569 </t>
  </si>
  <si>
    <t>Gabarito/ IPLACAS</t>
  </si>
  <si>
    <t xml:space="preserve">39026 / 47409 </t>
  </si>
  <si>
    <t xml:space="preserve">Ana Luiza - (61)9995-7223 </t>
  </si>
  <si>
    <t xml:space="preserve">37964 / 46104 </t>
  </si>
  <si>
    <t xml:space="preserve">Andre Davila - +55 (48) 99929-9976 </t>
  </si>
  <si>
    <t>Sinalização*14998</t>
  </si>
  <si>
    <t>26/01/2026 16:09 (3 dia(s) de atraso)</t>
  </si>
  <si>
    <t xml:space="preserve">38559 / 46640 </t>
  </si>
  <si>
    <t xml:space="preserve">39160 / 47593 </t>
  </si>
  <si>
    <t xml:space="preserve">Humberto Onzi - +55 (55) 9971-5010 </t>
  </si>
  <si>
    <t>VINIL REFLETIVO</t>
  </si>
  <si>
    <t>13/04/2026 11:21 (6 dia(s) de atraso)</t>
  </si>
  <si>
    <t xml:space="preserve">40122 / 48774 </t>
  </si>
  <si>
    <t xml:space="preserve">ELAINE - CLINICAL SEGG - +55 (16) 99961-8776 </t>
  </si>
  <si>
    <t xml:space="preserve">37840 / 45930 </t>
  </si>
  <si>
    <t xml:space="preserve">Ana Compras - +55 (19) 99699-0253 </t>
  </si>
  <si>
    <t>02/02/2026 15:11 (10 dia(s) de atraso)</t>
  </si>
  <si>
    <t xml:space="preserve">39649 / 48174 </t>
  </si>
  <si>
    <t xml:space="preserve">Aline - +55 (11) 97154-1026 </t>
  </si>
  <si>
    <t>Sinalização/ IPLACAS - O/C 120.071</t>
  </si>
  <si>
    <t>19/05/2026 16:46 (7 dia(s) de atraso)</t>
  </si>
  <si>
    <t xml:space="preserve">38738 / 47066 </t>
  </si>
  <si>
    <t xml:space="preserve">Compras CRO Construtora - +55 (33) 9151-0007 </t>
  </si>
  <si>
    <t>18/03/2026 16:51 (1 dia(s) de atraso)</t>
  </si>
  <si>
    <t xml:space="preserve">38661 / 46784 </t>
  </si>
  <si>
    <t xml:space="preserve">Tamires - +55 (19) 2513-5990 </t>
  </si>
  <si>
    <t>Placas Sinalização - O/C 121036</t>
  </si>
  <si>
    <t xml:space="preserve">39299 / 47780 </t>
  </si>
  <si>
    <t xml:space="preserve">Renata - +55 (19) 97119-6690 </t>
  </si>
  <si>
    <t xml:space="preserve">39589 / 48122 </t>
  </si>
  <si>
    <t xml:space="preserve">Caroline Morello - +55 (44) 9960-0504 </t>
  </si>
  <si>
    <t xml:space="preserve">39275 / 47508 </t>
  </si>
  <si>
    <t xml:space="preserve">Carlos - COE - +55 (11) 94197-8924 </t>
  </si>
  <si>
    <t xml:space="preserve">39765 / 48327 </t>
  </si>
  <si>
    <t xml:space="preserve">SMART CLUB RESIDENCE SAMAMBAIA - +55 (61) 3026-0709 </t>
  </si>
  <si>
    <t>SITE#15509</t>
  </si>
  <si>
    <t>22/05/2026 16:45 (2 dia(s) de atraso)</t>
  </si>
  <si>
    <t xml:space="preserve">38872 / 46110 </t>
  </si>
  <si>
    <t xml:space="preserve">Pedro - ICC Jundiaí - +55 (11) 97835-3152 </t>
  </si>
  <si>
    <t>Sinalização - O/C 182679</t>
  </si>
  <si>
    <t>30/03/2026 14:36 (6 dia(s) de atraso)</t>
  </si>
  <si>
    <t xml:space="preserve">39052 / 47464 </t>
  </si>
  <si>
    <t xml:space="preserve">Clara - +55 (11) 98518-3629 </t>
  </si>
  <si>
    <t>Sinalização*15278</t>
  </si>
  <si>
    <t>09/04/2026 17:26 (9 dia(s) de atraso)</t>
  </si>
  <si>
    <t xml:space="preserve">38741 / 47000 </t>
  </si>
  <si>
    <t xml:space="preserve">UV PACK COMERCIO E SERVIÇOS DE ACABAMENTOS GRAFICOS LTDA - +55 (11) 94520-8016 </t>
  </si>
  <si>
    <t>Sinalização/ IPLACAS - O/C 342933 / 342934</t>
  </si>
  <si>
    <t>20/03/2026 15:12 (4 dia(s) de atraso)</t>
  </si>
  <si>
    <t xml:space="preserve">39937 / 48544 </t>
  </si>
  <si>
    <t xml:space="preserve">MEVO FARMA - +55 (11) 7286-2047 </t>
  </si>
  <si>
    <t>SITE#15558</t>
  </si>
  <si>
    <t xml:space="preserve">37764 / 45844 </t>
  </si>
  <si>
    <t>Etiquetas</t>
  </si>
  <si>
    <t>20/01/2026 11:42 (5 dia(s) de atraso)</t>
  </si>
  <si>
    <t xml:space="preserve">39993 / 48597 </t>
  </si>
  <si>
    <t>OC-000193718 - Quadro de gestão.</t>
  </si>
  <si>
    <t xml:space="preserve">39996 / 48602 </t>
  </si>
  <si>
    <t>OC-00019719 - Quadro de gestão.</t>
  </si>
  <si>
    <t xml:space="preserve">38117 / 46295 </t>
  </si>
  <si>
    <t xml:space="preserve">SPE35 MORIAH PROENÇA - +55 (11) 4318-0666 </t>
  </si>
  <si>
    <t>Sinalização*15029</t>
  </si>
  <si>
    <t>10/02/2026 19:05 (6 dia(s) de atraso)</t>
  </si>
  <si>
    <t xml:space="preserve">38927 / 47269 </t>
  </si>
  <si>
    <t>Placas Sinalização - O/C 408659</t>
  </si>
  <si>
    <t>02/04/2026 14:21 (3 dia(s) de atraso)</t>
  </si>
  <si>
    <t xml:space="preserve">39780 / 48345 </t>
  </si>
  <si>
    <t>26/05/2026 10:37 (6 dia(s) de atraso)</t>
  </si>
  <si>
    <t xml:space="preserve">38157 / 46330 </t>
  </si>
  <si>
    <t xml:space="preserve">Maria Luna - +55 (11) 97253-1608 </t>
  </si>
  <si>
    <t>12/02/2026 15:20 (2 dia(s) de atraso)</t>
  </si>
  <si>
    <t xml:space="preserve">38688 / 46892 </t>
  </si>
  <si>
    <t xml:space="preserve">Condominio Labitare - Ynara Camargo - +55 (11) 97588-0638 </t>
  </si>
  <si>
    <t xml:space="preserve">39830 / 48408 </t>
  </si>
  <si>
    <t xml:space="preserve">IGNES CLELISBEL SODRÉ - +55 (19) 9741-5778 </t>
  </si>
  <si>
    <t>SITE#15528</t>
  </si>
  <si>
    <t>22/05/2026 16:46 (1 dia(s) de atraso)</t>
  </si>
  <si>
    <t xml:space="preserve">38440 / 46495 </t>
  </si>
  <si>
    <t xml:space="preserve">J. L MARQUEZINI - +55 (11) 4613-3097 </t>
  </si>
  <si>
    <t>PLACA CIPA</t>
  </si>
  <si>
    <t>13/03/2026 13:23 (2 dia(s) de atraso)</t>
  </si>
  <si>
    <t xml:space="preserve">39207 / 47633 </t>
  </si>
  <si>
    <t xml:space="preserve">Marco - +55 (19) 98122-6018 </t>
  </si>
  <si>
    <t xml:space="preserve">38606 / 46906 </t>
  </si>
  <si>
    <t xml:space="preserve">Eder Morita - +55 (11) 98305-2869 </t>
  </si>
  <si>
    <t>ALUMINIO+VINIL+FOTOL.</t>
  </si>
  <si>
    <t xml:space="preserve">39341 / 47826 </t>
  </si>
  <si>
    <t>27/04/2026 14:41 (3 dia(s) de atraso)</t>
  </si>
  <si>
    <t xml:space="preserve">39758 / 48315 </t>
  </si>
  <si>
    <t>11/05/2026 16:57 (3 dia(s) de atraso)</t>
  </si>
  <si>
    <t xml:space="preserve">40016 / 48579 </t>
  </si>
  <si>
    <t>28/05/2026 15:56 (2 dia(s) de atraso)</t>
  </si>
  <si>
    <t xml:space="preserve">39193 / 47628 </t>
  </si>
  <si>
    <t xml:space="preserve">40110 / 48743 </t>
  </si>
  <si>
    <t xml:space="preserve">Camila Prado - +55 (19) 99934-6158 </t>
  </si>
  <si>
    <t>PS 1mm + PS1mm com braile ( PROCON)</t>
  </si>
  <si>
    <t xml:space="preserve">39820 / 48399 </t>
  </si>
  <si>
    <t xml:space="preserve">ROBERTA CRISTINA SIMOES DA SILVA - +55 (19) 9179-4219 </t>
  </si>
  <si>
    <t>SITE#15526</t>
  </si>
  <si>
    <t xml:space="preserve">37791 / 45797 </t>
  </si>
  <si>
    <t xml:space="preserve">TATIANA MEDEIROS PINTO - +55 (21) 97963-4389 </t>
  </si>
  <si>
    <t>23/01/2026 16:40 (3 dia(s) de atraso)</t>
  </si>
  <si>
    <t xml:space="preserve">39933 / 48535 </t>
  </si>
  <si>
    <t xml:space="preserve">San Diego - +55 (19) 99504-7634 </t>
  </si>
  <si>
    <t>SITE#15575</t>
  </si>
  <si>
    <t>27/05/2026 17:42 (1 dia(s) de atraso)</t>
  </si>
  <si>
    <t xml:space="preserve">37748 / 45805 </t>
  </si>
  <si>
    <t>Adesivos Alpha Cargo</t>
  </si>
  <si>
    <t xml:space="preserve">39819 / 48281 </t>
  </si>
  <si>
    <t xml:space="preserve">Jorge Evandro Demarchi - +55 (11) 99227-5701 </t>
  </si>
  <si>
    <t>Sinalização / IPLACAS</t>
  </si>
  <si>
    <t>27/05/2026 17:42 (6 dia(s) de atraso)</t>
  </si>
  <si>
    <t xml:space="preserve">38777 / 47068 </t>
  </si>
  <si>
    <t xml:space="preserve">MARKUS VERTEL - +55 (81) 9857-4042 </t>
  </si>
  <si>
    <t>01/04/2026 14:48 (15 dia(s) de atraso)</t>
  </si>
  <si>
    <t xml:space="preserve">39505 / 47968 </t>
  </si>
  <si>
    <t xml:space="preserve">Josivaldo - (00)0000-0000 </t>
  </si>
  <si>
    <t>CAVALETE * O/C 250191</t>
  </si>
  <si>
    <t xml:space="preserve">37755 / 45829 </t>
  </si>
  <si>
    <t xml:space="preserve">Bruno - +55 (19) 98883-0010 </t>
  </si>
  <si>
    <t xml:space="preserve">39754 / 48303 </t>
  </si>
  <si>
    <t xml:space="preserve">Giovanni Santoro - +55 (48) 9911-9516 </t>
  </si>
  <si>
    <t xml:space="preserve">39814 / 48283 </t>
  </si>
  <si>
    <t xml:space="preserve">Compras - +55 799 148 836 </t>
  </si>
  <si>
    <t xml:space="preserve">Bianca - (00)00000-0000 </t>
  </si>
  <si>
    <t>Banner</t>
  </si>
  <si>
    <t xml:space="preserve">39137 / 47534 </t>
  </si>
  <si>
    <t>13/04/2026 10:00 (11 dia(s) de atraso)</t>
  </si>
  <si>
    <t xml:space="preserve">39899 / 48496 </t>
  </si>
  <si>
    <t xml:space="preserve">Fabio Silvestre Ronzani - +55 (11) 9478-1951 </t>
  </si>
  <si>
    <t>SITE#15563</t>
  </si>
  <si>
    <t>29/05/2026 15:06 (7 dia(s) de atraso)</t>
  </si>
  <si>
    <t xml:space="preserve">39048 / 47456 </t>
  </si>
  <si>
    <t xml:space="preserve">~Tiago Ferreira - +55 (11) 98339-7072 </t>
  </si>
  <si>
    <t xml:space="preserve">38928 / 46915 </t>
  </si>
  <si>
    <t>Placas Sinalização - O/C 407299</t>
  </si>
  <si>
    <t xml:space="preserve">38930 / 47314 </t>
  </si>
  <si>
    <t>Placas Sinalização - O/C 408719</t>
  </si>
  <si>
    <t xml:space="preserve">38393 / 46471 </t>
  </si>
  <si>
    <t xml:space="preserve">Maria Eduarda - +55 (12) 99737-8738 </t>
  </si>
  <si>
    <t>PS 2mm*120877</t>
  </si>
  <si>
    <t>04/03/2026 17:09 (7 dia(s) de atraso)</t>
  </si>
  <si>
    <t xml:space="preserve">38855 / 47219 </t>
  </si>
  <si>
    <t xml:space="preserve">Email da empresa - +55 (11) 8259-6415 </t>
  </si>
  <si>
    <t xml:space="preserve">39184 / 47343 </t>
  </si>
  <si>
    <t xml:space="preserve">Maria Clara - +55 (11) 91460-2421 </t>
  </si>
  <si>
    <t>ALUMINIO*1949</t>
  </si>
  <si>
    <t xml:space="preserve">39208 / 47539 </t>
  </si>
  <si>
    <t>15/04/2026 17:47 (5 dia(s) de atraso)</t>
  </si>
  <si>
    <t xml:space="preserve">38564 / 46859 </t>
  </si>
  <si>
    <t xml:space="preserve">Paulo Henrique - +55 (19) 98151-0519 </t>
  </si>
  <si>
    <t>Sinalização*15150</t>
  </si>
  <si>
    <t>05/03/2026 10:03 (3 dia(s) de atraso)</t>
  </si>
  <si>
    <t xml:space="preserve">38126 / 46219 </t>
  </si>
  <si>
    <t xml:space="preserve">Elaine Bergamo - +55 (51) 9698-4973 </t>
  </si>
  <si>
    <t>23/02/2026 15:14 (14 dia(s) de atraso)</t>
  </si>
  <si>
    <t xml:space="preserve">39147 / 47566 </t>
  </si>
  <si>
    <t xml:space="preserve">Flavia Ellwanger - +55 (51) 9673-7864 </t>
  </si>
  <si>
    <t xml:space="preserve">38648 / 46979 </t>
  </si>
  <si>
    <t xml:space="preserve">38052 / 46068 </t>
  </si>
  <si>
    <t xml:space="preserve">Code Berrini - +55 (11) 91678-7015 </t>
  </si>
  <si>
    <t>19/02/2026 14:15 (3 dia(s) de atraso)</t>
  </si>
  <si>
    <t xml:space="preserve">38347 / 46371 </t>
  </si>
  <si>
    <t xml:space="preserve">38570 / 46864 </t>
  </si>
  <si>
    <t xml:space="preserve">Cibele Cavalheiro - +55 (53) 3275-8124 </t>
  </si>
  <si>
    <t>Sinalização*15160</t>
  </si>
  <si>
    <t xml:space="preserve">38953 / 47335 </t>
  </si>
  <si>
    <t xml:space="preserve">Contato Financeiro - +55 (54) 3441-6072 </t>
  </si>
  <si>
    <t xml:space="preserve">39764 / 48320 </t>
  </si>
  <si>
    <t xml:space="preserve">38310 / 46468 </t>
  </si>
  <si>
    <t xml:space="preserve">Compras - +55 (11) 4191-1311 </t>
  </si>
  <si>
    <t>18/02/2026 14:46 (1 dia(s) de atraso)</t>
  </si>
  <si>
    <t xml:space="preserve">38530 / 46826 </t>
  </si>
  <si>
    <t xml:space="preserve">Luna - +55 (19) 97172-2879 </t>
  </si>
  <si>
    <t xml:space="preserve">38840 / 47197 </t>
  </si>
  <si>
    <t xml:space="preserve">Daniel/Lucas Compras - +55 (81) 8717-0853 </t>
  </si>
  <si>
    <t>PS 2mm + ALUMINIO</t>
  </si>
  <si>
    <t>25/03/2026 16:04 (1 dia(s) de atraso)</t>
  </si>
  <si>
    <t xml:space="preserve">39903 / 48500 </t>
  </si>
  <si>
    <t xml:space="preserve">Financeiro - +55 (11) 97617-4563 </t>
  </si>
  <si>
    <t xml:space="preserve">38239 / 46425 </t>
  </si>
  <si>
    <t xml:space="preserve">Camila - +55 (19) 98127-4633 </t>
  </si>
  <si>
    <t xml:space="preserve">39973 / 48517 </t>
  </si>
  <si>
    <t xml:space="preserve">Victoria - +55 (51) 19690-7888 </t>
  </si>
  <si>
    <t>ALUMINIO*OBRA 2226 - OF 26570</t>
  </si>
  <si>
    <t xml:space="preserve">39692 / 47977 </t>
  </si>
  <si>
    <t xml:space="preserve">Compras - +55 (19) 99316-2716 </t>
  </si>
  <si>
    <t xml:space="preserve">38009 / 46146 </t>
  </si>
  <si>
    <t xml:space="preserve">Roberto - +55 (19) 99115-2299 </t>
  </si>
  <si>
    <t>27/01/2026 09:48 (4 dia(s) de atraso)</t>
  </si>
  <si>
    <t xml:space="preserve">38797 / 47144 </t>
  </si>
  <si>
    <t xml:space="preserve">VP Gestão Condominial - +55 (11) 96570-6928 </t>
  </si>
  <si>
    <t>25/03/2026 16:04 (5 dia(s) de atraso)</t>
  </si>
  <si>
    <t xml:space="preserve">38751 / 47070 </t>
  </si>
  <si>
    <t xml:space="preserve">Compras - +55 (12) 3947-1046 </t>
  </si>
  <si>
    <t>Placas Sinalização - O/C 114026</t>
  </si>
  <si>
    <t xml:space="preserve">37856 / 45932 </t>
  </si>
  <si>
    <t xml:space="preserve">Diane Aline Ribeiro - +55 (11) 98294-4547 </t>
  </si>
  <si>
    <t xml:space="preserve">Leandro - +55 (11) 94723-3405 </t>
  </si>
  <si>
    <t>24/01/2026 08:03 (8 dia(s) de atraso)</t>
  </si>
  <si>
    <t xml:space="preserve">38654 / 46961 </t>
  </si>
  <si>
    <t xml:space="preserve">Thiago Felix - +55 (19) 98445-8544 </t>
  </si>
  <si>
    <t>ALUMINIO C/BRAILE C/CURVATURA -PARA CORRIMÃO*13018</t>
  </si>
  <si>
    <t>18/03/2026 18:05 (6 dia(s) de atraso)</t>
  </si>
  <si>
    <t xml:space="preserve">39169 / 47251 </t>
  </si>
  <si>
    <t xml:space="preserve">Gustavo Rosendo - +55 (85) 9968-7966 </t>
  </si>
  <si>
    <t>PS 2mm*56103</t>
  </si>
  <si>
    <t xml:space="preserve">38064 / 46154 </t>
  </si>
  <si>
    <t xml:space="preserve">Compras - Placar - +55 (21) 96744-9647 </t>
  </si>
  <si>
    <t>23/02/2026 15:15 (12 dia(s) de atraso)</t>
  </si>
  <si>
    <t xml:space="preserve">39970 / 48486 </t>
  </si>
  <si>
    <t xml:space="preserve">José Carlos Peixoto de Campos - +55 (21) 99676-1928 </t>
  </si>
  <si>
    <t xml:space="preserve">38945 / 47328 </t>
  </si>
  <si>
    <t>Placas 0,5mm</t>
  </si>
  <si>
    <t>27/03/2026 15:41 (2 dia(s) de atraso)</t>
  </si>
  <si>
    <t xml:space="preserve">39201 / 47400 </t>
  </si>
  <si>
    <t>Impressão em ACM E PS 3MM do Cliente</t>
  </si>
  <si>
    <t xml:space="preserve">40086 / 47926 </t>
  </si>
  <si>
    <t>Sinalização - Vinil Refletivo</t>
  </si>
  <si>
    <t>05/06/2026 11:50 (3 dia(s) de atraso)</t>
  </si>
  <si>
    <t xml:space="preserve">38843 / 47175 </t>
  </si>
  <si>
    <t xml:space="preserve">. - +55 (19) 4141-6644 </t>
  </si>
  <si>
    <t>GABARITO PNE / 60+</t>
  </si>
  <si>
    <t>12/03/2026 09:06 (1 dia(s) de atraso)</t>
  </si>
  <si>
    <t xml:space="preserve">39347 / 47833 </t>
  </si>
  <si>
    <t xml:space="preserve">Escritório Carla Rocha - +55 (12) 3354-6694 </t>
  </si>
  <si>
    <t xml:space="preserve">39988 / 48592 </t>
  </si>
  <si>
    <t xml:space="preserve">Suprimentos A4 Gabriel - +55 (19) 99589-0154 </t>
  </si>
  <si>
    <t>GABARITO PNE / 60+/ GESTANTE</t>
  </si>
  <si>
    <t xml:space="preserve">39485 / 47999 </t>
  </si>
  <si>
    <t xml:space="preserve">40121 / 48779 </t>
  </si>
  <si>
    <t xml:space="preserve">39787 / 48353 </t>
  </si>
  <si>
    <t xml:space="preserve">Telecam Fios e Cabos LTDA - +55 (19) 3325-9211 </t>
  </si>
  <si>
    <t>SITE#15516</t>
  </si>
  <si>
    <t>23/05/2026 07:44 (4 dia(s) de atraso)</t>
  </si>
  <si>
    <t xml:space="preserve">38794 / 47137 </t>
  </si>
  <si>
    <t xml:space="preserve">Sindico Manoel - +55 (11) 4617-6680 </t>
  </si>
  <si>
    <t>Sinalização *1338</t>
  </si>
  <si>
    <t>17/03/2026 15:52 (4 dia(s) de atraso)</t>
  </si>
  <si>
    <t xml:space="preserve">38875 / 47209 </t>
  </si>
  <si>
    <t xml:space="preserve">38924 / 47239 </t>
  </si>
  <si>
    <t xml:space="preserve">37859 / 45943 </t>
  </si>
  <si>
    <t xml:space="preserve">Fernanda - +55 (11) 98738-3391 </t>
  </si>
  <si>
    <t>29/01/2026 11:37 (6 dia(s) de atraso)</t>
  </si>
  <si>
    <t xml:space="preserve">39288 / 47739 </t>
  </si>
  <si>
    <t xml:space="preserve">Paulo Gustavo - +55 (21) 98718-1815 </t>
  </si>
  <si>
    <t>ALUMINIO C/BRAILE + VINIL</t>
  </si>
  <si>
    <t xml:space="preserve">37923 / 46034 </t>
  </si>
  <si>
    <t>Acrílico 3mm</t>
  </si>
  <si>
    <t>02/02/2026 15:23 (7 dia(s) de atraso)</t>
  </si>
  <si>
    <t xml:space="preserve">38579 / 46805 </t>
  </si>
  <si>
    <t>Etiquetas Lunar 3x1cm</t>
  </si>
  <si>
    <t xml:space="preserve">39717 / 48255 </t>
  </si>
  <si>
    <t xml:space="preserve">39723 / 48254 </t>
  </si>
  <si>
    <t xml:space="preserve">Mariane Luci Barbosa Silva - +55 (11) 99247-6779 </t>
  </si>
  <si>
    <t xml:space="preserve">40039 / 48664 </t>
  </si>
  <si>
    <t xml:space="preserve">Griselda - +55 (19) 99732-1225 </t>
  </si>
  <si>
    <t>SINALIZAÇÃO *IPLACAS</t>
  </si>
  <si>
    <t xml:space="preserve">40072 / 48666 </t>
  </si>
  <si>
    <t xml:space="preserve">Fabio - +55 (11) 97154-1026 </t>
  </si>
  <si>
    <t>Sinalização/ IPLACAS - O/C 121.717</t>
  </si>
  <si>
    <t xml:space="preserve">38605 / 46905 </t>
  </si>
  <si>
    <t xml:space="preserve">CIBELE APARECIDA DIAS - +55 (11) 4330-4611 </t>
  </si>
  <si>
    <t>Sinalização*15175</t>
  </si>
  <si>
    <t xml:space="preserve">38190 / 46379 </t>
  </si>
  <si>
    <t>Placas em Alumínio + PS 2mm</t>
  </si>
  <si>
    <t xml:space="preserve">39543 / 48063 </t>
  </si>
  <si>
    <t xml:space="preserve">Anderson Munhoz - +55 (11) 97103-1920 </t>
  </si>
  <si>
    <t xml:space="preserve">39463 / 47945 </t>
  </si>
  <si>
    <t xml:space="preserve">Eduardo Adami - +55 (16) 98100-0976 </t>
  </si>
  <si>
    <t>PS 2mm com sistema deslizante e Adesivo acabamento escovado</t>
  </si>
  <si>
    <t xml:space="preserve">37944 / 46053 </t>
  </si>
  <si>
    <t xml:space="preserve">Alan Messias - +55 (19) 99905-5124 </t>
  </si>
  <si>
    <t>11/02/2026 14:40 (16 dia(s) de atraso)</t>
  </si>
  <si>
    <t xml:space="preserve">38217 / 46418 </t>
  </si>
  <si>
    <t xml:space="preserve">Vanusa - +55 (11) 4789-8400 </t>
  </si>
  <si>
    <t>Placas Sinalização - O/C 38888</t>
  </si>
  <si>
    <t>11/02/2026 14:40 (1 dia(s) de atraso)</t>
  </si>
  <si>
    <t xml:space="preserve">39859 / 48412 </t>
  </si>
  <si>
    <t>27/05/2026 18:53 (6 dia(s) de atraso)</t>
  </si>
  <si>
    <t xml:space="preserve">38726 / 47057 </t>
  </si>
  <si>
    <t xml:space="preserve">fiscal - +55 (67) 9104-5809 </t>
  </si>
  <si>
    <t>GABARITO*007488</t>
  </si>
  <si>
    <t xml:space="preserve">37918 / 46016 </t>
  </si>
  <si>
    <t xml:space="preserve">Sabrina Vega - +55 (41) 9697-0117 </t>
  </si>
  <si>
    <t xml:space="preserve">39216 / 47652 </t>
  </si>
  <si>
    <t>16/04/2026 09:59 (3 dia(s) de atraso)</t>
  </si>
  <si>
    <t xml:space="preserve">39340 / 47828 </t>
  </si>
  <si>
    <t>30/04/2026 15:32 (6 dia(s) de atraso)</t>
  </si>
  <si>
    <t xml:space="preserve">38513 / 46645 </t>
  </si>
  <si>
    <t xml:space="preserve">guilherme feitosa - +55 (14) 99850-6523 </t>
  </si>
  <si>
    <t xml:space="preserve">39775 / 48184 </t>
  </si>
  <si>
    <t xml:space="preserve">38107 / 46275 </t>
  </si>
  <si>
    <t xml:space="preserve">Gestaf - Síndica Ana Flávia - +55 (19) 99650-1208 </t>
  </si>
  <si>
    <t>10/02/2026 16:01 (4 dia(s) de atraso)</t>
  </si>
  <si>
    <t xml:space="preserve">38445 / 46690 </t>
  </si>
  <si>
    <t xml:space="preserve">Taislane - +55 (16) 3946-5896 </t>
  </si>
  <si>
    <t>Sinalização / IPLACAS - O/C 31311</t>
  </si>
  <si>
    <t xml:space="preserve">38712 / 47045 </t>
  </si>
  <si>
    <t>25/03/2026 16:04 (12 dia(s) de atraso)</t>
  </si>
  <si>
    <t xml:space="preserve">39166 / 47603 </t>
  </si>
  <si>
    <t xml:space="preserve">Ouro Mineiro - (00)00000-0000 </t>
  </si>
  <si>
    <t xml:space="preserve">39889 / 48471 </t>
  </si>
  <si>
    <t xml:space="preserve">Compras - +55 (11) 93918-1786 </t>
  </si>
  <si>
    <t xml:space="preserve">38388 / 46638 </t>
  </si>
  <si>
    <t xml:space="preserve">Clarilena Fukugauti - +55 (19) 9970-3299 </t>
  </si>
  <si>
    <t>Sinalização#15102</t>
  </si>
  <si>
    <t xml:space="preserve">38450 / 46729 </t>
  </si>
  <si>
    <t>Sinalização/ IPLACAS - O/C 115.678</t>
  </si>
  <si>
    <t>13/03/2026 13:23 (21 dia(s) de atraso)</t>
  </si>
  <si>
    <t xml:space="preserve">39221 / 46998 </t>
  </si>
  <si>
    <t xml:space="preserve">Soma Adminitrativo - +55 (19) 98233-0256 </t>
  </si>
  <si>
    <t>VINIL RECORTE</t>
  </si>
  <si>
    <t>08/04/2026 18:14 (2 dia(s) de atraso)</t>
  </si>
  <si>
    <t xml:space="preserve">39061 / 47476 </t>
  </si>
  <si>
    <t xml:space="preserve">PATRICIA FREIRE - +55 (61) 99942-3155 </t>
  </si>
  <si>
    <t>Sinalização*15293</t>
  </si>
  <si>
    <t>14/04/2026 15:16 (15 dia(s) de atraso)</t>
  </si>
  <si>
    <t xml:space="preserve">38122 / 46124 </t>
  </si>
  <si>
    <t xml:space="preserve">39813 / 48288 </t>
  </si>
  <si>
    <t>Sinalização/ IPLACAS - o/c 120.692</t>
  </si>
  <si>
    <t>23/05/2026 07:42 (1 dia(s) de atraso)</t>
  </si>
  <si>
    <t xml:space="preserve">39807 / 48022 </t>
  </si>
  <si>
    <t xml:space="preserve">Maria Clara - Compras Gelprime - +55 (43) 3178-1858 </t>
  </si>
  <si>
    <t>GABARITO LETRAS* O/C 21100</t>
  </si>
  <si>
    <t>19/05/2026 10:00 (1 dia(s) de atraso)</t>
  </si>
  <si>
    <t xml:space="preserve">39007 / 47361 </t>
  </si>
  <si>
    <t xml:space="preserve">Sandro - +55 (21) 99153-9994 </t>
  </si>
  <si>
    <t xml:space="preserve">38403 / 46652 </t>
  </si>
  <si>
    <t xml:space="preserve">Marketing - +55 (11) 97053-2947 </t>
  </si>
  <si>
    <t xml:space="preserve">39180 / 47610 </t>
  </si>
  <si>
    <t xml:space="preserve">Gabriela - +55 (35) 9883-7506 </t>
  </si>
  <si>
    <t xml:space="preserve">40065 / 48708 </t>
  </si>
  <si>
    <t xml:space="preserve">Luisa - +55 (19) 7116-1105 </t>
  </si>
  <si>
    <t>Sinalização - PLACAR MANUAL</t>
  </si>
  <si>
    <t xml:space="preserve">38152 / 46341 </t>
  </si>
  <si>
    <t>Sinalização - O/C 114.572</t>
  </si>
  <si>
    <t>12/02/2026 17:48 (6 dia(s) de atraso)</t>
  </si>
  <si>
    <t xml:space="preserve">38481 / 46723 </t>
  </si>
  <si>
    <t xml:space="preserve">Compras - +55 (11) 99749-9976 </t>
  </si>
  <si>
    <t>Sinalização/ IPLACAS - O/C 88995</t>
  </si>
  <si>
    <t>03/03/2026 14:49 (4 dia(s) de atraso)</t>
  </si>
  <si>
    <t xml:space="preserve">37915 / 45954 </t>
  </si>
  <si>
    <t xml:space="preserve">Maria de Fátima D Tozzo - +55 (19) 99417-3838 </t>
  </si>
  <si>
    <t>30/01/2026 14:32 (3 dia(s) de atraso)</t>
  </si>
  <si>
    <t xml:space="preserve">40091 / 48744 </t>
  </si>
  <si>
    <t xml:space="preserve">38755 / 47095 </t>
  </si>
  <si>
    <t xml:space="preserve">Day Clinic - +55 (16) 9741-3963 </t>
  </si>
  <si>
    <t>Sinalização*15213</t>
  </si>
  <si>
    <t>13/03/2026 15:10 (2 dia(s) de atraso)</t>
  </si>
  <si>
    <t xml:space="preserve">38349 / 46535 </t>
  </si>
  <si>
    <t>PS 2mm - AGROLOG</t>
  </si>
  <si>
    <t xml:space="preserve">38752 / 47052 </t>
  </si>
  <si>
    <t xml:space="preserve">38187 / 46377 </t>
  </si>
  <si>
    <t xml:space="preserve">Matheus - +55 (51) 3031-7171 </t>
  </si>
  <si>
    <t>Gabarito Personalizado</t>
  </si>
  <si>
    <t>11/02/2026 14:42 (1 dia(s) de atraso)</t>
  </si>
  <si>
    <t xml:space="preserve">39386 / 47883 </t>
  </si>
  <si>
    <t xml:space="preserve">39918 / 48520 </t>
  </si>
  <si>
    <t xml:space="preserve">1 - +55 (11) 9747-1914 </t>
  </si>
  <si>
    <t>SITE#15527</t>
  </si>
  <si>
    <t xml:space="preserve">37959 / 46094 </t>
  </si>
  <si>
    <t xml:space="preserve">Lucas Dias Gonçalves do Prado - +55 (17) 9280-4776 </t>
  </si>
  <si>
    <t>Sinalização*14996</t>
  </si>
  <si>
    <t>28/01/2026 15:32 (5 dia(s) de atraso)</t>
  </si>
  <si>
    <t xml:space="preserve">39621 / 48114 </t>
  </si>
  <si>
    <t xml:space="preserve">Arthur - +55 (11) 94369-8963 </t>
  </si>
  <si>
    <t>Sinalização - Comandas</t>
  </si>
  <si>
    <t xml:space="preserve">39869 / 48451 </t>
  </si>
  <si>
    <t xml:space="preserve">Compras - +55 (11) 3813-6656 </t>
  </si>
  <si>
    <t xml:space="preserve">37814 / 45899 </t>
  </si>
  <si>
    <t xml:space="preserve">André Santos - +55 (13) 98123-3714 </t>
  </si>
  <si>
    <t xml:space="preserve">39334 / 47810 </t>
  </si>
  <si>
    <t xml:space="preserve">Nilson - +55 (11) 94600-7736 </t>
  </si>
  <si>
    <t xml:space="preserve">38862 / 44538 </t>
  </si>
  <si>
    <t xml:space="preserve">Carolina Fernanda - +55 (11) 2396-1004 </t>
  </si>
  <si>
    <t>Placas Sinalização - O/C 92.932</t>
  </si>
  <si>
    <t>02/04/2026 14:21 (2 dia(s) de atraso)</t>
  </si>
  <si>
    <t xml:space="preserve">38543 / 46839 </t>
  </si>
  <si>
    <t xml:space="preserve">Klebia Lopes - +55 (11) 5644-5300 </t>
  </si>
  <si>
    <t>Sinalização*15146</t>
  </si>
  <si>
    <t>12/03/2026 14:20 (13 dia(s) de atraso)</t>
  </si>
  <si>
    <t xml:space="preserve">38868 / 47234 </t>
  </si>
  <si>
    <t xml:space="preserve">FINANCEIRO - +55 (19) 99975-9430 </t>
  </si>
  <si>
    <t>PS 1mm + PS 2mm + VINIL</t>
  </si>
  <si>
    <t xml:space="preserve">39140 / 47571 </t>
  </si>
  <si>
    <t xml:space="preserve">Gabrielly Oliveira - +55 (55) 11996-0166 </t>
  </si>
  <si>
    <t>13/04/2026 09:56 (12 dia(s) de atraso)</t>
  </si>
  <si>
    <t xml:space="preserve">38245 / 46446 </t>
  </si>
  <si>
    <t xml:space="preserve">TATIANE ALVES DA SILVA - +55 (11) 94252-5430 </t>
  </si>
  <si>
    <t>16/02/2026 11:29 (5 dia(s) de atraso)</t>
  </si>
  <si>
    <t xml:space="preserve">Francisco Ivanildo de Castro Magalhães - +55 (19) 98124-6942 </t>
  </si>
  <si>
    <t>Adesivos</t>
  </si>
  <si>
    <t>15/04/2026 17:34 (5 dia(s) de atraso)</t>
  </si>
  <si>
    <t xml:space="preserve">38146 / 46308 </t>
  </si>
  <si>
    <t xml:space="preserve">Thiago Nonato - +55 (19) 98288-6812 </t>
  </si>
  <si>
    <t>13/02/2026 16:58 (7 dia(s) de atraso)</t>
  </si>
  <si>
    <t xml:space="preserve">38227 / 46421 </t>
  </si>
  <si>
    <t xml:space="preserve">Nathália Brandão de Lima - +55 (11) 4367-2444 </t>
  </si>
  <si>
    <t xml:space="preserve">39267 / 47708 </t>
  </si>
  <si>
    <t xml:space="preserve">Will Garage - +55 (19) 98206-7792 </t>
  </si>
  <si>
    <t>ACM + PS 2mm + ALUMINIO</t>
  </si>
  <si>
    <t>14/05/2026 15:27 (24 dia(s) de atraso)</t>
  </si>
  <si>
    <t xml:space="preserve">38077 / 46233 </t>
  </si>
  <si>
    <t xml:space="preserve">De Faro Alves Assessoria Condominial - +55 (21) 96669-7689 </t>
  </si>
  <si>
    <t xml:space="preserve">40114 / 48772 </t>
  </si>
  <si>
    <t xml:space="preserve">Rogerio - +55 (19) 98271-4717 </t>
  </si>
  <si>
    <t>Sinalização - ACRÌLICO PRETO</t>
  </si>
  <si>
    <t>29/05/2026 09:49 (1 dia(s) de atraso)</t>
  </si>
  <si>
    <t xml:space="preserve">39577 / 48107 </t>
  </si>
  <si>
    <t xml:space="preserve">Valter Rossette - +55 (11) 96198-2121 </t>
  </si>
  <si>
    <t xml:space="preserve">38097 / 45980 </t>
  </si>
  <si>
    <t xml:space="preserve">Isabel - +55 (19) 99206-0237 </t>
  </si>
  <si>
    <t>Sinalização - O/C 13547</t>
  </si>
  <si>
    <t>09/02/2026 17:30 (5 dia(s) de atraso)</t>
  </si>
  <si>
    <t xml:space="preserve">37786 / 45787 </t>
  </si>
  <si>
    <t xml:space="preserve">Clark Solutions - +55 (11) 97097-7166 </t>
  </si>
  <si>
    <t>20/01/2026 15:06 (1 dia(s) de atraso)</t>
  </si>
  <si>
    <t xml:space="preserve">38366 / 46607 </t>
  </si>
  <si>
    <t xml:space="preserve">Everson - +55 (43) 3376-3000 </t>
  </si>
  <si>
    <t xml:space="preserve">39935 / 48362 </t>
  </si>
  <si>
    <t xml:space="preserve">Compras - +55 (41) 9987-6737 </t>
  </si>
  <si>
    <t>Sinalização/ IPLACAS - O/C 13362</t>
  </si>
  <si>
    <t xml:space="preserve">38437 / 45699 </t>
  </si>
  <si>
    <t xml:space="preserve">Caio - +55 (19) 99861-9873 </t>
  </si>
  <si>
    <t>25/02/2026 16:27 (1 dia(s) de atraso)</t>
  </si>
  <si>
    <t xml:space="preserve">39343 / 47832 </t>
  </si>
  <si>
    <t>Placas gás 13kg</t>
  </si>
  <si>
    <t xml:space="preserve">38866 / 47116 </t>
  </si>
  <si>
    <t xml:space="preserve">Silvia - +55 (11) 97470-3190 </t>
  </si>
  <si>
    <t xml:space="preserve">40063 / 48701 </t>
  </si>
  <si>
    <t xml:space="preserve">Roberta De Andrade - +55 (19) 99191-6455 </t>
  </si>
  <si>
    <t>01/06/2026 18:54 (3 dia(s) de atraso)</t>
  </si>
  <si>
    <t xml:space="preserve">39090 / 47516 </t>
  </si>
  <si>
    <t xml:space="preserve">ADM - +55 (19) 99618-2250 </t>
  </si>
  <si>
    <t xml:space="preserve">39620 / 48072 </t>
  </si>
  <si>
    <t xml:space="preserve">Cida - Tibério - +55 (11) 99968-7999 </t>
  </si>
  <si>
    <t>GABARITO - LETRAS / NUMEROS * 187789</t>
  </si>
  <si>
    <t xml:space="preserve">38711 / 47042 </t>
  </si>
  <si>
    <t xml:space="preserve">Compras - +55 (11) 2897-4182 </t>
  </si>
  <si>
    <t>13/04/2026 09:57 (31 dia(s) de atraso)</t>
  </si>
  <si>
    <t xml:space="preserve">38603 / 46871 </t>
  </si>
  <si>
    <t xml:space="preserve">Compras - +55 (11) 99681-3265 </t>
  </si>
  <si>
    <t xml:space="preserve">38863 / 47240 </t>
  </si>
  <si>
    <t xml:space="preserve">Adalberto Demer - +55 (19) 98191-8469 </t>
  </si>
  <si>
    <t>Sinalização*15242</t>
  </si>
  <si>
    <t xml:space="preserve">40054 / 48687 </t>
  </si>
  <si>
    <t xml:space="preserve">filipi casas - +55 (47) 9965-4592 </t>
  </si>
  <si>
    <t>SITE#15609</t>
  </si>
  <si>
    <t>05/06/2026 11:50 (4 dia(s) de atraso)</t>
  </si>
  <si>
    <t xml:space="preserve">39433 / 47911 </t>
  </si>
  <si>
    <t>Adesivos Carreta ALEPACK</t>
  </si>
  <si>
    <t>30/04/2026 17:48 (8 dia(s) de atraso)</t>
  </si>
  <si>
    <t xml:space="preserve">38045 / 46194 </t>
  </si>
  <si>
    <t xml:space="preserve">Compras - +55 (21) 99844-8105 </t>
  </si>
  <si>
    <t xml:space="preserve">39737 / 48289 </t>
  </si>
  <si>
    <t xml:space="preserve">Celso Mendes Amaro - +55 (19) 97406-6311 </t>
  </si>
  <si>
    <t>Sinalização Adesivos</t>
  </si>
  <si>
    <t>19/05/2026 16:48 (5 dia(s) de atraso)</t>
  </si>
  <si>
    <t xml:space="preserve">38175 / 46363 </t>
  </si>
  <si>
    <t xml:space="preserve">ELI &amp; DAMIANI - +55 (99) 9933-5253 </t>
  </si>
  <si>
    <t xml:space="preserve">39540 / 48060 </t>
  </si>
  <si>
    <t xml:space="preserve">sandra - +55 (19) 3037-9690 </t>
  </si>
  <si>
    <t xml:space="preserve">40136 / 48483 </t>
  </si>
  <si>
    <t xml:space="preserve">Marcello Freittas Hipnoterapeuta | Palestrante | Treinador - +55 (53) 32672-8000 </t>
  </si>
  <si>
    <t>PS 2mm* O/C 319</t>
  </si>
  <si>
    <t xml:space="preserve">38725 / 46806 </t>
  </si>
  <si>
    <t xml:space="preserve">Rita - +55 (41) 8462-8333 </t>
  </si>
  <si>
    <t xml:space="preserve">39926 / 48528 </t>
  </si>
  <si>
    <t>SITE#15579</t>
  </si>
  <si>
    <t>29/05/2026 15:04 (3 dia(s) de atraso)</t>
  </si>
  <si>
    <t xml:space="preserve">39782 / 48346 </t>
  </si>
  <si>
    <t xml:space="preserve">38535 / 46764 </t>
  </si>
  <si>
    <t xml:space="preserve">Tales Calegari - +55 (11) 97147-5850 </t>
  </si>
  <si>
    <t>06/03/2026 16:49 (3 dia(s) de atraso)</t>
  </si>
  <si>
    <t xml:space="preserve">40126 / 48792 </t>
  </si>
  <si>
    <t xml:space="preserve">ASSOCIACAO DO BLOCO C DA SQN 116 - +55 (21) 7500-4446 </t>
  </si>
  <si>
    <t>SITE#15637</t>
  </si>
  <si>
    <t>Samanta Lustosa</t>
  </si>
  <si>
    <t xml:space="preserve">39292 / 47760 </t>
  </si>
  <si>
    <t xml:space="preserve">Carolaine Almeida - +55 (11) 3616-5545 </t>
  </si>
  <si>
    <t xml:space="preserve">39211 / 47646 </t>
  </si>
  <si>
    <t xml:space="preserve">Gisele Valente - +55 (41) 98853-5069 </t>
  </si>
  <si>
    <t>Sinalização*15337</t>
  </si>
  <si>
    <t>13/04/2026 11:18 (5 dia(s) de atraso)</t>
  </si>
  <si>
    <t xml:space="preserve">39679 / 48219 </t>
  </si>
  <si>
    <t xml:space="preserve">Alvaro Lima - Síndico - +55 (21) 98552-1969 </t>
  </si>
  <si>
    <t>SITE*15475</t>
  </si>
  <si>
    <t xml:space="preserve">38006 / 46118 </t>
  </si>
  <si>
    <t xml:space="preserve">Paula Caroline - +55 (19) 99368-5982 </t>
  </si>
  <si>
    <t>Sinalização - GABARITO PERSONALIZADAO</t>
  </si>
  <si>
    <t xml:space="preserve">38595 / 46455 </t>
  </si>
  <si>
    <t>18/03/2026 16:51 (13 dia(s) de atraso)</t>
  </si>
  <si>
    <t xml:space="preserve">39294 / 47764 </t>
  </si>
  <si>
    <t xml:space="preserve">Hellen Bastos - +55 (19) 98737-9006 </t>
  </si>
  <si>
    <t>18/04/2026 08:55 (1 dia(s) de atraso)</t>
  </si>
  <si>
    <t xml:space="preserve">39178 / 47575 </t>
  </si>
  <si>
    <t xml:space="preserve">Elizabeth - Hanaoka - +55 (11) 91648-2459 </t>
  </si>
  <si>
    <t>CAVALETE*539</t>
  </si>
  <si>
    <t>16/04/2026 09:59 (2 dia(s) de atraso)</t>
  </si>
  <si>
    <t xml:space="preserve">39558 / 47888 </t>
  </si>
  <si>
    <t>CAVALETE* O/C 642</t>
  </si>
  <si>
    <t xml:space="preserve">38314 / 46546 </t>
  </si>
  <si>
    <t xml:space="preserve">Tiago Deotti - +55 (19) 2101-0600 </t>
  </si>
  <si>
    <t>04/03/2026 17:10 (15 dia(s) de atraso)</t>
  </si>
  <si>
    <t xml:space="preserve">38182 / 46372 </t>
  </si>
  <si>
    <t>06/02/2026 16:11 (1 dia(s) de atraso)</t>
  </si>
  <si>
    <t xml:space="preserve">38955 / 47340 </t>
  </si>
  <si>
    <t xml:space="preserve">Vinicius Ramos Silva - +55 (11) 95335-2240 </t>
  </si>
  <si>
    <t>Sinalização*15267</t>
  </si>
  <si>
    <t xml:space="preserve">40080 / 48728 </t>
  </si>
  <si>
    <t>Sinalização - ACM 3mm</t>
  </si>
  <si>
    <t xml:space="preserve">38959 / 46949 </t>
  </si>
  <si>
    <t xml:space="preserve">Administração - +55 (11) 97512-7040 </t>
  </si>
  <si>
    <t xml:space="preserve">38213 / 46412 </t>
  </si>
  <si>
    <t xml:space="preserve">Adm Costa do Sol - +55 (11) 98735-0177 </t>
  </si>
  <si>
    <t xml:space="preserve">38435 / 46693 </t>
  </si>
  <si>
    <t xml:space="preserve">Alexandre | COMERCIAL - +55 (19) 98162-3124 </t>
  </si>
  <si>
    <t xml:space="preserve">39335 / 47733 </t>
  </si>
  <si>
    <t xml:space="preserve">Marcelo - Solveig - +55 (19) 98915-3567 </t>
  </si>
  <si>
    <t xml:space="preserve">39865 / 48444 </t>
  </si>
  <si>
    <t xml:space="preserve">Edvaldo - +55 (19) 99673-9558 </t>
  </si>
  <si>
    <t>23/05/2026 07:43 (1 dia(s) de atraso)</t>
  </si>
  <si>
    <t xml:space="preserve">39668 / 48030 </t>
  </si>
  <si>
    <t>Placas Sinalização - O/C 375703</t>
  </si>
  <si>
    <t xml:space="preserve">38255 / 46477 </t>
  </si>
  <si>
    <t xml:space="preserve">Kleberton - +55 (11) 4176-7877 </t>
  </si>
  <si>
    <t xml:space="preserve">37758 / 45790 </t>
  </si>
  <si>
    <t xml:space="preserve">Compras - +55 (55) 11971-2815 </t>
  </si>
  <si>
    <t xml:space="preserve">38565 / 46850 </t>
  </si>
  <si>
    <t xml:space="preserve">Flávio Beretta - +55 (67) 9802-0295 </t>
  </si>
  <si>
    <t xml:space="preserve">37793 / 45854 </t>
  </si>
  <si>
    <t xml:space="preserve">Suprimentos AC2R - +55 (21) 99744-0083 </t>
  </si>
  <si>
    <t>30/01/2026 16:20 (10 dia(s) de atraso)</t>
  </si>
  <si>
    <t xml:space="preserve">37818 / 45906 </t>
  </si>
  <si>
    <t xml:space="preserve">Compras | GV Logistica - +55 (11) 97641-3757 </t>
  </si>
  <si>
    <t>Sinalização / IPLACAS - O/C 13173</t>
  </si>
  <si>
    <t>30/01/2026 14:33 (11 dia(s) de atraso)</t>
  </si>
  <si>
    <t xml:space="preserve">37971 / 46109 </t>
  </si>
  <si>
    <t xml:space="preserve">39013 / 47408 </t>
  </si>
  <si>
    <t xml:space="preserve">Dra.Margarete - +55 (11) 98482-2494 </t>
  </si>
  <si>
    <t xml:space="preserve">39399 / 47899 </t>
  </si>
  <si>
    <t xml:space="preserve">JULLIANNY SCARPARO - +55 (11) 98179-8890 </t>
  </si>
  <si>
    <t>PS 2mm + PS 1mm</t>
  </si>
  <si>
    <t xml:space="preserve">39597 / 48137 </t>
  </si>
  <si>
    <t xml:space="preserve">Marcelino Novaes de Souza - +55 (19) 99787-4737 </t>
  </si>
  <si>
    <t>05/05/2026 09:51 (5 dia(s) de atraso)</t>
  </si>
  <si>
    <t xml:space="preserve">38345 / 46540 </t>
  </si>
  <si>
    <t xml:space="preserve">ADEMIR CARVALHO - +55 (11) 98269-6972 </t>
  </si>
  <si>
    <t xml:space="preserve">40100 / 48386 </t>
  </si>
  <si>
    <t xml:space="preserve">Bruno - +55 (19) 8156-0339 </t>
  </si>
  <si>
    <t xml:space="preserve">38714 / 47046 </t>
  </si>
  <si>
    <t xml:space="preserve">Cintia Salvati - +55 (11) 99163-0940 </t>
  </si>
  <si>
    <t>Sinalização*15198</t>
  </si>
  <si>
    <t xml:space="preserve">37854 / 45948 </t>
  </si>
  <si>
    <t xml:space="preserve">Andrey d'assumpção Lourenço - +55 (19) 99789-0962 </t>
  </si>
  <si>
    <t>Sinalização*14965</t>
  </si>
  <si>
    <t>29/01/2026 11:37 (8 dia(s) de atraso)</t>
  </si>
  <si>
    <t xml:space="preserve">37970 / 46108 </t>
  </si>
  <si>
    <t xml:space="preserve">Junior Medeiros - +55 (44) 3056-6009 </t>
  </si>
  <si>
    <t>11/02/2026 14:40 (14 dia(s) de atraso)</t>
  </si>
  <si>
    <t xml:space="preserve">39163 / 47436 </t>
  </si>
  <si>
    <t>Sinalização/ IPLACAS - O/C 118.417</t>
  </si>
  <si>
    <t xml:space="preserve">39504 / 47897 </t>
  </si>
  <si>
    <t>GABARITO PNE * O/ C 187499</t>
  </si>
  <si>
    <t xml:space="preserve">38687 / 45614 </t>
  </si>
  <si>
    <t xml:space="preserve">Nayara - +55 (11) 97154-1026 </t>
  </si>
  <si>
    <t>Sinalização/ IPLACAS - O/C 116.514</t>
  </si>
  <si>
    <t>17/03/2026 15:53 (5 dia(s) de atraso)</t>
  </si>
  <si>
    <t xml:space="preserve">37965 / 46064 </t>
  </si>
  <si>
    <t xml:space="preserve">Borges Contabilidade - +55 (13) 99764-8058 </t>
  </si>
  <si>
    <t>11/02/2026 14:40 (13 dia(s) de atraso)</t>
  </si>
  <si>
    <t xml:space="preserve">39412 / 47767 </t>
  </si>
  <si>
    <t xml:space="preserve">ELLEN - +55 (19) 3737-0770 </t>
  </si>
  <si>
    <t>Sinalização - 6354</t>
  </si>
  <si>
    <t xml:space="preserve">37906 / 45959 </t>
  </si>
  <si>
    <t xml:space="preserve">Vagner - +55 (19) 99705-5274 </t>
  </si>
  <si>
    <t>11/02/2026 18:15 (15 dia(s) de atraso)</t>
  </si>
  <si>
    <t xml:space="preserve">38473 / 46758 </t>
  </si>
  <si>
    <t xml:space="preserve">Ray Constancio - +55 (16) 99228-4850 </t>
  </si>
  <si>
    <t>09/03/2026 17:42 (10 dia(s) de atraso)</t>
  </si>
  <si>
    <t xml:space="preserve">38718 / 47032 </t>
  </si>
  <si>
    <t xml:space="preserve">Alexandre Rosolen - +55 (11) 98347-7777 </t>
  </si>
  <si>
    <t xml:space="preserve">38372 / 46596 </t>
  </si>
  <si>
    <t xml:space="preserve">Núcleo Engenharia - +55 (19) 99410-6011 </t>
  </si>
  <si>
    <t xml:space="preserve">39828 / 48404 </t>
  </si>
  <si>
    <t xml:space="preserve">38204 / 46397 </t>
  </si>
  <si>
    <t xml:space="preserve">Condomínio Villaggio di Milano - +55 (11) 2208-9999 </t>
  </si>
  <si>
    <t>Sinalização*15047</t>
  </si>
  <si>
    <t>16/02/2026 11:29 (11 dia(s) de atraso)</t>
  </si>
  <si>
    <t xml:space="preserve">38684 / 47010 </t>
  </si>
  <si>
    <t xml:space="preserve">Carla Badan - +55 (19) 99736-9070 </t>
  </si>
  <si>
    <t>Sinalização - Acrílico dourado</t>
  </si>
  <si>
    <t xml:space="preserve">39674 / 48210 </t>
  </si>
  <si>
    <t xml:space="preserve">Guiherme - (19)98217-5555 </t>
  </si>
  <si>
    <t xml:space="preserve">39159 / 47595 </t>
  </si>
  <si>
    <t xml:space="preserve">Assistente Comunicação - ALPHAVILLE CAMPINAS CLUBE - +55 (19) 98883-0010 </t>
  </si>
  <si>
    <t xml:space="preserve">38267 / 46493 </t>
  </si>
  <si>
    <t xml:space="preserve">38893 / 47276 </t>
  </si>
  <si>
    <t xml:space="preserve">39120 / 47557 </t>
  </si>
  <si>
    <t>31/03/2026 17:34 (1 dia(s) de atraso)</t>
  </si>
  <si>
    <t xml:space="preserve">39531 / 48052 </t>
  </si>
  <si>
    <t xml:space="preserve">39731 / 48272 </t>
  </si>
  <si>
    <t>11/05/2026 14:19 (4 dia(s) de atraso)</t>
  </si>
  <si>
    <t xml:space="preserve">39366 / 47822 </t>
  </si>
  <si>
    <t xml:space="preserve">Segurança do trabalho - (00)00000-0000 </t>
  </si>
  <si>
    <t xml:space="preserve">38525 / 46819 </t>
  </si>
  <si>
    <t xml:space="preserve">Compras - +55 (19) 95330-3654 </t>
  </si>
  <si>
    <t xml:space="preserve">39277 / 47734 </t>
  </si>
  <si>
    <t xml:space="preserve">Condomínio Alphabusiness - +55 (19) 97405-6747 </t>
  </si>
  <si>
    <t>SITE*15369</t>
  </si>
  <si>
    <t xml:space="preserve">39336 / 47809 </t>
  </si>
  <si>
    <t xml:space="preserve">Compras - +55 (11) 95604-0461 </t>
  </si>
  <si>
    <t>04/05/2026 17:13 (14 dia(s) de atraso)</t>
  </si>
  <si>
    <t xml:space="preserve">37885 / 45985 </t>
  </si>
  <si>
    <t xml:space="preserve">Rosimeire Pereira Da Silva - +55 (11) 94786-6253 </t>
  </si>
  <si>
    <t>Sinalização*14974</t>
  </si>
  <si>
    <t>26/01/2026 16:09 (5 dia(s) de atraso)</t>
  </si>
  <si>
    <t xml:space="preserve">39888 / 48482 </t>
  </si>
  <si>
    <t>05/06/2026 11:50 (7 dia(s) de atraso)</t>
  </si>
  <si>
    <t xml:space="preserve">40006 / 48364 </t>
  </si>
  <si>
    <t xml:space="preserve">Juliane - +55 (47) 8815-3203 </t>
  </si>
  <si>
    <t>Sinalização - O/C 081659</t>
  </si>
  <si>
    <t xml:space="preserve">39522 / 48043 </t>
  </si>
  <si>
    <t>Sinalização*POLIONDA</t>
  </si>
  <si>
    <t>29/04/2026 17:31 (1 dia(s) de atraso)</t>
  </si>
  <si>
    <t xml:space="preserve">38773 / 47113 </t>
  </si>
  <si>
    <t>23/03/2026 10:21 (6 dia(s) de atraso)</t>
  </si>
  <si>
    <t xml:space="preserve">39554 / 48058 </t>
  </si>
  <si>
    <t xml:space="preserve">Gustavo Guga - +55 (11) 99484-3218 </t>
  </si>
  <si>
    <t xml:space="preserve">38497 / 46783 </t>
  </si>
  <si>
    <t xml:space="preserve">Fernando - +55 (19) 2042-3839 </t>
  </si>
  <si>
    <t>Adesivos - VEÍCULO LONGO</t>
  </si>
  <si>
    <t xml:space="preserve">38914 / 47289 </t>
  </si>
  <si>
    <t xml:space="preserve">Mais Reserva - +55 (11) 94044-7397 </t>
  </si>
  <si>
    <t xml:space="preserve">39481 / 47976 </t>
  </si>
  <si>
    <t xml:space="preserve">Natureza E Mudar - +55 (49) 2020-0452 </t>
  </si>
  <si>
    <t>29/04/2026 14:43 (2 dia(s) de atraso)</t>
  </si>
  <si>
    <t xml:space="preserve">38253 / 46470 </t>
  </si>
  <si>
    <t xml:space="preserve">Nely Paula Rodrigues - (00)00000-0000 </t>
  </si>
  <si>
    <t>20/02/2026 15:01 (7 dia(s) de atraso)</t>
  </si>
  <si>
    <t xml:space="preserve">37895 / 46000 </t>
  </si>
  <si>
    <t xml:space="preserve">Bruno - +55 (19) 98186-7256 </t>
  </si>
  <si>
    <t xml:space="preserve">39253 / 47578 </t>
  </si>
  <si>
    <t xml:space="preserve">Fernando - +55 (42) 3234-8000 </t>
  </si>
  <si>
    <t>Sinalização / IPLACAS - O/C 4500675723</t>
  </si>
  <si>
    <t xml:space="preserve">39626 / 48108 </t>
  </si>
  <si>
    <t xml:space="preserve">Arq. Jessica Belarmino - +55 (11) 94469-4272 </t>
  </si>
  <si>
    <t xml:space="preserve">39959 / 48568 </t>
  </si>
  <si>
    <t xml:space="preserve">Fabiano Zotti - +55 (15) 99700-5709 </t>
  </si>
  <si>
    <t>SITE#15584</t>
  </si>
  <si>
    <t>05/06/2026 11:48 (9 dia(s) de atraso)</t>
  </si>
  <si>
    <t xml:space="preserve">38976 / 47365 </t>
  </si>
  <si>
    <t xml:space="preserve">ADM - +55 (11) 94015-3488 </t>
  </si>
  <si>
    <t>02/04/2026 14:19 (1 dia(s) de atraso)</t>
  </si>
  <si>
    <t xml:space="preserve">38332 / 46568 </t>
  </si>
  <si>
    <t xml:space="preserve">Jaqueline Corrêa Analista Comportametal - +55 (41) 9741-2719 </t>
  </si>
  <si>
    <t xml:space="preserve">37763 / 45841 </t>
  </si>
  <si>
    <t xml:space="preserve">Verdebianco Logistica - +55 (11) 91483-3063 </t>
  </si>
  <si>
    <t>Sinalização*14948</t>
  </si>
  <si>
    <t>22/01/2026 16:06 (9 dia(s) de atraso)</t>
  </si>
  <si>
    <t xml:space="preserve">39298 / 47666 </t>
  </si>
  <si>
    <t xml:space="preserve">Top Life - +55 (11) 2027-7900 </t>
  </si>
  <si>
    <t xml:space="preserve">39954 / 48501 </t>
  </si>
  <si>
    <t xml:space="preserve">Marcelo Pizzotti Maldi - +55 (11) 98122-5400 </t>
  </si>
  <si>
    <t xml:space="preserve">38269 / 46046 </t>
  </si>
  <si>
    <t>Sinalização - O/C 114.980</t>
  </si>
  <si>
    <t>19/02/2026 16:48 (7 dia(s) de atraso)</t>
  </si>
  <si>
    <t xml:space="preserve">39740 / 48296 </t>
  </si>
  <si>
    <t>Sinalização*Alumínio</t>
  </si>
  <si>
    <t>01/06/2026 18:55 (12 dia(s) de atraso)</t>
  </si>
  <si>
    <t xml:space="preserve">40059 / 48692 </t>
  </si>
  <si>
    <t xml:space="preserve">TAYARA GILLO DA SILVA - +55 (16) 9936-0497 </t>
  </si>
  <si>
    <t>SITE#15614</t>
  </si>
  <si>
    <t>02/06/2026 18:04 (1 dia(s) de atraso)</t>
  </si>
  <si>
    <t xml:space="preserve">38743 / 47073 </t>
  </si>
  <si>
    <t xml:space="preserve">Alecsandra - +55 (11) 97184-3922 </t>
  </si>
  <si>
    <t>20/03/2026 15:12 (2 dia(s) de atraso)</t>
  </si>
  <si>
    <t xml:space="preserve">37947 / 46050 </t>
  </si>
  <si>
    <t xml:space="preserve">Compras - +55 (11) 95154-4998 </t>
  </si>
  <si>
    <t>Sinalização - COMANDA</t>
  </si>
  <si>
    <t>30/01/2026 14:32 (1 dia(s) de atraso)</t>
  </si>
  <si>
    <t xml:space="preserve">38128 / 46298 </t>
  </si>
  <si>
    <t xml:space="preserve">Marketing Swiss Park - +55 (19) 3500-8241 </t>
  </si>
  <si>
    <t>13/02/2026 17:00 (4 dia(s) de atraso)</t>
  </si>
  <si>
    <t xml:space="preserve">37852 / 45946 </t>
  </si>
  <si>
    <t xml:space="preserve">Condomínio do Edifício Domus Professor Mario Pessoa - +55 (81) 8181-8181 </t>
  </si>
  <si>
    <t>Sinalização*14938</t>
  </si>
  <si>
    <t>05/02/2026 18:25 (17 dia(s) de atraso)</t>
  </si>
  <si>
    <t xml:space="preserve">38085 / 46248 </t>
  </si>
  <si>
    <t xml:space="preserve">CLÉBER - +55 (19) 3267-1900 </t>
  </si>
  <si>
    <t>24/01/2026 10:31 (1 dia(s) de atraso)</t>
  </si>
  <si>
    <t xml:space="preserve">39982 / 48566 </t>
  </si>
  <si>
    <t>ACM + ALUMINIO</t>
  </si>
  <si>
    <t xml:space="preserve">37782 / 45858 </t>
  </si>
  <si>
    <t xml:space="preserve">Cris Lopes - +55 (11) 99912-8049 </t>
  </si>
  <si>
    <t xml:space="preserve">40064 / 48609 </t>
  </si>
  <si>
    <t xml:space="preserve">Administração - +55 (19) 99436-0986 </t>
  </si>
  <si>
    <t xml:space="preserve">38788 / 47107 </t>
  </si>
  <si>
    <t xml:space="preserve">Rogério - +55 (11) 99654-5929 </t>
  </si>
  <si>
    <t xml:space="preserve">38652 / 46916 </t>
  </si>
  <si>
    <t>Sinalização/ IPLACAS - O/C 260.200</t>
  </si>
  <si>
    <t>18/03/2026 18:04 (8 dia(s) de atraso)</t>
  </si>
  <si>
    <t xml:space="preserve">39329 / 47774 </t>
  </si>
  <si>
    <t>24/04/2026 14:32 (2 dia(s) de atraso)</t>
  </si>
  <si>
    <t xml:space="preserve">38607 / 46903 </t>
  </si>
  <si>
    <t xml:space="preserve">Wanalda Alcaantara Guerra - +55 (11) 96725-3703 </t>
  </si>
  <si>
    <t>16/03/2026 14:25 (3 dia(s) de atraso)</t>
  </si>
  <si>
    <t xml:space="preserve">38993 / 47396 </t>
  </si>
  <si>
    <t xml:space="preserve">39714 / 48253 </t>
  </si>
  <si>
    <t xml:space="preserve">Condominio Edificio Anturius - +55 (11) 98737-4381 </t>
  </si>
  <si>
    <t>SITE*15480</t>
  </si>
  <si>
    <t>29/05/2026 15:05 (18 dia(s) de atraso)</t>
  </si>
  <si>
    <t xml:space="preserve">39792 / 48368 </t>
  </si>
  <si>
    <t xml:space="preserve">SOCIEDADE ENEFIENTE ALEMA - +55 (11) 9862-2999 </t>
  </si>
  <si>
    <t>SITE#15508</t>
  </si>
  <si>
    <t xml:space="preserve">38707 / 47038 </t>
  </si>
  <si>
    <t xml:space="preserve">Adilson Cantarelli - +55 (64) 9222-3928 </t>
  </si>
  <si>
    <t xml:space="preserve">38071 / 46230 </t>
  </si>
  <si>
    <t xml:space="preserve">JOSE HUMBERTO SILVA - +55 (13) 99113-0080 </t>
  </si>
  <si>
    <t>Sinalização*15020</t>
  </si>
  <si>
    <t xml:space="preserve">39549 / 47949 </t>
  </si>
  <si>
    <t xml:space="preserve">DP - +55 (19) 3803-0000 </t>
  </si>
  <si>
    <t>Etiqueta CHAMADO 201326</t>
  </si>
  <si>
    <t xml:space="preserve">37726 / 45705 </t>
  </si>
  <si>
    <t xml:space="preserve">37729 / 45789 </t>
  </si>
  <si>
    <t xml:space="preserve">Edgar Pedroso - +55 (19) 97164-0605 </t>
  </si>
  <si>
    <t>27/01/2026 07:48 (19 dia(s) de atraso)</t>
  </si>
  <si>
    <t xml:space="preserve">37837 / 45928 </t>
  </si>
  <si>
    <t xml:space="preserve">Eu - +55 (11) 91613-4176 </t>
  </si>
  <si>
    <t>09/02/2026 15:44 (17 dia(s) de atraso)</t>
  </si>
  <si>
    <t xml:space="preserve">38774 / 46982 </t>
  </si>
  <si>
    <t>30/11/-0001 00:00</t>
  </si>
  <si>
    <t xml:space="preserve">38980 / 47350 </t>
  </si>
  <si>
    <t xml:space="preserve">Engenharia Banco Inter - +55 (53) 17220-9263 </t>
  </si>
  <si>
    <t>07/04/2026 16:33 (4 dia(s) de atraso)</t>
  </si>
  <si>
    <t xml:space="preserve">39990 / 48598 </t>
  </si>
  <si>
    <t>29/05/2026 09:47 (2 dia(s) de atraso)</t>
  </si>
  <si>
    <t xml:space="preserve">38401 / 46655 </t>
  </si>
  <si>
    <t xml:space="preserve">Tharsio Frezzato - +55 (17) 99138-1500 </t>
  </si>
  <si>
    <t>Sinalização*15103</t>
  </si>
  <si>
    <t>20/02/2026 15:01 (3 dia(s) de atraso)</t>
  </si>
  <si>
    <t xml:space="preserve">38390 / 46631 </t>
  </si>
  <si>
    <t xml:space="preserve">Marcelo - +55 (11) 91718-2510 </t>
  </si>
  <si>
    <t>16/02/2026 11:30 (3 dia(s) de atraso)</t>
  </si>
  <si>
    <t xml:space="preserve">38673 / 46939 </t>
  </si>
  <si>
    <t xml:space="preserve">Andréa Castro - +55 (11) 99129-3801 </t>
  </si>
  <si>
    <t>PS 2mm - com sistema deslizante - ACM*9.266</t>
  </si>
  <si>
    <t>17/03/2026 18:20 (4 dia(s) de atraso)</t>
  </si>
  <si>
    <t xml:space="preserve">38842 / 47207 </t>
  </si>
  <si>
    <t xml:space="preserve">Gabi Garcia - +55 (19) 99589-0154 </t>
  </si>
  <si>
    <t>13/03/2026 08:49 (1 dia(s) de atraso)</t>
  </si>
  <si>
    <t xml:space="preserve">39435 / 47941 </t>
  </si>
  <si>
    <t xml:space="preserve">Paróquia Santa Generosa - +55 (11) 98072-8076 </t>
  </si>
  <si>
    <t>Sinalização SITE*15414</t>
  </si>
  <si>
    <t>27/04/2026 14:41 (4 dia(s) de atraso)</t>
  </si>
  <si>
    <t xml:space="preserve">38058 / 46215 </t>
  </si>
  <si>
    <t xml:space="preserve">Condominio Villa Paradiso - +55 (11) 92133-7073 </t>
  </si>
  <si>
    <t>Sinalização*15003</t>
  </si>
  <si>
    <t>11/02/2026 14:41 (13 dia(s) de atraso)</t>
  </si>
  <si>
    <t xml:space="preserve">38041 / 46196 </t>
  </si>
  <si>
    <t xml:space="preserve">Jarbas Barbosa de Oliveira Jr - +55 (13) 99202-0415 </t>
  </si>
  <si>
    <t>Sinalização*15009</t>
  </si>
  <si>
    <t>03/02/2026 14:43 (6 dia(s) de atraso)</t>
  </si>
  <si>
    <t xml:space="preserve">38053 / 46210 </t>
  </si>
  <si>
    <t xml:space="preserve">Conato Administradora - +55 (41) 8777-3630 </t>
  </si>
  <si>
    <t xml:space="preserve">39546 / 48062 </t>
  </si>
  <si>
    <t xml:space="preserve">Ricardo Gonçalves - +55 (17) 99135-1499 </t>
  </si>
  <si>
    <t xml:space="preserve">38818 / 47180 </t>
  </si>
  <si>
    <t xml:space="preserve">Ayrton Brancalhoni - +55 (11) 98792-2829 </t>
  </si>
  <si>
    <t>Sinalização*15226</t>
  </si>
  <si>
    <t xml:space="preserve">37740 / 45804 </t>
  </si>
  <si>
    <t xml:space="preserve">Henrique Resende Siqueira - +55 (11) 93908-4466 </t>
  </si>
  <si>
    <t>Sinalização*14941</t>
  </si>
  <si>
    <t xml:space="preserve">39550 / 48071 </t>
  </si>
  <si>
    <t xml:space="preserve">FABIO HEITOR BAETA - +55 (12) 3905-5100 </t>
  </si>
  <si>
    <t>SITE*15443</t>
  </si>
  <si>
    <t>12/05/2026 18:08 (11 dia(s) de atraso)</t>
  </si>
  <si>
    <t xml:space="preserve">39887 / 48460 </t>
  </si>
  <si>
    <t xml:space="preserve">Gisele - +55 (11) 92229-0002 </t>
  </si>
  <si>
    <t xml:space="preserve">40042 / 48628 </t>
  </si>
  <si>
    <t xml:space="preserve">Compras - +55 (11) 3514-1006 </t>
  </si>
  <si>
    <t>Sinalização/ IPLACAS - O/C 120012 /1</t>
  </si>
  <si>
    <t>05/06/2026 11:52 (1 dia(s) de atraso)</t>
  </si>
  <si>
    <t xml:space="preserve">39824 / 48401 </t>
  </si>
  <si>
    <t xml:space="preserve">Geovana Nascimento - +55 (19) 98927-9647 </t>
  </si>
  <si>
    <t>Sinalização/ IPLACAS o/c 4500169825</t>
  </si>
  <si>
    <t xml:space="preserve">38028 / 46025 </t>
  </si>
  <si>
    <t xml:space="preserve">Condomínio Winter Park - +55 (19) 7836-1661 </t>
  </si>
  <si>
    <t>18/02/2026 14:48 (15 dia(s) de atraso)</t>
  </si>
  <si>
    <t xml:space="preserve">38555 / 46834 </t>
  </si>
  <si>
    <t xml:space="preserve">Jaqueline Lima Machado - +55 (11) 98512-7638 </t>
  </si>
  <si>
    <t>Precificado Gôndola Porta Etiqueta Em L</t>
  </si>
  <si>
    <t xml:space="preserve">39506 / 48029 </t>
  </si>
  <si>
    <t xml:space="preserve">Larissa Guedes - +55 (11) 2296-6605 </t>
  </si>
  <si>
    <t>Placas Sinalização - O/C 7234</t>
  </si>
  <si>
    <t xml:space="preserve">38129 / 46306 </t>
  </si>
  <si>
    <t xml:space="preserve">Compras - +55 (19) 9994-2804 </t>
  </si>
  <si>
    <t>13/02/2026 15:47 (4 dia(s) de atraso)</t>
  </si>
  <si>
    <t xml:space="preserve">39915 / 48481 </t>
  </si>
  <si>
    <t xml:space="preserve">Renan Medina - +55 (11) 95312-2558 </t>
  </si>
  <si>
    <t>GABARITO 60+</t>
  </si>
  <si>
    <t xml:space="preserve">40043 / 48674 </t>
  </si>
  <si>
    <t xml:space="preserve">Felipe De Sousa - +55 (11) 98200-5566 </t>
  </si>
  <si>
    <t xml:space="preserve">38296 / 46496 </t>
  </si>
  <si>
    <t xml:space="preserve">Compras - Núcleo Engenharia - (00)00000-0000 </t>
  </si>
  <si>
    <t>24/02/2026 15:24 (6 dia(s) de atraso)</t>
  </si>
  <si>
    <t xml:space="preserve">38309 / 46414 </t>
  </si>
  <si>
    <t xml:space="preserve">Compras - +55 (35) 3435-8350 </t>
  </si>
  <si>
    <t>Sinalização / IPLACAS - O/C 08/040387</t>
  </si>
  <si>
    <t>24/02/2026 15:24 (7 dia(s) de atraso)</t>
  </si>
  <si>
    <t xml:space="preserve">39860 / 48432 </t>
  </si>
  <si>
    <t xml:space="preserve">Catharina Rampani - +55 (11) 99690-3168 </t>
  </si>
  <si>
    <t xml:space="preserve">38884 / 47216 </t>
  </si>
  <si>
    <t xml:space="preserve">Nathalia Francisco - +55 (11) 2699-0834 </t>
  </si>
  <si>
    <t>Sinalização / IPLACAS - O/C 243449</t>
  </si>
  <si>
    <t>26/03/2026 16:45 (2 dia(s) de atraso)</t>
  </si>
  <si>
    <t xml:space="preserve">39962 / 48571 </t>
  </si>
  <si>
    <t xml:space="preserve">Soraia Issa - (00)00000-0000 </t>
  </si>
  <si>
    <t>SITE#15588</t>
  </si>
  <si>
    <t>29/05/2026 14:58 (2 dia(s) de atraso)</t>
  </si>
  <si>
    <t xml:space="preserve">40128 / 48793 </t>
  </si>
  <si>
    <t>PEDIDO 4494 BRZ</t>
  </si>
  <si>
    <t xml:space="preserve">37773 / 45846 </t>
  </si>
  <si>
    <t>20/01/2026 08:37 (1 dia(s) de atraso)</t>
  </si>
  <si>
    <t xml:space="preserve">37911 / 46018 </t>
  </si>
  <si>
    <t xml:space="preserve">Compras - +55 (19) 3871-1633 </t>
  </si>
  <si>
    <t>Sinalização*14967</t>
  </si>
  <si>
    <t>02/02/2026 15:22 (12 dia(s) de atraso)</t>
  </si>
  <si>
    <t xml:space="preserve">38357 / 46343 </t>
  </si>
  <si>
    <t>23/02/2026 15:13 (3 dia(s) de atraso)</t>
  </si>
  <si>
    <t xml:space="preserve">37997 / 46107 </t>
  </si>
  <si>
    <t xml:space="preserve">Matheus Andrade Torres - +55 (11) 97182-8493 </t>
  </si>
  <si>
    <t>06/02/2026 16:12 (7 dia(s) de atraso)</t>
  </si>
  <si>
    <t xml:space="preserve">37998 / 46120 </t>
  </si>
  <si>
    <t>05/02/2026 18:25 (6 dia(s) de atraso)</t>
  </si>
  <si>
    <t xml:space="preserve">40116 / 48484 </t>
  </si>
  <si>
    <t xml:space="preserve">Compras - +55 (15) 98804-0286 </t>
  </si>
  <si>
    <t xml:space="preserve">39710 / 48248 </t>
  </si>
  <si>
    <t xml:space="preserve">Marcio Acosta - +55 (11) 5080-0000 </t>
  </si>
  <si>
    <t>SITE*15485</t>
  </si>
  <si>
    <t xml:space="preserve">37751 / 45820 </t>
  </si>
  <si>
    <t xml:space="preserve">Marcos Barreto - +55 (19) 7836-1661 </t>
  </si>
  <si>
    <t>Sinalização*14927</t>
  </si>
  <si>
    <t xml:space="preserve">39809 / 48360 </t>
  </si>
  <si>
    <t xml:space="preserve">Osmar Marques l Sol Atitude - +55 (11) 4280-3245 </t>
  </si>
  <si>
    <t xml:space="preserve">38488 / 46772 </t>
  </si>
  <si>
    <t xml:space="preserve">Silvana Alves Mendonca - +55 (35) 98147-2111 </t>
  </si>
  <si>
    <t>Sinalização*15129</t>
  </si>
  <si>
    <t>03/03/2026 14:47 (4 dia(s) de atraso)</t>
  </si>
  <si>
    <t xml:space="preserve">38082 / 46238 </t>
  </si>
  <si>
    <t xml:space="preserve">Leonardo - +55 (19) 98286-8468 </t>
  </si>
  <si>
    <t>Gabarito</t>
  </si>
  <si>
    <t>02/02/2026 15:25 (3 dia(s) de atraso)</t>
  </si>
  <si>
    <t xml:space="preserve">39581 / 48121 </t>
  </si>
  <si>
    <t xml:space="preserve">38824 / 47186 </t>
  </si>
  <si>
    <t>Sinalização*15230</t>
  </si>
  <si>
    <t>13/04/2026 10:01 (28 dia(s) de atraso)</t>
  </si>
  <si>
    <t xml:space="preserve">37909 / 46017 </t>
  </si>
  <si>
    <t xml:space="preserve">39278 / 47736 </t>
  </si>
  <si>
    <t xml:space="preserve">Ricardo Pozzo - +55 (11) 94029-6160 </t>
  </si>
  <si>
    <t>SITE*15373</t>
  </si>
  <si>
    <t xml:space="preserve">39434 / 47939 </t>
  </si>
  <si>
    <t xml:space="preserve">Condomínios Mirante Bonsucesso - +55 (11) 2797-7600 </t>
  </si>
  <si>
    <t>Sinalização SITE*15407</t>
  </si>
  <si>
    <t>24/04/2026 14:32 (1 dia(s) de atraso)</t>
  </si>
  <si>
    <t xml:space="preserve">39039 / 47446 </t>
  </si>
  <si>
    <t>02/04/2026 14:19 (2 dia(s) de atraso)</t>
  </si>
  <si>
    <t xml:space="preserve">40048 / 48649 </t>
  </si>
  <si>
    <t xml:space="preserve">Adm - +55 (19) 9889-1539 </t>
  </si>
  <si>
    <t xml:space="preserve">37919 / 46024 </t>
  </si>
  <si>
    <t xml:space="preserve">Matz Bech - +55 (21) 98225-6255 </t>
  </si>
  <si>
    <t>Sinalização*14986</t>
  </si>
  <si>
    <t xml:space="preserve">38371 / 46346 </t>
  </si>
  <si>
    <t>PS1MM FRENTE E VERSO</t>
  </si>
  <si>
    <t>19/02/2026 19:13 (3 dia(s) de atraso)</t>
  </si>
  <si>
    <t xml:space="preserve">38895 / 47278 </t>
  </si>
  <si>
    <t xml:space="preserve">André Eloy Pimenta Melo - +55 (64) 99207-1673 </t>
  </si>
  <si>
    <t>Sinalização*15247</t>
  </si>
  <si>
    <t xml:space="preserve">39049 / 47457 </t>
  </si>
  <si>
    <t>31/03/2026 09:01 (1 dia(s) de atraso)</t>
  </si>
  <si>
    <t xml:space="preserve">39263 / 47707 </t>
  </si>
  <si>
    <t xml:space="preserve">Santa Eliza Eco Resort Ltda - +55 (16) 9812-3956 </t>
  </si>
  <si>
    <t>Sinalização*15366</t>
  </si>
  <si>
    <t>14/04/2026 15:16 (1 dia(s) de atraso)</t>
  </si>
  <si>
    <t xml:space="preserve">37850 / 45944 </t>
  </si>
  <si>
    <t>Sinalização*ALUMINIO</t>
  </si>
  <si>
    <t>28/01/2026 15:21 (8 dia(s) de atraso)</t>
  </si>
  <si>
    <t xml:space="preserve">38995 / 47399 </t>
  </si>
  <si>
    <t>04/05/2026 17:11 (32 dia(s) de atraso)</t>
  </si>
  <si>
    <t xml:space="preserve">38225 / 46435 </t>
  </si>
  <si>
    <t xml:space="preserve">Luana - +55 (19) 98303-6241 </t>
  </si>
  <si>
    <t xml:space="preserve">38806 / 47156 </t>
  </si>
  <si>
    <t xml:space="preserve">Juliana - +55 (71) 9644-3726 </t>
  </si>
  <si>
    <t>Sinalização*15224</t>
  </si>
  <si>
    <t xml:space="preserve">37819 / 45856 </t>
  </si>
  <si>
    <t xml:space="preserve">compras - +55 (19) 99357-2247 </t>
  </si>
  <si>
    <t>28/01/2026 17:49 (8 dia(s) de atraso)</t>
  </si>
  <si>
    <t xml:space="preserve">38073 / 46231 </t>
  </si>
  <si>
    <t xml:space="preserve">38283 / 46509 </t>
  </si>
  <si>
    <t>25/02/2026 16:33 (8 dia(s) de atraso)</t>
  </si>
  <si>
    <t xml:space="preserve">38284 / 46510 </t>
  </si>
  <si>
    <t>26/02/2026 17:52 (9 dia(s) de atraso)</t>
  </si>
  <si>
    <t xml:space="preserve">38422 / 46685 </t>
  </si>
  <si>
    <t>25/02/2026 16:33 (1 dia(s) de atraso)</t>
  </si>
  <si>
    <t xml:space="preserve">38516 / 46810 </t>
  </si>
  <si>
    <t>09/03/2026 15:14 (5 dia(s) de atraso)</t>
  </si>
  <si>
    <t xml:space="preserve">38620 / 46931 </t>
  </si>
  <si>
    <t>10/04/2026 09:50 (36 dia(s) de atraso)</t>
  </si>
  <si>
    <t xml:space="preserve">38645 / 46971 </t>
  </si>
  <si>
    <t>18/03/2026 18:04 (7 dia(s) de atraso)</t>
  </si>
  <si>
    <t xml:space="preserve">38801 / 47151 </t>
  </si>
  <si>
    <t>25/03/2026 16:11 (9 dia(s) de atraso)</t>
  </si>
  <si>
    <t xml:space="preserve">38994 / 47398 </t>
  </si>
  <si>
    <t>15/04/2026 17:22 (13 dia(s) de atraso)</t>
  </si>
  <si>
    <t xml:space="preserve">39079 / 47502 </t>
  </si>
  <si>
    <t>11/05/2026 14:18 (34 dia(s) de atraso)</t>
  </si>
  <si>
    <t xml:space="preserve">39448 / 47957 </t>
  </si>
  <si>
    <t xml:space="preserve">39495 / 48011 </t>
  </si>
  <si>
    <t>08/06/2026 18:42 (38 dia(s) de atraso)</t>
  </si>
  <si>
    <t xml:space="preserve">39132 / 47027 </t>
  </si>
  <si>
    <t xml:space="preserve">Compras - +55 (11) 4961-0974 </t>
  </si>
  <si>
    <t>Sinalização/ IPLACAS - O/C 058528</t>
  </si>
  <si>
    <t>23/04/2026 15:04 (14 dia(s) de atraso)</t>
  </si>
  <si>
    <t xml:space="preserve">Junior - (19)99113-9769 </t>
  </si>
  <si>
    <t>Sinalização - Credenciais</t>
  </si>
  <si>
    <t>25/03/2026 16:32 (1 dia(s) de atraso)</t>
  </si>
  <si>
    <t xml:space="preserve">37943 / 46047 </t>
  </si>
  <si>
    <t>21/01/2026 15:06 (1 dia(s) de atraso)</t>
  </si>
  <si>
    <t xml:space="preserve">38412 / 46673 </t>
  </si>
  <si>
    <t xml:space="preserve">38542 / 46836 </t>
  </si>
  <si>
    <t>25/02/2026 16:26 (1 dia(s) de atraso)</t>
  </si>
  <si>
    <t xml:space="preserve">39249 / 47110 </t>
  </si>
  <si>
    <t xml:space="preserve">Marcelo - +55 (19) 99143-8688 </t>
  </si>
  <si>
    <t>Aplicação de adesivo - Etios</t>
  </si>
  <si>
    <t>07/04/2026 16:33 (1 dia(s) de atraso)</t>
  </si>
  <si>
    <t xml:space="preserve">40020 / 48626 </t>
  </si>
  <si>
    <t>Aplicação de adesivo - SPRINTER</t>
  </si>
  <si>
    <t xml:space="preserve">38394 / 46643 </t>
  </si>
  <si>
    <t xml:space="preserve">Jefferson - +55 (31) 8612-2937 </t>
  </si>
  <si>
    <t xml:space="preserve">39223 / 47661 </t>
  </si>
  <si>
    <t xml:space="preserve">Galli Compras - +55 (15) 92000-9498 </t>
  </si>
  <si>
    <t>PS 2mm COM BRAILE</t>
  </si>
  <si>
    <t xml:space="preserve">39568 / 48082 </t>
  </si>
  <si>
    <t xml:space="preserve">39195 / 47630 </t>
  </si>
  <si>
    <t>Sinalização/ IPLACAS - O/C 118.453</t>
  </si>
  <si>
    <t>14/04/2026 18:01 (1 dia(s) de atraso)</t>
  </si>
  <si>
    <t xml:space="preserve">38436 / 46703 </t>
  </si>
  <si>
    <t xml:space="preserve">Felipe Augusto Camargo - +55 (11) 96419-1228 </t>
  </si>
  <si>
    <t>Sinalização*15118</t>
  </si>
  <si>
    <t xml:space="preserve">40012 / 48621 </t>
  </si>
  <si>
    <t>Chaveiros ET</t>
  </si>
  <si>
    <t>02/06/2026 17:09 (5 dia(s) de atraso)</t>
  </si>
  <si>
    <t xml:space="preserve">39279 / 47729 </t>
  </si>
  <si>
    <t xml:space="preserve">Lari - +55 (19) 99589-7492 </t>
  </si>
  <si>
    <t>23/04/2026 16:32 (2 dia(s) de atraso)</t>
  </si>
  <si>
    <t xml:space="preserve">39280 / 47730 </t>
  </si>
  <si>
    <t>23/04/2026 16:31 (2 dia(s) de atraso)</t>
  </si>
  <si>
    <t xml:space="preserve">39281 / 47731 </t>
  </si>
  <si>
    <t xml:space="preserve">39917 / 48475 </t>
  </si>
  <si>
    <t xml:space="preserve">Isabelle Santos - +55 (11) 99324-0862 </t>
  </si>
  <si>
    <t>PS 2mm + CAVALETE * O/C 36945</t>
  </si>
  <si>
    <t>27/05/2026 17:42 (2 dia(s) de atraso)</t>
  </si>
  <si>
    <t xml:space="preserve">38974 / 47167 </t>
  </si>
  <si>
    <t xml:space="preserve">André Marcondes - +55 (11) 2198-2220 </t>
  </si>
  <si>
    <t>VINIL*7753</t>
  </si>
  <si>
    <t xml:space="preserve">38984 / 47266 </t>
  </si>
  <si>
    <t xml:space="preserve">Larissa - +55 (19) 3803-0000 </t>
  </si>
  <si>
    <t>Chamado - 195010</t>
  </si>
  <si>
    <t xml:space="preserve">39325 / 47785 </t>
  </si>
  <si>
    <t xml:space="preserve">Paulo Mendes - +55 (11) 97657-1627 </t>
  </si>
  <si>
    <t xml:space="preserve">37844 / 45936 </t>
  </si>
  <si>
    <t xml:space="preserve">Larissa - +55 (19) 3727-2400 </t>
  </si>
  <si>
    <t>Etiqueta CHAMADO 181363</t>
  </si>
  <si>
    <t>20/01/2026 12:26 (4 dia(s) de atraso)</t>
  </si>
  <si>
    <t xml:space="preserve">38109 / 46272 </t>
  </si>
  <si>
    <t xml:space="preserve">Ellen - +55 (11) 99405-8198 </t>
  </si>
  <si>
    <t>Sinalização - O/C 127392</t>
  </si>
  <si>
    <t>30/01/2026 14:31 (1 dia(s) de atraso)</t>
  </si>
  <si>
    <t xml:space="preserve">38935 / 47312 </t>
  </si>
  <si>
    <t xml:space="preserve">San Sei COMPRAS - +55 (11) 97601-2816 </t>
  </si>
  <si>
    <t>GABARITO A a Z</t>
  </si>
  <si>
    <t xml:space="preserve">39756 / 48241 </t>
  </si>
  <si>
    <t xml:space="preserve">Fernanda - +55 (19) 98100-6006 </t>
  </si>
  <si>
    <t xml:space="preserve">37956 / 46088 </t>
  </si>
  <si>
    <t xml:space="preserve">Clima Solis Ar Condicionado e Energia Solar - +55 (51) 3470-6000 </t>
  </si>
  <si>
    <t>Sinalização*14981</t>
  </si>
  <si>
    <t xml:space="preserve">39205 / 47591 </t>
  </si>
  <si>
    <t xml:space="preserve">Cristiana Moura - +55 (11) 93945-5253 </t>
  </si>
  <si>
    <t>13/04/2026 11:20 (5 dia(s) de atraso)</t>
  </si>
  <si>
    <t xml:space="preserve">38354 / 46585 </t>
  </si>
  <si>
    <t xml:space="preserve">Monica Cotrim - +55 (11) 99726-7533 </t>
  </si>
  <si>
    <t>24/02/2026 15:24 (5 dia(s) de atraso)</t>
  </si>
  <si>
    <t xml:space="preserve">39790 / 48334 </t>
  </si>
  <si>
    <t xml:space="preserve">Campsondas - Manutenção - +55 (19) 99235-6354 </t>
  </si>
  <si>
    <t xml:space="preserve">38902 / 47270 </t>
  </si>
  <si>
    <t xml:space="preserve">Otavio Souza - +55 (19) 3765-6575 </t>
  </si>
  <si>
    <t xml:space="preserve">38784 / 47127 </t>
  </si>
  <si>
    <t xml:space="preserve">Academia Unique - +55 (61) 4009-7900 </t>
  </si>
  <si>
    <t>SINALIZAÇÃO*15214</t>
  </si>
  <si>
    <t xml:space="preserve">39870 / 48450 </t>
  </si>
  <si>
    <t xml:space="preserve">Loraine Camargo - Compras Tranp. Capivari - +55 (19) 98343-1600 </t>
  </si>
  <si>
    <t>PVC EXP. FOTOL. 2mm * O/C MTZ 3624</t>
  </si>
  <si>
    <t xml:space="preserve">40055 / 48673 </t>
  </si>
  <si>
    <t xml:space="preserve">Irene Lopes - +55 (11) 99848-7011 </t>
  </si>
  <si>
    <t>FOTOLUMINESCENTE 0,8mm + PVC EXP. FOTOL. 2mm + PS 2mm</t>
  </si>
  <si>
    <t xml:space="preserve">39699 / 48233 </t>
  </si>
  <si>
    <t xml:space="preserve">39763 / 48263 </t>
  </si>
  <si>
    <t xml:space="preserve">Isamara Campos - +55 (21) 98272-5739 </t>
  </si>
  <si>
    <t>20/05/2026 10:26 (1 dia(s) de atraso)</t>
  </si>
  <si>
    <t xml:space="preserve">38143 / 46321 </t>
  </si>
  <si>
    <t>13/02/2026 15:44 (4 dia(s) de atraso)</t>
  </si>
  <si>
    <t xml:space="preserve">37725 / 45650 </t>
  </si>
  <si>
    <t xml:space="preserve">Joel - +55 (51) 8559-9999 </t>
  </si>
  <si>
    <t xml:space="preserve">39065 / 47469 </t>
  </si>
  <si>
    <t xml:space="preserve">FELIPE GOES - +55 (11) 95255-8600 </t>
  </si>
  <si>
    <t xml:space="preserve">38185 / 46347 </t>
  </si>
  <si>
    <t xml:space="preserve">Simone Lopes - +55 (11) 99999-2356 </t>
  </si>
  <si>
    <t xml:space="preserve">38812 / 47155 </t>
  </si>
  <si>
    <t xml:space="preserve">Giovanna - (00)00000-0000 </t>
  </si>
  <si>
    <t>25/03/2026 16:03 (2 dia(s) de atraso)</t>
  </si>
  <si>
    <t xml:space="preserve">37727 / 45786 </t>
  </si>
  <si>
    <t xml:space="preserve">38854 / 47208 </t>
  </si>
  <si>
    <t xml:space="preserve">39660 / 48203 </t>
  </si>
  <si>
    <t>01/06/2026 18:56 (18 dia(s) de atraso)</t>
  </si>
  <si>
    <t xml:space="preserve">37949 / 46070 </t>
  </si>
  <si>
    <t xml:space="preserve">Compras - +55 (11) 98410-3619 </t>
  </si>
  <si>
    <t>11/02/2026 14:42 (5 dia(s) de atraso)</t>
  </si>
  <si>
    <t xml:space="preserve">37981 / 46117 </t>
  </si>
  <si>
    <t xml:space="preserve">Rafael Modesti de A. - +55 (54) 9959-3108 </t>
  </si>
  <si>
    <t xml:space="preserve">38078 / 46214 </t>
  </si>
  <si>
    <t>10/02/2026 16:00 (5 dia(s) de atraso)</t>
  </si>
  <si>
    <t xml:space="preserve">39965 / 48574 </t>
  </si>
  <si>
    <t xml:space="preserve">Administração Sociedade Amigos do Park Imperial - +55 (12) 99711-0244 </t>
  </si>
  <si>
    <t xml:space="preserve">39234 / 47675 </t>
  </si>
  <si>
    <t xml:space="preserve">Centermaster Com. Imp. Exp. E Serv. Eirelli - Epp - +55 (11) 3991-9000 </t>
  </si>
  <si>
    <t>Sinalização*15348</t>
  </si>
  <si>
    <t xml:space="preserve">39984 / 48545 </t>
  </si>
  <si>
    <t xml:space="preserve">Rafaela Meleiro - +55 (11) 4784-8484 </t>
  </si>
  <si>
    <t>Sinalização/ IPLACAS -</t>
  </si>
  <si>
    <t xml:space="preserve">40081 / 48730 </t>
  </si>
  <si>
    <t xml:space="preserve">AUGUSTO LOPES - +55 (71) 9998-9807 </t>
  </si>
  <si>
    <t>SITE#15622</t>
  </si>
  <si>
    <t>09/06/2026 17:14 (7 dia(s) de atraso)</t>
  </si>
  <si>
    <t xml:space="preserve">39040 / 47443 </t>
  </si>
  <si>
    <t xml:space="preserve">Andressa Taveira - +55 (61) 9970-1750 </t>
  </si>
  <si>
    <t xml:space="preserve">39852 / 48415 </t>
  </si>
  <si>
    <t xml:space="preserve">37922 / 45865 </t>
  </si>
  <si>
    <t>30/01/2026 11:43 (2 dia(s) de atraso)</t>
  </si>
  <si>
    <t xml:space="preserve">37785 / 45869 </t>
  </si>
  <si>
    <t xml:space="preserve">Waldir Rodrigues da Silva - +55 (81) 98719-0279 </t>
  </si>
  <si>
    <t>Sinalização*14952</t>
  </si>
  <si>
    <t xml:space="preserve">37966 / 45926 </t>
  </si>
  <si>
    <t xml:space="preserve">Prime Design Office - +55 (21) 92000-0632 </t>
  </si>
  <si>
    <t xml:space="preserve">39891 / 48312 </t>
  </si>
  <si>
    <t>05/06/2026 11:42 (10 dia(s) de atraso)</t>
  </si>
  <si>
    <t xml:space="preserve">39287 / 47757 </t>
  </si>
  <si>
    <t xml:space="preserve">Unimed De Birigui - +55 (18) 9912-7988 </t>
  </si>
  <si>
    <t>SITE*15376</t>
  </si>
  <si>
    <t xml:space="preserve">39793 / 48357 </t>
  </si>
  <si>
    <t xml:space="preserve">Viviane Akemi Suzuki - +55 (19) 99744-0430 </t>
  </si>
  <si>
    <t>21/05/2026 18:54 (1 dia(s) de atraso)</t>
  </si>
  <si>
    <t xml:space="preserve">38482 / 46695 </t>
  </si>
  <si>
    <t>Adesivo Jateado</t>
  </si>
  <si>
    <t xml:space="preserve">38370 / 46581 </t>
  </si>
  <si>
    <t xml:space="preserve">Aparecida Goes - +55 (11) 97365-7103 </t>
  </si>
  <si>
    <t xml:space="preserve">38823 / 47183 </t>
  </si>
  <si>
    <t xml:space="preserve">Juliano Babler - +55 (19) 99988-8331 </t>
  </si>
  <si>
    <t xml:space="preserve">39133 / 47510 </t>
  </si>
  <si>
    <t xml:space="preserve">Marcelo Gomes - +55 (11) 96198-3770 </t>
  </si>
  <si>
    <t>18/04/2026 08:57 (5 dia(s) de atraso)</t>
  </si>
  <si>
    <t xml:space="preserve">39624 / 47931 </t>
  </si>
  <si>
    <t xml:space="preserve">Bruno Biondi - +55 (11) 91401-7632 </t>
  </si>
  <si>
    <t xml:space="preserve">38489 / 46773 </t>
  </si>
  <si>
    <t xml:space="preserve">Marcio Imoto - +55 (11) 99316-4991 </t>
  </si>
  <si>
    <t>Sinalização*15130</t>
  </si>
  <si>
    <t>03/03/2026 14:46 (5 dia(s) de atraso)</t>
  </si>
  <si>
    <t xml:space="preserve">40105 / 48760 </t>
  </si>
  <si>
    <t xml:space="preserve">Centro Kennedy Cooporativ - +55 (19) 99794-6748 </t>
  </si>
  <si>
    <t>GABARITO 60+ /PNE</t>
  </si>
  <si>
    <t>29/05/2026 09:52 (1 dia(s) de atraso)</t>
  </si>
  <si>
    <t xml:space="preserve">39077 / 47497 </t>
  </si>
  <si>
    <t xml:space="preserve">Cesar Augusto - Alphagraphics - +55 (11) 97510-2234 </t>
  </si>
  <si>
    <t xml:space="preserve">38038 / 46192 </t>
  </si>
  <si>
    <t xml:space="preserve">Compras - +55 (11) 98770-3353 </t>
  </si>
  <si>
    <t>Sinalização*15008</t>
  </si>
  <si>
    <t>24/04/2026 16:07 (86 dia(s) de atraso)</t>
  </si>
  <si>
    <t xml:space="preserve">39551 / 48074 </t>
  </si>
  <si>
    <t xml:space="preserve">Condominio Parque Cantos dos Canários - +55 (19) 3511-1800 </t>
  </si>
  <si>
    <t>SITE*15436</t>
  </si>
  <si>
    <t xml:space="preserve">39663 / 47629 </t>
  </si>
  <si>
    <t xml:space="preserve">Compras - +55 (11) 91323-8858 </t>
  </si>
  <si>
    <t xml:space="preserve">39670 / 48068 </t>
  </si>
  <si>
    <t xml:space="preserve">Compras - +55 (11) 93265-3795 </t>
  </si>
  <si>
    <t xml:space="preserve">38861 / 47238 </t>
  </si>
  <si>
    <t xml:space="preserve">Virginia Tavares da Trindade - +55 (11) 99972-6646 </t>
  </si>
  <si>
    <t>Sinalização*15241</t>
  </si>
  <si>
    <t xml:space="preserve">38448 / 46031 </t>
  </si>
  <si>
    <t xml:space="preserve">Viviane - +55 (11) 97154-1026 </t>
  </si>
  <si>
    <t>Sinalização - O/C 115.665</t>
  </si>
  <si>
    <t>04/03/2026 17:05 (5 dia(s) de atraso)</t>
  </si>
  <si>
    <t xml:space="preserve">38769 / 46932 </t>
  </si>
  <si>
    <t xml:space="preserve">Matheus - +55 (19) 3765-6575 </t>
  </si>
  <si>
    <t>Sinalização - 18570 OG</t>
  </si>
  <si>
    <t xml:space="preserve">38091 / 46256 </t>
  </si>
  <si>
    <t xml:space="preserve">João Boratino Esteves - +55 (11) 97445-6865 </t>
  </si>
  <si>
    <t>09/02/2026 15:43 (4 dia(s) de atraso)</t>
  </si>
  <si>
    <t xml:space="preserve">39198 / 47517 </t>
  </si>
  <si>
    <t xml:space="preserve">Secretaria Chácara Primavera Valéria Oliveira - (00)00000-0000 </t>
  </si>
  <si>
    <t xml:space="preserve">39218 / 47468 </t>
  </si>
  <si>
    <t xml:space="preserve">Luis OLIVEIRA - +55 (11) 99908-5790 </t>
  </si>
  <si>
    <t xml:space="preserve">39837 / 48185 </t>
  </si>
  <si>
    <t xml:space="preserve">Eliseu Oliveira - +55 (11) 98644-9872 </t>
  </si>
  <si>
    <t>PS 2mm - Crachá para veiculo</t>
  </si>
  <si>
    <t xml:space="preserve">39117 / 47554 </t>
  </si>
  <si>
    <t xml:space="preserve">Paulo Henrique Gomes Leite - +55 (82) 3333-3333 </t>
  </si>
  <si>
    <t>Sinalização*15310</t>
  </si>
  <si>
    <t xml:space="preserve">39304 / 47735 </t>
  </si>
  <si>
    <t xml:space="preserve">Compras - +55 (18) 3222-3535 </t>
  </si>
  <si>
    <t>Placas Sinalização - O/C 75.367</t>
  </si>
  <si>
    <t xml:space="preserve">38087 / 46255 </t>
  </si>
  <si>
    <t>17/02/2026 11:40 (13 dia(s) de atraso)</t>
  </si>
  <si>
    <t xml:space="preserve">38958 / 47348 </t>
  </si>
  <si>
    <t xml:space="preserve">39822 / 48392 </t>
  </si>
  <si>
    <t xml:space="preserve">Cardoso - +55 (11) 97047-4612 </t>
  </si>
  <si>
    <t xml:space="preserve">38036 / 46178 </t>
  </si>
  <si>
    <t xml:space="preserve">João Júnior - +55 (19) 99289-1908 </t>
  </si>
  <si>
    <t xml:space="preserve">37862 / 44743 </t>
  </si>
  <si>
    <t xml:space="preserve">Geomarinho - +55 (00) 11556-1212 </t>
  </si>
  <si>
    <t>09/02/2026 15:43 (17 dia(s) de atraso)</t>
  </si>
  <si>
    <t xml:space="preserve">39603 / 48098 </t>
  </si>
  <si>
    <t>Carreta CANAL</t>
  </si>
  <si>
    <t>30/04/2026 17:48 (2 dia(s) de atraso)</t>
  </si>
  <si>
    <t xml:space="preserve">39274 / 47719 </t>
  </si>
  <si>
    <t xml:space="preserve">Elaine Cristina Zolin - +55 (11) 96393-4172 </t>
  </si>
  <si>
    <t xml:space="preserve">40001 / 48429 </t>
  </si>
  <si>
    <t>ACM REFLETIVO* O/C MTZ 003620</t>
  </si>
  <si>
    <t>10/06/2026 15:18 (8 dia(s) de atraso)</t>
  </si>
  <si>
    <t xml:space="preserve">39387 / 47887 </t>
  </si>
  <si>
    <t xml:space="preserve">Felipe - +55 (67) 9927-7015 </t>
  </si>
  <si>
    <t xml:space="preserve">38298 / 46503 </t>
  </si>
  <si>
    <t xml:space="preserve">Compras - +55 (19) 99844-9377 </t>
  </si>
  <si>
    <t>PVC Expandido Fotoluminescente 2mm*Pedido 452432</t>
  </si>
  <si>
    <t xml:space="preserve">39383 / 47423 </t>
  </si>
  <si>
    <t xml:space="preserve">Alex Polidoro - +55 (19) 99302-9166 </t>
  </si>
  <si>
    <t>15/05/2026 17:03 (17 dia(s) de atraso)</t>
  </si>
  <si>
    <t xml:space="preserve">37958 / 46093 </t>
  </si>
  <si>
    <t xml:space="preserve">TDB Transporte - +55 (11) 2127-4900 </t>
  </si>
  <si>
    <t>Sinalização*14990</t>
  </si>
  <si>
    <t xml:space="preserve">39802 / 48377 </t>
  </si>
  <si>
    <t>21/05/2026 17:17 (1 dia(s) de atraso)</t>
  </si>
  <si>
    <t xml:space="preserve">37802 / 45888 </t>
  </si>
  <si>
    <t>13/02/2026 15:45 (25 dia(s) de atraso)</t>
  </si>
  <si>
    <t xml:space="preserve">37825 / 45919 </t>
  </si>
  <si>
    <t>23/02/2026 15:07 (32 dia(s) de atraso)</t>
  </si>
  <si>
    <t xml:space="preserve">37874 / 45970 </t>
  </si>
  <si>
    <t>11/02/2026 16:17 (19 dia(s) de atraso)</t>
  </si>
  <si>
    <t xml:space="preserve">38446 / 46725 </t>
  </si>
  <si>
    <t>09/03/2026 15:14 (17 dia(s) de atraso)</t>
  </si>
  <si>
    <t xml:space="preserve">39012 / 47414 </t>
  </si>
  <si>
    <t>02/04/2026 14:18 (6 dia(s) de atraso)</t>
  </si>
  <si>
    <t xml:space="preserve">39014 / 47415 </t>
  </si>
  <si>
    <t>10/04/2026 09:51 (14 dia(s) de atraso)</t>
  </si>
  <si>
    <t xml:space="preserve">39080 / 47503 </t>
  </si>
  <si>
    <t>27/04/2026 14:40 (20 dia(s) de atraso)</t>
  </si>
  <si>
    <t xml:space="preserve">39364 / 47855 </t>
  </si>
  <si>
    <t>27/04/2026 14:40 (7 dia(s) de atraso)</t>
  </si>
  <si>
    <t xml:space="preserve">39496 / 48012 </t>
  </si>
  <si>
    <t>14/05/2026 15:30 (13 dia(s) de atraso)</t>
  </si>
  <si>
    <t xml:space="preserve">39530 / 48051 </t>
  </si>
  <si>
    <t xml:space="preserve">39582 / 48123 </t>
  </si>
  <si>
    <t>25/05/2026 17:47 (17 dia(s) de atraso)</t>
  </si>
  <si>
    <t xml:space="preserve">39661 / 48204 </t>
  </si>
  <si>
    <t xml:space="preserve">39351 / 47753 </t>
  </si>
  <si>
    <t xml:space="preserve">Renato P A Cagiali - (00)0000-0000 </t>
  </si>
  <si>
    <t xml:space="preserve">39436 / 47942 </t>
  </si>
  <si>
    <t xml:space="preserve">Centro Universitário Unifatecie - +55 (44) 3045-9898 </t>
  </si>
  <si>
    <t>Sinalização SITE*15415</t>
  </si>
  <si>
    <t xml:space="preserve">38406 / 46662 </t>
  </si>
  <si>
    <t xml:space="preserve">ROBERTA MOLINA SOARES BUZIGNANI - +55 (44) 9754-2947 </t>
  </si>
  <si>
    <t>Sinalização*15110</t>
  </si>
  <si>
    <t>18/02/2026 14:47 (1 dia(s) de atraso)</t>
  </si>
  <si>
    <t xml:space="preserve">40079 / 48722 </t>
  </si>
  <si>
    <t xml:space="preserve">Daniel Lopes Nakashima Santos - +55 (11) 9763-8383 </t>
  </si>
  <si>
    <t>SITE#15617</t>
  </si>
  <si>
    <t>05/06/2026 11:49 (3 dia(s) de atraso)</t>
  </si>
  <si>
    <t xml:space="preserve">38281 / 46220 </t>
  </si>
  <si>
    <t>Sinalização - O/C 23917</t>
  </si>
  <si>
    <t xml:space="preserve">38828 / 47191 </t>
  </si>
  <si>
    <t xml:space="preserve">Condominio Edificio das Hortênsias - +55 (11) 98263-0357 </t>
  </si>
  <si>
    <t>Sinalização*15236</t>
  </si>
  <si>
    <t>18/03/2026 16:50 (1 dia(s) de atraso)</t>
  </si>
  <si>
    <t xml:space="preserve">38729 / 47061 </t>
  </si>
  <si>
    <t xml:space="preserve">39109 / 47054 </t>
  </si>
  <si>
    <t xml:space="preserve">Marcia Maria Z Molha - +55 (11) 99945-9505 </t>
  </si>
  <si>
    <t>20/04/2026 14:50 (13 dia(s) de atraso)</t>
  </si>
  <si>
    <t xml:space="preserve">37951 / 45914 </t>
  </si>
  <si>
    <t xml:space="preserve">Malani - +55 (11) 99914-7168 </t>
  </si>
  <si>
    <t>09/02/2026 15:43 (11 dia(s) de atraso)</t>
  </si>
  <si>
    <t xml:space="preserve">38991 / 47395 </t>
  </si>
  <si>
    <t xml:space="preserve">Solange Cipelli Pellicci - +55 (14) 99775-3103 </t>
  </si>
  <si>
    <t>Sinalização*15277</t>
  </si>
  <si>
    <t>13/04/2026 09:58 (18 dia(s) de atraso)</t>
  </si>
  <si>
    <t xml:space="preserve">37822 / 45917 </t>
  </si>
  <si>
    <t xml:space="preserve">Dennis Skajko Sacciotti - +55 (11) 97236-3534 </t>
  </si>
  <si>
    <t>Sinalização*14961</t>
  </si>
  <si>
    <t>21/01/2026 17:06 (1 dia(s) de atraso)</t>
  </si>
  <si>
    <t xml:space="preserve">38381 / 46630 </t>
  </si>
  <si>
    <t xml:space="preserve">Luciane Lando - +55 (19) 3725-1080 </t>
  </si>
  <si>
    <t>Sinalização/ IPLACAS - O/C 102.747</t>
  </si>
  <si>
    <t>24/02/2026 15:25 (4 dia(s) de atraso)</t>
  </si>
  <si>
    <t xml:space="preserve">38716 / 47048 </t>
  </si>
  <si>
    <t>Sinalização*BOBINA REFLETIVA</t>
  </si>
  <si>
    <t xml:space="preserve">39697 / 48228 </t>
  </si>
  <si>
    <t>Serviço de Impressão - CONAFOR</t>
  </si>
  <si>
    <t>08/05/2026 11:31 (1 dia(s) de atraso)</t>
  </si>
  <si>
    <t xml:space="preserve">37775 / 45850 </t>
  </si>
  <si>
    <t xml:space="preserve">Danyele - Marketing Solojet - +55 (11) 97664-0557 </t>
  </si>
  <si>
    <t>SINALIZAÇÃO</t>
  </si>
  <si>
    <t xml:space="preserve">37931 / 46005 </t>
  </si>
  <si>
    <t xml:space="preserve">Carina Flaifel - +55 (19) 97415-3524 </t>
  </si>
  <si>
    <t>30/01/2026 14:32 (2 dia(s) de atraso)</t>
  </si>
  <si>
    <t xml:space="preserve">38870 / 47244 </t>
  </si>
  <si>
    <t xml:space="preserve">Vagner Marques - +55 (16) 99408-8134 </t>
  </si>
  <si>
    <t>ALUMINIO*008458</t>
  </si>
  <si>
    <t xml:space="preserve">39200 / 47077 </t>
  </si>
  <si>
    <t xml:space="preserve">Val - +55 (19) 98113-3514 </t>
  </si>
  <si>
    <t xml:space="preserve">38962 / 47341 </t>
  </si>
  <si>
    <t xml:space="preserve">. - +55 (11) 3959-4990 </t>
  </si>
  <si>
    <t>VINIL+FOTOL. 0,8mm</t>
  </si>
  <si>
    <t xml:space="preserve">37925 / 46032 </t>
  </si>
  <si>
    <t xml:space="preserve">Carlos Gilberti - +55 (13) 99778-7049 </t>
  </si>
  <si>
    <t xml:space="preserve">37999 / 46121 </t>
  </si>
  <si>
    <t xml:space="preserve">38000 / 46122 </t>
  </si>
  <si>
    <t xml:space="preserve">38001 / 46129 </t>
  </si>
  <si>
    <t xml:space="preserve">40034 / 48654 </t>
  </si>
  <si>
    <t xml:space="preserve">Flaviane Jesus Gonçalves - +55 (11) 9920-8179 </t>
  </si>
  <si>
    <t>SITE#15602</t>
  </si>
  <si>
    <t>09/06/2026 17:15 (11 dia(s) de atraso)</t>
  </si>
  <si>
    <t xml:space="preserve">38907 / 47170 </t>
  </si>
  <si>
    <t xml:space="preserve">Everton - +55 (19) 99909-3969 </t>
  </si>
  <si>
    <t>ALUMINIO + PS 2mm</t>
  </si>
  <si>
    <t>01/04/2026 17:59 (5 dia(s) de atraso)</t>
  </si>
  <si>
    <t xml:space="preserve">38177 / 46274 </t>
  </si>
  <si>
    <t xml:space="preserve">Mário - Depto Compras - +55 (14) 3811-1116 </t>
  </si>
  <si>
    <t>19/02/2026 14:15 (8 dia(s) de atraso)</t>
  </si>
  <si>
    <t xml:space="preserve">38478 / 46734 </t>
  </si>
  <si>
    <t xml:space="preserve">Michella - +55 (19) 3517-8211 </t>
  </si>
  <si>
    <t>PS 1mm + VINIL</t>
  </si>
  <si>
    <t xml:space="preserve">40123 / 48783 </t>
  </si>
  <si>
    <t xml:space="preserve">CONDOMINIO NEW LIFE - +55 (11) 9961-7218 </t>
  </si>
  <si>
    <t>SITE#15632</t>
  </si>
  <si>
    <t>05/06/2026 11:45 (1 dia(s) de atraso)</t>
  </si>
  <si>
    <t xml:space="preserve">38761 / 47100 </t>
  </si>
  <si>
    <t xml:space="preserve">Julio Cesar Lourenço - (11)94214-8405 </t>
  </si>
  <si>
    <t xml:space="preserve">38027 / 46116 </t>
  </si>
  <si>
    <t xml:space="preserve">Renato Peccioli - +55 (19) 99997-8938 </t>
  </si>
  <si>
    <t xml:space="preserve">38622 / 46726 </t>
  </si>
  <si>
    <t xml:space="preserve">Rodrigo Felipe - (00)00000-0000 </t>
  </si>
  <si>
    <t>23/03/2026 16:57 (14 dia(s) de atraso)</t>
  </si>
  <si>
    <t xml:space="preserve">39323 / 47769 </t>
  </si>
  <si>
    <t xml:space="preserve">Migotto, JR - +55 (19) 99601-0590 </t>
  </si>
  <si>
    <t xml:space="preserve">37787 / 45870 </t>
  </si>
  <si>
    <t xml:space="preserve">Pedro Donizete Gabbia Junior - +55 (14) 99668-6864 </t>
  </si>
  <si>
    <t>Sinalização*14953</t>
  </si>
  <si>
    <t>29/01/2026 11:37 (15 dia(s) de atraso)</t>
  </si>
  <si>
    <t xml:space="preserve">37942 / 46062 </t>
  </si>
  <si>
    <t xml:space="preserve">Modelo Vidros - Gabi - +55 (54) 9961-3757 </t>
  </si>
  <si>
    <t xml:space="preserve">37749 / 45815 </t>
  </si>
  <si>
    <t xml:space="preserve">Lenildo Otero Rodrigues - +55 (13) 99111-2044 </t>
  </si>
  <si>
    <t>Sinalização*14931</t>
  </si>
  <si>
    <t xml:space="preserve">39878 / 48359 </t>
  </si>
  <si>
    <t xml:space="preserve">Hugo Gaudio - +55 (11) 98920-4144 </t>
  </si>
  <si>
    <t xml:space="preserve">39339 / 47830 </t>
  </si>
  <si>
    <t xml:space="preserve">Agropecuária Ouro Verde Ltda - +55 (49) 9991-5658 </t>
  </si>
  <si>
    <t>SITE*15389</t>
  </si>
  <si>
    <t xml:space="preserve">39492 / 47998 </t>
  </si>
  <si>
    <t xml:space="preserve">Kárim Medeiros - +55 (21) 99192-0509 </t>
  </si>
  <si>
    <t>ACRILICO + ALUMINIO</t>
  </si>
  <si>
    <t xml:space="preserve">38037 / 46190 </t>
  </si>
  <si>
    <t>29/01/2026 16:35 (1 dia(s) de atraso)</t>
  </si>
  <si>
    <t xml:space="preserve">38365 / 46606 </t>
  </si>
  <si>
    <t xml:space="preserve">Leonardo César Bana - +55 (41) 99677-0629 </t>
  </si>
  <si>
    <t>Sinalização*15101</t>
  </si>
  <si>
    <t>17/02/2026 11:40 (1 dia(s) de atraso)</t>
  </si>
  <si>
    <t xml:space="preserve">38880 / 47255 </t>
  </si>
  <si>
    <t xml:space="preserve">39206 / 47623 </t>
  </si>
  <si>
    <t xml:space="preserve">Lais - +55 (19) 99392-9227 </t>
  </si>
  <si>
    <t>Sinalização - Letra Caixa</t>
  </si>
  <si>
    <t>16/04/2026 18:18 (6 dia(s) de atraso)</t>
  </si>
  <si>
    <t xml:space="preserve">39521 / 48038 </t>
  </si>
  <si>
    <t xml:space="preserve">Alécio Gonçalves - +55 (19) 99787-0579 </t>
  </si>
  <si>
    <t>Sinalização/ IPLACAS + LETRA EM PVC</t>
  </si>
  <si>
    <t xml:space="preserve">37752 / 45796 </t>
  </si>
  <si>
    <t xml:space="preserve">Bauhaus - +55 (11) 91530-0030 </t>
  </si>
  <si>
    <t>27/01/2026 17:49 (6 dia(s) de atraso)</t>
  </si>
  <si>
    <t xml:space="preserve">38131 / 46305 </t>
  </si>
  <si>
    <t>Etiqueta CHAMADO 187436</t>
  </si>
  <si>
    <t>05/02/2026 18:25 (2 dia(s) de atraso)</t>
  </si>
  <si>
    <t xml:space="preserve">38484 / 46767 </t>
  </si>
  <si>
    <t xml:space="preserve">VANESSA FRANCISCA DA SILVA - (00)00000-0000 </t>
  </si>
  <si>
    <t>Sinalização*15105</t>
  </si>
  <si>
    <t xml:space="preserve">39573 / 48106 </t>
  </si>
  <si>
    <t xml:space="preserve">Valter Jose de Alcântara Junior - (00)00000-0000 </t>
  </si>
  <si>
    <t>SITE*15456</t>
  </si>
  <si>
    <t>04/05/2026 17:12 (3 dia(s) de atraso)</t>
  </si>
  <si>
    <t xml:space="preserve">38242 / 46149 </t>
  </si>
  <si>
    <t xml:space="preserve">Tiago - +55 (51) 9407-8273 </t>
  </si>
  <si>
    <t xml:space="preserve">39260 / 47626 </t>
  </si>
  <si>
    <t xml:space="preserve">39664 / 45853 </t>
  </si>
  <si>
    <t xml:space="preserve">ADM- Helbor Spazio Club - +55 (11) 3996-7151 </t>
  </si>
  <si>
    <t xml:space="preserve">39858 / 48440 </t>
  </si>
  <si>
    <t xml:space="preserve">Mauro Etsuo Sasamoto - +55 (19) 99604-5664 </t>
  </si>
  <si>
    <t xml:space="preserve">39902 / 48473 </t>
  </si>
  <si>
    <t>05/06/2026 11:47 (9 dia(s) de atraso)</t>
  </si>
  <si>
    <t xml:space="preserve">39939 / 48541 </t>
  </si>
  <si>
    <t xml:space="preserve">Túlio Mendes - +55 (31) 9645-7717 </t>
  </si>
  <si>
    <t>29/05/2026 12:14 (1 dia(s) de atraso)</t>
  </si>
  <si>
    <t xml:space="preserve">37823 / 45915 </t>
  </si>
  <si>
    <t xml:space="preserve">Leticia Yumi Tokashiki - +55 (12) 98821-5609 </t>
  </si>
  <si>
    <t xml:space="preserve">39625 / 48167 </t>
  </si>
  <si>
    <t>05/05/2026 16:24 (1 dia(s) de atraso)</t>
  </si>
  <si>
    <t xml:space="preserve">39391 / 47891 </t>
  </si>
  <si>
    <t xml:space="preserve">Júlia Grizoste de Paula - +55 (11) 98157-5726 </t>
  </si>
  <si>
    <t>SITE*15401</t>
  </si>
  <si>
    <t xml:space="preserve">37769 / 45840 </t>
  </si>
  <si>
    <t xml:space="preserve">David - +55 (21) 98530-2498 </t>
  </si>
  <si>
    <t>22/01/2026 16:04 (3 dia(s) de atraso)</t>
  </si>
  <si>
    <t xml:space="preserve">37928 / 46039 </t>
  </si>
  <si>
    <t xml:space="preserve">Vinicius - +55 (11) 99130-1378 </t>
  </si>
  <si>
    <t xml:space="preserve">38392 / 46633 </t>
  </si>
  <si>
    <t xml:space="preserve">Eduardo Gentile - +55 (21) 96496-5261 </t>
  </si>
  <si>
    <t xml:space="preserve">40046 / 48503 </t>
  </si>
  <si>
    <t xml:space="preserve">Monica - +55 (11) 5081-3124 </t>
  </si>
  <si>
    <t>11/06/2026 12:24 (6 dia(s) de atraso)</t>
  </si>
  <si>
    <t xml:space="preserve">39730 / 48268 </t>
  </si>
  <si>
    <t xml:space="preserve">Denyse de Sousa Silva Araújo - +55 (98) 9889-8578 </t>
  </si>
  <si>
    <t>SITE*15496</t>
  </si>
  <si>
    <t xml:space="preserve">39682 / 48221 </t>
  </si>
  <si>
    <t>27/05/2026 11:59 (14 dia(s) de atraso)</t>
  </si>
  <si>
    <t xml:space="preserve">38153 / 46338 </t>
  </si>
  <si>
    <t xml:space="preserve">Cristiane Marcondes - +55 (11) 97088-1226 </t>
  </si>
  <si>
    <t xml:space="preserve">38689 / 47016 </t>
  </si>
  <si>
    <t xml:space="preserve">Cristiano Lopes - +55 (19) 2101-0600 </t>
  </si>
  <si>
    <t>31/03/2026 09:02 (18 dia(s) de atraso)</t>
  </si>
  <si>
    <t xml:space="preserve">39841 / 48423 </t>
  </si>
  <si>
    <t xml:space="preserve">Leandro - +55 (19) 98717-5074 </t>
  </si>
  <si>
    <t xml:space="preserve">39886 / 48478 </t>
  </si>
  <si>
    <t xml:space="preserve">Gestão Pq Dos Eucaliptos - +55 (19) 97418-1844 </t>
  </si>
  <si>
    <t>29/05/2026 09:46 (4 dia(s) de atraso)</t>
  </si>
  <si>
    <t xml:space="preserve">- - +55 (19) 98366-0624 </t>
  </si>
  <si>
    <t>GABARITO 60+ PNE</t>
  </si>
  <si>
    <t xml:space="preserve">39076 / 47499 </t>
  </si>
  <si>
    <t xml:space="preserve">Fabiana Gentil - +55 (22) 99934-6592 </t>
  </si>
  <si>
    <t>Sinalização*15288</t>
  </si>
  <si>
    <t xml:space="preserve">39868 / 48458 </t>
  </si>
  <si>
    <t xml:space="preserve">Jean - +55 (19) 99777-0731 </t>
  </si>
  <si>
    <t>Sinalização/ IPLACAS SITE - BALCAO -#15557</t>
  </si>
  <si>
    <t xml:space="preserve">39601 / 48144 </t>
  </si>
  <si>
    <t xml:space="preserve">MDM ENGENHARIA LTDA - +55 (27) 3205-7777 </t>
  </si>
  <si>
    <t>SITE*15464</t>
  </si>
  <si>
    <t xml:space="preserve">40015 / 48572 </t>
  </si>
  <si>
    <t xml:space="preserve">Daniela Compras PMFC - +55 (11) 99856-3311 </t>
  </si>
  <si>
    <t>05/06/2026 11:41 (3 dia(s) de atraso)</t>
  </si>
  <si>
    <t xml:space="preserve">39447 / 47956 </t>
  </si>
  <si>
    <t>04/05/2026 17:11 (5 dia(s) de atraso)</t>
  </si>
  <si>
    <t xml:space="preserve">38814 / 47174 </t>
  </si>
  <si>
    <t xml:space="preserve">Condomínio Verano - +55 (81) 3316-0265 </t>
  </si>
  <si>
    <t>Sinalização*15218</t>
  </si>
  <si>
    <t>24/04/2026 16:05 (38 dia(s) de atraso)</t>
  </si>
  <si>
    <t xml:space="preserve">38181 / 46243 </t>
  </si>
  <si>
    <t>13/02/2026 15:47 (2 dia(s) de atraso)</t>
  </si>
  <si>
    <t xml:space="preserve">39395 / 47884 </t>
  </si>
  <si>
    <t xml:space="preserve">38639 / 46962 </t>
  </si>
  <si>
    <t xml:space="preserve">GABRIEL TRINDADE MARIANO - +55 (11) 98809-5862 </t>
  </si>
  <si>
    <t>Sinalização*15187</t>
  </si>
  <si>
    <t xml:space="preserve">38399 / 46571 </t>
  </si>
  <si>
    <t xml:space="preserve">Ingrid Gentil - +55 (21) 97573-9215 </t>
  </si>
  <si>
    <t>PS 1mm*3.142</t>
  </si>
  <si>
    <t xml:space="preserve">38529 / 46823 </t>
  </si>
  <si>
    <t xml:space="preserve">Marcela - +55 (00) 0000-4224 </t>
  </si>
  <si>
    <t>VINIL ADESIVO</t>
  </si>
  <si>
    <t xml:space="preserve">38952 / 47333 </t>
  </si>
  <si>
    <t xml:space="preserve">Sérgio - +55 (19) 99408-8924 </t>
  </si>
  <si>
    <t>Impressão U.V</t>
  </si>
  <si>
    <t xml:space="preserve">39108 / 47529 </t>
  </si>
  <si>
    <t xml:space="preserve">Ameve Engenharia - +55 (11) 4117-8981 </t>
  </si>
  <si>
    <t>13/04/2026 09:58 (3 dia(s) de atraso)</t>
  </si>
  <si>
    <t xml:space="preserve">38505 / 46183 </t>
  </si>
  <si>
    <t xml:space="preserve">Unimed Os Bandeirantes - +55 (11) 94776-9793 </t>
  </si>
  <si>
    <t>Display A4</t>
  </si>
  <si>
    <t xml:space="preserve">38247 / 45836 </t>
  </si>
  <si>
    <t>Sinalização / IPLACAS - O/C 4400050107</t>
  </si>
  <si>
    <t xml:space="preserve">39062 / 47470 </t>
  </si>
  <si>
    <t xml:space="preserve">Cicero Leite Cavalcante - +55 (19) 99658-8890 </t>
  </si>
  <si>
    <t>Sinalização - Acrílico 2mm</t>
  </si>
  <si>
    <t xml:space="preserve">39821 / 48165 </t>
  </si>
  <si>
    <t xml:space="preserve">Component Segurança do Trabalho - +55 (11) 4061-8418 </t>
  </si>
  <si>
    <t>GABARITO - LETRAS / NUMEROS - O/C 134384</t>
  </si>
  <si>
    <t xml:space="preserve">37935 / 46052 </t>
  </si>
  <si>
    <t xml:space="preserve">Vandilma Correia Crespo Santos - +55 (81) 3362-0907 </t>
  </si>
  <si>
    <t>Sinalização*14993</t>
  </si>
  <si>
    <t xml:space="preserve">Erika Wroblewski - +55 (11) 96067-5881 </t>
  </si>
  <si>
    <t>Sinalização - *1339</t>
  </si>
  <si>
    <t xml:space="preserve">Compras - +55 (11) 4082-4300 </t>
  </si>
  <si>
    <t>Placas Sinalização - O/C 000475</t>
  </si>
  <si>
    <t>13/04/2026 09:58 (20 dia(s) de atraso)</t>
  </si>
  <si>
    <t xml:space="preserve">39227 / 47665 </t>
  </si>
  <si>
    <t xml:space="preserve">Leandro Youssef - +55 (11) 96657-2207 </t>
  </si>
  <si>
    <t>14/04/2026 15:17 (5 dia(s) de atraso)</t>
  </si>
  <si>
    <t xml:space="preserve">38203 / 46396 </t>
  </si>
  <si>
    <t xml:space="preserve">Magnum Brotto - +55 (41) 99917-2614 </t>
  </si>
  <si>
    <t>Sinalização*15056</t>
  </si>
  <si>
    <t xml:space="preserve">38409 / 46651 </t>
  </si>
  <si>
    <t xml:space="preserve">Compras - +55 (19) 98201-7536 </t>
  </si>
  <si>
    <t>27/02/2026 16:10 (3 dia(s) de atraso)</t>
  </si>
  <si>
    <t xml:space="preserve">38012 / 46127 </t>
  </si>
  <si>
    <t xml:space="preserve">Jair Franco Junior - +55 (19) 99764-6030 </t>
  </si>
  <si>
    <t>06/02/2026 16:13 (4 dia(s) de atraso)</t>
  </si>
  <si>
    <t xml:space="preserve">37889 / 45976 </t>
  </si>
  <si>
    <t xml:space="preserve">Ivan Lodovici - +55 (11) 99200-3155 </t>
  </si>
  <si>
    <t xml:space="preserve">38892 / 47225 </t>
  </si>
  <si>
    <t xml:space="preserve">Marina - +55 (31) 9912-1391 </t>
  </si>
  <si>
    <t xml:space="preserve">39491 / 48009 </t>
  </si>
  <si>
    <t xml:space="preserve">Claudio Dos Santos Rosa - +55 (77) 99916-3003 </t>
  </si>
  <si>
    <t>SITE*15438</t>
  </si>
  <si>
    <t xml:space="preserve">38324 / 46561 </t>
  </si>
  <si>
    <t xml:space="preserve">37789 / 45873 </t>
  </si>
  <si>
    <t xml:space="preserve">37872 / 45969 </t>
  </si>
  <si>
    <t>20/01/2026 15:05 (1 dia(s) de atraso)</t>
  </si>
  <si>
    <t xml:space="preserve">37932 / 46048 </t>
  </si>
  <si>
    <t>28/01/2026 15:21 (6 dia(s) de atraso)</t>
  </si>
  <si>
    <t xml:space="preserve">37976 / 46114 </t>
  </si>
  <si>
    <t xml:space="preserve">38172 / 46361 </t>
  </si>
  <si>
    <t xml:space="preserve">38288 / 46516 </t>
  </si>
  <si>
    <t>20/02/2026 14:57 (10 dia(s) de atraso)</t>
  </si>
  <si>
    <t xml:space="preserve">38517 / 46811 </t>
  </si>
  <si>
    <t xml:space="preserve">38519 / 46814 </t>
  </si>
  <si>
    <t xml:space="preserve">38838 / 47203 </t>
  </si>
  <si>
    <t xml:space="preserve">38909 / 47296 </t>
  </si>
  <si>
    <t>01/04/2026 14:46 (12 dia(s) de atraso)</t>
  </si>
  <si>
    <t xml:space="preserve">39457 / 47965 </t>
  </si>
  <si>
    <t xml:space="preserve">39659 / 48202 </t>
  </si>
  <si>
    <t xml:space="preserve">38149 / 46299 </t>
  </si>
  <si>
    <t xml:space="preserve">Marta - +55 (11) 98666-7803 </t>
  </si>
  <si>
    <t xml:space="preserve">37898 / 45992 </t>
  </si>
  <si>
    <t xml:space="preserve">Silvia Marinho - +55 (11) 99639-4126 </t>
  </si>
  <si>
    <t xml:space="preserve">38619 / 46789 </t>
  </si>
  <si>
    <t>Sinalização/ IPLACAS - O/C 116.145</t>
  </si>
  <si>
    <t>13/03/2026 08:49 (7 dia(s) de atraso)</t>
  </si>
  <si>
    <t xml:space="preserve">38633 / 46954 </t>
  </si>
  <si>
    <t xml:space="preserve">Marcos - +55 (11) 93204-3003 </t>
  </si>
  <si>
    <t xml:space="preserve">40134 / 48797 </t>
  </si>
  <si>
    <t xml:space="preserve">JULLIANA RENATA QUINTILIANO - (00)0000-0000 </t>
  </si>
  <si>
    <t>Sinalização/ IPLACAS - O/C 251587</t>
  </si>
  <si>
    <t>13/03/2026 15:10 (7 dia(s) de atraso)</t>
  </si>
  <si>
    <t xml:space="preserve">38125 / 46303 </t>
  </si>
  <si>
    <t xml:space="preserve">38244 / 46463 </t>
  </si>
  <si>
    <t>23/02/2026 15:08 (17 dia(s) de atraso)</t>
  </si>
  <si>
    <t xml:space="preserve">38890 / 47274 </t>
  </si>
  <si>
    <t>20/03/2026 15:11 (1 dia(s) de atraso)</t>
  </si>
  <si>
    <t xml:space="preserve">40017 / 48627 </t>
  </si>
  <si>
    <t xml:space="preserve">PEDRO CATALANO NETO - +55 (14) 9963-1638 </t>
  </si>
  <si>
    <t>SITE#15599</t>
  </si>
  <si>
    <t xml:space="preserve">38312 / 46544 </t>
  </si>
  <si>
    <t>10/02/2026 15:57 (1 dia(s) de atraso)</t>
  </si>
  <si>
    <t xml:space="preserve">39633 / 48161 </t>
  </si>
  <si>
    <t xml:space="preserve">AcquaPark - ADM INTERNA - +55 (11) 94541-7856 </t>
  </si>
  <si>
    <t xml:space="preserve">39883 / 48455 </t>
  </si>
  <si>
    <t xml:space="preserve">Pablo Ramos - +55 (41) 8859-5497 </t>
  </si>
  <si>
    <t>26/05/2026 17:37 (1 dia(s) de atraso)</t>
  </si>
  <si>
    <t xml:space="preserve">38629 / 46851 </t>
  </si>
  <si>
    <t xml:space="preserve">Juliana - +55 (21) 99050-2083 </t>
  </si>
  <si>
    <t>CAVALETE + PS 2mm</t>
  </si>
  <si>
    <t xml:space="preserve">38785 / 47111 </t>
  </si>
  <si>
    <t xml:space="preserve">Rosaura Fernandes - +55 (51) 9288-3502 </t>
  </si>
  <si>
    <t xml:space="preserve">38363 / 46602 </t>
  </si>
  <si>
    <t xml:space="preserve">Paulo - +55 (15) 99740-3414 </t>
  </si>
  <si>
    <t>ALUMINIO + VINIL</t>
  </si>
  <si>
    <t>25/02/2026 16:34 (5 dia(s) de atraso)</t>
  </si>
  <si>
    <t xml:space="preserve">38015 / 46160 </t>
  </si>
  <si>
    <t xml:space="preserve">Mariel Silva - +55 (19) 97414-6693 </t>
  </si>
  <si>
    <t>11/02/2026 16:16 (9 dia(s) de atraso)</t>
  </si>
  <si>
    <t xml:space="preserve">38395 / 46646 </t>
  </si>
  <si>
    <t xml:space="preserve">38737 / 47072 </t>
  </si>
  <si>
    <t xml:space="preserve">Luiz Bessa - +55 (15) 99840-6636 </t>
  </si>
  <si>
    <t>Sinalização*15205</t>
  </si>
  <si>
    <t xml:space="preserve">37849 / 45942 </t>
  </si>
  <si>
    <t xml:space="preserve">Marcelo - +55 (49) 9801-4471 </t>
  </si>
  <si>
    <t xml:space="preserve">38232 / 46448 </t>
  </si>
  <si>
    <t xml:space="preserve">Nilce Napoli - +55 (11) 99973-2797 </t>
  </si>
  <si>
    <t>05/02/2026 18:24 (3 dia(s) de atraso)</t>
  </si>
  <si>
    <t xml:space="preserve">40010 / 48618 </t>
  </si>
  <si>
    <t xml:space="preserve">Will Cases - +55 (16) 99239-4549 </t>
  </si>
  <si>
    <t xml:space="preserve">38081 / 46237 </t>
  </si>
  <si>
    <t xml:space="preserve">Rafaela Coelho - +55 (11) 99579-3033 </t>
  </si>
  <si>
    <t>11/02/2026 14:40 (6 dia(s) de atraso)</t>
  </si>
  <si>
    <t xml:space="preserve">38916 / 47294 </t>
  </si>
  <si>
    <t xml:space="preserve">〽️ - +55 (13) 99205-5459 </t>
  </si>
  <si>
    <t xml:space="preserve">38014 / 46161 </t>
  </si>
  <si>
    <t xml:space="preserve">38189 / 46334 </t>
  </si>
  <si>
    <t>Sinalização/ IPLACAS - O/C 150126</t>
  </si>
  <si>
    <t xml:space="preserve">38770 / 47087 </t>
  </si>
  <si>
    <t xml:space="preserve">COBRANÇA - +55 (35) 3435-8350 </t>
  </si>
  <si>
    <t>PS 2mm - FRENTE/VERSO</t>
  </si>
  <si>
    <t xml:space="preserve">39916 / 48328 </t>
  </si>
  <si>
    <t xml:space="preserve">Suprimentos - Alpha Clicheria - +55 (19) 3869-5943 </t>
  </si>
  <si>
    <t>01/06/2026 18:54 (5 dia(s) de atraso)</t>
  </si>
  <si>
    <t xml:space="preserve">39738 / 48260 </t>
  </si>
  <si>
    <t xml:space="preserve">Compras - +55 (48) 9981-2580 </t>
  </si>
  <si>
    <t>19/05/2026 09:57 (4 dia(s) de atraso)</t>
  </si>
  <si>
    <t xml:space="preserve">38850 / 47223 </t>
  </si>
  <si>
    <t xml:space="preserve">Nelfarma Comercio - +55 (83) 3315-6565 </t>
  </si>
  <si>
    <t>Sinalização*15237</t>
  </si>
  <si>
    <t xml:space="preserve">39579 / 48117 </t>
  </si>
  <si>
    <t xml:space="preserve">Susana Larissa - +55 (98) 8827-4612 </t>
  </si>
  <si>
    <t xml:space="preserve">39987 / 48590 </t>
  </si>
  <si>
    <t xml:space="preserve">39752 / 48292 </t>
  </si>
  <si>
    <t xml:space="preserve">Simone Simplicio - +55 (21) 98871-5840 </t>
  </si>
  <si>
    <t xml:space="preserve">38762 / 47097 </t>
  </si>
  <si>
    <t>Adesivos RAK Carreta Sider</t>
  </si>
  <si>
    <t>13/03/2026 09:51 (3 dia(s) de atraso)</t>
  </si>
  <si>
    <t xml:space="preserve">38050 / 46207 </t>
  </si>
  <si>
    <t xml:space="preserve">Júlia Mota - +55 (19) 99890-2005 </t>
  </si>
  <si>
    <t>12/02/2026 17:47 (8 dia(s) de atraso)</t>
  </si>
  <si>
    <t xml:space="preserve">38740 / 47075 </t>
  </si>
  <si>
    <t xml:space="preserve">Marcus Vinicius Amadeu Damasceno - +55 (13) 99603-0007 </t>
  </si>
  <si>
    <t>Sinalização*15204</t>
  </si>
  <si>
    <t xml:space="preserve">38560 / 46782 </t>
  </si>
  <si>
    <t xml:space="preserve">Bibiana - +55 (19) 98379-3810 </t>
  </si>
  <si>
    <t xml:space="preserve">37731 / 45784 </t>
  </si>
  <si>
    <t xml:space="preserve">Bruno Santos Alves - +55 (14) 99631-0234 </t>
  </si>
  <si>
    <t>Totem Pessoa Polionda</t>
  </si>
  <si>
    <t>17/01/2026 11:08 (4 dia(s) de atraso)</t>
  </si>
  <si>
    <t xml:space="preserve">39647 / 48085 </t>
  </si>
  <si>
    <t>Adesivos Solo 201846</t>
  </si>
  <si>
    <t xml:space="preserve">38414 / 46618 </t>
  </si>
  <si>
    <t xml:space="preserve">Luci Moreira - +55 (11) 97191-0574 </t>
  </si>
  <si>
    <t>03/03/2026 14:48 (5 dia(s) de atraso)</t>
  </si>
  <si>
    <t xml:space="preserve">39545 / 47786 </t>
  </si>
  <si>
    <t xml:space="preserve">Norecy Meneses - +55 (11) 3065-0555 </t>
  </si>
  <si>
    <t xml:space="preserve">40140 / 48810 </t>
  </si>
  <si>
    <t xml:space="preserve">Sidnei Fábio Murgo - +55 (18) 9978-1587 </t>
  </si>
  <si>
    <t>SITE#15640</t>
  </si>
  <si>
    <t xml:space="preserve">37880 / 45864 </t>
  </si>
  <si>
    <t xml:space="preserve">Gerson - (00)00000-0000 </t>
  </si>
  <si>
    <t xml:space="preserve">39327 / 47775 </t>
  </si>
  <si>
    <t>27/04/2026 14:41 (5 dia(s) de atraso)</t>
  </si>
  <si>
    <t xml:space="preserve">39028 / 47433 </t>
  </si>
  <si>
    <t xml:space="preserve">Patrícia Navarro - +55 (11) 99192-4747 </t>
  </si>
  <si>
    <t>13/04/2026 09:57 (7 dia(s) de atraso)</t>
  </si>
  <si>
    <t xml:space="preserve">38066 / 46221 </t>
  </si>
  <si>
    <t xml:space="preserve">Compras - +55 (19) 99411-0006 </t>
  </si>
  <si>
    <t>13/02/2026 08:34 (17 dia(s) de atraso)</t>
  </si>
  <si>
    <t xml:space="preserve">39836 / 48394 </t>
  </si>
  <si>
    <t xml:space="preserve">Manuella Bighetti Sampieri - +55 (14) 98808-3699 </t>
  </si>
  <si>
    <t xml:space="preserve">39400 / 47901 </t>
  </si>
  <si>
    <t xml:space="preserve">Claudio - +55 (11) 99331-4484 </t>
  </si>
  <si>
    <t>ACM + ABRAÇADEIRA TIPO D</t>
  </si>
  <si>
    <t xml:space="preserve">39248 / 47686 </t>
  </si>
  <si>
    <t xml:space="preserve">Bruna Schmitz - +55 (47) 9931-0230 </t>
  </si>
  <si>
    <t>14/04/2026 15:15 (1 dia(s) de atraso)</t>
  </si>
  <si>
    <t xml:space="preserve">37914 / 46021 </t>
  </si>
  <si>
    <t xml:space="preserve">Pandin Moveis - +55 (17) 2136-8300 </t>
  </si>
  <si>
    <t>Sinalização*14984</t>
  </si>
  <si>
    <t xml:space="preserve">38658 / 46988 </t>
  </si>
  <si>
    <t xml:space="preserve">39271 / 47709 </t>
  </si>
  <si>
    <t xml:space="preserve">39872 / 48464 </t>
  </si>
  <si>
    <t xml:space="preserve">Marcio Ribeiro - +55 (11) 4214-7852 </t>
  </si>
  <si>
    <t>site#15552</t>
  </si>
  <si>
    <t>26/05/2026 17:37 (5 dia(s) de atraso)</t>
  </si>
  <si>
    <t xml:space="preserve">39129 / 47563 </t>
  </si>
  <si>
    <t xml:space="preserve">Jéssica Barana Rodrigues - +55 (17) 98195-4233 </t>
  </si>
  <si>
    <t>14/04/2026 15:15 (6 dia(s) de atraso)</t>
  </si>
  <si>
    <t xml:space="preserve">39328 / 47803 </t>
  </si>
  <si>
    <t>Chamado 197260 - Adesivos</t>
  </si>
  <si>
    <t xml:space="preserve">39690 / 48017 </t>
  </si>
  <si>
    <t xml:space="preserve">Compras - +55 (16) 09865-8766 </t>
  </si>
  <si>
    <t xml:space="preserve">39458 / 47934 </t>
  </si>
  <si>
    <t>ACM REFLETIVO*PO16042026313WD*</t>
  </si>
  <si>
    <t>06/05/2026 14:21 (2 dia(s) de atraso)</t>
  </si>
  <si>
    <t xml:space="preserve">38882 / 46994 </t>
  </si>
  <si>
    <t xml:space="preserve">Administração Monumento SP - +55 (11) 98811-0725 </t>
  </si>
  <si>
    <t>01/04/2026 14:47 (2 dia(s) de atraso)</t>
  </si>
  <si>
    <t xml:space="preserve">38799 / 47129 </t>
  </si>
  <si>
    <t>31/03/2026 13:57 (13 dia(s) de atraso)</t>
  </si>
  <si>
    <t>Placas de mão - gatos.</t>
  </si>
  <si>
    <t>11/02/2026 15:55 (2 dia(s) de atraso)</t>
  </si>
  <si>
    <t xml:space="preserve">37963 / 46092 </t>
  </si>
  <si>
    <t xml:space="preserve">Alessandra F. Depari - +55 (11) 99417-6551 </t>
  </si>
  <si>
    <t xml:space="preserve">38612 / 46923 </t>
  </si>
  <si>
    <t xml:space="preserve">Francis Rosolen - +55 (19) 99129-4375 </t>
  </si>
  <si>
    <t>28/02/2026 09:16 (1 dia(s) de atraso)</t>
  </si>
  <si>
    <t xml:space="preserve">38937 / 47232 </t>
  </si>
  <si>
    <t xml:space="preserve">CEASA Campinas - +55 (19) 99821-3552 </t>
  </si>
  <si>
    <t>Sinalização - O/C 9693</t>
  </si>
  <si>
    <t>09/04/2026 17:40 (14 dia(s) de atraso)</t>
  </si>
  <si>
    <t xml:space="preserve">39816 / 48180 </t>
  </si>
  <si>
    <t xml:space="preserve">Larissa Aparecida Pereira de Oliveira - +55 (19) 99839-5625 </t>
  </si>
  <si>
    <t xml:space="preserve">39592 / 48133 </t>
  </si>
  <si>
    <t xml:space="preserve">FRANCINY SANTOS - +55 (15) 99809-0388 </t>
  </si>
  <si>
    <t>SITE*15458</t>
  </si>
  <si>
    <t xml:space="preserve">39345 / 47816 </t>
  </si>
  <si>
    <t xml:space="preserve">Edson Batata - +55 (19) 98157-0682 </t>
  </si>
  <si>
    <t xml:space="preserve">39815 / 48395 </t>
  </si>
  <si>
    <t>01/06/2026 18:53 (11 dia(s) de atraso)</t>
  </si>
  <si>
    <t xml:space="preserve">37955 / 46085 </t>
  </si>
  <si>
    <t xml:space="preserve">Felipe Sorrentino Silva - +55 (11) 99608-8891 </t>
  </si>
  <si>
    <t>04/02/2026 15:57 (6 dia(s) de atraso)</t>
  </si>
  <si>
    <t xml:space="preserve">37913 / 46004 </t>
  </si>
  <si>
    <t xml:space="preserve">Camila Gregorio de Araujo - +55 (11) 95555-7249 </t>
  </si>
  <si>
    <t xml:space="preserve">38808 / 47154 </t>
  </si>
  <si>
    <t xml:space="preserve">Jéssica - +55 (41) 7400-4404 </t>
  </si>
  <si>
    <t xml:space="preserve">38377 / 46622 </t>
  </si>
  <si>
    <t xml:space="preserve">INGRID SILVA - +55 (11) 97438-7485 </t>
  </si>
  <si>
    <t xml:space="preserve">39950 / 48529 </t>
  </si>
  <si>
    <t xml:space="preserve">Bárbara Paiva - RH TitanX - +55 (19) 99682-2204 </t>
  </si>
  <si>
    <t xml:space="preserve">38705 / 47028 </t>
  </si>
  <si>
    <t xml:space="preserve">Cláudia Paiva - (00)00000-0000 </t>
  </si>
  <si>
    <t>18/03/2026 16:51 (5 dia(s) de atraso)</t>
  </si>
  <si>
    <t xml:space="preserve">37771 / 45823 </t>
  </si>
  <si>
    <t xml:space="preserve">Fer Vieira - +55 (19) 99324-2564 </t>
  </si>
  <si>
    <t>23/01/2026 16:40 (4 dia(s) de atraso)</t>
  </si>
  <si>
    <t xml:space="preserve">40089 / 48724 </t>
  </si>
  <si>
    <t xml:space="preserve">Edu - +55 (11) 98282-6805 </t>
  </si>
  <si>
    <t xml:space="preserve">39676 / 48163 </t>
  </si>
  <si>
    <t>Sinalização - IMPRESSÃO U.V EM ACM 3MM DO CLIENTE</t>
  </si>
  <si>
    <t xml:space="preserve">39519 / 47821 </t>
  </si>
  <si>
    <t xml:space="preserve">39086 / 47492 </t>
  </si>
  <si>
    <t xml:space="preserve">Reinaldo Equilibrio Engª - +55 (11) 9552-0888 </t>
  </si>
  <si>
    <t>13/04/2026 09:56 (4 dia(s) de atraso)</t>
  </si>
  <si>
    <t xml:space="preserve">39600 / 48143 </t>
  </si>
  <si>
    <t>SITE*15463</t>
  </si>
  <si>
    <t xml:space="preserve">39430 / 47802 </t>
  </si>
  <si>
    <t xml:space="preserve">39804 / 48382 </t>
  </si>
  <si>
    <t xml:space="preserve">Amanda Loreta Beck - +55 (19) 99905-9751 </t>
  </si>
  <si>
    <t xml:space="preserve">38285 / 46511 </t>
  </si>
  <si>
    <t>Sinalização/ IPLACAS - O/C 115.022</t>
  </si>
  <si>
    <t xml:space="preserve">38632 / 46952 </t>
  </si>
  <si>
    <t xml:space="preserve">Juliana Brito - +55 (19) 98324-1425 </t>
  </si>
  <si>
    <t>17/03/2026 18:22 (6 dia(s) de atraso)</t>
  </si>
  <si>
    <t xml:space="preserve">38775 / 47112 </t>
  </si>
  <si>
    <t xml:space="preserve">CADASTRO - (00)00000-0000 </t>
  </si>
  <si>
    <t>23/03/2026 16:59 (4 dia(s) de atraso)</t>
  </si>
  <si>
    <t xml:space="preserve">38817 / 47169 </t>
  </si>
  <si>
    <t xml:space="preserve">39353 / 47837 </t>
  </si>
  <si>
    <t xml:space="preserve">Adair Oliveira - +55 (11) 94286-5121 </t>
  </si>
  <si>
    <t>GABARITO CARGA E DESCARGA</t>
  </si>
  <si>
    <t xml:space="preserve">39285 / 47745 </t>
  </si>
  <si>
    <t xml:space="preserve">1 - +55 (11) 91478-8649 </t>
  </si>
  <si>
    <t>GABARITO PNE * O/ C 7286</t>
  </si>
  <si>
    <t>14/04/2026 15:17 (4 dia(s) de atraso)</t>
  </si>
  <si>
    <t xml:space="preserve">39236 / 47676 </t>
  </si>
  <si>
    <t>13/04/2026 16:38 (7 dia(s) de atraso)</t>
  </si>
  <si>
    <t xml:space="preserve">39045 / 47430 </t>
  </si>
  <si>
    <t xml:space="preserve">Elaine Andrade - +55 (38) 9983-9664 </t>
  </si>
  <si>
    <t>ACRILICO C/ BRAILE</t>
  </si>
  <si>
    <t xml:space="preserve">39153 / 47588 </t>
  </si>
  <si>
    <t xml:space="preserve">Barbara - +55 (11) 96310-3942 </t>
  </si>
  <si>
    <t>Sinalização*15323</t>
  </si>
  <si>
    <t xml:space="preserve">39972 / 48565 </t>
  </si>
  <si>
    <t xml:space="preserve">Ismael Antônio Berns - +55 (47) 8824-9433 </t>
  </si>
  <si>
    <t xml:space="preserve">37834 / 45783 </t>
  </si>
  <si>
    <t>22/01/2026 16:04 (2 dia(s) de atraso)</t>
  </si>
  <si>
    <t xml:space="preserve">39593 / 48120 </t>
  </si>
  <si>
    <t xml:space="preserve">RH Concrefer-Gabriela - +55 (19) 99500-6044 </t>
  </si>
  <si>
    <t xml:space="preserve">38451 / 46731 </t>
  </si>
  <si>
    <t xml:space="preserve">39084 / 47506 </t>
  </si>
  <si>
    <t>30/03/2026 16:43 (3 dia(s) de atraso)</t>
  </si>
  <si>
    <t xml:space="preserve">38608 / 46856 </t>
  </si>
  <si>
    <t xml:space="preserve">Marcela Síndica - +55 (11) 99879-8770 </t>
  </si>
  <si>
    <t xml:space="preserve">38432 / 46683 </t>
  </si>
  <si>
    <t xml:space="preserve">PLANTÃO - +55 (27) 99973-5800 </t>
  </si>
  <si>
    <t xml:space="preserve">39372 / 47862 </t>
  </si>
  <si>
    <t xml:space="preserve">Wilson Apparecido Goncalves - +55 (19) 9998-3654 </t>
  </si>
  <si>
    <t>SITE*15396</t>
  </si>
  <si>
    <t xml:space="preserve">38796 / 47140 </t>
  </si>
  <si>
    <t xml:space="preserve">FINANCEIRO - +55 (11) 97303-2312 </t>
  </si>
  <si>
    <t>ACM - PS 2mm - FOTOL.</t>
  </si>
  <si>
    <t>23/03/2026 16:59 (3 dia(s) de atraso)</t>
  </si>
  <si>
    <t xml:space="preserve">39881 / 48448 </t>
  </si>
  <si>
    <t xml:space="preserve">Grupo Strutura Imóveis - +55 (11) 98661-7308 </t>
  </si>
  <si>
    <t>29/05/2026 15:02 (4 dia(s) de atraso)</t>
  </si>
  <si>
    <t xml:space="preserve">38252 / 46416 </t>
  </si>
  <si>
    <t xml:space="preserve">37863 / 45955 </t>
  </si>
  <si>
    <t xml:space="preserve">Compras - +55 (19) 99761-2687 </t>
  </si>
  <si>
    <t>Faixa</t>
  </si>
  <si>
    <t>19/01/2026 13:34 (3 dia(s) de atraso)</t>
  </si>
  <si>
    <t xml:space="preserve">37973 / 46106 </t>
  </si>
  <si>
    <t xml:space="preserve">Wilson - +55 (11) 1111-1111 </t>
  </si>
  <si>
    <t xml:space="preserve">38576 / 46853 </t>
  </si>
  <si>
    <t xml:space="preserve">adm - +55 (17) 98117-0546 </t>
  </si>
  <si>
    <t xml:space="preserve">39567 / 48081 </t>
  </si>
  <si>
    <t xml:space="preserve">39963 / 48567 </t>
  </si>
  <si>
    <t xml:space="preserve">Marcos lalau - +55 (43) 8868-9430 </t>
  </si>
  <si>
    <t xml:space="preserve">38080 / 46228 </t>
  </si>
  <si>
    <t xml:space="preserve">Compras - +55 (11) 99820-3630 </t>
  </si>
  <si>
    <t xml:space="preserve">38007 / 46038 </t>
  </si>
  <si>
    <t xml:space="preserve">Adm Almai - +55 (13) 99704-2373 </t>
  </si>
  <si>
    <t xml:space="preserve">38319 / 46476 </t>
  </si>
  <si>
    <t xml:space="preserve">Isabel Siqueira Freire Gomes - +55 (11) 93906-8872 </t>
  </si>
  <si>
    <t>Sinalização/ IPLACAS - O/C 009278 /1</t>
  </si>
  <si>
    <t>13/02/2026 15:46 (1 dia(s) de atraso)</t>
  </si>
  <si>
    <t xml:space="preserve">38771 / 46976 </t>
  </si>
  <si>
    <t xml:space="preserve">Lafio Textil - +55 (11) 95871-0192 </t>
  </si>
  <si>
    <t xml:space="preserve">39513 / 48036 </t>
  </si>
  <si>
    <t xml:space="preserve">Dennis Gallo - +55 (11) 99687-1915 </t>
  </si>
  <si>
    <t>SITE*15441</t>
  </si>
  <si>
    <t xml:space="preserve">39890 / 48487 </t>
  </si>
  <si>
    <t xml:space="preserve">EDIFICIO ORION - +55 (11) 9725-0304 </t>
  </si>
  <si>
    <t>SITE#15539</t>
  </si>
  <si>
    <t>29/05/2026 11:53 (7 dia(s) de atraso)</t>
  </si>
  <si>
    <t xml:space="preserve">39920 / 48522 </t>
  </si>
  <si>
    <t xml:space="preserve">Marcelo de Aguiar Coimbra - +55 (11) 99494-7187 </t>
  </si>
  <si>
    <t>SITE#15530</t>
  </si>
  <si>
    <t>29/05/2026 14:59 (3 dia(s) de atraso)</t>
  </si>
  <si>
    <t xml:space="preserve">38411 / 46668 </t>
  </si>
  <si>
    <t xml:space="preserve">Cicera Galdino - +55 (11) 99660-5847 </t>
  </si>
  <si>
    <t>03/03/2026 14:50 (5 dia(s) de atraso)</t>
  </si>
  <si>
    <t xml:space="preserve">38292 / 46521 </t>
  </si>
  <si>
    <t xml:space="preserve">Condomínio Santa Etelvina VII - (00)0000-00 </t>
  </si>
  <si>
    <t>Sinalização*15077</t>
  </si>
  <si>
    <t>20/02/2026 15:00 (9 dia(s) de atraso)</t>
  </si>
  <si>
    <t xml:space="preserve">38483 / 46626 </t>
  </si>
  <si>
    <t xml:space="preserve">Gabriella Balzani - +55 (19) 3733-9544 </t>
  </si>
  <si>
    <t>Placas Sinalização- O/C 45820</t>
  </si>
  <si>
    <t xml:space="preserve">38656 / 46986 </t>
  </si>
  <si>
    <t xml:space="preserve">Inova&amp;graph - +55 (11) 3349-4999 </t>
  </si>
  <si>
    <t>PS 2mm C/ BRAILE</t>
  </si>
  <si>
    <t xml:space="preserve">38709 / 47034 </t>
  </si>
  <si>
    <t xml:space="preserve">. - +55 (11) 96850-1292 </t>
  </si>
  <si>
    <t xml:space="preserve">39257 / 47656 </t>
  </si>
  <si>
    <t xml:space="preserve">Samara Fernandes - +55 (21) 99969-2404 </t>
  </si>
  <si>
    <t xml:space="preserve">38569 / 46863 </t>
  </si>
  <si>
    <t xml:space="preserve">Condomínio Edifício Solar dos Cortes - +55 (11) 98259-1308 </t>
  </si>
  <si>
    <t>Sinalização*15158</t>
  </si>
  <si>
    <t>03/03/2026 14:49 (1 dia(s) de atraso)</t>
  </si>
  <si>
    <t xml:space="preserve">38084 / 46245 </t>
  </si>
  <si>
    <t xml:space="preserve">ADM - +55 (11) 7238-8080 </t>
  </si>
  <si>
    <t xml:space="preserve">38419 / 46681 </t>
  </si>
  <si>
    <t xml:space="preserve">Juliana Cabral - +55 (11) 5095-5919 </t>
  </si>
  <si>
    <t xml:space="preserve">39361 / 47840 </t>
  </si>
  <si>
    <t xml:space="preserve">Maria Luisa - +55 (19) 97428-9171 </t>
  </si>
  <si>
    <t xml:space="preserve">39683 / 48222 </t>
  </si>
  <si>
    <t xml:space="preserve">Strauss Penedo - +55 (41) 98809-4246 </t>
  </si>
  <si>
    <t>SITE*15479</t>
  </si>
  <si>
    <t xml:space="preserve">37972 / 46099 </t>
  </si>
  <si>
    <t xml:space="preserve">Sergio - +55 (11) 98262-0100 </t>
  </si>
  <si>
    <t>02/02/2026 15:24 (5 dia(s) de atraso)</t>
  </si>
  <si>
    <t xml:space="preserve">38724 / 47058 </t>
  </si>
  <si>
    <t xml:space="preserve">Matheus Maximos - +55 (11) 97579-3428 </t>
  </si>
  <si>
    <t>19/03/2026 15:03 (2 dia(s) de atraso)</t>
  </si>
  <si>
    <t xml:space="preserve">38572 / 46866 </t>
  </si>
  <si>
    <t xml:space="preserve">Cássio Matos da Silva - +55 (11) 98733-4024 </t>
  </si>
  <si>
    <t>Sinalização*15162</t>
  </si>
  <si>
    <t xml:space="preserve">39056 / 47452 </t>
  </si>
  <si>
    <t xml:space="preserve">Mario Marvulle - +55 (19) 99251-8038 </t>
  </si>
  <si>
    <t xml:space="preserve">39192 / 47624 </t>
  </si>
  <si>
    <t xml:space="preserve">Natalia Nascimento - +55 (19) 97409-2909 </t>
  </si>
  <si>
    <t xml:space="preserve">39486 / 48004 </t>
  </si>
  <si>
    <t xml:space="preserve">Suprimentos Graciosa - +55 (41) 99991-0295 </t>
  </si>
  <si>
    <t>SITE*15416</t>
  </si>
  <si>
    <t xml:space="preserve">38853 / 47224 </t>
  </si>
  <si>
    <t xml:space="preserve">Camila Pereira Bruzinga - +55 (48) 9975-3953 </t>
  </si>
  <si>
    <t>Sinalização*15239</t>
  </si>
  <si>
    <t xml:space="preserve">37936 / 46054 </t>
  </si>
  <si>
    <t xml:space="preserve">38886 / 46983 </t>
  </si>
  <si>
    <t>PS 2mm*4751</t>
  </si>
  <si>
    <t xml:space="preserve">38977 / 47375 </t>
  </si>
  <si>
    <t xml:space="preserve">COMPRAS - +55 (11) 99320-5077 </t>
  </si>
  <si>
    <t>PS 2mm*60484</t>
  </si>
  <si>
    <t xml:space="preserve">40077 / 48705 </t>
  </si>
  <si>
    <t xml:space="preserve">Kátia Symphony - +55 (19) 99874-5375 </t>
  </si>
  <si>
    <t xml:space="preserve">38557 / 46802 </t>
  </si>
  <si>
    <t xml:space="preserve">Sara Medeiros - +55 (12) 99670-5369 </t>
  </si>
  <si>
    <t>ACRILICO + PS 2mm</t>
  </si>
  <si>
    <t xml:space="preserve">40008 / 48616 </t>
  </si>
  <si>
    <t xml:space="preserve">Luiz Fernando Da Costa Dias - +55 (11) 9530-3212 </t>
  </si>
  <si>
    <t>SITE#15592</t>
  </si>
  <si>
    <t xml:space="preserve">38124 / 46301 </t>
  </si>
  <si>
    <t xml:space="preserve">Fernando Guimarães - +55 (19) 99558-7171 </t>
  </si>
  <si>
    <t xml:space="preserve">39346 / 47781 </t>
  </si>
  <si>
    <t xml:space="preserve">Tr Adm1 - +55 (19) 3808-5108 </t>
  </si>
  <si>
    <t xml:space="preserve">39398 / 47871 </t>
  </si>
  <si>
    <t xml:space="preserve">Comunicação e Marketing Sbacem - +55 (21) 97478-2694 </t>
  </si>
  <si>
    <t>ALUMINIO + ACRILICO -SOBREPOSTA</t>
  </si>
  <si>
    <t xml:space="preserve">39508 / 48019 </t>
  </si>
  <si>
    <t xml:space="preserve">Administração Family Santana - +55 (11) 99918-8034 </t>
  </si>
  <si>
    <t xml:space="preserve">37896 / 46003 </t>
  </si>
  <si>
    <t xml:space="preserve">Paula Castello Miguel - +55 (27) 98822-4668 </t>
  </si>
  <si>
    <t>Sinalização *1335</t>
  </si>
  <si>
    <t>26/01/2026 16:09 (6 dia(s) de atraso)</t>
  </si>
  <si>
    <t xml:space="preserve">39428 / 47930 </t>
  </si>
  <si>
    <t xml:space="preserve">Julio Sproesser - +55 (19) 99179-2820 </t>
  </si>
  <si>
    <t>ALUMINIO + ACM</t>
  </si>
  <si>
    <t xml:space="preserve">37753 / 45827 </t>
  </si>
  <si>
    <t xml:space="preserve">Leonardo Martins - +55 (11) 94902-1117 </t>
  </si>
  <si>
    <t xml:space="preserve">38471 / 46719 </t>
  </si>
  <si>
    <t xml:space="preserve">Natalia - +55 (11) 98365-2743 </t>
  </si>
  <si>
    <t>PS 1mm - MAÇANETA</t>
  </si>
  <si>
    <t xml:space="preserve">39517 / 48020 </t>
  </si>
  <si>
    <t xml:space="preserve">BRN - ADM Comercial - +55 (19) 98192-1286 </t>
  </si>
  <si>
    <t xml:space="preserve">39848 / 48420 </t>
  </si>
  <si>
    <t xml:space="preserve">Karine - +55 (11) 91314-0487 </t>
  </si>
  <si>
    <t>25/05/2026 17:54 (3 dia(s) de atraso)</t>
  </si>
  <si>
    <t xml:space="preserve">40056 / 48671 </t>
  </si>
  <si>
    <t xml:space="preserve">Fabiana - +55 (11) 94022-3151 </t>
  </si>
  <si>
    <t>ACRILICO + ACM - FOTOL. 0,8mm</t>
  </si>
  <si>
    <t xml:space="preserve">40127 / 48765 </t>
  </si>
  <si>
    <t xml:space="preserve">LAURA SILKSTAR - +55 (19) 99999-8836 </t>
  </si>
  <si>
    <t xml:space="preserve">37795 / 45860 </t>
  </si>
  <si>
    <t xml:space="preserve">Administração - MSP - +55 (11) 99307-2361 </t>
  </si>
  <si>
    <t>22/01/2026 16:05 (3 dia(s) de atraso)</t>
  </si>
  <si>
    <t xml:space="preserve">37879 / 45737 </t>
  </si>
  <si>
    <t>27/01/2026 17:49 (4 dia(s) de atraso)</t>
  </si>
  <si>
    <t xml:space="preserve">37897 / 46002 </t>
  </si>
  <si>
    <t xml:space="preserve">Yamandú Eduardo Martorell - +55 (48) 9981-2580 </t>
  </si>
  <si>
    <t xml:space="preserve">38477 / 46763 </t>
  </si>
  <si>
    <t xml:space="preserve">Almeida Djacy - +55 (11) 98722-5650 </t>
  </si>
  <si>
    <t xml:space="preserve">38584 / 46874 </t>
  </si>
  <si>
    <t xml:space="preserve">Gabriela Rampim Abreu - +55 (11) 99677-0388 </t>
  </si>
  <si>
    <t xml:space="preserve">38657 / 46987 </t>
  </si>
  <si>
    <t xml:space="preserve">39068 / 47426 </t>
  </si>
  <si>
    <t xml:space="preserve">Felipe Hespanhol J M Duque - +55 (14) 3624-6801 </t>
  </si>
  <si>
    <t>13/04/2026 09:57 (5 dia(s) de atraso)</t>
  </si>
  <si>
    <t xml:space="preserve">39358 / 47845 </t>
  </si>
  <si>
    <t xml:space="preserve">Marcio Alquati - +55 (11) 99624-8913 </t>
  </si>
  <si>
    <t xml:space="preserve">39559 / 48090 </t>
  </si>
  <si>
    <t xml:space="preserve">Renata - +55 (11) 98266-5912 </t>
  </si>
  <si>
    <t xml:space="preserve">38039 / 46163 </t>
  </si>
  <si>
    <t xml:space="preserve">39225 / 47548 </t>
  </si>
  <si>
    <t xml:space="preserve">Michele - +55 (19) 3336-0067 </t>
  </si>
  <si>
    <t>23/04/2026 14:11 (9 dia(s) de atraso)</t>
  </si>
  <si>
    <t xml:space="preserve">39174 / 47544 </t>
  </si>
  <si>
    <t xml:space="preserve">JEAN RICARDO - +55 (11) 97179-4001 </t>
  </si>
  <si>
    <t>05/05/2026 15:42 (21 dia(s) de atraso)</t>
  </si>
  <si>
    <t xml:space="preserve">38621 / 46933 </t>
  </si>
  <si>
    <t xml:space="preserve">Fellipe Viana Vicente - +55 (11) 99289-8514 </t>
  </si>
  <si>
    <t>Sinalização*15176</t>
  </si>
  <si>
    <t xml:space="preserve">39135 / 47567 </t>
  </si>
  <si>
    <t xml:space="preserve">Vander - +55 (31) 9971-7607 </t>
  </si>
  <si>
    <t xml:space="preserve">37761 / 45832 </t>
  </si>
  <si>
    <t>26/01/2026 16:09 (11 dia(s) de atraso)</t>
  </si>
  <si>
    <t xml:space="preserve">38303 / 46524 </t>
  </si>
  <si>
    <t xml:space="preserve">Leonardo - +55 (11) 96347-6543 </t>
  </si>
  <si>
    <t xml:space="preserve">38611 / 46921 </t>
  </si>
  <si>
    <t xml:space="preserve">Raphael Lenz - +55 (21) 99625-9552 </t>
  </si>
  <si>
    <t>12/03/2026 14:20 (3 dia(s) de atraso)</t>
  </si>
  <si>
    <t xml:space="preserve">39575 / 48103 </t>
  </si>
  <si>
    <t xml:space="preserve">38986 / 47390 </t>
  </si>
  <si>
    <t xml:space="preserve">Erika Alves Bezerra - +55 (11) 4964-1066 </t>
  </si>
  <si>
    <t>Sinalização*15275</t>
  </si>
  <si>
    <t xml:space="preserve">39438 / 47944 </t>
  </si>
  <si>
    <t xml:space="preserve">Carlos Andrade Lapique - +55 (11) 4646-6400 </t>
  </si>
  <si>
    <t>Sinalização SITE*15417</t>
  </si>
  <si>
    <t xml:space="preserve">38667 / 46997 </t>
  </si>
  <si>
    <t xml:space="preserve">39116 / 47535 </t>
  </si>
  <si>
    <t>01/04/2026 17:58 (1 dia(s) de atraso)</t>
  </si>
  <si>
    <t xml:space="preserve">39273 / 47713 </t>
  </si>
  <si>
    <t>11/04/2026 08:07 (1 dia(s) de atraso)</t>
  </si>
  <si>
    <t xml:space="preserve">39354 / 47842 </t>
  </si>
  <si>
    <t>18/04/2026 08:53 (3 dia(s) de atraso)</t>
  </si>
  <si>
    <t xml:space="preserve">38585 / 46877 </t>
  </si>
  <si>
    <t xml:space="preserve">38669 / 46999 </t>
  </si>
  <si>
    <t xml:space="preserve">38717 / 47015 </t>
  </si>
  <si>
    <t xml:space="preserve">Manhattan Square - +55 (31) 9447-0110 </t>
  </si>
  <si>
    <t>19/03/2026 15:03 (3 dia(s) de atraso)</t>
  </si>
  <si>
    <t xml:space="preserve">39217 / 47653 </t>
  </si>
  <si>
    <t xml:space="preserve">Festejar Locações Para Festas - +55 (19) 97127-7955 </t>
  </si>
  <si>
    <t xml:space="preserve">39385 / 47771 </t>
  </si>
  <si>
    <t xml:space="preserve">Aline- 4 Minds - +55 (51) 8903-5716 </t>
  </si>
  <si>
    <t xml:space="preserve">39753 / 48309 </t>
  </si>
  <si>
    <t xml:space="preserve">Giovanna Cândido da Silveira - +55 (81) 8887-9712 </t>
  </si>
  <si>
    <t xml:space="preserve">39944 / 48552 </t>
  </si>
  <si>
    <t xml:space="preserve">SIRLENE ANTONIA MOREIRA - +55 (11) 9949-4995 </t>
  </si>
  <si>
    <t>SITE#15570</t>
  </si>
  <si>
    <t>29/05/2026 14:57 (3 dia(s) de atraso)</t>
  </si>
  <si>
    <t xml:space="preserve">39652 / 48186 </t>
  </si>
  <si>
    <t xml:space="preserve">Marketing - +55 (81) 8598-3359 </t>
  </si>
  <si>
    <t xml:space="preserve">39261 / 47704 </t>
  </si>
  <si>
    <t xml:space="preserve">Marco Aurélio - +55 (19) 99124-0632 </t>
  </si>
  <si>
    <t>15/04/2026 17:34 (9 dia(s) de atraso)</t>
  </si>
  <si>
    <t xml:space="preserve">39365 / 47847 </t>
  </si>
  <si>
    <t xml:space="preserve">Dionisia - +55 (11) 99727-4347 </t>
  </si>
  <si>
    <t>ACM + PVC.EXP.FOTOL.</t>
  </si>
  <si>
    <t xml:space="preserve">39437 / 47927 </t>
  </si>
  <si>
    <t xml:space="preserve">Compras - +55 (11) 99937-0946 </t>
  </si>
  <si>
    <t xml:space="preserve">38212 / 46410 </t>
  </si>
  <si>
    <t xml:space="preserve">David Moreira Das Neves - +55 (11) 93933-4128 </t>
  </si>
  <si>
    <t xml:space="preserve">39879 / 48449 </t>
  </si>
  <si>
    <t xml:space="preserve">Carlos - +55 (21) 97258-3863 </t>
  </si>
  <si>
    <t>29/05/2026 11:00 (4 dia(s) de atraso)</t>
  </si>
  <si>
    <t xml:space="preserve">39827 / 47572 </t>
  </si>
  <si>
    <t xml:space="preserve">Compras Grupo Ártico - +55 (11) 94475-6737 </t>
  </si>
  <si>
    <t>ALUMINIO - O/C 4500001486</t>
  </si>
  <si>
    <t xml:space="preserve">37732 / 45667 </t>
  </si>
  <si>
    <t xml:space="preserve">Diego Leonardo Carvalheiro - +55 (11) 3159-3727 </t>
  </si>
  <si>
    <t>Gabarito/ IPLACAS- O/C 40865</t>
  </si>
  <si>
    <t xml:space="preserve">39514 / 48033 </t>
  </si>
  <si>
    <t xml:space="preserve">39283 / 47741 </t>
  </si>
  <si>
    <t xml:space="preserve">Guilherme - +55 (19) 98851-9909 </t>
  </si>
  <si>
    <t>Banner com tripé</t>
  </si>
  <si>
    <t>11/04/2026 07:49 (1 dia(s) de atraso)</t>
  </si>
  <si>
    <t xml:space="preserve">38234 / 46452 </t>
  </si>
  <si>
    <t xml:space="preserve">MARCOS FLORINDO - +55 (11) 99769-9228 </t>
  </si>
  <si>
    <t>Sinalização*15060</t>
  </si>
  <si>
    <t>Sinalização - PS 0,3mm</t>
  </si>
  <si>
    <t>29/05/2026 09:48 (4 dia(s) de atraso)</t>
  </si>
  <si>
    <t xml:space="preserve">39632 / 46718 </t>
  </si>
  <si>
    <t>08/05/2026 11:30 (4 dia(s) de atraso)</t>
  </si>
  <si>
    <t xml:space="preserve">40018 / 48619 </t>
  </si>
  <si>
    <t>Carreta ALEPACK / SEM ESPOVO</t>
  </si>
  <si>
    <t xml:space="preserve">37797 / 45881 </t>
  </si>
  <si>
    <t xml:space="preserve">Cida Gonçalves Compras PM - +55 (11) 99856-3311 </t>
  </si>
  <si>
    <t xml:space="preserve">37868 / 45957 </t>
  </si>
  <si>
    <t xml:space="preserve">CONDOMINIO RESIDENCIAL JARDIM - (00)0000-000 </t>
  </si>
  <si>
    <t>04/02/2026 16:31 (9 dia(s) de atraso)</t>
  </si>
  <si>
    <t xml:space="preserve">37967 / 46103 </t>
  </si>
  <si>
    <t xml:space="preserve">João Malta ?? - +55 (11) 99484-3218 </t>
  </si>
  <si>
    <t>20/02/2026 15:00 (22 dia(s) de atraso)</t>
  </si>
  <si>
    <t xml:space="preserve">38224 / 46428 </t>
  </si>
  <si>
    <t xml:space="preserve">Alon - +55 (11) 99210-1936 </t>
  </si>
  <si>
    <t xml:space="preserve">38635 / 46951 </t>
  </si>
  <si>
    <t xml:space="preserve">Marcelo Venâncio Matoso - +55 (21) 99165-5382 </t>
  </si>
  <si>
    <t xml:space="preserve">39404 / 47868 </t>
  </si>
  <si>
    <t xml:space="preserve">Beatriz Hummel - +55 (41) 8805-8779 </t>
  </si>
  <si>
    <t xml:space="preserve">38179 / 46181 </t>
  </si>
  <si>
    <t xml:space="preserve">vivacomcompras - +55 (14) 99752-2856 </t>
  </si>
  <si>
    <t xml:space="preserve">Areco Sistemas - (00)0000-000 </t>
  </si>
  <si>
    <t>Sinalização#15098</t>
  </si>
  <si>
    <t>24/02/2026 15:24 (11 dia(s) de atraso)</t>
  </si>
  <si>
    <t xml:space="preserve">37743 / 45809 </t>
  </si>
  <si>
    <t xml:space="preserve">37846 / 45941 </t>
  </si>
  <si>
    <t xml:space="preserve">37961 / 46097 </t>
  </si>
  <si>
    <t xml:space="preserve">38369 / 46610 </t>
  </si>
  <si>
    <t xml:space="preserve">38456 / 46739 </t>
  </si>
  <si>
    <t xml:space="preserve">40004 / 48611 </t>
  </si>
  <si>
    <t>25/05/2026 17:49 (3 dia(s) de atraso)</t>
  </si>
  <si>
    <t xml:space="preserve">39342 / 47834 </t>
  </si>
  <si>
    <t xml:space="preserve">Patricia Puccini Peres Garcia - +55 (11) 99126-0336 </t>
  </si>
  <si>
    <t>SITE*15390</t>
  </si>
  <si>
    <t xml:space="preserve">39707 / 48243 </t>
  </si>
  <si>
    <t xml:space="preserve">Paulo Cesar Ferreira - +55 (11) 9966-6940 </t>
  </si>
  <si>
    <t>Sinalização *15487</t>
  </si>
  <si>
    <t xml:space="preserve">39709 / 48246 </t>
  </si>
  <si>
    <t xml:space="preserve">Compras - +55 (11) 2182-8282 </t>
  </si>
  <si>
    <t>Sinalização *15489</t>
  </si>
  <si>
    <t xml:space="preserve">39713 / 48252 </t>
  </si>
  <si>
    <t xml:space="preserve">João Victor Nardo Marques - +55 (11) 9759-3162 </t>
  </si>
  <si>
    <t>Sinalização *15491</t>
  </si>
  <si>
    <t xml:space="preserve">39155 / 47589 </t>
  </si>
  <si>
    <t xml:space="preserve">ADAO BARBOSA - +55 (11) 99961-2879 </t>
  </si>
  <si>
    <t>Sinalização*15324</t>
  </si>
  <si>
    <t>13/04/2026 09:56 (7 dia(s) de atraso)</t>
  </si>
  <si>
    <t xml:space="preserve">40093 / 48749 </t>
  </si>
  <si>
    <t xml:space="preserve">Carlos - +55 (19) 99299-1853 </t>
  </si>
  <si>
    <t xml:space="preserve">38809 / 47160 </t>
  </si>
  <si>
    <t xml:space="preserve">Maria Cecília Rios Cruz Corrêa Meyer - +55 (11) 99424-3804 </t>
  </si>
  <si>
    <t>Sinalização* 15225</t>
  </si>
  <si>
    <t>23/03/2026 16:57 (10 dia(s) de atraso)</t>
  </si>
  <si>
    <t xml:space="preserve">39967 / 47973 </t>
  </si>
  <si>
    <t xml:space="preserve">39779 / 48342 </t>
  </si>
  <si>
    <t xml:space="preserve">38912 / 47299 </t>
  </si>
  <si>
    <t xml:space="preserve">CLAUDINEI AGOSTINELLI - (00)00000-0000 </t>
  </si>
  <si>
    <t>Sinalização*15248</t>
  </si>
  <si>
    <t>30/03/2026 14:36 (7 dia(s) de atraso)</t>
  </si>
  <si>
    <t xml:space="preserve">37985 / 46077 </t>
  </si>
  <si>
    <t>05/02/2026 18:24 (8 dia(s) de atraso)</t>
  </si>
  <si>
    <t xml:space="preserve">38865 / 47036 </t>
  </si>
  <si>
    <t xml:space="preserve">Compras - +55 (11) 94445-8188 </t>
  </si>
  <si>
    <t xml:space="preserve">38946 / 47330 </t>
  </si>
  <si>
    <t xml:space="preserve">Jaqueline Di Raimo - +55 (11) 9172-5779 </t>
  </si>
  <si>
    <t>Sinalização*15263</t>
  </si>
  <si>
    <t xml:space="preserve">38642 / 46966 </t>
  </si>
  <si>
    <t>19/03/2026 15:02 (14 dia(s) de atraso)</t>
  </si>
  <si>
    <t xml:space="preserve">39186 / 47619 </t>
  </si>
  <si>
    <t>15/04/2026 17:24 (7 dia(s) de atraso)</t>
  </si>
  <si>
    <t xml:space="preserve">39238 / 47678 </t>
  </si>
  <si>
    <t>22/04/2026 15:03 (13 dia(s) de atraso)</t>
  </si>
  <si>
    <t xml:space="preserve">39451 / 47960 </t>
  </si>
  <si>
    <t xml:space="preserve">39882 / 48421 </t>
  </si>
  <si>
    <t xml:space="preserve">Compras - +55 (19) 3116-1142 </t>
  </si>
  <si>
    <t xml:space="preserve">38494 / 46777 </t>
  </si>
  <si>
    <t xml:space="preserve">João Tigre - +55 (19) 98421-0904 </t>
  </si>
  <si>
    <t>05/03/2026 17:36 (3 dia(s) de atraso)</t>
  </si>
  <si>
    <t xml:space="preserve">40002 / 48452 </t>
  </si>
  <si>
    <t xml:space="preserve">Isabella - +55 (19) 3213-3344 </t>
  </si>
  <si>
    <t>Medalhas</t>
  </si>
  <si>
    <t xml:space="preserve">39085 / 47455 </t>
  </si>
  <si>
    <t xml:space="preserve">Luis Lucas - +55 (11) 94763-7141 </t>
  </si>
  <si>
    <t>PS 2mm + VINIL*0001844</t>
  </si>
  <si>
    <t>13/04/2026 09:58 (4 dia(s) de atraso)</t>
  </si>
  <si>
    <t xml:space="preserve">39187 / 47620 </t>
  </si>
  <si>
    <t>15/04/2026 17:23 (7 dia(s) de atraso)</t>
  </si>
  <si>
    <t xml:space="preserve">39237 / 47677 </t>
  </si>
  <si>
    <t>24/04/2026 14:31 (15 dia(s) de atraso)</t>
  </si>
  <si>
    <t xml:space="preserve">39453 / 47962 </t>
  </si>
  <si>
    <t>04/05/2026 17:12 (11 dia(s) de atraso)</t>
  </si>
  <si>
    <t xml:space="preserve">39614 / 48156 </t>
  </si>
  <si>
    <t>14/05/2026 15:27 (10 dia(s) de atraso)</t>
  </si>
  <si>
    <t xml:space="preserve">39688 / 48227 </t>
  </si>
  <si>
    <t>25/05/2026 17:50 (18 dia(s) de atraso)</t>
  </si>
  <si>
    <t xml:space="preserve">37940 / 46059 </t>
  </si>
  <si>
    <t xml:space="preserve">Paulo Henrique - +55 (41) 9221-0310 </t>
  </si>
  <si>
    <t xml:space="preserve">38640 / 46963 </t>
  </si>
  <si>
    <t>Sinalização*15188</t>
  </si>
  <si>
    <t xml:space="preserve">38167 / 46356 </t>
  </si>
  <si>
    <t xml:space="preserve">39322 / 47808 </t>
  </si>
  <si>
    <t xml:space="preserve">38301 / 46537 </t>
  </si>
  <si>
    <t xml:space="preserve">Lisandra Marques Aliseda - +55 (11) 98546-2425 </t>
  </si>
  <si>
    <t xml:space="preserve">38333 / 46467 </t>
  </si>
  <si>
    <t xml:space="preserve">Sidnei José Correia - +55 (19) 98191-8469 </t>
  </si>
  <si>
    <t xml:space="preserve">40068 / 48623 </t>
  </si>
  <si>
    <t xml:space="preserve">Compras - Aeon - +55 (21) 2705-3139 </t>
  </si>
  <si>
    <t xml:space="preserve">37832 / 45913 </t>
  </si>
  <si>
    <t xml:space="preserve">Milton - +55 (13) 99792-2889 </t>
  </si>
  <si>
    <t xml:space="preserve">38676 / 46857 </t>
  </si>
  <si>
    <t xml:space="preserve">Aylla Leite - +55 (11) 99434-4809 </t>
  </si>
  <si>
    <t xml:space="preserve">40024 / 48629 </t>
  </si>
  <si>
    <t xml:space="preserve">Marcello - +55 (12) 99124-4045 </t>
  </si>
  <si>
    <t>Sinalização - Chaveiros</t>
  </si>
  <si>
    <t xml:space="preserve">38297 / 46532 </t>
  </si>
  <si>
    <t xml:space="preserve">Compras - +55 (19) 99994-2806 </t>
  </si>
  <si>
    <t>13/02/2026 15:47 (1 dia(s) de atraso)</t>
  </si>
  <si>
    <t xml:space="preserve">38734 / 47063 </t>
  </si>
  <si>
    <t>09/03/2026 15:15 (3 dia(s) de atraso)</t>
  </si>
  <si>
    <t xml:space="preserve">39146 / 47579 </t>
  </si>
  <si>
    <t xml:space="preserve">Mondrian Marcos Bruno - +55 (11) 94006-0030 </t>
  </si>
  <si>
    <t xml:space="preserve">40112 / 48770 </t>
  </si>
  <si>
    <t xml:space="preserve">Gabriela - +55 (19) 98969-1983 </t>
  </si>
  <si>
    <t>10/06/2026 15:17 (5 dia(s) de atraso)</t>
  </si>
  <si>
    <t xml:space="preserve">39356 / 47740 </t>
  </si>
  <si>
    <t xml:space="preserve">38590 / 46886 </t>
  </si>
  <si>
    <t xml:space="preserve">Compras - +55 (11) 91876-9433 </t>
  </si>
  <si>
    <t>Sinalização*15152</t>
  </si>
  <si>
    <t xml:space="preserve">39957 / 48560 </t>
  </si>
  <si>
    <t xml:space="preserve">juliana silleman - +55 (21) 9814-2848 </t>
  </si>
  <si>
    <t>SITE#15577</t>
  </si>
  <si>
    <t>29/05/2026 14:58 (3 dia(s) de atraso)</t>
  </si>
  <si>
    <t xml:space="preserve">38668 / 46973 </t>
  </si>
  <si>
    <t xml:space="preserve">Bruna - +55 (19) 99883-7907 </t>
  </si>
  <si>
    <t>SINALIZAÇÃO *IPLACAS - O/C 1938789</t>
  </si>
  <si>
    <t>13/04/2026 09:59 (3 dia(s) de atraso)</t>
  </si>
  <si>
    <t xml:space="preserve">39094 / 47427 </t>
  </si>
  <si>
    <t xml:space="preserve">Crislaine - +55 (11) 4166-9156 </t>
  </si>
  <si>
    <t>Sinalização/ IPLACAS - O/C 077294</t>
  </si>
  <si>
    <t>14/04/2026 15:17 (8 dia(s) de atraso)</t>
  </si>
  <si>
    <t xml:space="preserve">38274 / 46492 </t>
  </si>
  <si>
    <t xml:space="preserve">Eduardo Ogawa - +55 (11) 99701-7727 </t>
  </si>
  <si>
    <t xml:space="preserve">38670 / 47001 </t>
  </si>
  <si>
    <t xml:space="preserve">Reserva Serra E-mail (Compras - +55 (11) 94135-8499 </t>
  </si>
  <si>
    <t xml:space="preserve">38869 / 47079 </t>
  </si>
  <si>
    <t xml:space="preserve">Cristiane - Russer - +55 (19) 97159-1984 </t>
  </si>
  <si>
    <t>ACM + PS 1mm</t>
  </si>
  <si>
    <t>26/03/2026 18:35 (1 dia(s) de atraso)</t>
  </si>
  <si>
    <t xml:space="preserve">39483 / 47996 </t>
  </si>
  <si>
    <t xml:space="preserve">MV João Pedro Gomes - +55 (67) 9281-2640 </t>
  </si>
  <si>
    <t xml:space="preserve">38294 / 46523 </t>
  </si>
  <si>
    <t xml:space="preserve">Marcellus Silveira da Silva - +55 (11) 8259-7879 </t>
  </si>
  <si>
    <t>Sinalização*15083</t>
  </si>
  <si>
    <t>12/02/2026 15:21 (1 dia(s) de atraso)</t>
  </si>
  <si>
    <t xml:space="preserve">38990 / 47385 </t>
  </si>
  <si>
    <t xml:space="preserve">Eduardo Carneiro - +55 (11) 98282-6805 </t>
  </si>
  <si>
    <t xml:space="preserve">39831 / 48407 </t>
  </si>
  <si>
    <t xml:space="preserve">Fernando Diniz - +55 (11) 99905-4116 </t>
  </si>
  <si>
    <t xml:space="preserve">40033 / 48613 </t>
  </si>
  <si>
    <t xml:space="preserve">ADM - +55 (19) 3397-0643 </t>
  </si>
  <si>
    <t>PS 1mm - PROCON</t>
  </si>
  <si>
    <t xml:space="preserve">40106 / 48113 </t>
  </si>
  <si>
    <t xml:space="preserve">Andressa Laveli - (19)3881-5007 </t>
  </si>
  <si>
    <t>Sinalização - 6378</t>
  </si>
  <si>
    <t xml:space="preserve">38191 / 46380 </t>
  </si>
  <si>
    <t xml:space="preserve">Condominio Edificio Oriental - (00)00000-0000 </t>
  </si>
  <si>
    <t>Sinalização*15027</t>
  </si>
  <si>
    <t xml:space="preserve">38194 / 46367 </t>
  </si>
  <si>
    <t>19/02/2026 14:15 (10 dia(s) de atraso)</t>
  </si>
  <si>
    <t xml:space="preserve">37855 / 45949 </t>
  </si>
  <si>
    <t xml:space="preserve">JEFFERSON SANTOS DA MOTA - +55 (71) 98792-7714 </t>
  </si>
  <si>
    <t>Sinalização*14966</t>
  </si>
  <si>
    <t>29/01/2026 11:37 (9 dia(s) de atraso)</t>
  </si>
  <si>
    <t xml:space="preserve">38710 / 47043 </t>
  </si>
  <si>
    <t xml:space="preserve">JOAO CARLOS DA COSTA TEIXEIRA - (00)00000-0000 </t>
  </si>
  <si>
    <t>Sinalização*15197</t>
  </si>
  <si>
    <t xml:space="preserve">Julio Souza - +55 (19) 2533-2737 </t>
  </si>
  <si>
    <t>Sinalização *1331</t>
  </si>
  <si>
    <t xml:space="preserve">39317 / 47799 </t>
  </si>
  <si>
    <t xml:space="preserve">Graziella Bonfim - +55 (11) 9714-6439 </t>
  </si>
  <si>
    <t>SITE*15384</t>
  </si>
  <si>
    <t xml:space="preserve">39145 / 47586 </t>
  </si>
  <si>
    <t xml:space="preserve">JA INSTITUTO DE MEDICINA DE LONGEVIDADE - +55 (99) 9999-9999 </t>
  </si>
  <si>
    <t>Sinalização*15318</t>
  </si>
  <si>
    <t xml:space="preserve">38111 / 46288 </t>
  </si>
  <si>
    <t xml:space="preserve">Nutrafit Suplementos e Vitaminas - +55 (11) 9492-0881 </t>
  </si>
  <si>
    <t>Sinalização*15024</t>
  </si>
  <si>
    <t xml:space="preserve">38026 / 46176 </t>
  </si>
  <si>
    <t xml:space="preserve">37768 / 45843 </t>
  </si>
  <si>
    <t>17/01/2026 11:10 (2 dia(s) de atraso)</t>
  </si>
  <si>
    <t xml:space="preserve">38486 / 46717 </t>
  </si>
  <si>
    <t xml:space="preserve">Regiane Alves - +55 (11) 4199-3737 </t>
  </si>
  <si>
    <t xml:space="preserve">39975 / 48582 </t>
  </si>
  <si>
    <t xml:space="preserve">Antônio Alves de Brito Junior - +55 (11) 9691-1348 </t>
  </si>
  <si>
    <t>SITE#15586</t>
  </si>
  <si>
    <t>29/05/2026 15:04 (2 dia(s) de atraso)</t>
  </si>
  <si>
    <t xml:space="preserve">38142 / 46320 </t>
  </si>
  <si>
    <t xml:space="preserve">VLADIMIR DE JESUS PREDA - +55 (11) 98141-8020 </t>
  </si>
  <si>
    <t>Sinalização*15037</t>
  </si>
  <si>
    <t>16/02/2026 11:28 (12 dia(s) de atraso)</t>
  </si>
  <si>
    <t xml:space="preserve">37757 / 45831 </t>
  </si>
  <si>
    <t xml:space="preserve">Compras - +55 (19) 32320-7111 </t>
  </si>
  <si>
    <t>Sinalização*14945</t>
  </si>
  <si>
    <t xml:space="preserve">39712 / 48251 </t>
  </si>
  <si>
    <t xml:space="preserve">Edificio Ansarah - +55 (11) 4220-8810 </t>
  </si>
  <si>
    <t>SITE*15471</t>
  </si>
  <si>
    <t xml:space="preserve">37766 / 45542 </t>
  </si>
  <si>
    <t xml:space="preserve">Thais - Assistente PD - +55 (11) 97633-2219 </t>
  </si>
  <si>
    <t xml:space="preserve">38057 / 46145 </t>
  </si>
  <si>
    <t>09/02/2026 15:44 (5 dia(s) de atraso)</t>
  </si>
  <si>
    <t xml:space="preserve">38533 / 46829 </t>
  </si>
  <si>
    <t xml:space="preserve">ADRIANO MATTOSO DOS ANJOS - +55 (11) 98222-9210 </t>
  </si>
  <si>
    <t>23/02/2026 16:50 (3 dia(s) de atraso)</t>
  </si>
  <si>
    <t xml:space="preserve">39194 / 47609 </t>
  </si>
  <si>
    <t xml:space="preserve">Leticia Pellegatti - +55 (11) 99487-4757 </t>
  </si>
  <si>
    <t>PS 2mm - CIPA</t>
  </si>
  <si>
    <t>16/04/2026 09:59 (1 dia(s) de atraso)</t>
  </si>
  <si>
    <t xml:space="preserve">39829 / 48406 </t>
  </si>
  <si>
    <t xml:space="preserve">Magali Rodrigues - +55 (19) 99305-0301 </t>
  </si>
  <si>
    <t xml:space="preserve">37954 / 46087 </t>
  </si>
  <si>
    <t xml:space="preserve">Jussara - +55 (11) 99633-5676 </t>
  </si>
  <si>
    <t xml:space="preserve">38416 / 46679 </t>
  </si>
  <si>
    <t>GABARITO - VENDA BALCAO</t>
  </si>
  <si>
    <t xml:space="preserve">38675 / 47007 </t>
  </si>
  <si>
    <t>03/03/2026 14:54 (1 dia(s) de atraso)</t>
  </si>
  <si>
    <t xml:space="preserve">38685 / 47011 </t>
  </si>
  <si>
    <t>GABARITO PNE</t>
  </si>
  <si>
    <t xml:space="preserve">38911 / 47298 </t>
  </si>
  <si>
    <t xml:space="preserve">Elder Cambiaghi - +55 (19) 99847-4605 </t>
  </si>
  <si>
    <t xml:space="preserve">39176 / 47576 </t>
  </si>
  <si>
    <t xml:space="preserve">Marcelo Cerqueira ✌? - +55 (19) 98831-5186 </t>
  </si>
  <si>
    <t xml:space="preserve">39653 / 48196 </t>
  </si>
  <si>
    <t xml:space="preserve">39598 / 48141 </t>
  </si>
  <si>
    <t xml:space="preserve">Carla de Abreu Medeiros Bezerra - +55 (55) 99652-0482 </t>
  </si>
  <si>
    <t>SITE*15461</t>
  </si>
  <si>
    <t>05/05/2026 16:25 (1 dia(s) de atraso)</t>
  </si>
  <si>
    <t xml:space="preserve">39864 / 48337 </t>
  </si>
  <si>
    <t xml:space="preserve">André Arruda - +55 (19) 99141-6646 </t>
  </si>
  <si>
    <t xml:space="preserve">37730 / 45436 </t>
  </si>
  <si>
    <t>27/01/2026 09:47 (13 dia(s) de atraso)</t>
  </si>
  <si>
    <t xml:space="preserve">39424 / 47913 </t>
  </si>
  <si>
    <t xml:space="preserve">Juliane Lobo - +55 (19) 97405-6644 </t>
  </si>
  <si>
    <t xml:space="preserve">39252 / 45794 </t>
  </si>
  <si>
    <t>Sinalização / IPLACAS - O/C 4500675719</t>
  </si>
  <si>
    <t xml:space="preserve">40103 / 48703 </t>
  </si>
  <si>
    <t>Sinalização/ IPLACAS - O/C 498</t>
  </si>
  <si>
    <t xml:space="preserve">37864 / 45956 </t>
  </si>
  <si>
    <t xml:space="preserve">Gerência - +55 (21) 99738-3429 </t>
  </si>
  <si>
    <t>26/01/2026 16:10 (3 dia(s) de atraso)</t>
  </si>
  <si>
    <t xml:space="preserve">39562 / 48093 </t>
  </si>
  <si>
    <t xml:space="preserve">Wellington Batista - +55 (11) 98783-0662 </t>
  </si>
  <si>
    <t xml:space="preserve">38592 / 46890 </t>
  </si>
  <si>
    <t xml:space="preserve">Paolo Rubez Rocha - +55 (11) 99532-0086 </t>
  </si>
  <si>
    <t>Sinalização*15164</t>
  </si>
  <si>
    <t xml:space="preserve">39494 / 48000 </t>
  </si>
  <si>
    <t>29/04/2026 08:17 (2 dia(s) de atraso)</t>
  </si>
  <si>
    <t xml:space="preserve">38539 / 46827 </t>
  </si>
  <si>
    <t xml:space="preserve">FLAVI - +55 (54) 8102-5253 </t>
  </si>
  <si>
    <t xml:space="preserve">38921 / 47304 </t>
  </si>
  <si>
    <t xml:space="preserve">Geraldo Soares Menezes Filho - +55 (85) 98773-8525 </t>
  </si>
  <si>
    <t>Sinalização*15252</t>
  </si>
  <si>
    <t xml:space="preserve">37878 / 45671 </t>
  </si>
  <si>
    <t>Sinalização/ IPLACAS - O/C 113.632</t>
  </si>
  <si>
    <t xml:space="preserve">37982 / 45979 </t>
  </si>
  <si>
    <t xml:space="preserve">Jose Lucas - Treetech - +55 (11) 2410-1190 </t>
  </si>
  <si>
    <t>Placas Sinalização - O/C 23632</t>
  </si>
  <si>
    <t>09/02/2026 15:43 (12 dia(s) de atraso)</t>
  </si>
  <si>
    <t xml:space="preserve">38879 / 47229 </t>
  </si>
  <si>
    <t xml:space="preserve">Milena - +55 (19) 99948-9312 </t>
  </si>
  <si>
    <t xml:space="preserve">39219 / 47654 </t>
  </si>
  <si>
    <t>ACRILICO * PO_PO_BET0003371_0.pdf</t>
  </si>
  <si>
    <t xml:space="preserve">40070 / 48706 </t>
  </si>
  <si>
    <t xml:space="preserve">Herverson Rodrigues -Giga - +55 (71) 9158-2756 </t>
  </si>
  <si>
    <t xml:space="preserve">39418 / 47920 </t>
  </si>
  <si>
    <t xml:space="preserve">Tomás Lima - +55 (51) 99323-1671 </t>
  </si>
  <si>
    <t>SITE*15413</t>
  </si>
  <si>
    <t xml:space="preserve">40062 / 48670 </t>
  </si>
  <si>
    <t xml:space="preserve">Lorena - +55 (19) 98191-8469 </t>
  </si>
  <si>
    <t>10/06/2026 15:16 (5 dia(s) de atraso)</t>
  </si>
  <si>
    <t xml:space="preserve">39199 / 47634 </t>
  </si>
  <si>
    <t xml:space="preserve">37829 / 45923 </t>
  </si>
  <si>
    <t xml:space="preserve">Humberto de Sousa Pereira Lima Neto - +55 (16) 99135-0007 </t>
  </si>
  <si>
    <t xml:space="preserve">38023 / 46166 </t>
  </si>
  <si>
    <t xml:space="preserve">ITALO ODONE MAZALI - +55 (19) 98110-9891 </t>
  </si>
  <si>
    <t>13/02/2026 16:59 (11 dia(s) de atraso)</t>
  </si>
  <si>
    <t xml:space="preserve">38119 / 46296 </t>
  </si>
  <si>
    <t xml:space="preserve">Vilson Alves Feitoza - +55 (11) 99007-2510 </t>
  </si>
  <si>
    <t xml:space="preserve">38295 / 46508 </t>
  </si>
  <si>
    <t xml:space="preserve">Compras - +55 (11) 99914-7168 </t>
  </si>
  <si>
    <t>03/03/2026 14:46 (13 dia(s) de atraso)</t>
  </si>
  <si>
    <t xml:space="preserve">38413 / 46566 </t>
  </si>
  <si>
    <t xml:space="preserve">Drielly Reis - +55 (11) 97553-3663 </t>
  </si>
  <si>
    <t>ALUMINIO*4500498307</t>
  </si>
  <si>
    <t xml:space="preserve">38528 / 46760 </t>
  </si>
  <si>
    <t xml:space="preserve">WILMAR CRAVEIRO MARINHO DA SILVA - +55 (71) 9608-2775 </t>
  </si>
  <si>
    <t xml:space="preserve">38804 / 47145 </t>
  </si>
  <si>
    <t xml:space="preserve">Email da empresa - +55 (11) 3934-6000 </t>
  </si>
  <si>
    <t xml:space="preserve">39069 / 47486 </t>
  </si>
  <si>
    <t>13/04/2026 09:56 (5 dia(s) de atraso)</t>
  </si>
  <si>
    <t xml:space="preserve">39326 / 47812 </t>
  </si>
  <si>
    <t xml:space="preserve">39617 / 48110 </t>
  </si>
  <si>
    <t xml:space="preserve">Alessandra - +55 (61) 9660-1890 </t>
  </si>
  <si>
    <t xml:space="preserve">39677 / 47687 </t>
  </si>
  <si>
    <t xml:space="preserve">Kérine Louise ✨ - +55 (11) 94763-7141 </t>
  </si>
  <si>
    <t>PS 2mm*O/C 0002002</t>
  </si>
  <si>
    <t xml:space="preserve">38231 / 46450 </t>
  </si>
  <si>
    <t xml:space="preserve">Condomínio do Edifício Universal Empresarial Center - (00)00000-0000 </t>
  </si>
  <si>
    <t>Sinalização*15035</t>
  </si>
  <si>
    <t>11/02/2026 14:42 (2 dia(s) de atraso)</t>
  </si>
  <si>
    <t xml:space="preserve">38042 / 46185 </t>
  </si>
  <si>
    <t xml:space="preserve">Nathiele - Squad360 - +55 (11) 94996-7914 </t>
  </si>
  <si>
    <t xml:space="preserve">37952 / 46073 </t>
  </si>
  <si>
    <t xml:space="preserve">Jaque Giacomini Pajoni - +55 (19) 99309-1116 </t>
  </si>
  <si>
    <t>09/02/2026 15:45 (7 dia(s) de atraso)</t>
  </si>
  <si>
    <t>Sinalização/ IPLACAS - O/C 150.807 - 150.864</t>
  </si>
  <si>
    <t xml:space="preserve">38750 / 47003 </t>
  </si>
  <si>
    <t xml:space="preserve">Isabela Noronha Gustavo Barreiro - +55 (19) 98167-2552 </t>
  </si>
  <si>
    <t>25/03/2026 16:31 (9 dia(s) de atraso)</t>
  </si>
  <si>
    <t xml:space="preserve">39337 / 47823 </t>
  </si>
  <si>
    <t xml:space="preserve">Myrian Maldonado Martins - +55 (19) 3794-2538 </t>
  </si>
  <si>
    <t>SITE*15387</t>
  </si>
  <si>
    <t>24/04/2026 16:18 (4 dia(s) de atraso)</t>
  </si>
  <si>
    <t xml:space="preserve">38765 / 47101 </t>
  </si>
  <si>
    <t xml:space="preserve">Josias - +55 (19) 98862-5671 </t>
  </si>
  <si>
    <t>25/03/2026 16:32 (7 dia(s) de atraso)</t>
  </si>
  <si>
    <t xml:space="preserve">37934 / 46051 </t>
  </si>
  <si>
    <t xml:space="preserve">RENATA VIDAL CARDOSO GARDENAL - +55 (67) 98112-2500 </t>
  </si>
  <si>
    <t>Sinalização*14992</t>
  </si>
  <si>
    <t xml:space="preserve">39276 / 47177 </t>
  </si>
  <si>
    <t>Sinalização - 18708 OG</t>
  </si>
  <si>
    <t>16/04/2026 18:18 (1 dia(s) de atraso)</t>
  </si>
  <si>
    <t xml:space="preserve">39175 / 47596 </t>
  </si>
  <si>
    <t xml:space="preserve">Thiago de paula ferreira do Prado - +55 (43) 3252-1072 </t>
  </si>
  <si>
    <t xml:space="preserve">39648 / 48192 </t>
  </si>
  <si>
    <t xml:space="preserve">EDIFICIO ROYAL GARDEN I - (00)00000-0000 </t>
  </si>
  <si>
    <t>SITE*15462</t>
  </si>
  <si>
    <t>07/05/2026 13:49 (2 dia(s) de atraso)</t>
  </si>
  <si>
    <t xml:space="preserve">39067 / 47454 </t>
  </si>
  <si>
    <t xml:space="preserve">Compras - NR SAM - +55 (11) 94206-7266 </t>
  </si>
  <si>
    <t>CAVALETE*OC 30.119</t>
  </si>
  <si>
    <t>13/04/2026 10:01 (5 dia(s) de atraso)</t>
  </si>
  <si>
    <t xml:space="preserve">39121 / 47558 </t>
  </si>
  <si>
    <t xml:space="preserve">37810 / 45897 </t>
  </si>
  <si>
    <t xml:space="preserve">Conformetal - +55 (11) 94722-8413 </t>
  </si>
  <si>
    <t>21/01/2026 17:35 (1 dia(s) de atraso)</t>
  </si>
  <si>
    <t xml:space="preserve">38787 / 47114 </t>
  </si>
  <si>
    <t xml:space="preserve">Administrativo Atl - +55 (11) 93495-8483 </t>
  </si>
  <si>
    <t xml:space="preserve">39839 / 48213 </t>
  </si>
  <si>
    <t xml:space="preserve">Thiago - +55 (19) 99609-5306 </t>
  </si>
  <si>
    <t>ACRILICO* O/C 711</t>
  </si>
  <si>
    <t xml:space="preserve">39951 / 48548 </t>
  </si>
  <si>
    <t>05/06/2026 11:46 (4 dia(s) de atraso)</t>
  </si>
  <si>
    <t xml:space="preserve">38005 / 46147 </t>
  </si>
  <si>
    <t xml:space="preserve">Nicholas - +55 (13) 99723-9457 </t>
  </si>
  <si>
    <t>04/02/2026 15:56 (2 dia(s) de atraso)</t>
  </si>
  <si>
    <t xml:space="preserve">37916 / 45907 </t>
  </si>
  <si>
    <t xml:space="preserve">Valéria - +55 (31) 9571-6263 </t>
  </si>
  <si>
    <t xml:space="preserve">38919 / 47260 </t>
  </si>
  <si>
    <t xml:space="preserve">Compras Thermomatic - +55 (11) 99993-5788 </t>
  </si>
  <si>
    <t>PS 2mm + ACRILICO*673</t>
  </si>
  <si>
    <t>26/03/2026 16:45 (3 dia(s) de atraso)</t>
  </si>
  <si>
    <t xml:space="preserve">39747 / 48178 </t>
  </si>
  <si>
    <t>Etiquetas - pedido 6160</t>
  </si>
  <si>
    <t>14/05/2026 15:39 (1 dia(s) de atraso)</t>
  </si>
  <si>
    <t xml:space="preserve">39946 / 48553 </t>
  </si>
  <si>
    <t xml:space="preserve">Rodrigo de Azevedo Campello - +55 (31) 9927-7673 </t>
  </si>
  <si>
    <t>SITE#15571</t>
  </si>
  <si>
    <t>27/05/2026 17:43 (1 dia(s) de atraso)</t>
  </si>
  <si>
    <t xml:space="preserve">40069 / 48584 </t>
  </si>
  <si>
    <t xml:space="preserve">Ana Carolina de Souza - +55 (19) 97821-0074 </t>
  </si>
  <si>
    <t>ALUMINIO* O/C 0000587</t>
  </si>
  <si>
    <t xml:space="preserve">38209 / 46382 </t>
  </si>
  <si>
    <t xml:space="preserve">Andrea/Sara - +55 (11) 97153-9538 </t>
  </si>
  <si>
    <t xml:space="preserve">38660 / 46990 </t>
  </si>
  <si>
    <t xml:space="preserve">39379 / 47542 </t>
  </si>
  <si>
    <t>Etiquetas - O.C 5758</t>
  </si>
  <si>
    <t xml:space="preserve">39509 / 48023 </t>
  </si>
  <si>
    <t xml:space="preserve">Compras - +55 (19) 99898-5042 </t>
  </si>
  <si>
    <t xml:space="preserve">38060 / 46205 </t>
  </si>
  <si>
    <t xml:space="preserve">Taynara Compras - +55 (19) 97123-0928 </t>
  </si>
  <si>
    <t>06/02/2026 13:03 (2 dia(s) de atraso)</t>
  </si>
  <si>
    <t xml:space="preserve">38106 / 46282 </t>
  </si>
  <si>
    <t>Sinalização/ IPLACAS - O/C 113.934</t>
  </si>
  <si>
    <t>03/03/2026 18:13 (27 dia(s) de atraso)</t>
  </si>
  <si>
    <t xml:space="preserve">39071 / 47493 </t>
  </si>
  <si>
    <t xml:space="preserve">Adeilson - +55 (19) 99725-0554 </t>
  </si>
  <si>
    <t xml:space="preserve">39282 / 47732 </t>
  </si>
  <si>
    <t xml:space="preserve">39931 / 48521 </t>
  </si>
  <si>
    <t xml:space="preserve">Silvia Almeida - +55 (19) 98733-2325 </t>
  </si>
  <si>
    <t xml:space="preserve">39986 / 48591 </t>
  </si>
  <si>
    <t xml:space="preserve">Ivan Frizollo - +55 (19) 99742-8098 </t>
  </si>
  <si>
    <t xml:space="preserve">40109 / 48713 </t>
  </si>
  <si>
    <t xml:space="preserve">Kaká Machado ★彡 - +55 (21) 99135-4069 </t>
  </si>
  <si>
    <t xml:space="preserve">39960 / 48543 </t>
  </si>
  <si>
    <t xml:space="preserve">Ideli Priori - +55 (11) 98588-7872 </t>
  </si>
  <si>
    <t xml:space="preserve">38472 / 46755 </t>
  </si>
  <si>
    <t xml:space="preserve">Compras - +55 (11) 98031-3257 </t>
  </si>
  <si>
    <t xml:space="preserve">38833 / 47195 </t>
  </si>
  <si>
    <t xml:space="preserve">Raquel - +55 (19) 99589-7492 </t>
  </si>
  <si>
    <t>23/03/2026 16:24 (5 dia(s) de atraso)</t>
  </si>
  <si>
    <t xml:space="preserve">37778 / 45848 </t>
  </si>
  <si>
    <t xml:space="preserve">Fabio Campos - +55 (11) 99321-4122 </t>
  </si>
  <si>
    <t>28/01/2026 17:51 (12 dia(s) de atraso)</t>
  </si>
  <si>
    <t xml:space="preserve">38323 / 46560 </t>
  </si>
  <si>
    <t xml:space="preserve">Renata Lara - +55 (11) 3205-0271 </t>
  </si>
  <si>
    <t>Sinalização*15079</t>
  </si>
  <si>
    <t xml:space="preserve">39974 / 48538 </t>
  </si>
  <si>
    <t xml:space="preserve">Renato Jamil - +55 (11) 94517-0383 </t>
  </si>
  <si>
    <t xml:space="preserve">38265 / 46491 </t>
  </si>
  <si>
    <t xml:space="preserve">39348 / 47835 </t>
  </si>
  <si>
    <t xml:space="preserve">Ines Possari - +55 (69) 9922-3500 </t>
  </si>
  <si>
    <t>SITE*15392</t>
  </si>
  <si>
    <t>23/04/2026 15:03 (3 dia(s) de atraso)</t>
  </si>
  <si>
    <t xml:space="preserve">39222 / 47638 </t>
  </si>
  <si>
    <t xml:space="preserve">38610 / 46918 </t>
  </si>
  <si>
    <t xml:space="preserve">Movement City Life - +55 (11) 94790-3497 </t>
  </si>
  <si>
    <t xml:space="preserve">38095 / 46264 </t>
  </si>
  <si>
    <t xml:space="preserve">Ricardo - +55 (11) 91202-0041 </t>
  </si>
  <si>
    <t xml:space="preserve">39125 / 47546 </t>
  </si>
  <si>
    <t xml:space="preserve">Leandro Freire Ventura - +55 (11) 97690-4016 </t>
  </si>
  <si>
    <t>13/04/2026 09:57 (3 dia(s) de atraso)</t>
  </si>
  <si>
    <t xml:space="preserve">40009 / 48615 </t>
  </si>
  <si>
    <t xml:space="preserve">Paty - +55 (11) 99500-0955 </t>
  </si>
  <si>
    <t>Sinalização - ACM</t>
  </si>
  <si>
    <t xml:space="preserve">38772 / 47108 </t>
  </si>
  <si>
    <t>VINIL + PS 2mm</t>
  </si>
  <si>
    <t xml:space="preserve">38230 / 46447 </t>
  </si>
  <si>
    <t xml:space="preserve">Márcia - +55 (11) 99702-6135 </t>
  </si>
  <si>
    <t xml:space="preserve">38896 / 47279 </t>
  </si>
  <si>
    <t xml:space="preserve">Regina - +55 (13) 3357-4557 </t>
  </si>
  <si>
    <t xml:space="preserve">39635 / 48175 </t>
  </si>
  <si>
    <t xml:space="preserve">Will Cases - +55 (16) 9159-3823 </t>
  </si>
  <si>
    <t xml:space="preserve">40138 / 48805 </t>
  </si>
  <si>
    <t xml:space="preserve">ADM - +55 (21) 3824-8888 </t>
  </si>
  <si>
    <t>SITE#15629</t>
  </si>
  <si>
    <t xml:space="preserve">39338 / 47824 </t>
  </si>
  <si>
    <t xml:space="preserve">Jhonny Stevan Silva - +55 (14) 9973-5384 </t>
  </si>
  <si>
    <t>SITE*15388</t>
  </si>
  <si>
    <t xml:space="preserve">39057 / 47471 </t>
  </si>
  <si>
    <t xml:space="preserve">Paula Fernanda Butzen - +55 (51) 99675-4855 </t>
  </si>
  <si>
    <t>Sinalização*15292</t>
  </si>
  <si>
    <t>01/04/2026 14:48 (2 dia(s) de atraso)</t>
  </si>
  <si>
    <t xml:space="preserve">38201 / 46394 </t>
  </si>
  <si>
    <t xml:space="preserve">Anastacio Araujo Neto - +55 (85) 3484-7486 </t>
  </si>
  <si>
    <t>Sinalização*15055</t>
  </si>
  <si>
    <t xml:space="preserve">39604 / 48147 </t>
  </si>
  <si>
    <t xml:space="preserve">Jeferson Degaspari - +55 (34) 99950-5119 </t>
  </si>
  <si>
    <t>SITE*15427</t>
  </si>
  <si>
    <t xml:space="preserve">38830 / 47193 </t>
  </si>
  <si>
    <t xml:space="preserve">MAKEL - +55 (11) 4566-5586 </t>
  </si>
  <si>
    <t>PS 1mm + aluminio</t>
  </si>
  <si>
    <t xml:space="preserve">38988 / 47288 </t>
  </si>
  <si>
    <t xml:space="preserve">39833 / 48409 </t>
  </si>
  <si>
    <t xml:space="preserve">Isaque Guanabara - +55 (11) 98247-4141 </t>
  </si>
  <si>
    <t xml:space="preserve">38713 / 47025 </t>
  </si>
  <si>
    <t xml:space="preserve">Reinaldo Essado - +55 (19) 97412-0089 </t>
  </si>
  <si>
    <t>23/03/2026 10:18 (10 dia(s) de atraso)</t>
  </si>
  <si>
    <t xml:space="preserve">38904 / 47287 </t>
  </si>
  <si>
    <t xml:space="preserve">Michele - +55 (19) 99705-3193 </t>
  </si>
  <si>
    <t xml:space="preserve">39768 / 48330 </t>
  </si>
  <si>
    <t xml:space="preserve">Maria Cristina Costa Ferreira - +55 (31) 9995-9204 </t>
  </si>
  <si>
    <t>SITE#15506</t>
  </si>
  <si>
    <t xml:space="preserve">39842 / 48426 </t>
  </si>
  <si>
    <t xml:space="preserve">BEATRIZ DUARTE TRENTIN - +55 (19) 9920-8719 </t>
  </si>
  <si>
    <t>SITE#15534</t>
  </si>
  <si>
    <t>27/05/2026 17:43 (7 dia(s) de atraso)</t>
  </si>
  <si>
    <t xml:space="preserve">38174 / 46239 </t>
  </si>
  <si>
    <t xml:space="preserve">Compras Fernandopolis - +55 (17) 99762-6597 </t>
  </si>
  <si>
    <t xml:space="preserve">38235 / 46453 </t>
  </si>
  <si>
    <t xml:space="preserve">LA Prime Clinic - +55 (11) 2217-0084 </t>
  </si>
  <si>
    <t>Sinalização*15062</t>
  </si>
  <si>
    <t xml:space="preserve">39673 / 48212 </t>
  </si>
  <si>
    <t xml:space="preserve">Jaderson Teles - +55 (11) 95551-9981 </t>
  </si>
  <si>
    <t xml:space="preserve">38613 / 46922 </t>
  </si>
  <si>
    <t xml:space="preserve">André Fass - +55 (19) 99787-8624 </t>
  </si>
  <si>
    <t>08/04/2026 18:15 (29 dia(s) de atraso)</t>
  </si>
  <si>
    <t xml:space="preserve">38786 / 47128 </t>
  </si>
  <si>
    <t xml:space="preserve">ATACAREJO ECOM LTDA - +55 (19) 9234-6817 </t>
  </si>
  <si>
    <t>SINALIZAÇÃO*15220</t>
  </si>
  <si>
    <t>18/03/2026 16:50 (6 dia(s) de atraso)</t>
  </si>
  <si>
    <t xml:space="preserve">39104 / 47531 </t>
  </si>
  <si>
    <t xml:space="preserve">Rosali Marques - (00)00000-0000 </t>
  </si>
  <si>
    <t>Sinalização*15301</t>
  </si>
  <si>
    <t>07/04/2026 16:28 (4 dia(s) de atraso)</t>
  </si>
  <si>
    <t xml:space="preserve">39755 / 48307 </t>
  </si>
  <si>
    <t xml:space="preserve">40075 / 48715 </t>
  </si>
  <si>
    <t>08/06/2026 18:34 (6 dia(s) de atraso)</t>
  </si>
  <si>
    <t xml:space="preserve">39231 / 47671 </t>
  </si>
  <si>
    <t xml:space="preserve">Marcelly Ramos AJala - +55 (61) 99314-9643 </t>
  </si>
  <si>
    <t>Sinalização*15350</t>
  </si>
  <si>
    <t xml:space="preserve">39083 / 47440 </t>
  </si>
  <si>
    <t xml:space="preserve">Urika - +55 (19) 98191-8469 </t>
  </si>
  <si>
    <t>13/04/2026 11:19 (5 dia(s) de atraso)</t>
  </si>
  <si>
    <t xml:space="preserve">38410 / 46665 </t>
  </si>
  <si>
    <t xml:space="preserve">Flavio Augusto Rodrigues Rocha - +55 (31) 99802-8299 </t>
  </si>
  <si>
    <t>Sinalização*15113</t>
  </si>
  <si>
    <t xml:space="preserve">39050 / 47463 </t>
  </si>
  <si>
    <t xml:space="preserve">Aline Carneiro Lauria - +55 (21) 99367-4178 </t>
  </si>
  <si>
    <t>Sinalização*15268</t>
  </si>
  <si>
    <t xml:space="preserve">39479 / 47991 </t>
  </si>
  <si>
    <t xml:space="preserve">PATRICK JOANATAN GONCALVES QUEIROZ - +55 (18) 98131-2965 </t>
  </si>
  <si>
    <t>SITE*15429</t>
  </si>
  <si>
    <t xml:space="preserve">37738 / 45788 </t>
  </si>
  <si>
    <t xml:space="preserve">S. Maçonilio - +55 (11) 98897-2212 </t>
  </si>
  <si>
    <t xml:space="preserve">37841 / 45933 </t>
  </si>
  <si>
    <t xml:space="preserve">Cristian Parada - +55 (11) 97676-7720 </t>
  </si>
  <si>
    <t xml:space="preserve">39696 / 47033 </t>
  </si>
  <si>
    <t xml:space="preserve">Jose - +55 212 765 114 </t>
  </si>
  <si>
    <t xml:space="preserve">39880 / 48447 </t>
  </si>
  <si>
    <t>29/05/2026 15:01 (4 dia(s) de atraso)</t>
  </si>
  <si>
    <t xml:space="preserve">40130 / 48794 </t>
  </si>
  <si>
    <t xml:space="preserve">Deise Bertho - +55 (11) 97456-9204 </t>
  </si>
  <si>
    <t>11/06/2026 12:23 (2 dia(s) de atraso)</t>
  </si>
  <si>
    <t xml:space="preserve">38455 / 46737 </t>
  </si>
  <si>
    <t xml:space="preserve">Luís Carlos - +55 (19) 98825-2944 </t>
  </si>
  <si>
    <t>Acrilico Branco</t>
  </si>
  <si>
    <t xml:space="preserve">38150 / 46335 </t>
  </si>
  <si>
    <t>11/02/2026 18:12 (5 dia(s) de atraso)</t>
  </si>
  <si>
    <t xml:space="preserve">38327 / 46506 </t>
  </si>
  <si>
    <t xml:space="preserve">Fertybio - José Pedro - +55 (43) 8870-2381 </t>
  </si>
  <si>
    <t xml:space="preserve">38634 / 46955 </t>
  </si>
  <si>
    <t xml:space="preserve">Gabriel Rodrigues De Araujo - +55 (51) 99947-6004 </t>
  </si>
  <si>
    <t xml:space="preserve">38957 / 47345 </t>
  </si>
  <si>
    <t xml:space="preserve">Ricardo Capovila - +55 (19) 99399-4439 </t>
  </si>
  <si>
    <t xml:space="preserve">38987 / 47202 </t>
  </si>
  <si>
    <t xml:space="preserve">Jacksoncesardamotta - +55 (11) 97704-2179 </t>
  </si>
  <si>
    <t xml:space="preserve">39384 / 47881 </t>
  </si>
  <si>
    <t xml:space="preserve">Compras - +55 (19) 99221-5852 </t>
  </si>
  <si>
    <t>29/04/2026 17:33 (1 dia(s) de atraso)</t>
  </si>
  <si>
    <t xml:space="preserve">39484 / 47995 </t>
  </si>
  <si>
    <t xml:space="preserve">Eduardo - +55 (11) 99857-9337 </t>
  </si>
  <si>
    <t xml:space="preserve">39576 / 48101 </t>
  </si>
  <si>
    <t xml:space="preserve">Rodrigo Giorno - +55 (11) 94979-8656 </t>
  </si>
  <si>
    <t xml:space="preserve">39630 / 48092 </t>
  </si>
  <si>
    <t xml:space="preserve">ELI &amp; DAMIANI - +55 (19) 99933-5253 </t>
  </si>
  <si>
    <t xml:space="preserve">40129 / 48729 </t>
  </si>
  <si>
    <t xml:space="preserve">Jacqueline Qualidade - +55 (19) 98231-1332 </t>
  </si>
  <si>
    <t>VINIL ADESIVO JATEADO AUTOCOLANTE</t>
  </si>
  <si>
    <t>10/06/2026 15:19 (5 dia(s) de atraso)</t>
  </si>
  <si>
    <t xml:space="preserve">38114 / 46291 </t>
  </si>
  <si>
    <t xml:space="preserve">MARCIO LEME DE PAULA - +55 (17) 9816-1958 </t>
  </si>
  <si>
    <t>Sinalização*15026</t>
  </si>
  <si>
    <t>06/02/2026 16:13 (2 dia(s) de atraso)</t>
  </si>
  <si>
    <t xml:space="preserve">39733 / 48277 </t>
  </si>
  <si>
    <t xml:space="preserve">Lucimara Aparecida Oliveira - +55 (19) 99418-5218 </t>
  </si>
  <si>
    <t>Gabarito PCD</t>
  </si>
  <si>
    <t xml:space="preserve">40090 / 48738 </t>
  </si>
  <si>
    <t xml:space="preserve">38906 / 47218 </t>
  </si>
  <si>
    <t>Sinalização/ IPLACAS - O/C 009540</t>
  </si>
  <si>
    <t>31/03/2026 17:35 (6 dia(s) de atraso)</t>
  </si>
  <si>
    <t xml:space="preserve">39757 / 48305 </t>
  </si>
  <si>
    <t xml:space="preserve">Patricia Xavier - +55 (11) 98809-1955 </t>
  </si>
  <si>
    <t xml:space="preserve">38722 / 47030 </t>
  </si>
  <si>
    <t>20/03/2026 15:12 (7 dia(s) de atraso)</t>
  </si>
  <si>
    <t xml:space="preserve">37847 / 45938 </t>
  </si>
  <si>
    <t xml:space="preserve">Compras - +55 (11) 94513-2156 </t>
  </si>
  <si>
    <t xml:space="preserve">38594 / 46878 </t>
  </si>
  <si>
    <t xml:space="preserve">Ana C. - +55 (11) 95430-8591 </t>
  </si>
  <si>
    <t xml:space="preserve">38008 / 46151 </t>
  </si>
  <si>
    <t xml:space="preserve">Paulo Afonso Pinto Do Santos - +55 (11) 99635-6759 </t>
  </si>
  <si>
    <t xml:space="preserve">39256 / 47692 </t>
  </si>
  <si>
    <t xml:space="preserve">Mario - +55 (11) 9637-5327 </t>
  </si>
  <si>
    <t>20/04/2026 14:50 (5 dia(s) de atraso)</t>
  </si>
  <si>
    <t xml:space="preserve">39548 / 48067 </t>
  </si>
  <si>
    <t xml:space="preserve">Luciana de Souza Pereira - +55 199 711 548 </t>
  </si>
  <si>
    <t xml:space="preserve">38649 / 46972 </t>
  </si>
  <si>
    <t xml:space="preserve">Secretária escolar - +55 (19) 99794-6748 </t>
  </si>
  <si>
    <t xml:space="preserve">38061 / 46218 </t>
  </si>
  <si>
    <t xml:space="preserve">IVERSON SANTOS - +55 (41) 8811-4025 </t>
  </si>
  <si>
    <t>Sinalização*15013</t>
  </si>
  <si>
    <t>13/02/2026 15:47 (14 dia(s) de atraso)</t>
  </si>
  <si>
    <t xml:space="preserve">38664 / 46958 </t>
  </si>
  <si>
    <t xml:space="preserve">Renato Sales - +55 (19) 99911-1990 </t>
  </si>
  <si>
    <t>PS 2mm+VINIL BRANCO E TRANSPARENTE</t>
  </si>
  <si>
    <t>01/04/2026 17:53 (20 dia(s) de atraso)</t>
  </si>
  <si>
    <t xml:space="preserve">39678 / 48218 </t>
  </si>
  <si>
    <t>SITE*15473</t>
  </si>
  <si>
    <t xml:space="preserve">37737 / 45802 </t>
  </si>
  <si>
    <t>19/01/2026 16:49 (10 dia(s) de atraso)</t>
  </si>
  <si>
    <t xml:space="preserve">38171 / 46360 </t>
  </si>
  <si>
    <t>04/02/2026 15:55 (1 dia(s) de atraso)</t>
  </si>
  <si>
    <t xml:space="preserve">38782 / 47125 </t>
  </si>
  <si>
    <t>SINALIZAÇÃO*POLIONDA</t>
  </si>
  <si>
    <t xml:space="preserve">38956 / 45720 </t>
  </si>
  <si>
    <t xml:space="preserve">Luciana Maso - +55 (19) 99580-6836 </t>
  </si>
  <si>
    <t>02/04/2026 17:04 (6 dia(s) de atraso)</t>
  </si>
  <si>
    <t xml:space="preserve">39515 / 48039 </t>
  </si>
  <si>
    <t xml:space="preserve">Lizandro de Andrade Teles - +55 (88) 98112-4488 </t>
  </si>
  <si>
    <t>SITE*15442</t>
  </si>
  <si>
    <t xml:space="preserve">39748 / 48290 </t>
  </si>
  <si>
    <t xml:space="preserve">Marcelo - +55 (19) 99439-6566 </t>
  </si>
  <si>
    <t xml:space="preserve">38821 / 47179 </t>
  </si>
  <si>
    <t xml:space="preserve">38757 / 47094 </t>
  </si>
  <si>
    <t xml:space="preserve">Larissa Deiróz - +55 (19) 98816-1822 </t>
  </si>
  <si>
    <t xml:space="preserve">40036 / 48656 </t>
  </si>
  <si>
    <t>Sinalização*PS</t>
  </si>
  <si>
    <t xml:space="preserve">40037 / 48657 </t>
  </si>
  <si>
    <t xml:space="preserve">37777 / 45857 </t>
  </si>
  <si>
    <t xml:space="preserve">Mazivania Monteiro - +55 (21) 98343-6168 </t>
  </si>
  <si>
    <t xml:space="preserve">38969 / 47285 </t>
  </si>
  <si>
    <t xml:space="preserve">. - +55 (19) 99919-6706 </t>
  </si>
  <si>
    <t>PS 2mm c/ sistema deslizante + PS 2mm*5601</t>
  </si>
  <si>
    <t xml:space="preserve">38139 / 46317 </t>
  </si>
  <si>
    <t xml:space="preserve">Metal Art Car Funilaria E Pintura - +55 (19) 98975-8298 </t>
  </si>
  <si>
    <t xml:space="preserve">38637 / 46941 </t>
  </si>
  <si>
    <t xml:space="preserve">Hugo Vinícius - +55 (11) 93364-1508 </t>
  </si>
  <si>
    <t xml:space="preserve">37953 / 46061 </t>
  </si>
  <si>
    <t xml:space="preserve">Adriano Lacerda - +55 (11) 99757-9887 </t>
  </si>
  <si>
    <t xml:space="preserve">38156 / 46340 </t>
  </si>
  <si>
    <t xml:space="preserve">Edgard - Grupo MAIER - +55 (51) 19999-6809 </t>
  </si>
  <si>
    <t>13/02/2026 15:45 (3 dia(s) de atraso)</t>
  </si>
  <si>
    <t xml:space="preserve">38166 / 46355 </t>
  </si>
  <si>
    <t xml:space="preserve">Pâmela Salzani - +55 (19) 97405-6747 </t>
  </si>
  <si>
    <t xml:space="preserve">38178 / 46364 </t>
  </si>
  <si>
    <t>18/02/2026 17:14 (7 dia(s) de atraso)</t>
  </si>
  <si>
    <t xml:space="preserve">38270 / 46464 </t>
  </si>
  <si>
    <t xml:space="preserve">38374 / 46612 </t>
  </si>
  <si>
    <t xml:space="preserve">38396 / 46647 </t>
  </si>
  <si>
    <t xml:space="preserve">Sheila Inês Caetano Pereira - +55 (31) 9189-4423 </t>
  </si>
  <si>
    <t>ACM+VINIL</t>
  </si>
  <si>
    <t xml:space="preserve">38487 / 46762 </t>
  </si>
  <si>
    <t xml:space="preserve">Adm - +55 (19) 3226-8555 </t>
  </si>
  <si>
    <t xml:space="preserve">38493 / 46720 </t>
  </si>
  <si>
    <t>PS 2mm*08/040451</t>
  </si>
  <si>
    <t xml:space="preserve">38672 / 47005 </t>
  </si>
  <si>
    <t xml:space="preserve">Sandra - +55 (19) 98968-9627 </t>
  </si>
  <si>
    <t>CAVALETE</t>
  </si>
  <si>
    <t xml:space="preserve">39089 / 47512 </t>
  </si>
  <si>
    <t xml:space="preserve">Larissa SD - +55 (16) 99149-4048 </t>
  </si>
  <si>
    <t xml:space="preserve">39177 / 47606 </t>
  </si>
  <si>
    <t xml:space="preserve">Terraço Anália Franco - +55 (11) 2268-2504 </t>
  </si>
  <si>
    <t xml:space="preserve">39431 / 47937 </t>
  </si>
  <si>
    <t xml:space="preserve">Bibist - +55 (11) 99951-8455 </t>
  </si>
  <si>
    <t xml:space="preserve">39466 / 47642 </t>
  </si>
  <si>
    <t xml:space="preserve">39532 / 48037 </t>
  </si>
  <si>
    <t xml:space="preserve">Rogerio - +55 (11) 94750-1144 </t>
  </si>
  <si>
    <t xml:space="preserve">39539 / 48059 </t>
  </si>
  <si>
    <t xml:space="preserve">VILLANOVA - +55 (11) 94476-4406 </t>
  </si>
  <si>
    <t xml:space="preserve">39861 / 48442 </t>
  </si>
  <si>
    <t xml:space="preserve">Tatiane - +55 (11) 99713-3518 </t>
  </si>
  <si>
    <t xml:space="preserve">39911 / 48505 </t>
  </si>
  <si>
    <t xml:space="preserve">Alexandre Amaral - +55 (19) 99813-2002 </t>
  </si>
  <si>
    <t xml:space="preserve">40108 / 48764 </t>
  </si>
  <si>
    <t xml:space="preserve">Simone de Fátima Cavallaro - +55 (11) 9738-9144 </t>
  </si>
  <si>
    <t>SITE#15624</t>
  </si>
  <si>
    <t>05/06/2026 11:51 (2 dia(s) de atraso)</t>
  </si>
  <si>
    <t xml:space="preserve">37921 / 46029 </t>
  </si>
  <si>
    <t xml:space="preserve">ALECIO CAVALLI - +55 (19) 98222-0600 </t>
  </si>
  <si>
    <t>Sinalização*14988</t>
  </si>
  <si>
    <t xml:space="preserve">37993 / 46130 </t>
  </si>
  <si>
    <t xml:space="preserve">Segurança do Trabalho Logmam - +55 (11) 98382-9870 </t>
  </si>
  <si>
    <t xml:space="preserve">39420 / 47877 </t>
  </si>
  <si>
    <t xml:space="preserve">37920 / 46026 </t>
  </si>
  <si>
    <t xml:space="preserve">RODRIGO LUIZ MULLER - +55 (51) 3472-1323 </t>
  </si>
  <si>
    <t>Sinalização*14987</t>
  </si>
  <si>
    <t>23/01/2026 16:41 (2 dia(s) de atraso)</t>
  </si>
  <si>
    <t xml:space="preserve">39235 / 47538 </t>
  </si>
  <si>
    <t>13/04/2026 11:20 (3 dia(s) de atraso)</t>
  </si>
  <si>
    <t xml:space="preserve">39333 / 45504 </t>
  </si>
  <si>
    <t xml:space="preserve">Rodrigo Dos Santos Cruz - +55 (19) 98290-4748 </t>
  </si>
  <si>
    <t xml:space="preserve">39564 / 48095 </t>
  </si>
  <si>
    <t xml:space="preserve">Simone Alves - +55 (11) 4193-8180 </t>
  </si>
  <si>
    <t>SITE*15446</t>
  </si>
  <si>
    <t xml:space="preserve">38745 / 47084 </t>
  </si>
  <si>
    <t xml:space="preserve">Natalie Macedo - +55 (19) 98292-5218 </t>
  </si>
  <si>
    <t>Sinalização*15207</t>
  </si>
  <si>
    <t>18/03/2026 18:03 (5 dia(s) de atraso)</t>
  </si>
  <si>
    <t xml:space="preserve">39396 / 47902 </t>
  </si>
  <si>
    <t xml:space="preserve">Claudio Penna - +55 (21) 9806-2618 </t>
  </si>
  <si>
    <t>SITE*15403</t>
  </si>
  <si>
    <t xml:space="preserve">39378 / 47869 </t>
  </si>
  <si>
    <t xml:space="preserve">Supley Laboratorio - +55 (16) 99629-5314 </t>
  </si>
  <si>
    <t>SITE*15397</t>
  </si>
  <si>
    <t xml:space="preserve">38428 / 46692 </t>
  </si>
  <si>
    <t xml:space="preserve">Wilson Cardozo - +55 (11) 98122-0234 </t>
  </si>
  <si>
    <t>Sinalização*15114</t>
  </si>
  <si>
    <t>03/03/2026 14:46 (12 dia(s) de atraso)</t>
  </si>
  <si>
    <t xml:space="preserve">38496 / 46792 </t>
  </si>
  <si>
    <t xml:space="preserve">Lilian - +55 (11) 3555-2023 </t>
  </si>
  <si>
    <t>Sinalização*15121</t>
  </si>
  <si>
    <t xml:space="preserve">38849 / 47222 </t>
  </si>
  <si>
    <t xml:space="preserve">ÁGUAS DE CABREÚVA COMERCIAL LTDA - (00)00000-0000 </t>
  </si>
  <si>
    <t>Sinalização*15235</t>
  </si>
  <si>
    <t>23/03/2026 16:59 (5 dia(s) de atraso)</t>
  </si>
  <si>
    <t xml:space="preserve">38989 / 47391 </t>
  </si>
  <si>
    <t xml:space="preserve">Clube Piratiniga - +55 (11) 96436-7986 </t>
  </si>
  <si>
    <t>Sinalização*15276</t>
  </si>
  <si>
    <t xml:space="preserve">39245 / 47685 </t>
  </si>
  <si>
    <t xml:space="preserve">José Adilson Tavernaro - +55 (11) 9991-6525 </t>
  </si>
  <si>
    <t>Sinalização*15353</t>
  </si>
  <si>
    <t xml:space="preserve">37808 / 45894 </t>
  </si>
  <si>
    <t>Sinalização*14954</t>
  </si>
  <si>
    <t>19/01/2026 16:50 (4 dia(s) de atraso)</t>
  </si>
  <si>
    <t xml:space="preserve">38376 / 46619 </t>
  </si>
  <si>
    <t xml:space="preserve">Carla Pardi - +55 (11) 98784-6720 </t>
  </si>
  <si>
    <t xml:space="preserve">39472 / 47981 </t>
  </si>
  <si>
    <t xml:space="preserve">Dimebras Distribuidora De Medicamentos Brasil Ltda - +55 (45) 3224-1834 </t>
  </si>
  <si>
    <t>SITE*15420</t>
  </si>
  <si>
    <t>27/04/2026 14:42 (3 dia(s) de atraso)</t>
  </si>
  <si>
    <t xml:space="preserve">39228 / 47667 </t>
  </si>
  <si>
    <t xml:space="preserve">Condomínio do Edificio Banguê - +55 (81) 99243-0132 </t>
  </si>
  <si>
    <t>Sinalização*15345</t>
  </si>
  <si>
    <t>13/04/2026 11:20 (4 dia(s) de atraso)</t>
  </si>
  <si>
    <t xml:space="preserve">38864 / 46786 </t>
  </si>
  <si>
    <t xml:space="preserve">Lucas Moraes - +55 (11) 3041-3125 </t>
  </si>
  <si>
    <t>Placas Sinalização - O/C 617251</t>
  </si>
  <si>
    <t>01/04/2026 14:47 (8 dia(s) de atraso)</t>
  </si>
  <si>
    <t xml:space="preserve">39170 / 47511 </t>
  </si>
  <si>
    <t xml:space="preserve">Beatris Ciccone - +55 (11) 3146-9371 </t>
  </si>
  <si>
    <t>13/04/2026 11:21 (3 dia(s) de atraso)</t>
  </si>
  <si>
    <t xml:space="preserve">39739 / 48295 </t>
  </si>
  <si>
    <t>25/05/2026 17:50 (10 dia(s) de atraso)</t>
  </si>
  <si>
    <t xml:space="preserve">39703 / 48237 </t>
  </si>
  <si>
    <t>25/05/2026 17:50 (14 dia(s) de atraso)</t>
  </si>
  <si>
    <t xml:space="preserve">39741 / 48297 </t>
  </si>
  <si>
    <t xml:space="preserve">40061 / 48698 </t>
  </si>
  <si>
    <t>08/06/2026 18:43 (7 dia(s) de atraso)</t>
  </si>
  <si>
    <t xml:space="preserve">37986 / 46125 </t>
  </si>
  <si>
    <t xml:space="preserve">Mharvus João Barelli - +55 (11) 3032-2443 </t>
  </si>
  <si>
    <t>Sinalização*14999</t>
  </si>
  <si>
    <t>03/02/2026 14:43 (8 dia(s) de atraso)</t>
  </si>
  <si>
    <t xml:space="preserve">37977 / 45605 </t>
  </si>
  <si>
    <t>27/01/2026 09:47 (4 dia(s) de atraso)</t>
  </si>
  <si>
    <t xml:space="preserve">39643 / 48176 </t>
  </si>
  <si>
    <t xml:space="preserve">40027 / 48644 </t>
  </si>
  <si>
    <t xml:space="preserve">38164 / 46349 </t>
  </si>
  <si>
    <t>16/03/2026 17:08 (34 dia(s) de atraso)</t>
  </si>
  <si>
    <t xml:space="preserve">39315 / 47797 </t>
  </si>
  <si>
    <t xml:space="preserve">CONDOMINIO MANSAO PRINCIPADO DE MONACO - +55 (71) 9884-5105 </t>
  </si>
  <si>
    <t>SITE*15381</t>
  </si>
  <si>
    <t xml:space="preserve">38894 / 47277 </t>
  </si>
  <si>
    <t xml:space="preserve">LUCAS ARRAES SAMPAIO OLIVEIRA - +55 (81) 99967-8676 </t>
  </si>
  <si>
    <t>Sinalização*15246</t>
  </si>
  <si>
    <t xml:space="preserve">38277 / 46261 </t>
  </si>
  <si>
    <t xml:space="preserve">40088 / 48699 </t>
  </si>
  <si>
    <t xml:space="preserve">Chenandoa Silva - +55 (17) 3288-9935 </t>
  </si>
  <si>
    <t xml:space="preserve">39320 / 47805 </t>
  </si>
  <si>
    <t>16/04/2026 14:57 (1 dia(s) de atraso)</t>
  </si>
  <si>
    <t xml:space="preserve">38836 / 47200 </t>
  </si>
  <si>
    <t xml:space="preserve">Fabio - +55 (19) 3255-1717 </t>
  </si>
  <si>
    <t>VENDA BALCAO</t>
  </si>
  <si>
    <t xml:space="preserve">37901 / 46009 </t>
  </si>
  <si>
    <t xml:space="preserve">38173 / 46362 </t>
  </si>
  <si>
    <t xml:space="preserve">38549 / 46844 </t>
  </si>
  <si>
    <t xml:space="preserve">38512 / 46733 </t>
  </si>
  <si>
    <t>ALUMINIO C/BRAILE C/CURVATURA -PARA CORRIMÃO</t>
  </si>
  <si>
    <t xml:space="preserve">39350 / 47838 </t>
  </si>
  <si>
    <t xml:space="preserve">Kauam arlan da Silv - +55 (19) 98328-6518 </t>
  </si>
  <si>
    <t xml:space="preserve">39377 / 47722 </t>
  </si>
  <si>
    <t xml:space="preserve">Victoria (Zeladoria) - +55 (11) 4438-4388 </t>
  </si>
  <si>
    <t>ACM + PS 2mm -tipo bandeira</t>
  </si>
  <si>
    <t xml:space="preserve">39803 / 48369 </t>
  </si>
  <si>
    <t xml:space="preserve">Janaina - Gerente Predial - +55 (11) 91595-8986 </t>
  </si>
  <si>
    <t>22/05/2026 16:46 (2 dia(s) de atraso)</t>
  </si>
  <si>
    <t xml:space="preserve">39773 / 48335 </t>
  </si>
  <si>
    <t xml:space="preserve">Rodrigo Diogo Rebouças de Holanda - +55 (11) 94793-2963 </t>
  </si>
  <si>
    <t xml:space="preserve">39332 / 47639 </t>
  </si>
  <si>
    <t xml:space="preserve">Compras - T&amp;E Analítica - +55 (19) 99919-6706 </t>
  </si>
  <si>
    <t>PS 2mm*O/C 5639 / 5657</t>
  </si>
  <si>
    <t xml:space="preserve">39980 / 48586 </t>
  </si>
  <si>
    <t xml:space="preserve">BEATRIZ RODRIGUES - +55 (19) 3272-9606 </t>
  </si>
  <si>
    <t>Sinalização - Lona</t>
  </si>
  <si>
    <t xml:space="preserve">38034 / 46186 </t>
  </si>
  <si>
    <t>11/02/2026 18:16 (8 dia(s) de atraso)</t>
  </si>
  <si>
    <t xml:space="preserve">38228 / 46439 </t>
  </si>
  <si>
    <t xml:space="preserve">Rayza Nicácio Pereira - +55 (19) 98105-9102 </t>
  </si>
  <si>
    <t xml:space="preserve">40117 / 48740 </t>
  </si>
  <si>
    <t xml:space="preserve">Residencial Vila Verde - +55 (19) 97143-3180 </t>
  </si>
  <si>
    <t xml:space="preserve">37974 / 46082 </t>
  </si>
  <si>
    <t xml:space="preserve">Caroline Jullie Lopes Pena Aguiar - +55 (22) 98127-9807 </t>
  </si>
  <si>
    <t>12/02/2026 15:20 (13 dia(s) de atraso)</t>
  </si>
  <si>
    <t xml:space="preserve">40078 / 48719 </t>
  </si>
  <si>
    <t xml:space="preserve">PAULA REGINA PRICOLO - +55 (19) 9340-4595 </t>
  </si>
  <si>
    <t>SITE#15619</t>
  </si>
  <si>
    <t>05/06/2026 11:48 (3 dia(s) de atraso)</t>
  </si>
  <si>
    <t xml:space="preserve">39544 / 48066 </t>
  </si>
  <si>
    <t xml:space="preserve">Paolo Willians Rodrigues Mantovani - +55 (19) 97122-6043 </t>
  </si>
  <si>
    <t xml:space="preserve">40014 / 48625 </t>
  </si>
  <si>
    <t xml:space="preserve">SILVIA DEQUECH MACHADO - +55 (48) 9989-1571 </t>
  </si>
  <si>
    <t>SITE#15598</t>
  </si>
  <si>
    <t xml:space="preserve">39602 / 48145 </t>
  </si>
  <si>
    <t xml:space="preserve">Ana - +55 (19) 9220-1500 </t>
  </si>
  <si>
    <t>SITE*15468</t>
  </si>
  <si>
    <t xml:space="preserve">40111 / 48652 </t>
  </si>
  <si>
    <t>Adesivos Carrinhos - Chamado 201619</t>
  </si>
  <si>
    <t>05/06/2026 11:48 (2 dia(s) de atraso)</t>
  </si>
  <si>
    <t xml:space="preserve">38908 / 47295 </t>
  </si>
  <si>
    <t xml:space="preserve">Vania - +55 (19) 98119-2660 </t>
  </si>
  <si>
    <t xml:space="preserve">38591 / 46888 </t>
  </si>
  <si>
    <t xml:space="preserve">Daniel Cury Nunan Leite - +55 (31) 25552-6173 </t>
  </si>
  <si>
    <t>Sinalização*15163</t>
  </si>
  <si>
    <t xml:space="preserve">39760 / 48317 </t>
  </si>
  <si>
    <t xml:space="preserve">Edinho - +55 (19) 97403-0431 </t>
  </si>
  <si>
    <t>Sinalização - PS 2mm</t>
  </si>
  <si>
    <t xml:space="preserve">38160 / 46329 </t>
  </si>
  <si>
    <t>20/02/2026 15:00 (14 dia(s) de atraso)</t>
  </si>
  <si>
    <t xml:space="preserve">39247 / 47693 </t>
  </si>
  <si>
    <t>Placas em PS 2mm</t>
  </si>
  <si>
    <t>11/04/2026 08:08 (1 dia(s) de atraso)</t>
  </si>
  <si>
    <t xml:space="preserve">38246 / 46449 </t>
  </si>
  <si>
    <t xml:space="preserve">compras - +55 (11) 2615-0255 </t>
  </si>
  <si>
    <t xml:space="preserve">38250 / 46474 </t>
  </si>
  <si>
    <t xml:space="preserve">38454 / 46714 </t>
  </si>
  <si>
    <t xml:space="preserve">39389 / 47827 </t>
  </si>
  <si>
    <t xml:space="preserve">39467 / 47889 </t>
  </si>
  <si>
    <t xml:space="preserve">CONDOMINIO EDIFICIO GUANABARA - Renato - +55 (19) 99821-8116 </t>
  </si>
  <si>
    <t xml:space="preserve">39983 / 48510 </t>
  </si>
  <si>
    <t xml:space="preserve">My Shop Store - +55 (11) 91973-3221 </t>
  </si>
  <si>
    <t xml:space="preserve">40101 / 48739 </t>
  </si>
  <si>
    <t xml:space="preserve">38492 / 46761 </t>
  </si>
  <si>
    <t xml:space="preserve">Apl Mentalizações - +55 (11) 98185-7295 </t>
  </si>
  <si>
    <t xml:space="preserve">40013 / 48622 </t>
  </si>
  <si>
    <t xml:space="preserve">SANDRA PERRONI PRIETO - +55 (11) 9968-2991 </t>
  </si>
  <si>
    <t>SITE#15596</t>
  </si>
  <si>
    <t>29/05/2026 15:05 (1 dia(s) de atraso)</t>
  </si>
  <si>
    <t xml:space="preserve">38947 / 47331 </t>
  </si>
  <si>
    <t>23/03/2026 16:23 (3 dia(s) de atraso)</t>
  </si>
  <si>
    <t xml:space="preserve">38932 / 47292 </t>
  </si>
  <si>
    <t>01/04/2026 14:46 (6 dia(s) de atraso)</t>
  </si>
  <si>
    <t xml:space="preserve">39850 / 48436 </t>
  </si>
  <si>
    <t xml:space="preserve">Andrea Cristina Ladeira - +55 (11) 9919-4635 </t>
  </si>
  <si>
    <t>SITE#15544</t>
  </si>
  <si>
    <t xml:space="preserve">38136 / 46314 </t>
  </si>
  <si>
    <t xml:space="preserve">Helena - +55 (19) 3817-2008 </t>
  </si>
  <si>
    <t>Sinalização*15034</t>
  </si>
  <si>
    <t>05/03/2026 09:10 (30 dia(s) de atraso)</t>
  </si>
  <si>
    <t xml:space="preserve">39233 / 47673 </t>
  </si>
  <si>
    <t xml:space="preserve">Vivianne Hitomi Vakuda Mendola - +55 (11) 6488-7708 </t>
  </si>
  <si>
    <t>Sinalização*15352</t>
  </si>
  <si>
    <t>14/04/2026 15:16 (5 dia(s) de atraso)</t>
  </si>
  <si>
    <t xml:space="preserve">38141 / 46318 </t>
  </si>
  <si>
    <t xml:space="preserve">Dona Olivia - +55 (48) 9603-1182 </t>
  </si>
  <si>
    <t>Sinalização*15040</t>
  </si>
  <si>
    <t xml:space="preserve">40098 / 48757 </t>
  </si>
  <si>
    <t>08/06/2026 18:38 (5 dia(s) de atraso)</t>
  </si>
  <si>
    <t xml:space="preserve">39845 / 48271 </t>
  </si>
  <si>
    <t>Sinalização - Chamado 204613</t>
  </si>
  <si>
    <t xml:space="preserve">38939 / 47320 </t>
  </si>
  <si>
    <t>Sinalização*15258</t>
  </si>
  <si>
    <t xml:space="preserve">38218 / 46403 </t>
  </si>
  <si>
    <t xml:space="preserve">Maira Catena - +55 (11) 96449-1238 </t>
  </si>
  <si>
    <t>16/02/2026 11:30 (4 dia(s) de atraso)</t>
  </si>
  <si>
    <t xml:space="preserve">39929 / 48524 </t>
  </si>
  <si>
    <t xml:space="preserve">Waldir - +55 (19) 98116-4181 </t>
  </si>
  <si>
    <t xml:space="preserve">38556 / 46779 </t>
  </si>
  <si>
    <t>Chamado 190212</t>
  </si>
  <si>
    <t>04/03/2026 17:12 (1 dia(s) de atraso)</t>
  </si>
  <si>
    <t xml:space="preserve">39835 / 48403 </t>
  </si>
  <si>
    <t xml:space="preserve">Nathalia - +55 (19) 99311-2632 </t>
  </si>
  <si>
    <t>Troféu</t>
  </si>
  <si>
    <t>19/05/2026 16:49 (4 dia(s) de atraso)</t>
  </si>
  <si>
    <t xml:space="preserve">38272 / 46497 </t>
  </si>
  <si>
    <t xml:space="preserve">39099 / 47346 </t>
  </si>
  <si>
    <t xml:space="preserve">Henrique - Comprador - +55 (19) 98918-1989 </t>
  </si>
  <si>
    <t>PS 2mm - Crachá frente / verso + PS 2mm</t>
  </si>
  <si>
    <t>11/04/2026 08:08 (2 dia(s) de atraso)</t>
  </si>
  <si>
    <t xml:space="preserve">39240 / 47674 </t>
  </si>
  <si>
    <t xml:space="preserve">Giani Minussi - +55 (19) 98974-1919 </t>
  </si>
  <si>
    <t>Display L</t>
  </si>
  <si>
    <t xml:space="preserve">39786 / 48352 </t>
  </si>
  <si>
    <t xml:space="preserve">Paulo Gustavo Zanese - +55 (41) 9968-2177 </t>
  </si>
  <si>
    <t>SITE#15514</t>
  </si>
  <si>
    <t xml:space="preserve">39254 / 47690 </t>
  </si>
  <si>
    <t xml:space="preserve">Eliaquim Rocha - +55 (11) 3173-7397 </t>
  </si>
  <si>
    <t>Placas Sinalização- O/C 000105</t>
  </si>
  <si>
    <t>24/04/2026 14:31 (9 dia(s) de atraso)</t>
  </si>
  <si>
    <t xml:space="preserve">38802 / 47152 </t>
  </si>
  <si>
    <t xml:space="preserve">Jakeline Alves De Souza - +55 (18) 99686-8273 </t>
  </si>
  <si>
    <t>Sinalização*15223</t>
  </si>
  <si>
    <t xml:space="preserve">39585 / 48126 </t>
  </si>
  <si>
    <t xml:space="preserve">39301 / 47788 </t>
  </si>
  <si>
    <t xml:space="preserve">Breno Yuri - +55 (11) 99542-2911 </t>
  </si>
  <si>
    <t>Sinalização*balção</t>
  </si>
  <si>
    <t xml:space="preserve">38540 / 46835 </t>
  </si>
  <si>
    <t>Sinalização/ IPLACAS - O/C 115.875</t>
  </si>
  <si>
    <t>17/03/2026 15:53 (14 dia(s) de atraso)</t>
  </si>
  <si>
    <t xml:space="preserve">40030 / 48518 </t>
  </si>
  <si>
    <t>Sinalização/ IPLACAS - O/C 121.531</t>
  </si>
  <si>
    <t xml:space="preserve">39021 / 47420 </t>
  </si>
  <si>
    <t xml:space="preserve">Diego Duarte - +55 (19) 99731-2189 </t>
  </si>
  <si>
    <t>Sinalização*15283</t>
  </si>
  <si>
    <t xml:space="preserve">37881 / 45981 </t>
  </si>
  <si>
    <t xml:space="preserve">Horizontes Praças Residenciais - (00)00000-0000 </t>
  </si>
  <si>
    <t>Sinalização*14944</t>
  </si>
  <si>
    <t xml:space="preserve">37884 / 45984 </t>
  </si>
  <si>
    <t xml:space="preserve">APM EE ERICO DE ABREU SODRE - +55 (11) 5594-4610 </t>
  </si>
  <si>
    <t>Sinalização*14970</t>
  </si>
  <si>
    <t xml:space="preserve">39162 / 47421 </t>
  </si>
  <si>
    <t>Sinalização/ IPLACAS - O/C 118.405</t>
  </si>
  <si>
    <t xml:space="preserve">39470 / 47980 </t>
  </si>
  <si>
    <t xml:space="preserve">COND. EDIF. RESIDENCIAL ESPAÇO PAULISTA - +55 (11) 99881-3138 </t>
  </si>
  <si>
    <t>SITE*15406</t>
  </si>
  <si>
    <t xml:space="preserve">38859 / 47237 </t>
  </si>
  <si>
    <t xml:space="preserve">Marcelo dos Santos Teixeira - +55 (11) 4083-7648 </t>
  </si>
  <si>
    <t>Sinalização*15240</t>
  </si>
  <si>
    <t xml:space="preserve">37750 / 45817 </t>
  </si>
  <si>
    <t xml:space="preserve">REZEK FERREIRA INFORMATICA LTDA - +55 (31) 3319-1900 </t>
  </si>
  <si>
    <t>Sinalização*14930</t>
  </si>
  <si>
    <t xml:space="preserve">39681 / 48220 </t>
  </si>
  <si>
    <t xml:space="preserve">KARINA REIS FAVORETO - +55 (43) 99139-1717 </t>
  </si>
  <si>
    <t>SITE*15478</t>
  </si>
  <si>
    <t>08/05/2026 14:25 (2 dia(s) de atraso)</t>
  </si>
  <si>
    <t xml:space="preserve">37830 / 45924 </t>
  </si>
  <si>
    <t>Sinalização*PS1</t>
  </si>
  <si>
    <t>02/02/2026 15:22 (14 dia(s) de atraso)</t>
  </si>
  <si>
    <t xml:space="preserve">37831 / 45925 </t>
  </si>
  <si>
    <t xml:space="preserve">38780 / 47123 </t>
  </si>
  <si>
    <t>SINALIZAÇÃO*PS</t>
  </si>
  <si>
    <t>31/03/2026 17:34 (18 dia(s) de atraso)</t>
  </si>
  <si>
    <t xml:space="preserve">38781 / 47124 </t>
  </si>
  <si>
    <t xml:space="preserve">39442 / 47951 </t>
  </si>
  <si>
    <t xml:space="preserve">39443 / 47953 </t>
  </si>
  <si>
    <t>24/04/2026 14:31 (1 dia(s) de atraso)</t>
  </si>
  <si>
    <t xml:space="preserve">39590 / 48130 </t>
  </si>
  <si>
    <t>14/05/2026 15:28 (9 dia(s) de atraso)</t>
  </si>
  <si>
    <t xml:space="preserve">39591 / 48131 </t>
  </si>
  <si>
    <t>14/05/2026 15:29 (9 dia(s) de atraso)</t>
  </si>
  <si>
    <t xml:space="preserve">39171 / 47599 </t>
  </si>
  <si>
    <t xml:space="preserve">Adriana Goncalves - +55 (11) 94261-6657 </t>
  </si>
  <si>
    <t xml:space="preserve">37781 / 45849 </t>
  </si>
  <si>
    <t xml:space="preserve">Erick Stegun - (00)00000-0000 </t>
  </si>
  <si>
    <t>19/01/2026 16:50 (3 dia(s) de atraso)</t>
  </si>
  <si>
    <t xml:space="preserve">38500 / 46797 </t>
  </si>
  <si>
    <t xml:space="preserve">Leandro Santili - +55 (16) 3624-3552 </t>
  </si>
  <si>
    <t>Sinalização*15138</t>
  </si>
  <si>
    <t>25/05/2026 17:50 (21 dia(s) de atraso)</t>
  </si>
  <si>
    <t xml:space="preserve">39499 / 48015 </t>
  </si>
  <si>
    <t>14/05/2026 15:29 (17 dia(s) de atraso)</t>
  </si>
  <si>
    <t xml:space="preserve">39608 / 48150 </t>
  </si>
  <si>
    <t>08/06/2026 18:42 (34 dia(s) de atraso)</t>
  </si>
  <si>
    <t xml:space="preserve">39698 / 48231 </t>
  </si>
  <si>
    <t xml:space="preserve">40026 / 48638 </t>
  </si>
  <si>
    <t xml:space="preserve">Caroline Vitola - +55 (19) 99245-6906 </t>
  </si>
  <si>
    <t xml:space="preserve">37929 / 46040 </t>
  </si>
  <si>
    <t xml:space="preserve">38575 / 46869 </t>
  </si>
  <si>
    <t>05/03/2026 11:59 (3 dia(s) de atraso)</t>
  </si>
  <si>
    <t xml:space="preserve">38589 / 46884 </t>
  </si>
  <si>
    <t xml:space="preserve">39010 / 47411 </t>
  </si>
  <si>
    <t>22/04/2026 15:03 (26 dia(s) de atraso)</t>
  </si>
  <si>
    <t xml:space="preserve">38096 / 46204 </t>
  </si>
  <si>
    <t>Sinalização / O-C 0001477</t>
  </si>
  <si>
    <t xml:space="preserve">39566 / 48080 </t>
  </si>
  <si>
    <t xml:space="preserve">Atendimento Grupo CRFF Vila do Grão Piazza Romana Napolitano - +55 (19) 99360-3849 </t>
  </si>
  <si>
    <t xml:space="preserve">39810 / 47625 </t>
  </si>
  <si>
    <t xml:space="preserve">Paraiso Estética Automotivo - +55 (19) 99503-1364 </t>
  </si>
  <si>
    <t>PS 1mm - TAMPA PLACA</t>
  </si>
  <si>
    <t>26/05/2026 10:36 (5 dia(s) de atraso)</t>
  </si>
  <si>
    <t xml:space="preserve">39634 / 48177 </t>
  </si>
  <si>
    <t xml:space="preserve">Maxwell da Silva Paassaes Júnior - +55 (11) 9727-7741 </t>
  </si>
  <si>
    <t>Sinalização *1349</t>
  </si>
  <si>
    <t xml:space="preserve">39907 / 48398 </t>
  </si>
  <si>
    <t xml:space="preserve">Mariele Drews Persch - +55 (51) 99969-8184 </t>
  </si>
  <si>
    <t xml:space="preserve">38083 / 46241 </t>
  </si>
  <si>
    <t xml:space="preserve">38574 / 46868 </t>
  </si>
  <si>
    <t>05/03/2026 12:11 (6 dia(s) de atraso)</t>
  </si>
  <si>
    <t xml:space="preserve">39038 / 47445 </t>
  </si>
  <si>
    <t>10/04/2026 09:49 (14 dia(s) de atraso)</t>
  </si>
  <si>
    <t xml:space="preserve">40011 / 48620 </t>
  </si>
  <si>
    <t xml:space="preserve">Compras Maoli - +55 (11) 9933-3303 </t>
  </si>
  <si>
    <t>SITE#15595</t>
  </si>
  <si>
    <t xml:space="preserve">39686 / 48225 </t>
  </si>
  <si>
    <t xml:space="preserve">NATALIA GOMES - (00)00000-0000 </t>
  </si>
  <si>
    <t>SITE*15483</t>
  </si>
  <si>
    <t>08/05/2026 14:28 (2 dia(s) de atraso)</t>
  </si>
  <si>
    <t xml:space="preserve">38004 / 46150 </t>
  </si>
  <si>
    <t>12/02/2026 10:03 (20 dia(s) de atraso)</t>
  </si>
  <si>
    <t xml:space="preserve">37867 / 45960 </t>
  </si>
  <si>
    <t xml:space="preserve">Bruna ??? - +55 (11) 97519-7420 </t>
  </si>
  <si>
    <t>27/01/2026 17:50 (1 dia(s) de atraso)</t>
  </si>
  <si>
    <t>PS 1mm - Cuidado Cão Bravo Pitbull 30x20cm</t>
  </si>
  <si>
    <t>25/03/2026 16:11 (15 dia(s) de atraso)</t>
  </si>
  <si>
    <t>PS</t>
  </si>
  <si>
    <t>10/04/2026 09:51 (9 dia(s) de atraso)</t>
  </si>
  <si>
    <t xml:space="preserve">37801 / 45887 </t>
  </si>
  <si>
    <t>13/02/2026 15:45 (28 dia(s) de atraso)</t>
  </si>
  <si>
    <t xml:space="preserve">37827 / 45922 </t>
  </si>
  <si>
    <t xml:space="preserve">37871 / 45968 </t>
  </si>
  <si>
    <t>05/03/2026 12:11 (43 dia(s) de atraso)</t>
  </si>
  <si>
    <t xml:space="preserve">37875 / 45971 </t>
  </si>
  <si>
    <t xml:space="preserve">37937 / 46055 </t>
  </si>
  <si>
    <t xml:space="preserve">37989 / 46132 </t>
  </si>
  <si>
    <t>09/02/2026 15:42 (13 dia(s) de atraso)</t>
  </si>
  <si>
    <t xml:space="preserve">37990 / 46134 </t>
  </si>
  <si>
    <t>09/03/2026 15:14 (41 dia(s) de atraso)</t>
  </si>
  <si>
    <t xml:space="preserve">38206 / 46398 </t>
  </si>
  <si>
    <t xml:space="preserve">38243 / 46462 </t>
  </si>
  <si>
    <t>18/02/2026 14:46 (8 dia(s) de atraso)</t>
  </si>
  <si>
    <t xml:space="preserve">38400 / 46654 </t>
  </si>
  <si>
    <t>20/02/2026 14:58 (2 dia(s) de atraso)</t>
  </si>
  <si>
    <t xml:space="preserve">38425 / 46688 </t>
  </si>
  <si>
    <t>23/02/2026 15:09 (4 dia(s) de atraso)</t>
  </si>
  <si>
    <t xml:space="preserve">38426 / 46689 </t>
  </si>
  <si>
    <t>05/03/2026 12:11 (14 dia(s) de atraso)</t>
  </si>
  <si>
    <t xml:space="preserve">38449 / 46728 </t>
  </si>
  <si>
    <t>19/03/2026 15:02 (27 dia(s) de atraso)</t>
  </si>
  <si>
    <t xml:space="preserve">38495 / 46790 </t>
  </si>
  <si>
    <t>10/04/2026 09:49 (43 dia(s) de atraso)</t>
  </si>
  <si>
    <t xml:space="preserve">38515 / 46809 </t>
  </si>
  <si>
    <t>10/04/2026 09:51 (43 dia(s) de atraso)</t>
  </si>
  <si>
    <t xml:space="preserve">38546 / 46841 </t>
  </si>
  <si>
    <t>13/03/2026 15:10 (14 dia(s) de atraso)</t>
  </si>
  <si>
    <t xml:space="preserve">38547 / 46842 </t>
  </si>
  <si>
    <t>03/03/2026 14:46 (4 dia(s) de atraso)</t>
  </si>
  <si>
    <t xml:space="preserve">38573 / 46867 </t>
  </si>
  <si>
    <t>05/03/2026 12:11 (2 dia(s) de atraso)</t>
  </si>
  <si>
    <t xml:space="preserve">38641 / 46965 </t>
  </si>
  <si>
    <t>10/03/2026 12:03 (4 dia(s) de atraso)</t>
  </si>
  <si>
    <t xml:space="preserve">38800 / 47150 </t>
  </si>
  <si>
    <t xml:space="preserve">38889 / 47273 </t>
  </si>
  <si>
    <t>10/04/2026 09:51 (21 dia(s) de atraso)</t>
  </si>
  <si>
    <t xml:space="preserve">39098 / 47523 </t>
  </si>
  <si>
    <t>10/04/2026 09:50 (8 dia(s) de atraso)</t>
  </si>
  <si>
    <t xml:space="preserve">39242 / 47681 </t>
  </si>
  <si>
    <t>29/04/2026 17:33 (16 dia(s) de atraso)</t>
  </si>
  <si>
    <t xml:space="preserve">39359 / 47850 </t>
  </si>
  <si>
    <t xml:space="preserve">39360 / 47852 </t>
  </si>
  <si>
    <t xml:space="preserve">39445 / 47954 </t>
  </si>
  <si>
    <t xml:space="preserve">39446 / 47955 </t>
  </si>
  <si>
    <t>29/04/2026 17:32 (5 dia(s) de atraso)</t>
  </si>
  <si>
    <t xml:space="preserve">39500 / 48016 </t>
  </si>
  <si>
    <t xml:space="preserve">39523 / 48044 </t>
  </si>
  <si>
    <t xml:space="preserve">39524 / 48045 </t>
  </si>
  <si>
    <t>11/05/2026 16:59 (11 dia(s) de atraso)</t>
  </si>
  <si>
    <t xml:space="preserve">39526 / 48046 </t>
  </si>
  <si>
    <t>14/05/2026 15:29 (14 dia(s) de atraso)</t>
  </si>
  <si>
    <t xml:space="preserve">39527 / 48047 </t>
  </si>
  <si>
    <t xml:space="preserve">39586 / 48127 </t>
  </si>
  <si>
    <t xml:space="preserve">39587 / 48128 </t>
  </si>
  <si>
    <t>11/05/2026 16:59 (7 dia(s) de atraso)</t>
  </si>
  <si>
    <t xml:space="preserve">39588 / 48129 </t>
  </si>
  <si>
    <t>25/05/2026 17:47 (21 dia(s) de atraso)</t>
  </si>
  <si>
    <t xml:space="preserve">39609 / 48151 </t>
  </si>
  <si>
    <t>25/05/2026 17:48 (20 dia(s) de atraso)</t>
  </si>
  <si>
    <t xml:space="preserve">39610 / 48152 </t>
  </si>
  <si>
    <t xml:space="preserve">39611 / 48153 </t>
  </si>
  <si>
    <t>01/06/2026 18:55 (27 dia(s) de atraso)</t>
  </si>
  <si>
    <t xml:space="preserve">39654 / 48197 </t>
  </si>
  <si>
    <t xml:space="preserve">39655 / 48198 </t>
  </si>
  <si>
    <t xml:space="preserve">39656 / 48199 </t>
  </si>
  <si>
    <t>01/06/2026 18:55 (26 dia(s) de atraso)</t>
  </si>
  <si>
    <t xml:space="preserve">39657 / 48200 </t>
  </si>
  <si>
    <t xml:space="preserve">39687 / 48226 </t>
  </si>
  <si>
    <t xml:space="preserve">39701 / 48235 </t>
  </si>
  <si>
    <t>02/06/2026 17:10 (22 dia(s) de atraso)</t>
  </si>
  <si>
    <t xml:space="preserve">37991 / 46137 </t>
  </si>
  <si>
    <t>06/02/2026 16:39 (10 dia(s) de atraso)</t>
  </si>
  <si>
    <t xml:space="preserve">38545 / 46840 </t>
  </si>
  <si>
    <t xml:space="preserve">38844 / 47213 </t>
  </si>
  <si>
    <t>25/03/2026 16:11 (7 dia(s) de atraso)</t>
  </si>
  <si>
    <t xml:space="preserve">39037 / 47444 </t>
  </si>
  <si>
    <t>15/04/2026 17:23 (15 dia(s) de atraso)</t>
  </si>
  <si>
    <t xml:space="preserve">39097 / 47522 </t>
  </si>
  <si>
    <t>13/04/2026 16:37 (11 dia(s) de atraso)</t>
  </si>
  <si>
    <t xml:space="preserve">39239 / 47679 </t>
  </si>
  <si>
    <t>24/04/2026 14:31 (11 dia(s) de atraso)</t>
  </si>
  <si>
    <t xml:space="preserve">39612 / 48154 </t>
  </si>
  <si>
    <t>11/05/2026 16:59 (6 dia(s) de atraso)</t>
  </si>
  <si>
    <t xml:space="preserve">39658 / 48201 </t>
  </si>
  <si>
    <t>25/05/2026 17:49 (18 dia(s) de atraso)</t>
  </si>
  <si>
    <t xml:space="preserve">39728 / 48266 </t>
  </si>
  <si>
    <t xml:space="preserve">José Freitas de Almeida - +55 (11) 97334-8753 </t>
  </si>
  <si>
    <t>SITE*15495</t>
  </si>
  <si>
    <t xml:space="preserve">39871 / 48459 </t>
  </si>
  <si>
    <t xml:space="preserve">CONDOMÍNIO ESPANHA - +55 (11) 4524-3320 </t>
  </si>
  <si>
    <t>SITE#15543</t>
  </si>
  <si>
    <t>29/05/2026 15:00 (8 dia(s) de atraso)</t>
  </si>
  <si>
    <t xml:space="preserve">37988 / 46131 </t>
  </si>
  <si>
    <t xml:space="preserve">UNICRED DO BRASIL - +55 (11) 3355-3099 </t>
  </si>
  <si>
    <t>Sinalização*15001</t>
  </si>
  <si>
    <t xml:space="preserve">39894 / 48491 </t>
  </si>
  <si>
    <t xml:space="preserve">André Damião - +55 (21) 9994-6119 </t>
  </si>
  <si>
    <t>SITE#15565</t>
  </si>
  <si>
    <t xml:space="preserve">39111 / 47540 </t>
  </si>
  <si>
    <t xml:space="preserve">Compras - +55 (21) 97032-9192 </t>
  </si>
  <si>
    <t>14/04/2026 15:17 (6 dia(s) de atraso)</t>
  </si>
  <si>
    <t xml:space="preserve">37903 / 46006 </t>
  </si>
  <si>
    <t xml:space="preserve">Felipe - +55 (11) 98584-1189 </t>
  </si>
  <si>
    <t>28/01/2026 17:53 (1 dia(s) de atraso)</t>
  </si>
  <si>
    <t xml:space="preserve">38094 / 46262 </t>
  </si>
  <si>
    <t xml:space="preserve">Eduardo Marques Sophia - +55 (19) 98866-1551 </t>
  </si>
  <si>
    <t>09/02/2026 15:44 (3 dia(s) de atraso)</t>
  </si>
  <si>
    <t xml:space="preserve">38205 / 46391 </t>
  </si>
  <si>
    <t xml:space="preserve">Bismarck Monitoramento - +55 (19) 98194-9077 </t>
  </si>
  <si>
    <t>25/02/2026 16:27 (14 dia(s) de atraso)</t>
  </si>
  <si>
    <t xml:space="preserve">39005 / 47404 </t>
  </si>
  <si>
    <t xml:space="preserve">38065 / 46223 </t>
  </si>
  <si>
    <t>Sinalização*15014</t>
  </si>
  <si>
    <t xml:space="preserve">39538 / 48048 </t>
  </si>
  <si>
    <t xml:space="preserve">38318 / 46549 </t>
  </si>
  <si>
    <t>19/02/2026 14:15 (2 dia(s) de atraso)</t>
  </si>
  <si>
    <t xml:space="preserve">38691 / 47019 </t>
  </si>
  <si>
    <t xml:space="preserve">FISCAL - +55 (11) 3893-0000 </t>
  </si>
  <si>
    <t>Sinalização#15182</t>
  </si>
  <si>
    <t>13/03/2026 15:10 (4 dia(s) de atraso)</t>
  </si>
  <si>
    <t xml:space="preserve">39855 / 48431 </t>
  </si>
  <si>
    <t>01/06/2026 18:53 (6 dia(s) de atraso)</t>
  </si>
  <si>
    <t xml:space="preserve">39958 / 48562 </t>
  </si>
  <si>
    <t>SITE#15578</t>
  </si>
  <si>
    <t xml:space="preserve">37969 / 46067 </t>
  </si>
  <si>
    <t xml:space="preserve">Maíra Salazar - +55 (11) 98987-7944 </t>
  </si>
  <si>
    <t xml:space="preserve">38418 / 46680 </t>
  </si>
  <si>
    <t xml:space="preserve">Cassio Donato - +55 (19) 99429-6047 </t>
  </si>
  <si>
    <t xml:space="preserve">39767 / 48324 </t>
  </si>
  <si>
    <t>15/05/2026 17:04 (2 dia(s) de atraso)</t>
  </si>
  <si>
    <t xml:space="preserve">38510 / 46791 </t>
  </si>
  <si>
    <t xml:space="preserve">Fernando Bardou - +55 (19) 99179-6072 </t>
  </si>
  <si>
    <t>23/03/2026 10:18 (19 dia(s) de atraso)</t>
  </si>
  <si>
    <t xml:space="preserve">38577 / 46822 </t>
  </si>
  <si>
    <t xml:space="preserve">Sergio - +55 (21) 96426-0567 </t>
  </si>
  <si>
    <t xml:space="preserve">37887 / 45988 </t>
  </si>
  <si>
    <t xml:space="preserve">Condomínio Edifício Chateau Du Frontenac - +55 (19) 99823-1225 </t>
  </si>
  <si>
    <t>Sinalização*14978</t>
  </si>
  <si>
    <t xml:space="preserve">39143 / 47580 </t>
  </si>
  <si>
    <t xml:space="preserve">38918 / 47302 </t>
  </si>
  <si>
    <t xml:space="preserve">Ricardo Janes - +55 (11) 4707-4608 </t>
  </si>
  <si>
    <t>Sinalização*15250</t>
  </si>
  <si>
    <t xml:space="preserve">39403 / 47844 </t>
  </si>
  <si>
    <t xml:space="preserve">39190 / 47627 </t>
  </si>
  <si>
    <t xml:space="preserve">Carol - +55 (34) 9827-9476 </t>
  </si>
  <si>
    <t>13/04/2026 09:59 (7 dia(s) de atraso)</t>
  </si>
  <si>
    <t xml:space="preserve">38523 / 46778 </t>
  </si>
  <si>
    <t>04/03/2026 17:11 (2 dia(s) de atraso)</t>
  </si>
  <si>
    <t xml:space="preserve">38336 / 46579 </t>
  </si>
  <si>
    <t xml:space="preserve">Marcus Vinicius - +55 (11) 99982-4499 </t>
  </si>
  <si>
    <t>Sinalização*15087</t>
  </si>
  <si>
    <t xml:space="preserve">38929 / 47313 </t>
  </si>
  <si>
    <t xml:space="preserve">Compras - +55 (19) 99533-8102 </t>
  </si>
  <si>
    <t xml:space="preserve">38011 / 46128 </t>
  </si>
  <si>
    <t>Sinalização - O/C 107.879</t>
  </si>
  <si>
    <t>16/02/2026 11:30 (18 dia(s) de atraso)</t>
  </si>
  <si>
    <t xml:space="preserve">38860 / 47233 </t>
  </si>
  <si>
    <t xml:space="preserve">Sales - +55 (11) 99116-4581 </t>
  </si>
  <si>
    <t>01/04/2026 14:48 (7 dia(s) de atraso)</t>
  </si>
  <si>
    <t xml:space="preserve">39066 / 47461 </t>
  </si>
  <si>
    <t xml:space="preserve">Adm - +55 (19) 8137-8957 </t>
  </si>
  <si>
    <t xml:space="preserve">37941 / 46063 </t>
  </si>
  <si>
    <t xml:space="preserve">Henrique Arantes - +55 (11) 4673-4883 </t>
  </si>
  <si>
    <t>Sinalização*14995</t>
  </si>
  <si>
    <t xml:space="preserve">39700 / 48234 </t>
  </si>
  <si>
    <t>Sinalização*BOTÃO</t>
  </si>
  <si>
    <t>11/05/2026 16:58 (3 dia(s) de atraso)</t>
  </si>
  <si>
    <t xml:space="preserve">38586 / 46879 </t>
  </si>
  <si>
    <t xml:space="preserve">João Paulo Sangion - +55 (19) 98859-4459 </t>
  </si>
  <si>
    <t xml:space="preserve">39924 / 48525 </t>
  </si>
  <si>
    <t xml:space="preserve">PRISCILA CINTRA SOCOLOWSKI - +55 (19) 99777-5293 </t>
  </si>
  <si>
    <t>SITE#15581</t>
  </si>
  <si>
    <t xml:space="preserve">RICARDO PERREIRA - +55 (11) 9991-3856 </t>
  </si>
  <si>
    <t>Sinalização#15099</t>
  </si>
  <si>
    <t xml:space="preserve">37917 / 46022 </t>
  </si>
  <si>
    <t xml:space="preserve">MARINA ROLIM GIOSA CAMARGO - +55 (11) 99771-7023 </t>
  </si>
  <si>
    <t>Sinalização*14985</t>
  </si>
  <si>
    <t>28/01/2026 17:52 (6 dia(s) de atraso)</t>
  </si>
  <si>
    <t xml:space="preserve">39417 / 47919 </t>
  </si>
  <si>
    <t xml:space="preserve">João Henrique De Miranda - +55 (11) 9782-1637 </t>
  </si>
  <si>
    <t>SITE*15412</t>
  </si>
  <si>
    <t xml:space="preserve">39241 / 47680 </t>
  </si>
  <si>
    <t>20/04/2026 17:04 (7 dia(s) de atraso)</t>
  </si>
  <si>
    <t xml:space="preserve">40084 / 48733 </t>
  </si>
  <si>
    <t>Sinalização - LONA GATO</t>
  </si>
  <si>
    <t xml:space="preserve">37820 / 45904 </t>
  </si>
  <si>
    <t xml:space="preserve">38402 / 46656 </t>
  </si>
  <si>
    <t xml:space="preserve">--- - (00)00000-0000 </t>
  </si>
  <si>
    <t>Complemento Comandas</t>
  </si>
  <si>
    <t xml:space="preserve">38524 / 46657 </t>
  </si>
  <si>
    <t xml:space="preserve">RH MDG - +55 (19) 98952-7855 </t>
  </si>
  <si>
    <t>05/03/2026 17:36 (1 dia(s) de atraso)</t>
  </si>
  <si>
    <t xml:space="preserve">38749 / 47082 </t>
  </si>
  <si>
    <t xml:space="preserve">WLADIMIR GONÇALVES DE SOUZA - +55 (11) 97261-0839 </t>
  </si>
  <si>
    <t xml:space="preserve">38877 / 47189 </t>
  </si>
  <si>
    <t xml:space="preserve">(financeiro) - +55 (11) 8555-8738 </t>
  </si>
  <si>
    <t xml:space="preserve">38992 / 47394 </t>
  </si>
  <si>
    <t xml:space="preserve">Micaeli - +55 (19) 98347-0035 </t>
  </si>
  <si>
    <t xml:space="preserve">39770 / 48206 </t>
  </si>
  <si>
    <t xml:space="preserve">Serafim Soluções - +55 (11) 4817-7121 </t>
  </si>
  <si>
    <t>21/05/2026 18:54 (3 dia(s) de atraso)</t>
  </si>
  <si>
    <t xml:space="preserve">38260 / 46484 </t>
  </si>
  <si>
    <t xml:space="preserve">rubens berossa - +55 (11) 99952-6449 </t>
  </si>
  <si>
    <t>Sinalização*15070</t>
  </si>
  <si>
    <t xml:space="preserve">38739 / 47074 </t>
  </si>
  <si>
    <t xml:space="preserve">Jean Ribeiro do Prado - +55 (19) 98989-7626 </t>
  </si>
  <si>
    <t>Sinalização*15203</t>
  </si>
  <si>
    <t xml:space="preserve">39468 / 47866 </t>
  </si>
  <si>
    <t xml:space="preserve">Celso Haeitmann - +55 (19) 99781-1382 </t>
  </si>
  <si>
    <t>07/05/2026 18:12 (8 dia(s) de atraso)</t>
  </si>
  <si>
    <t xml:space="preserve">38089 / 46252 </t>
  </si>
  <si>
    <t>09/02/2026 15:43 (6 dia(s) de atraso)</t>
  </si>
  <si>
    <t xml:space="preserve">39938 / 48546 </t>
  </si>
  <si>
    <t xml:space="preserve">DORMETAL FERRAGENS LTDA - +55 (11) 3974-9464 </t>
  </si>
  <si>
    <t>SITE#15567</t>
  </si>
  <si>
    <t xml:space="preserve">39487 / 48005 </t>
  </si>
  <si>
    <t xml:space="preserve">CONDOMINIO RESIDENCIAL YUCATAN - +55 (67) 3029-8030 </t>
  </si>
  <si>
    <t>SITE*15433</t>
  </si>
  <si>
    <t xml:space="preserve">39776 / 48344 </t>
  </si>
  <si>
    <t>Sinalização - acrílico cristal</t>
  </si>
  <si>
    <t xml:space="preserve">39152 / 47581 </t>
  </si>
  <si>
    <t xml:space="preserve">39565 / 48079 </t>
  </si>
  <si>
    <t>14/05/2026 15:40 (6 dia(s) de atraso)</t>
  </si>
  <si>
    <t xml:space="preserve">39724 / 48257 </t>
  </si>
  <si>
    <t xml:space="preserve">40038 / 48658 </t>
  </si>
  <si>
    <t>PS 2mm + ACM / BALCÃO</t>
  </si>
  <si>
    <t xml:space="preserve">37853 / 45947 </t>
  </si>
  <si>
    <t xml:space="preserve">DIEGO FONSECA - +55 (21) 99753-5502 </t>
  </si>
  <si>
    <t>Sinalização*14964</t>
  </si>
  <si>
    <t>22/01/2026 16:04 (1 dia(s) de atraso)</t>
  </si>
  <si>
    <t xml:space="preserve">38618 / 46887 </t>
  </si>
  <si>
    <t xml:space="preserve">Glaucia - +55 (11) 4994-9126 </t>
  </si>
  <si>
    <t>23/03/2026 10:20 (17 dia(s) de atraso)</t>
  </si>
  <si>
    <t xml:space="preserve">39392 / 47892 </t>
  </si>
  <si>
    <t xml:space="preserve">Acqua Embalagens Ltda - +55 (31) 99871-7313 </t>
  </si>
  <si>
    <t>SITE*15400</t>
  </si>
  <si>
    <t xml:space="preserve">38834 / 47194 </t>
  </si>
  <si>
    <t xml:space="preserve">Gi - +55 (11) 95358-9101 </t>
  </si>
  <si>
    <t xml:space="preserve">38903 / 47268 </t>
  </si>
  <si>
    <t xml:space="preserve">38135 / 46313 </t>
  </si>
  <si>
    <t xml:space="preserve">JOAO VALVERDE FILHO - +55 (11) 99832-7292 </t>
  </si>
  <si>
    <t>Sinalização*15033</t>
  </si>
  <si>
    <t xml:space="preserve">39246 / 47684 </t>
  </si>
  <si>
    <t xml:space="preserve">39367 / 47858 </t>
  </si>
  <si>
    <t>SITE*15391</t>
  </si>
  <si>
    <t xml:space="preserve">38753 / 47089 </t>
  </si>
  <si>
    <t xml:space="preserve">Terezinha Goretti Tortato Cavichiolo - +55 (41) 98501-1210 </t>
  </si>
  <si>
    <t>Sinalização*15210</t>
  </si>
  <si>
    <t xml:space="preserve">39268 / 47714 </t>
  </si>
  <si>
    <t xml:space="preserve">Sebastiao C R Silva Claudio - +55 (55) 1198-4568 </t>
  </si>
  <si>
    <t>Sinalização*15368</t>
  </si>
  <si>
    <t xml:space="preserve">38248 / 46271 </t>
  </si>
  <si>
    <t xml:space="preserve">Viviane Cruz - +55 (11) 94210-9197 </t>
  </si>
  <si>
    <t xml:space="preserve">38960 / 47247 </t>
  </si>
  <si>
    <t>FOTOLUMINESCENTE 0,8mm + PVC EXP. FOTOL. 2mm</t>
  </si>
  <si>
    <t xml:space="preserve">38624 / 46935 </t>
  </si>
  <si>
    <t xml:space="preserve">compras - +55 (11) 3767-4156 </t>
  </si>
  <si>
    <t>Sinalização*15178</t>
  </si>
  <si>
    <t xml:space="preserve">38176 / 46157 </t>
  </si>
  <si>
    <t xml:space="preserve">Valeria - +55 (19) 3856-6100 </t>
  </si>
  <si>
    <t xml:space="preserve">39555 / 47738 </t>
  </si>
  <si>
    <t xml:space="preserve">39112 / 47541 </t>
  </si>
  <si>
    <t xml:space="preserve">Fernando - +55 (19) 99272-5897 </t>
  </si>
  <si>
    <t>27/04/2026 18:07 (17 dia(s) de atraso)</t>
  </si>
  <si>
    <t xml:space="preserve">38756 / 47096 </t>
  </si>
  <si>
    <t xml:space="preserve">Roberto Carlos Roncete - +55 (27) 3074-8899 </t>
  </si>
  <si>
    <t>Sinalização*15216</t>
  </si>
  <si>
    <t>Adesivo Recorte</t>
  </si>
  <si>
    <t>28/01/2026 15:34 (1 dia(s) de atraso)</t>
  </si>
  <si>
    <t xml:space="preserve">38055 / 46187 </t>
  </si>
  <si>
    <t xml:space="preserve">Gleis Coimbra - +55 (19) 99614-8148 </t>
  </si>
  <si>
    <t>Totem</t>
  </si>
  <si>
    <t xml:space="preserve">38441 / 45591 </t>
  </si>
  <si>
    <t>Sinalização - O.C 77313</t>
  </si>
  <si>
    <t xml:space="preserve">38662 / 46992 </t>
  </si>
  <si>
    <t xml:space="preserve">Daniel - +55 (19) 3229-8764 </t>
  </si>
  <si>
    <t xml:space="preserve">38825 / 47184 </t>
  </si>
  <si>
    <t xml:space="preserve">Bruna Maria - +55 (19) 3464-9100 </t>
  </si>
  <si>
    <t>16/03/2026 17:08 (3 dia(s) de atraso)</t>
  </si>
  <si>
    <t xml:space="preserve">39165 / 47597 </t>
  </si>
  <si>
    <t xml:space="preserve">Rayane Santos - +55 (19) 3765-9800 </t>
  </si>
  <si>
    <t xml:space="preserve">39270 / 47716 </t>
  </si>
  <si>
    <t xml:space="preserve">Sidnei M. Varjão - +55 (18) 99755-4334 </t>
  </si>
  <si>
    <t xml:space="preserve">39368 / 47825 </t>
  </si>
  <si>
    <t xml:space="preserve">39844 / 48389 </t>
  </si>
  <si>
    <t xml:space="preserve">Larissa - +55 (19) 98328-3612 </t>
  </si>
  <si>
    <t>Adesivos Carrinhos - Chamado 203126</t>
  </si>
  <si>
    <t xml:space="preserve">37900 / 46008 </t>
  </si>
  <si>
    <t>02/02/2026 15:26 (14 dia(s) de atraso)</t>
  </si>
  <si>
    <t xml:space="preserve">38282 / 46505 </t>
  </si>
  <si>
    <t xml:space="preserve">Déborah Xavier - +55 (19) 98114-9188 </t>
  </si>
  <si>
    <t>18/02/2026 17:12 (1 dia(s) de atraso)</t>
  </si>
  <si>
    <t xml:space="preserve">38328 / 46438 </t>
  </si>
  <si>
    <t xml:space="preserve">Monica - +55 (19) 99366-7819 </t>
  </si>
  <si>
    <t>PS 2mm - 20517</t>
  </si>
  <si>
    <t xml:space="preserve">38470 / 46752 </t>
  </si>
  <si>
    <t xml:space="preserve">38628 / 46880 </t>
  </si>
  <si>
    <t xml:space="preserve">Itenira P. Bernardi - +55 (19) 98444-7381 </t>
  </si>
  <si>
    <t xml:space="preserve">39027 / 47316 </t>
  </si>
  <si>
    <t xml:space="preserve">Nietto Truck --- Thaynara Nietto - +55 (19) 97155-6631 </t>
  </si>
  <si>
    <t>14/04/2026 18:02 (8 dia(s) de atraso)</t>
  </si>
  <si>
    <t xml:space="preserve">39032 / 47431 </t>
  </si>
  <si>
    <t xml:space="preserve">Alex Crivelari - +55 (19) 97144-6634 </t>
  </si>
  <si>
    <t>07/04/2026 16:25 (1 dia(s) de atraso)</t>
  </si>
  <si>
    <t xml:space="preserve">39047 / 47460 </t>
  </si>
  <si>
    <t>FRETE</t>
  </si>
  <si>
    <t xml:space="preserve">39102 / 47528 </t>
  </si>
  <si>
    <t xml:space="preserve">39168 / 47543 </t>
  </si>
  <si>
    <t xml:space="preserve">Filterinter Enterprises Ltda - +55 (19) 98176-1274 </t>
  </si>
  <si>
    <t xml:space="preserve">39537 / 48053 </t>
  </si>
  <si>
    <t xml:space="preserve">Beatriz - Analista de Marketing - +55 (19) 97811-9949 </t>
  </si>
  <si>
    <t xml:space="preserve">39003 / 47402 </t>
  </si>
  <si>
    <t>23/03/2026 10:17 (3 dia(s) de atraso)</t>
  </si>
  <si>
    <t xml:space="preserve">37962 / 46102 </t>
  </si>
  <si>
    <t xml:space="preserve">RICARDO BUENO ROCHA LEME - +55 (11) 97135-8417 </t>
  </si>
  <si>
    <t>Sinalização*14997</t>
  </si>
  <si>
    <t xml:space="preserve">38240 / 46460 </t>
  </si>
  <si>
    <t xml:space="preserve">Elis Sousa - +55 (19) 99646-4648 </t>
  </si>
  <si>
    <t>Sinalização*15068</t>
  </si>
  <si>
    <t>13/02/2026 16:59 (2 dia(s) de atraso)</t>
  </si>
  <si>
    <t xml:space="preserve">39923 / 48311 </t>
  </si>
  <si>
    <t xml:space="preserve">39209 / 47643 </t>
  </si>
  <si>
    <t xml:space="preserve">Gerardo Majella - +55 (21) 99680-6376 </t>
  </si>
  <si>
    <t>Sinalização*15328</t>
  </si>
  <si>
    <t xml:space="preserve">39535 / 48055 </t>
  </si>
  <si>
    <t xml:space="preserve">38763 / 47102 </t>
  </si>
  <si>
    <t>10/03/2026 12:03 (1 dia(s) de atraso)</t>
  </si>
  <si>
    <t xml:space="preserve">38839 / 47204 </t>
  </si>
  <si>
    <t xml:space="preserve">39128 / 47562 </t>
  </si>
  <si>
    <t xml:space="preserve">39622 / 48118 </t>
  </si>
  <si>
    <t>Sinalização/ IPLACAS/C ID 730</t>
  </si>
  <si>
    <t xml:space="preserve">39029 / 47412 </t>
  </si>
  <si>
    <t>09/04/2026 17:40 (8 dia(s) de atraso)</t>
  </si>
  <si>
    <t xml:space="preserve">39414 / 47917 </t>
  </si>
  <si>
    <t xml:space="preserve">Condomínio Edifício Zero 11 - +55 (11) 9747-1914 </t>
  </si>
  <si>
    <t>SITE*15402</t>
  </si>
  <si>
    <t xml:space="preserve">37790 / 45872 </t>
  </si>
  <si>
    <t xml:space="preserve">Thiago Figueiredo - +55 (11) 98356-6676 </t>
  </si>
  <si>
    <t>20/01/2026 15:07 (4 dia(s) de atraso)</t>
  </si>
  <si>
    <t xml:space="preserve">39721 / 48259 </t>
  </si>
  <si>
    <t>Sinalização*PS2</t>
  </si>
  <si>
    <t xml:space="preserve">38703 / 47029 </t>
  </si>
  <si>
    <t xml:space="preserve">38793 / 47134 </t>
  </si>
  <si>
    <t xml:space="preserve">Juliana - +55 (16) 99112-2360 </t>
  </si>
  <si>
    <t xml:space="preserve">38905 / 47076 </t>
  </si>
  <si>
    <t xml:space="preserve">Poliana Oliveira - +55 (19) 3258-2099 </t>
  </si>
  <si>
    <t>01/04/2026 14:46 (7 dia(s) de atraso)</t>
  </si>
  <si>
    <t xml:space="preserve">39840 / 48425 </t>
  </si>
  <si>
    <t xml:space="preserve">FLUORTECH INSDUSTRIA E COMERCIO SA - +55 (11) 4148-9177 </t>
  </si>
  <si>
    <t>SITE#15533</t>
  </si>
  <si>
    <t xml:space="preserve">39100 / 47524 </t>
  </si>
  <si>
    <t xml:space="preserve">Evandro Alves Dos Santos - +55 (11) 4091-3340 </t>
  </si>
  <si>
    <t>Sinalização*15294</t>
  </si>
  <si>
    <t>13/04/2026 10:00 (14 dia(s) de atraso)</t>
  </si>
  <si>
    <t xml:space="preserve">39651 / 48195 </t>
  </si>
  <si>
    <t xml:space="preserve">Camila Castiñeiras - +55 (11) 99634-5928 </t>
  </si>
  <si>
    <t>SITE*15477</t>
  </si>
  <si>
    <t>13/05/2026 10:44 (7 dia(s) de atraso)</t>
  </si>
  <si>
    <t xml:space="preserve">38069 / 46227 </t>
  </si>
  <si>
    <t xml:space="preserve">WANIA G KAFTAN - +55 (11) 99768-4171 </t>
  </si>
  <si>
    <t>Sinalização*15019</t>
  </si>
  <si>
    <t xml:space="preserve">38404 / 46659 </t>
  </si>
  <si>
    <t xml:space="preserve">SERGIO RODRIGUES FERNANDES JUNIOR - +55 (15) 99846-9335 </t>
  </si>
  <si>
    <t>Sinalização*15104</t>
  </si>
  <si>
    <t>20/02/2026 15:02 (3 dia(s) de atraso)</t>
  </si>
  <si>
    <t xml:space="preserve">38407 / 46663 </t>
  </si>
  <si>
    <t xml:space="preserve">Antonio Carlos Marostegon - +55 (11) 94738-4162 </t>
  </si>
  <si>
    <t>Sinalização*15111</t>
  </si>
  <si>
    <t>20/02/2026 15:00 (3 dia(s) de atraso)</t>
  </si>
  <si>
    <t xml:space="preserve">38983 / 47389 </t>
  </si>
  <si>
    <t xml:space="preserve">Domingos Dell Aquilla Barone - +55 (11) 99896-5514 </t>
  </si>
  <si>
    <t>Sinalização*15273</t>
  </si>
  <si>
    <t xml:space="preserve">37987 / 46126 </t>
  </si>
  <si>
    <t>Placas ACM 3MM</t>
  </si>
  <si>
    <t>02/02/2026 15:21 (10 dia(s) de atraso)</t>
  </si>
  <si>
    <t xml:space="preserve">39774 / 48336 </t>
  </si>
  <si>
    <t xml:space="preserve">Giovanni Regiani - +55 (27) 3318-1000 </t>
  </si>
  <si>
    <t>SITE#15500</t>
  </si>
  <si>
    <t>27/05/2026 17:43 (12 dia(s) de atraso)</t>
  </si>
  <si>
    <t xml:space="preserve">39459 / 47969 </t>
  </si>
  <si>
    <t>Sinalização - IMPRESSÃO U.V EM AÇO INOX e ACM 3MM DO CLIENTE</t>
  </si>
  <si>
    <t>22/04/2026 17:34 (2 dia(s) de atraso)</t>
  </si>
  <si>
    <t xml:space="preserve">37938 / 46056 </t>
  </si>
  <si>
    <t>Serviço de Impressão</t>
  </si>
  <si>
    <t xml:space="preserve">38018 / 46168 </t>
  </si>
  <si>
    <t xml:space="preserve">Mariana de Lima - +55 (11) 7084-4621 </t>
  </si>
  <si>
    <t>Sinalização*15000</t>
  </si>
  <si>
    <t xml:space="preserve">39613 / 48155 </t>
  </si>
  <si>
    <t xml:space="preserve">38322 / 46558 </t>
  </si>
  <si>
    <t xml:space="preserve">Grazielle Lucena - +55 (11) 98992-3842 </t>
  </si>
  <si>
    <t>Sinalização*15084</t>
  </si>
  <si>
    <t>24/02/2026 15:23 (13 dia(s) de atraso)</t>
  </si>
  <si>
    <t xml:space="preserve">37842 / 45875 </t>
  </si>
  <si>
    <t>ADESIVOS PDV PROCON 178628 - 178630</t>
  </si>
  <si>
    <t>20/01/2026 12:25 (4 dia(s) de atraso)</t>
  </si>
  <si>
    <t xml:space="preserve">39022 / 47422 </t>
  </si>
  <si>
    <t xml:space="preserve">PATRICIA RODRIGUES SILVA - +55 (62) 3588-5459 </t>
  </si>
  <si>
    <t>Sinalização*15286</t>
  </si>
  <si>
    <t xml:space="preserve">38214 / 46419 </t>
  </si>
  <si>
    <t xml:space="preserve">Luzinete Caetano - +55 (41) 98445-2385 </t>
  </si>
  <si>
    <t>Sinalização*15059</t>
  </si>
  <si>
    <t xml:space="preserve">38499 / 46794 </t>
  </si>
  <si>
    <t xml:space="preserve">Reinaldo Quintão Alves - +55 (31) 99973-7766 </t>
  </si>
  <si>
    <t>Sinalização*15132</t>
  </si>
  <si>
    <t>27/02/2026 16:09 (1 dia(s) de atraso)</t>
  </si>
  <si>
    <t xml:space="preserve">38920 / 47303 </t>
  </si>
  <si>
    <t xml:space="preserve">Compras - +55 (22) 2726-2750 </t>
  </si>
  <si>
    <t>Sinalização*15251</t>
  </si>
  <si>
    <t xml:space="preserve">39936 / 48476 </t>
  </si>
  <si>
    <t xml:space="preserve">Renê - +55 (16) 99419-2278 </t>
  </si>
  <si>
    <t xml:space="preserve">37851 / 45939 </t>
  </si>
  <si>
    <t>SERVIÇO DE IMPRESSÃO</t>
  </si>
  <si>
    <t>19/01/2026 15:27 (3 dia(s) de atraso)</t>
  </si>
  <si>
    <t xml:space="preserve">38727 / 47056 </t>
  </si>
  <si>
    <t xml:space="preserve">Samara Bitencourt Borges - +55 (19) 98326-3641 </t>
  </si>
  <si>
    <t>09/03/2026 09:34 (3 dia(s) de atraso)</t>
  </si>
  <si>
    <t xml:space="preserve">39297 / 47777 </t>
  </si>
  <si>
    <t>10/04/2026 09:48 (1 dia(s) de atraso)</t>
  </si>
  <si>
    <t xml:space="preserve">39462 / 47970 </t>
  </si>
  <si>
    <t xml:space="preserve">39042 / 47263 </t>
  </si>
  <si>
    <t>Sinalização/ IPLACAS - O/C 117.973</t>
  </si>
  <si>
    <t>08/04/2026 18:14 (6 dia(s) de atraso)</t>
  </si>
  <si>
    <t xml:space="preserve">39823 / 48285 </t>
  </si>
  <si>
    <t>Sinalização/ IPLACAS - O/C 110.064</t>
  </si>
  <si>
    <t>23/05/2026 07:44 (2 dia(s) de atraso)</t>
  </si>
  <si>
    <t xml:space="preserve">40135 / 48799 </t>
  </si>
  <si>
    <t xml:space="preserve">39772 / 48333 </t>
  </si>
  <si>
    <t xml:space="preserve">Renato Trevisani - +55 (15) 9971-8125 </t>
  </si>
  <si>
    <t>SITE#15503</t>
  </si>
  <si>
    <t>22/05/2026 16:46 (7 dia(s) de atraso)</t>
  </si>
  <si>
    <t xml:space="preserve">39380 / 47872 </t>
  </si>
  <si>
    <t xml:space="preserve">Ana Luiza Gomes - +55 (11) 9167-6845 </t>
  </si>
  <si>
    <t>SITE*15398</t>
  </si>
  <si>
    <t xml:space="preserve">40099 / 48758 </t>
  </si>
  <si>
    <t xml:space="preserve">Giuliana Castelano - +55 (11) 99960-8812 </t>
  </si>
  <si>
    <t>SITE#15625</t>
  </si>
  <si>
    <t>09/06/2026 17:15 (6 dia(s) de atraso)</t>
  </si>
  <si>
    <t xml:space="preserve">38387 / 46637 </t>
  </si>
  <si>
    <t xml:space="preserve">Viaçao Campo Dos Ouros Ltda - (00)0000-00 </t>
  </si>
  <si>
    <t>Sinalização#15089</t>
  </si>
  <si>
    <t>23/02/2026 15:15 (7 dia(s) de atraso)</t>
  </si>
  <si>
    <t xml:space="preserve">37877 / 45863 </t>
  </si>
  <si>
    <t>Sinalização / IPLACAS - O/C 075962</t>
  </si>
  <si>
    <t>02/02/2026 15:22 (11 dia(s) de atraso)</t>
  </si>
  <si>
    <t xml:space="preserve">37760 / 45819 </t>
  </si>
  <si>
    <t xml:space="preserve">ADM - +55 (01) 1288-5599 </t>
  </si>
  <si>
    <t>22/01/2026 16:04 (7 dia(s) de atraso)</t>
  </si>
  <si>
    <t>Sinalização#15192</t>
  </si>
  <si>
    <t xml:space="preserve">39113 / 47551 </t>
  </si>
  <si>
    <t xml:space="preserve">ADM - (11)97312-4667 </t>
  </si>
  <si>
    <t>Sinalização*15307</t>
  </si>
  <si>
    <t>13/04/2026 11:19 (10 dia(s) de atraso)</t>
  </si>
  <si>
    <t xml:space="preserve">39114 / 47552 </t>
  </si>
  <si>
    <t xml:space="preserve">Grupo Huzzo - +55 (11) 91115-5683 </t>
  </si>
  <si>
    <t>Sinalização*15308</t>
  </si>
  <si>
    <t>13/04/2026 10:01 (10 dia(s) de atraso)</t>
  </si>
  <si>
    <t xml:space="preserve">37762 / 45839 </t>
  </si>
  <si>
    <t xml:space="preserve">VALESKA DURAZZO DA SILVA - +55 (11) 98368-2780 </t>
  </si>
  <si>
    <t>Sinalização*14947</t>
  </si>
  <si>
    <t xml:space="preserve">39286 / 47752 </t>
  </si>
  <si>
    <t xml:space="preserve">Renata Albini - +55 (19) 9962-6319 </t>
  </si>
  <si>
    <t>SITE*15374</t>
  </si>
  <si>
    <t xml:space="preserve">Marcelo - +55 (19) 98958-5261 </t>
  </si>
  <si>
    <t>Sinalização - Alumínio 1mm</t>
  </si>
  <si>
    <t xml:space="preserve">38043 / 46197 </t>
  </si>
  <si>
    <t xml:space="preserve">Condomínio Park Lorena - +55 (31) 99266-7489 </t>
  </si>
  <si>
    <t>Sinalização*15005</t>
  </si>
  <si>
    <t xml:space="preserve">39432 / 47938 </t>
  </si>
  <si>
    <t xml:space="preserve">CLDS CLOUD LTDA - +55 (21) 99135-4069 </t>
  </si>
  <si>
    <t>Sinalização SITE*15393</t>
  </si>
  <si>
    <t xml:space="preserve">37980 / 46115 </t>
  </si>
  <si>
    <t>06/02/2026 16:13 (7 dia(s) de atraso)</t>
  </si>
  <si>
    <t xml:space="preserve">37926 / 46015 </t>
  </si>
  <si>
    <t xml:space="preserve">Bianca Barra de Mello - +55 (19) 99360-3849 </t>
  </si>
  <si>
    <t xml:space="preserve">38979 / 47381 </t>
  </si>
  <si>
    <t>01/04/2026 17:57 (2 dia(s) de atraso)</t>
  </si>
  <si>
    <t xml:space="preserve">Residencial Diversita - (00)00000-0000 </t>
  </si>
  <si>
    <t>Sinalização *1343</t>
  </si>
  <si>
    <t xml:space="preserve">39126 / 47561 </t>
  </si>
  <si>
    <t xml:space="preserve">Robson Teixeira - +55 (21) 96775-1788 </t>
  </si>
  <si>
    <t>Sinalização*15316</t>
  </si>
  <si>
    <t>13/04/2026 09:59 (10 dia(s) de atraso)</t>
  </si>
  <si>
    <t xml:space="preserve">39101 / 47526 </t>
  </si>
  <si>
    <t xml:space="preserve">ELETRORARO COMERCIO DE ELETRODOMESTICOS EIRELI - (00)00000-0000 </t>
  </si>
  <si>
    <t>Sinalização*15297</t>
  </si>
  <si>
    <t>13/04/2026 09:57 (13 dia(s) de atraso)</t>
  </si>
  <si>
    <t xml:space="preserve">39107 / 47533 </t>
  </si>
  <si>
    <t xml:space="preserve">Aldemir Torres Pinto Vilaça - +55 (81) 99971-9396 </t>
  </si>
  <si>
    <t>Sinalização*15304</t>
  </si>
  <si>
    <t xml:space="preserve">38965 / 47356 </t>
  </si>
  <si>
    <t xml:space="preserve">39650 / 48194 </t>
  </si>
  <si>
    <t xml:space="preserve">Euma Santana Maia - +55 (63) 98444-0312 </t>
  </si>
  <si>
    <t>SITE*15474</t>
  </si>
  <si>
    <t>11/05/2026 14:15 (5 dia(s) de atraso)</t>
  </si>
  <si>
    <t xml:space="preserve">39849 / 48434 </t>
  </si>
  <si>
    <t xml:space="preserve">Kauê Richter pereira - +55 (22) 9978-6024 </t>
  </si>
  <si>
    <t>SITE#15541</t>
  </si>
  <si>
    <t xml:space="preserve">39578 / 48056 </t>
  </si>
  <si>
    <t xml:space="preserve">39874 / 48466 </t>
  </si>
  <si>
    <t xml:space="preserve">José Gustavo Feltz - +55 489 846 765 </t>
  </si>
  <si>
    <t>SITE#15554</t>
  </si>
  <si>
    <t xml:space="preserve">39893 / 48490 </t>
  </si>
  <si>
    <t xml:space="preserve">Albérioo Amorim Silva - +55 (21) 9891-5098 </t>
  </si>
  <si>
    <t>SITE#15564</t>
  </si>
  <si>
    <t>26/05/2026 09:01 (4 dia(s) de atraso)</t>
  </si>
  <si>
    <t xml:space="preserve">38335 / 46577 </t>
  </si>
  <si>
    <t xml:space="preserve">olimpia park - (00)00000-0000 </t>
  </si>
  <si>
    <t>Sinalização*15075</t>
  </si>
  <si>
    <t xml:space="preserve">38982 / 47387 </t>
  </si>
  <si>
    <t xml:space="preserve">Centro Espírita Allan Kardec - +55 192 349 224 </t>
  </si>
  <si>
    <t>Sinalização*15269</t>
  </si>
  <si>
    <t xml:space="preserve">38183 / 46374 </t>
  </si>
  <si>
    <t xml:space="preserve">39265 / 47711 </t>
  </si>
  <si>
    <t xml:space="preserve">Cacau Auto Peças - +55 (19) 3014-0930 </t>
  </si>
  <si>
    <t xml:space="preserve">38237 / 46458 </t>
  </si>
  <si>
    <t xml:space="preserve">Simao Ribeiro - +55 (61) 98274-8516 </t>
  </si>
  <si>
    <t>Sinalização*15066</t>
  </si>
  <si>
    <t xml:space="preserve">38464 / 46747 </t>
  </si>
  <si>
    <t xml:space="preserve">Renato Jorge Carvalho Pereira - +55 (71) 98843-9372 </t>
  </si>
  <si>
    <t>Sinalização*15127</t>
  </si>
  <si>
    <t xml:space="preserve">38056 / 46158 </t>
  </si>
  <si>
    <t xml:space="preserve">Jenniffer Gomes - +55 (11) 94758-3690 </t>
  </si>
  <si>
    <t>11/02/2026 14:41 (7 dia(s) de atraso)</t>
  </si>
  <si>
    <t xml:space="preserve">37873 / 45963 </t>
  </si>
  <si>
    <t xml:space="preserve">38249 / 46473 </t>
  </si>
  <si>
    <t xml:space="preserve">Daiane - +55 (45) 3096-8040 </t>
  </si>
  <si>
    <t>Sinalização / IPLACAS - O/C UEPGL2-000458</t>
  </si>
  <si>
    <t>09/02/2026 17:24 (3 dia(s) de atraso)</t>
  </si>
  <si>
    <t xml:space="preserve">38567 / 46861 </t>
  </si>
  <si>
    <t xml:space="preserve">Sérgio Fabiano De Souza - +55 (11) 98819-9418 </t>
  </si>
  <si>
    <t>Sinalização*15154</t>
  </si>
  <si>
    <t xml:space="preserve">38728 / 46993 </t>
  </si>
  <si>
    <t xml:space="preserve">Compras - Mosca Logística - +55 (19) 99180-8467 </t>
  </si>
  <si>
    <t xml:space="preserve">38695 / 47022 </t>
  </si>
  <si>
    <t>Sinalização#15193</t>
  </si>
  <si>
    <t>12/03/2026 14:21 (3 dia(s) de atraso)</t>
  </si>
  <si>
    <t xml:space="preserve">38623 / 46934 </t>
  </si>
  <si>
    <t xml:space="preserve">ELISANGELA BARTARIM - +55 (19) 3866-2524 </t>
  </si>
  <si>
    <t>Sinalização*15177</t>
  </si>
  <si>
    <t xml:space="preserve">37783 / 45868 </t>
  </si>
  <si>
    <t xml:space="preserve">Gerson Rocha de Souza - +55 (51) 99907-5019 </t>
  </si>
  <si>
    <t>Sinalização*14951</t>
  </si>
  <si>
    <t xml:space="preserve">38047 / 46201 </t>
  </si>
  <si>
    <t xml:space="preserve">Lucia de Oliveira - +55 (11) 97235-9509 </t>
  </si>
  <si>
    <t>Sinalização*15011</t>
  </si>
  <si>
    <t xml:space="preserve">38873 / 47246 </t>
  </si>
  <si>
    <t xml:space="preserve">Vivian Caroline Gonçalves - +55 (41) 3277-4038 </t>
  </si>
  <si>
    <t>Sinalização*15245</t>
  </si>
  <si>
    <t>27/03/2026 15:41 (8 dia(s) de atraso)</t>
  </si>
  <si>
    <t xml:space="preserve">38068 / 46226 </t>
  </si>
  <si>
    <t xml:space="preserve">Jairton Lucena Ribeiro - +55 (11) 99872-6654 </t>
  </si>
  <si>
    <t>Sinalização*15017</t>
  </si>
  <si>
    <t xml:space="preserve">38501 / 46798 </t>
  </si>
  <si>
    <t xml:space="preserve">Vilma Santos - +55 (11) 2755-0638 </t>
  </si>
  <si>
    <t>Sinalização*15139</t>
  </si>
  <si>
    <t xml:space="preserve">38289 / 46517 </t>
  </si>
  <si>
    <t>13/02/2026 15:44 (7 dia(s) de atraso)</t>
  </si>
  <si>
    <t xml:space="preserve">37857 / 45950 </t>
  </si>
  <si>
    <t xml:space="preserve">Clara Helena de Oliveira - +55 (19) 99476-1914 </t>
  </si>
  <si>
    <t xml:space="preserve">38355 / 46591 </t>
  </si>
  <si>
    <t>Adesito Tara - Lotação</t>
  </si>
  <si>
    <t xml:space="preserve">38588 / 46883 </t>
  </si>
  <si>
    <t xml:space="preserve">39091 / 47388 </t>
  </si>
  <si>
    <t xml:space="preserve">Lucas Ramalho - +55 (19) 99201-9689 </t>
  </si>
  <si>
    <t xml:space="preserve">39127 / 47545 </t>
  </si>
  <si>
    <t xml:space="preserve">Wellington - +55 (19) 98809-9880 </t>
  </si>
  <si>
    <t>Adesivo Refletivo</t>
  </si>
  <si>
    <t xml:space="preserve">39393 / 47894 </t>
  </si>
  <si>
    <t xml:space="preserve">Ricardo F Serafim - +55 (19) 99175-7707 </t>
  </si>
  <si>
    <t>SITE*15405</t>
  </si>
  <si>
    <t>28/04/2026 16:34 (5 dia(s) de atraso)</t>
  </si>
  <si>
    <t xml:space="preserve">39735 / 48230 </t>
  </si>
  <si>
    <t xml:space="preserve">Ana Paula Schilling Varges - +55 (51) 3459-4000 </t>
  </si>
  <si>
    <t>19/05/2026 08:26 (5 dia(s) de atraso)</t>
  </si>
  <si>
    <t xml:space="preserve">38715 / 47047 </t>
  </si>
  <si>
    <t xml:space="preserve">ISABELLA ROGIERI - +55 (19) 98274-0150 </t>
  </si>
  <si>
    <t>VINIL - SOLO - BALCÃO</t>
  </si>
  <si>
    <t xml:space="preserve">38479 / 46766 </t>
  </si>
  <si>
    <t xml:space="preserve">Roberto - +55 (19) 3234-5600 </t>
  </si>
  <si>
    <t>BALCÃO - DISPLAY</t>
  </si>
  <si>
    <t xml:space="preserve">38022 / 46171 </t>
  </si>
  <si>
    <t xml:space="preserve">Fabio Alves Soares - +55 (41) 99649-3873 </t>
  </si>
  <si>
    <t>Sinalização*15007</t>
  </si>
  <si>
    <t>29/01/2026 11:37 (1 dia(s) de atraso)</t>
  </si>
  <si>
    <t xml:space="preserve">38790 / 47133 </t>
  </si>
  <si>
    <t>Sinalização - ACM e Acrílico</t>
  </si>
  <si>
    <t>17/03/2026 18:21 (4 dia(s) de atraso)</t>
  </si>
  <si>
    <t xml:space="preserve">39729 / 48267 </t>
  </si>
  <si>
    <t xml:space="preserve">Bruno Daniel Bento - +55 (17) 9915-6438 </t>
  </si>
  <si>
    <t>Sinalização * 1350</t>
  </si>
  <si>
    <t xml:space="preserve">39711 / 48250 </t>
  </si>
  <si>
    <t xml:space="preserve">Caetano Del Pozzo - +55 (11) 9995-6259 </t>
  </si>
  <si>
    <t>Sinalização *15490</t>
  </si>
  <si>
    <t xml:space="preserve">39919 / 48512 </t>
  </si>
  <si>
    <t xml:space="preserve">38438 / 46691 </t>
  </si>
  <si>
    <t xml:space="preserve">Compras - +55 (19) 97408-9987 </t>
  </si>
  <si>
    <t xml:space="preserve">37772 / 45830 </t>
  </si>
  <si>
    <t xml:space="preserve">Pedro Dias - +55 (19) 99772-2033 </t>
  </si>
  <si>
    <t xml:space="preserve">39266 / 47712 </t>
  </si>
  <si>
    <t xml:space="preserve">Maria Fernanda Dezem - +55 (19) 9924-4621 </t>
  </si>
  <si>
    <t>Sinalização*15367</t>
  </si>
  <si>
    <t xml:space="preserve">37861 / 45953 </t>
  </si>
  <si>
    <t xml:space="preserve">Bruno DINIZ DA SILVA - +55 (19) 98769-9196 </t>
  </si>
  <si>
    <t>Sinalização*14973</t>
  </si>
  <si>
    <t>30/01/2026 13:36 (9 dia(s) de atraso)</t>
  </si>
  <si>
    <t xml:space="preserve">38196 / 46387 </t>
  </si>
  <si>
    <t xml:space="preserve">Raphael Schmidt - +55 (41) 99962-7182 </t>
  </si>
  <si>
    <t>Sinalização*15048</t>
  </si>
  <si>
    <t xml:space="preserve">38236 / 46456 </t>
  </si>
  <si>
    <t xml:space="preserve">ROBERTA LIMA PERIN - +55 (11) 93759-8056 </t>
  </si>
  <si>
    <t>Sinalização*15064</t>
  </si>
  <si>
    <t xml:space="preserve">38453 / 46735 </t>
  </si>
  <si>
    <t xml:space="preserve">RICARDO LUIS DINIZ - +55 (19) 97402-4912 </t>
  </si>
  <si>
    <t>Sinalização*15120</t>
  </si>
  <si>
    <t xml:space="preserve">38698 / 47018 </t>
  </si>
  <si>
    <t xml:space="preserve">victor - +55 (19) 99671-2990 </t>
  </si>
  <si>
    <t xml:space="preserve">39942 / 48551 </t>
  </si>
  <si>
    <t xml:space="preserve">Vera Lúcia N Rodriguez - +55 (13) 9811-5921 </t>
  </si>
  <si>
    <t>SITE#15569</t>
  </si>
  <si>
    <t xml:space="preserve">40076 / 48717 </t>
  </si>
  <si>
    <t xml:space="preserve">Jaqueline Perlotti Baptista - +55 (16) 9971-1455 </t>
  </si>
  <si>
    <t>SITE#15616</t>
  </si>
  <si>
    <t xml:space="preserve">39684 / 48223 </t>
  </si>
  <si>
    <t>SITE*15481</t>
  </si>
  <si>
    <t xml:space="preserve">38361 / 46603 </t>
  </si>
  <si>
    <t xml:space="preserve">Condomínio Saint Jerome - +55 (11) 2626-2390 </t>
  </si>
  <si>
    <t>Sinalização*15086</t>
  </si>
  <si>
    <t xml:space="preserve">39313 / 47795 </t>
  </si>
  <si>
    <t xml:space="preserve">Caldeiraria Caldlaser LTDA - +55 (11) 9866-1044 </t>
  </si>
  <si>
    <t>SITE*15379</t>
  </si>
  <si>
    <t xml:space="preserve">37893 / 46001 </t>
  </si>
  <si>
    <t xml:space="preserve">Pablo Almeida Da Silva - +55 (21) 9872-8768 </t>
  </si>
  <si>
    <t>Sinalização *1334</t>
  </si>
  <si>
    <t xml:space="preserve">38538 / 46833 </t>
  </si>
  <si>
    <t xml:space="preserve">Priscila Beneti - +55 (19) 3406-7127 </t>
  </si>
  <si>
    <t>Sinalização*15137</t>
  </si>
  <si>
    <t xml:space="preserve">37946 / 46065 </t>
  </si>
  <si>
    <t xml:space="preserve">Compras - +55 (19) 9892-6601 </t>
  </si>
  <si>
    <t xml:space="preserve">38076 / 46234 </t>
  </si>
  <si>
    <t>03/02/2026 11:11 (1 dia(s) de atraso)</t>
  </si>
  <si>
    <t xml:space="preserve">37817 / 45903 </t>
  </si>
  <si>
    <t xml:space="preserve">Diego Perico - +55 (42) 9831-2190 </t>
  </si>
  <si>
    <t xml:space="preserve">38271 / 46365 </t>
  </si>
  <si>
    <t xml:space="preserve">Renata Lima - +55 (21) 98343-6168 </t>
  </si>
  <si>
    <t>24/02/2026 15:23 (7 dia(s) de atraso)</t>
  </si>
  <si>
    <t xml:space="preserve">38625 / 46936 </t>
  </si>
  <si>
    <t xml:space="preserve">Abdias m Queiroz filho - +55 (13) 99785-8886 </t>
  </si>
  <si>
    <t>Sinalização*15179</t>
  </si>
  <si>
    <t xml:space="preserve">38693 / 47021 </t>
  </si>
  <si>
    <t xml:space="preserve">Entregar Na Portaria - +55 (11) 91976-5062 </t>
  </si>
  <si>
    <t>Sinalização#15191</t>
  </si>
  <si>
    <t xml:space="preserve">38944 / 47329 </t>
  </si>
  <si>
    <t xml:space="preserve">Amanda Dangelo - +55 (41) 3029-2964 </t>
  </si>
  <si>
    <t>Sinalização*15262</t>
  </si>
  <si>
    <t xml:space="preserve">39376 / 47864 </t>
  </si>
  <si>
    <t xml:space="preserve">39623 / 48158 </t>
  </si>
  <si>
    <t>Sinalização -</t>
  </si>
  <si>
    <t>07/05/2026 18:12 (2 dia(s) de atraso)</t>
  </si>
  <si>
    <t xml:space="preserve">39726 / 48262 </t>
  </si>
  <si>
    <t xml:space="preserve">Carolina - +55 (11) 2639-8126 </t>
  </si>
  <si>
    <t>SITE*15493</t>
  </si>
  <si>
    <t xml:space="preserve">39020 / 47367 </t>
  </si>
  <si>
    <t xml:space="preserve">40053 / 48677 </t>
  </si>
  <si>
    <t xml:space="preserve">GRAPHIMAR - +55 (13) 3491-6711 </t>
  </si>
  <si>
    <t xml:space="preserve">40125 / 48785 </t>
  </si>
  <si>
    <t xml:space="preserve">ELAINE ALVES DE OLIVEIRA CARNEIRO - +55 (16) 9971-0197 </t>
  </si>
  <si>
    <t>SITE#15635</t>
  </si>
  <si>
    <t xml:space="preserve">39441 / 47950 </t>
  </si>
  <si>
    <t xml:space="preserve">Carlos Alberto Perez - +55 (21) 98113-4256 </t>
  </si>
  <si>
    <t>Sinalização SITE*15423</t>
  </si>
  <si>
    <t xml:space="preserve">38132 / 46310 </t>
  </si>
  <si>
    <t xml:space="preserve">MIGUEL RAIMUNDO DA SILVA JUNIOR - +55 (11) 98017-8953 </t>
  </si>
  <si>
    <t>Sinalização*15030</t>
  </si>
  <si>
    <t xml:space="preserve">39210 / 47644 </t>
  </si>
  <si>
    <t xml:space="preserve">Cassio Vieira Rezende - +55 (11) 3145-1525 </t>
  </si>
  <si>
    <t>Sinalização*15335</t>
  </si>
  <si>
    <t xml:space="preserve">39312 / 47794 </t>
  </si>
  <si>
    <t xml:space="preserve">SEPARI EQUIPAMENTOS INDUSTRIAIS LTDA - +55 (19) 9984-8571 </t>
  </si>
  <si>
    <t>SITE*15378</t>
  </si>
  <si>
    <t xml:space="preserve">38144 / 46324 </t>
  </si>
  <si>
    <t>Etiqueta</t>
  </si>
  <si>
    <t xml:space="preserve">40047 / 48680 </t>
  </si>
  <si>
    <t xml:space="preserve">Wanderley Coelho Baptista - +55 (61) 9848-5375 </t>
  </si>
  <si>
    <t>SITE#15606</t>
  </si>
  <si>
    <t xml:space="preserve">39685 / 48224 </t>
  </si>
  <si>
    <t xml:space="preserve">Fabiane Cristina Silva - +55 (47) 3029-6400 </t>
  </si>
  <si>
    <t>SITE*15482</t>
  </si>
  <si>
    <t>08/05/2026 14:26 (2 dia(s) de atraso)</t>
  </si>
  <si>
    <t xml:space="preserve">40052 / 48685 </t>
  </si>
  <si>
    <t xml:space="preserve">Carlos Eduardo Da Silva Coelho - +55 (21) 9835-6734 </t>
  </si>
  <si>
    <t>SITE#15608</t>
  </si>
  <si>
    <t>05/06/2026 11:48 (4 dia(s) de atraso)</t>
  </si>
  <si>
    <t xml:space="preserve">38290 / 46520 </t>
  </si>
  <si>
    <t xml:space="preserve">Clecio Santos Rodrigues - +55 (11) 91669-1855 </t>
  </si>
  <si>
    <t>Sinalização*15076</t>
  </si>
  <si>
    <t>12/02/2026 15:20 (1 dia(s) de atraso)</t>
  </si>
  <si>
    <t xml:space="preserve">37824 / 45918 </t>
  </si>
  <si>
    <t xml:space="preserve">Camila Gomes Ventura - +55 (11) 94039-5495 </t>
  </si>
  <si>
    <t>Sinalização*14962</t>
  </si>
  <si>
    <t xml:space="preserve">38408 / 46664 </t>
  </si>
  <si>
    <t xml:space="preserve">Alvaro P V da Costa - +55 (11) 94072-6408 </t>
  </si>
  <si>
    <t>Sinalização*15112</t>
  </si>
  <si>
    <t xml:space="preserve">39119 / 47556 </t>
  </si>
  <si>
    <t xml:space="preserve">Carina Cogo Bento - +55 (11) 99428-1019 </t>
  </si>
  <si>
    <t>Sinalização*15313</t>
  </si>
  <si>
    <t xml:space="preserve">37780 / 45867 </t>
  </si>
  <si>
    <t>Sinalização*14950</t>
  </si>
  <si>
    <t>26/01/2026 16:08 (13 dia(s) de atraso)</t>
  </si>
  <si>
    <t xml:space="preserve">38463 / 46746 </t>
  </si>
  <si>
    <t xml:space="preserve">Condominio Edificio Bela Vista - +55 (11) 99655-0610 </t>
  </si>
  <si>
    <t>Sinalização*15126</t>
  </si>
  <si>
    <t xml:space="preserve">38721 / 47051 </t>
  </si>
  <si>
    <t xml:space="preserve">Joyce pereira de souza - +55 (11) 94333-8963 </t>
  </si>
  <si>
    <t>Sinalização*15201</t>
  </si>
  <si>
    <t xml:space="preserve">37811 / 45898 </t>
  </si>
  <si>
    <t>Sinalização*14958</t>
  </si>
  <si>
    <t>16/01/2026 16:46 (1 dia(s) de atraso)</t>
  </si>
  <si>
    <t xml:space="preserve">38101 / 46277 </t>
  </si>
  <si>
    <t xml:space="preserve">Douglas Nathan de Oliveira Nunes - +55 (19) 98728-1514 </t>
  </si>
  <si>
    <t>Sinalização*15016</t>
  </si>
  <si>
    <t xml:space="preserve">37779 / 45862 </t>
  </si>
  <si>
    <t xml:space="preserve">Karolyni Silva de Souza Martini - (00)00000-0000 </t>
  </si>
  <si>
    <t>Sinalização*14933</t>
  </si>
  <si>
    <t>19/01/2026 16:50 (6 dia(s) de atraso)</t>
  </si>
  <si>
    <t xml:space="preserve">38151 / 46337 </t>
  </si>
  <si>
    <t xml:space="preserve">Guilherme Santos de Moraes - +55 (19) 98217-5555 </t>
  </si>
  <si>
    <t xml:space="preserve">39215 / 47649 </t>
  </si>
  <si>
    <t xml:space="preserve">39429 / 47933 </t>
  </si>
  <si>
    <t>18/04/2026 08:53 (1 dia(s) de atraso)</t>
  </si>
  <si>
    <t xml:space="preserve">40092 / 48748 </t>
  </si>
  <si>
    <t>consumidor final</t>
  </si>
  <si>
    <t xml:space="preserve">Renato - +55 322 685 88 </t>
  </si>
  <si>
    <t>VENDA BALCAO - PERSONALIZADA</t>
  </si>
  <si>
    <t xml:space="preserve">39595 / 48136 </t>
  </si>
  <si>
    <t xml:space="preserve">TODAY MOEMA - +55 (11) 5090-3400 </t>
  </si>
  <si>
    <t>SITE*15455</t>
  </si>
  <si>
    <t xml:space="preserve">37756 / 45824 </t>
  </si>
  <si>
    <t xml:space="preserve">37968 / 46098 </t>
  </si>
  <si>
    <t xml:space="preserve">Aramis Iguatemi Campinas - +55 (19) 98149-1745 </t>
  </si>
  <si>
    <t>22/01/2026 16:50 (1 dia(s) de atraso)</t>
  </si>
  <si>
    <t xml:space="preserve">38137 / 46315 </t>
  </si>
  <si>
    <t xml:space="preserve">Daniel Burchauser Salla - +55 (19) 99998-1266 </t>
  </si>
  <si>
    <t>Sinalização*15036</t>
  </si>
  <si>
    <t>18/02/2026 17:14 (15 dia(s) de atraso)</t>
  </si>
  <si>
    <t xml:space="preserve">39798 / 48373 </t>
  </si>
  <si>
    <t xml:space="preserve">MARCIO ALEXANDRE DECRESCENZO GROTA - +55 (19) 98164-2753 </t>
  </si>
  <si>
    <t>SITE #15522</t>
  </si>
  <si>
    <t xml:space="preserve">39074 / 47498 </t>
  </si>
  <si>
    <t xml:space="preserve">Fortbras S.A - +55 (11) 4501-1800 </t>
  </si>
  <si>
    <t>Sinalização*15285</t>
  </si>
  <si>
    <t>13/04/2026 10:01 (12 dia(s) de atraso)</t>
  </si>
  <si>
    <t xml:space="preserve">38941 / 47323 </t>
  </si>
  <si>
    <t xml:space="preserve">Anderson Batista Rocha - (00)00000-0000 </t>
  </si>
  <si>
    <t>Sinalização*15260</t>
  </si>
  <si>
    <t xml:space="preserve">38220 / 46427 </t>
  </si>
  <si>
    <t>13/02/2026 15:45 (7 dia(s) de atraso)</t>
  </si>
  <si>
    <t xml:space="preserve">38067 / 46225 </t>
  </si>
  <si>
    <t>Sinalização*15015</t>
  </si>
  <si>
    <t xml:space="preserve">37734 / 45791 </t>
  </si>
  <si>
    <t xml:space="preserve">40051 / 48684 </t>
  </si>
  <si>
    <t xml:space="preserve">Everton - +55 (19) 9699-6355 </t>
  </si>
  <si>
    <t xml:space="preserve">39330 / 47813 </t>
  </si>
  <si>
    <t xml:space="preserve">38596 / 46894 </t>
  </si>
  <si>
    <t xml:space="preserve">Odete Lucia Teles - +55 (43) 99161-6356 </t>
  </si>
  <si>
    <t>Sinalização*15167</t>
  </si>
  <si>
    <t xml:space="preserve">37948 / 46072 </t>
  </si>
  <si>
    <t xml:space="preserve">38858 / 47235 </t>
  </si>
  <si>
    <t xml:space="preserve">Jaqueline De Paula Navarro - +55 (11) 2106-5618 </t>
  </si>
  <si>
    <t>Sinalização*15227</t>
  </si>
  <si>
    <t>13/04/2026 09:59 (25 dia(s) de atraso)</t>
  </si>
  <si>
    <t xml:space="preserve">38665 / 46995 </t>
  </si>
  <si>
    <t xml:space="preserve">NARA MARGARETH SILVA AZEVEDO - +55 (21) 99189-7247 </t>
  </si>
  <si>
    <t>Sinalização*15195</t>
  </si>
  <si>
    <t xml:space="preserve">38696 / 47023 </t>
  </si>
  <si>
    <t>Sinalização#15195</t>
  </si>
  <si>
    <t xml:space="preserve">38261 / 46482 </t>
  </si>
  <si>
    <t xml:space="preserve">39311 / 47793 </t>
  </si>
  <si>
    <t xml:space="preserve">Condominio Residencial Athenas - +55 (19) 99369-3431 </t>
  </si>
  <si>
    <t>SITE*15364</t>
  </si>
  <si>
    <t xml:space="preserve">39214 / 47650 </t>
  </si>
  <si>
    <t xml:space="preserve">39645 / 48190 </t>
  </si>
  <si>
    <t>SITE*15453</t>
  </si>
  <si>
    <t>11/05/2026 14:16 (5 dia(s) de atraso)</t>
  </si>
  <si>
    <t xml:space="preserve">39948 / 48554 </t>
  </si>
  <si>
    <t xml:space="preserve">Fabiano Pires - +55 (62) 9820-1861 </t>
  </si>
  <si>
    <t>SITE#15572</t>
  </si>
  <si>
    <t xml:space="preserve">39596 / 48138 </t>
  </si>
  <si>
    <t>SITE*15460</t>
  </si>
  <si>
    <t>06/05/2026 14:23 (2 dia(s) de atraso)</t>
  </si>
  <si>
    <t xml:space="preserve">38520 / 46815 </t>
  </si>
  <si>
    <t xml:space="preserve">Albino C. Caires - +55 (11) 3858-9726 </t>
  </si>
  <si>
    <t>Sinalização*15144</t>
  </si>
  <si>
    <t xml:space="preserve">38133 / 46311 </t>
  </si>
  <si>
    <t xml:space="preserve">DEBORA PINA ALMEIDA - +55 (11) 98512-9382 </t>
  </si>
  <si>
    <t>Sinalização*15031</t>
  </si>
  <si>
    <t xml:space="preserve">38461 / 46744 </t>
  </si>
  <si>
    <t xml:space="preserve">Paula Simão - +55 (11) 3744-5227 </t>
  </si>
  <si>
    <t>Sinalização*15124</t>
  </si>
  <si>
    <t xml:space="preserve">38504 / 46799 </t>
  </si>
  <si>
    <t xml:space="preserve">Sandra Bueno de Oliveira - +55 (11) 99141-4129 </t>
  </si>
  <si>
    <t>Sinalização*15140</t>
  </si>
  <si>
    <t xml:space="preserve">39144 / 47584 </t>
  </si>
  <si>
    <t>Sinalização*15317</t>
  </si>
  <si>
    <t>13/04/2026 10:01 (7 dia(s) de atraso)</t>
  </si>
  <si>
    <t xml:space="preserve">39058 / 47472 </t>
  </si>
  <si>
    <t xml:space="preserve">Patricia Machado Lapietra - +55 (11) 9638-5779 </t>
  </si>
  <si>
    <t>Sinalização*15295</t>
  </si>
  <si>
    <t>13/04/2026 09:58 (14 dia(s) de atraso)</t>
  </si>
  <si>
    <t xml:space="preserve">38233 / 46451 </t>
  </si>
  <si>
    <t xml:space="preserve">Condomínio do Edifício Príncipe de Galles - +55 (21) 96669-7689 </t>
  </si>
  <si>
    <t>Sinalização*15041</t>
  </si>
  <si>
    <t xml:space="preserve">39867 / 48453 </t>
  </si>
  <si>
    <t xml:space="preserve">37813 / 45901 </t>
  </si>
  <si>
    <t xml:space="preserve">Condomínio Residencial das Camélias - (00)00000-0000 </t>
  </si>
  <si>
    <t>Sinalização*14960</t>
  </si>
  <si>
    <t>21/01/2026 17:35 (6 dia(s) de atraso)</t>
  </si>
  <si>
    <t xml:space="preserve">37950 / 45945 </t>
  </si>
  <si>
    <t>Chamado 183435</t>
  </si>
  <si>
    <t>30/01/2026 11:43 (7 dia(s) de atraso)</t>
  </si>
  <si>
    <t xml:space="preserve">39046 / 47459 </t>
  </si>
  <si>
    <t xml:space="preserve">39035 / 47441 </t>
  </si>
  <si>
    <t>Sinalização*VINIL</t>
  </si>
  <si>
    <t xml:space="preserve">38313 / 46545 </t>
  </si>
  <si>
    <t xml:space="preserve">LILIAN - +55 (19) 99207-5649 </t>
  </si>
  <si>
    <t>09/02/2026 17:31 (3 dia(s) de atraso)</t>
  </si>
  <si>
    <t xml:space="preserve">38582 / 46873 </t>
  </si>
  <si>
    <t xml:space="preserve">Claudia - +55 (19) 98154-6056 </t>
  </si>
  <si>
    <t xml:space="preserve">38948 / 47334 </t>
  </si>
  <si>
    <t xml:space="preserve">Padrão - +55 (19) 3202-4000 </t>
  </si>
  <si>
    <t>Sinalização*15264</t>
  </si>
  <si>
    <t xml:space="preserve">39006 / 47406 </t>
  </si>
  <si>
    <t xml:space="preserve">39230 / 47670 </t>
  </si>
  <si>
    <t xml:space="preserve">NILO LAMEIRAS FILHO - +55 (11) 96400-9470 </t>
  </si>
  <si>
    <t>Sinalização*15349</t>
  </si>
  <si>
    <t>13/04/2026 11:18 (4 dia(s) de atraso)</t>
  </si>
  <si>
    <t xml:space="preserve">39520 / 48041 </t>
  </si>
  <si>
    <t xml:space="preserve">Fundação Educacional de Brusque FEBE - (00)00000-0000 </t>
  </si>
  <si>
    <t>SITE*15444</t>
  </si>
  <si>
    <t xml:space="preserve">38630 / 46940 </t>
  </si>
  <si>
    <t xml:space="preserve">Compras - +55 (19) 99919-5656 </t>
  </si>
  <si>
    <t>Sinalização - Adesivo transparente</t>
  </si>
  <si>
    <t>03/03/2026 18:07 (1 dia(s) de atraso)</t>
  </si>
  <si>
    <t xml:space="preserve">37826 / 45921 </t>
  </si>
  <si>
    <t xml:space="preserve">38352 / 46589 </t>
  </si>
  <si>
    <t xml:space="preserve">37860 / 45952 </t>
  </si>
  <si>
    <t xml:space="preserve">MARCELO PUCCINI CAMINHA FILHO - +55 (11) 92007-4801 </t>
  </si>
  <si>
    <t>Sinalização*14969</t>
  </si>
  <si>
    <t>21/01/2026 17:35 (2 dia(s) de atraso)</t>
  </si>
  <si>
    <t xml:space="preserve">39316 / 47798 </t>
  </si>
  <si>
    <t>SITE*15382</t>
  </si>
  <si>
    <t xml:space="preserve">40057 / 48690 </t>
  </si>
  <si>
    <t>SITE#15610</t>
  </si>
  <si>
    <t xml:space="preserve">39115 / 47553 </t>
  </si>
  <si>
    <t xml:space="preserve">JOSE PAULO - +55 (17) 2137-5101 </t>
  </si>
  <si>
    <t>Sinalização*15309</t>
  </si>
  <si>
    <t xml:space="preserve">40087 / 48607 </t>
  </si>
  <si>
    <t>Sinalização - PS 2mm - O.C 80477</t>
  </si>
  <si>
    <t xml:space="preserve">38433 / 46701 </t>
  </si>
  <si>
    <t xml:space="preserve">Berenice Aparecida Guerelus Gonçalves Gonçalves - +55 (42) 98803-2263 </t>
  </si>
  <si>
    <t>Sinalização*15117</t>
  </si>
  <si>
    <t xml:space="preserve">40058 / 48691 </t>
  </si>
  <si>
    <t xml:space="preserve">Monica Nicodemos de Mendonça Moreira - +55 (11) 9992-3460 </t>
  </si>
  <si>
    <t>SITE#15613</t>
  </si>
  <si>
    <t xml:space="preserve">38949 / 47338 </t>
  </si>
  <si>
    <t xml:space="preserve">Doceria Fantacussi Ltda ME - +55 (14) 3433-7549 </t>
  </si>
  <si>
    <t>Sinalização*15265</t>
  </si>
  <si>
    <t xml:space="preserve">37888 / 45991 </t>
  </si>
  <si>
    <t xml:space="preserve">Nayra Barbosa - +55 (11) 3526-4455 </t>
  </si>
  <si>
    <t>Sinalização*14979</t>
  </si>
  <si>
    <t xml:space="preserve">39440 / 47948 </t>
  </si>
  <si>
    <t xml:space="preserve">Zoroastro José de Souza Vasconcelos Neto - +55 (61) 98481-1111 </t>
  </si>
  <si>
    <t>Sinalização SITE*15421</t>
  </si>
  <si>
    <t xml:space="preserve">38386 / 46636 </t>
  </si>
  <si>
    <t xml:space="preserve">Alberto - setor de compras - (00)00000-0000 </t>
  </si>
  <si>
    <t>Sinalização#15072</t>
  </si>
  <si>
    <t xml:space="preserve">39925 / 48527 </t>
  </si>
  <si>
    <t xml:space="preserve">VANESSA PEREIRA FARINHA - +55 (16) 99284-8814 </t>
  </si>
  <si>
    <t>SITE#15582</t>
  </si>
  <si>
    <t xml:space="preserve">38627 / 46938 </t>
  </si>
  <si>
    <t xml:space="preserve">FENIX CONSTRUTORA - +55 (21) 3483-7400 </t>
  </si>
  <si>
    <t>Sinalização*15186</t>
  </si>
  <si>
    <t>BOTÃO</t>
  </si>
  <si>
    <t xml:space="preserve">Clínica Médica Fernanda Simoes - +55 (19) 9999-2055 </t>
  </si>
  <si>
    <t>Sinalização - Display</t>
  </si>
  <si>
    <t>Flávio Dias</t>
  </si>
  <si>
    <t xml:space="preserve">37835 / 45929 </t>
  </si>
  <si>
    <t>15/01/2026 15:12 (2 dia(s) de atraso)</t>
  </si>
  <si>
    <t xml:space="preserve">38170 / 46359 </t>
  </si>
  <si>
    <t>10/02/2026 15:57 (12 dia(s) de atraso)</t>
  </si>
  <si>
    <t xml:space="preserve">38424 / 46687 </t>
  </si>
  <si>
    <t>03/03/2026 14:45 (18 dia(s) de atraso)</t>
  </si>
  <si>
    <t xml:space="preserve">39244 / 47683 </t>
  </si>
  <si>
    <t xml:space="preserve">39450 / 47959 </t>
  </si>
  <si>
    <t xml:space="preserve">39498 / 48014 </t>
  </si>
  <si>
    <t xml:space="preserve">39584 / 48125 </t>
  </si>
  <si>
    <t xml:space="preserve">39607 / 48149 </t>
  </si>
  <si>
    <t>04/05/2026 17:12 (4 dia(s) de atraso)</t>
  </si>
  <si>
    <t xml:space="preserve">Tuany Candido - +55 (19) 99808-5858 </t>
  </si>
  <si>
    <t xml:space="preserve">38211 / 46409 </t>
  </si>
  <si>
    <t xml:space="preserve">Sinergia Científica (Com) - +55 (19) 97156-6658 </t>
  </si>
  <si>
    <t xml:space="preserve">38690 / 47009 </t>
  </si>
  <si>
    <t xml:space="preserve">38798 / 47006 </t>
  </si>
  <si>
    <t>ALUMINIO*0000401</t>
  </si>
  <si>
    <t xml:space="preserve">39122 / 47490 </t>
  </si>
  <si>
    <t xml:space="preserve">39533 / 47972 </t>
  </si>
  <si>
    <t xml:space="preserve">Jesus - +55 (19) 99152-1706 </t>
  </si>
  <si>
    <t>VINIL - O/C 259.701</t>
  </si>
  <si>
    <t xml:space="preserve">39536 / 48057 </t>
  </si>
  <si>
    <t xml:space="preserve">39720 / 48258 </t>
  </si>
  <si>
    <t>Ordem de serviço</t>
  </si>
  <si>
    <t xml:space="preserve">38720 / 47050 </t>
  </si>
  <si>
    <t xml:space="preserve">Tagore Penna Mendes de Almeida - (00)00000-0000 </t>
  </si>
  <si>
    <t>Sinalização*15200</t>
  </si>
  <si>
    <t xml:space="preserve">Everton Correa - +55 (15) 3223-4436 </t>
  </si>
  <si>
    <t>Sinalização#15095</t>
  </si>
  <si>
    <t xml:space="preserve">38795 / 47138 </t>
  </si>
  <si>
    <t xml:space="preserve">Claudinei Dos Santos Silva - +55 (19) 99187-3815 </t>
  </si>
  <si>
    <t>PS 1mm - balcão</t>
  </si>
  <si>
    <t xml:space="preserve">39866 / 48456 </t>
  </si>
  <si>
    <t xml:space="preserve">38568 / 46862 </t>
  </si>
  <si>
    <t xml:space="preserve">Walter Antonio Lúcio dos Santos - +55 (11) 99919-7600 </t>
  </si>
  <si>
    <t>Sinalização*15155</t>
  </si>
  <si>
    <t xml:space="preserve">39181 / 47612 </t>
  </si>
  <si>
    <t xml:space="preserve">Nelson Moreira Bastos - +55 (11) 95551-9981 </t>
  </si>
  <si>
    <t>Sinalização*15315</t>
  </si>
  <si>
    <t>16/04/2026 09:58 (9 dia(s) de atraso)</t>
  </si>
  <si>
    <t xml:space="preserve">39927 / 48461 </t>
  </si>
  <si>
    <t xml:space="preserve">Fio a Fio Enxovais - (00)00000-0000 </t>
  </si>
  <si>
    <t xml:space="preserve">38759 / 47098 </t>
  </si>
  <si>
    <t xml:space="preserve">rodnei grandi - +55 (16) 98143-7708 </t>
  </si>
  <si>
    <t>Sinalização*15217</t>
  </si>
  <si>
    <t xml:space="preserve">37788 / 45871 </t>
  </si>
  <si>
    <t>16/01/2026 16:45 (4 dia(s) de atraso)</t>
  </si>
  <si>
    <t xml:space="preserve">38766 / 47104 </t>
  </si>
  <si>
    <t xml:space="preserve">39402 / 47904 </t>
  </si>
  <si>
    <t xml:space="preserve">39455 / 47964 </t>
  </si>
  <si>
    <t xml:space="preserve">39662 / 48205 </t>
  </si>
  <si>
    <t xml:space="preserve">38429 / 46697 </t>
  </si>
  <si>
    <t xml:space="preserve">Simone Cavalheiro - +55 (11) 98364-4284 </t>
  </si>
  <si>
    <t>Sinalização*15115</t>
  </si>
  <si>
    <t>11/03/2026 14:27 (20 dia(s) de atraso)</t>
  </si>
  <si>
    <t xml:space="preserve">39507 / 48032 </t>
  </si>
  <si>
    <t xml:space="preserve">ER ANALITICA - (00)00000-0000 </t>
  </si>
  <si>
    <t>SITE*15419</t>
  </si>
  <si>
    <t xml:space="preserve">39781 / 48348 </t>
  </si>
  <si>
    <t xml:space="preserve">Iuri de Oliveira Barouche - +55 (11) 9772-9792 </t>
  </si>
  <si>
    <t>SITE#15515</t>
  </si>
  <si>
    <t xml:space="preserve">38550 / 46845 </t>
  </si>
  <si>
    <t xml:space="preserve">39363 / 47854 </t>
  </si>
  <si>
    <t>Sinalização *PS</t>
  </si>
  <si>
    <t xml:space="preserve">38692 / 47020 </t>
  </si>
  <si>
    <t xml:space="preserve">fiscal - (00)00000-0000 </t>
  </si>
  <si>
    <t>Sinalização#15190</t>
  </si>
  <si>
    <t xml:space="preserve">38460 / 46743 </t>
  </si>
  <si>
    <t xml:space="preserve">UNIMED DE PRES PRUDENTE COOPERATIVA DE TRABALHO MEDICO - +55 (18) 2101-8372 </t>
  </si>
  <si>
    <t>Sinalização*15123</t>
  </si>
  <si>
    <t>03/03/2026 14:46 (8 dia(s) de atraso)</t>
  </si>
  <si>
    <t xml:space="preserve">38104 / 46280 </t>
  </si>
  <si>
    <t xml:space="preserve">RODRIGO DAVILA DA SILVA - +55 (21) 99779-9332 </t>
  </si>
  <si>
    <t>Sinalização*15021</t>
  </si>
  <si>
    <t xml:space="preserve">39704 / 48238 </t>
  </si>
  <si>
    <t xml:space="preserve">39571 / 48104 </t>
  </si>
  <si>
    <t xml:space="preserve">Glaucia Jorge - +55 (11) 3612-5353 </t>
  </si>
  <si>
    <t>SITE*15452</t>
  </si>
  <si>
    <t xml:space="preserve">39708 / 48245 </t>
  </si>
  <si>
    <t xml:space="preserve">Everaldo Arguelho Flores - +55 (67) 9999-7817 </t>
  </si>
  <si>
    <t>Sinalização *15488</t>
  </si>
  <si>
    <t xml:space="preserve">37776 / 45847 </t>
  </si>
  <si>
    <t>22/01/2026 09:23 (3 dia(s) de atraso)</t>
  </si>
  <si>
    <t xml:space="preserve">38968 / 47360 </t>
  </si>
  <si>
    <t xml:space="preserve">TATIANA GOMES - +55 (11) 2207-1277 </t>
  </si>
  <si>
    <t>Sinalização*15270</t>
  </si>
  <si>
    <t xml:space="preserve">38938 / 47319 </t>
  </si>
  <si>
    <t xml:space="preserve">Erika Machado - +55 (19) 9715-7352 </t>
  </si>
  <si>
    <t>Sinalização*15257</t>
  </si>
  <si>
    <t xml:space="preserve">38286 / 46514 </t>
  </si>
  <si>
    <t>10/02/2026 15:57 (4 dia(s) de atraso)</t>
  </si>
  <si>
    <t xml:space="preserve">37742 / 45807 </t>
  </si>
  <si>
    <t xml:space="preserve">Marcelo kojima - +55 (31) 99142-7402 </t>
  </si>
  <si>
    <t>Sinalização*14937</t>
  </si>
  <si>
    <t xml:space="preserve">38563 / 46858 </t>
  </si>
  <si>
    <t>Sinalização*15148</t>
  </si>
  <si>
    <t xml:space="preserve">39157 / 47590 </t>
  </si>
  <si>
    <t xml:space="preserve">MARCIO APARECIDO BALLAMINO - +55 (19) 99239-7032 </t>
  </si>
  <si>
    <t>Sinalização*15326</t>
  </si>
  <si>
    <t xml:space="preserve">39949 / 48556 </t>
  </si>
  <si>
    <t xml:space="preserve">Heloísa Pierro - +55 (19) 9838-6889 </t>
  </si>
  <si>
    <t>SITE#15573</t>
  </si>
  <si>
    <t xml:space="preserve">37821 / 45916 </t>
  </si>
  <si>
    <t xml:space="preserve">WASHINGTON TADEU VALLIM - +55 (11) 2797-7900 </t>
  </si>
  <si>
    <t>Sinalização*14955</t>
  </si>
  <si>
    <t xml:space="preserve">39955 / 48559 </t>
  </si>
  <si>
    <t xml:space="preserve">Edson Tomaz Barbosa - +55 (31) 3439-7300 </t>
  </si>
  <si>
    <t>SITE#15576</t>
  </si>
  <si>
    <t xml:space="preserve">39369 / 47859 </t>
  </si>
  <si>
    <t xml:space="preserve">Tiago Brito Dias - +55 (19) 99813-5306 </t>
  </si>
  <si>
    <t>SITE*15395</t>
  </si>
  <si>
    <t xml:space="preserve">39018 / 47417 </t>
  </si>
  <si>
    <t xml:space="preserve">United/Beatriz Peres - +55 (48) 3307-1915 </t>
  </si>
  <si>
    <t>Sinalização*15281</t>
  </si>
  <si>
    <t xml:space="preserve">38490 / 46776 </t>
  </si>
  <si>
    <t xml:space="preserve">Cicero pereira de oliveira - +55 (11) 9646-8747 </t>
  </si>
  <si>
    <t>Sinalização*15131</t>
  </si>
  <si>
    <t xml:space="preserve">38951 / 47339 </t>
  </si>
  <si>
    <t xml:space="preserve">Confeitaria e doceria nova odessa ltda - +55 (19) 3476-3620 </t>
  </si>
  <si>
    <t>Sinalização*15266</t>
  </si>
  <si>
    <t xml:space="preserve">37770 / 45837 </t>
  </si>
  <si>
    <t xml:space="preserve">rodolfogue@hotmail.co - +55 (19) 97405-9421 </t>
  </si>
  <si>
    <t>21/01/2026 13:13 (5 dia(s) de atraso)</t>
  </si>
  <si>
    <t xml:space="preserve">38198 / 46389 </t>
  </si>
  <si>
    <t xml:space="preserve">Gerson da Penha de Oliveira - +55 (11) 99561-9801 </t>
  </si>
  <si>
    <t>Sinalização*15051</t>
  </si>
  <si>
    <t>06/02/2026 16:13 (1 dia(s) de atraso)</t>
  </si>
  <si>
    <t xml:space="preserve">38462 / 46745 </t>
  </si>
  <si>
    <t xml:space="preserve">Daniela Lírio Vieira de Almeida - +55 (11) 94061-4922 </t>
  </si>
  <si>
    <t>Sinalização*15125</t>
  </si>
  <si>
    <t xml:space="preserve">38485 / 46768 </t>
  </si>
  <si>
    <t xml:space="preserve">Claudio - +55 (11) 3732-2240 </t>
  </si>
  <si>
    <t>Sinalização*15109</t>
  </si>
  <si>
    <t>27/02/2026 16:09 (2 dia(s) de atraso)</t>
  </si>
  <si>
    <t xml:space="preserve">39023 / 47424 </t>
  </si>
  <si>
    <t xml:space="preserve">Fernando Laguardia - +55 (11) 99926-1817 </t>
  </si>
  <si>
    <t>Sinalização*15287</t>
  </si>
  <si>
    <t xml:space="preserve">39054 / 47466 </t>
  </si>
  <si>
    <t xml:space="preserve">Bios Veleiros - +55 (11) 3234-5555 </t>
  </si>
  <si>
    <t>Sinalização*15280</t>
  </si>
  <si>
    <t>13/04/2026 09:59 (13 dia(s) de atraso)</t>
  </si>
  <si>
    <t xml:space="preserve">39272 / 47720 </t>
  </si>
  <si>
    <t>Sinalização*15370</t>
  </si>
  <si>
    <t>16/04/2026 09:58 (2 dia(s) de atraso)</t>
  </si>
  <si>
    <t xml:space="preserve">38138 / 46316 </t>
  </si>
  <si>
    <t xml:space="preserve">Ana Paula Oliveira Costa Moreira - +55 (11) 9402-1550 </t>
  </si>
  <si>
    <t>Sinalização*15038</t>
  </si>
  <si>
    <t xml:space="preserve">39212 / 47647 </t>
  </si>
  <si>
    <t xml:space="preserve">Edgar Fernandes Caires Lourenço - +55 (17) 99611-7533 </t>
  </si>
  <si>
    <t>Sinalização*15339</t>
  </si>
  <si>
    <t xml:space="preserve">39795 / 48371 </t>
  </si>
  <si>
    <t xml:space="preserve">Vitor Fernandes Pinheiro Silva - +55 (11) 9669-3254 </t>
  </si>
  <si>
    <t>SITE#15518</t>
  </si>
  <si>
    <t xml:space="preserve">38020 / 46170 </t>
  </si>
  <si>
    <t xml:space="preserve">Rutiele pereira da silva - +55 (11) 98552-7652 </t>
  </si>
  <si>
    <t>Sinalização*15004</t>
  </si>
  <si>
    <t xml:space="preserve">38116 / 46293 </t>
  </si>
  <si>
    <t xml:space="preserve">TREND FOR YOU - +55 (11) 3324-1730 </t>
  </si>
  <si>
    <t>Sinalização*15028</t>
  </si>
  <si>
    <t>06/02/2026 16:11 (4 dia(s) de atraso)</t>
  </si>
  <si>
    <t xml:space="preserve">38337 / 46580 </t>
  </si>
  <si>
    <t xml:space="preserve">Lourenço Maciel - (00)00000-0000 </t>
  </si>
  <si>
    <t>Sinalização*15088</t>
  </si>
  <si>
    <t>16/02/2026 11:29 (3 dia(s) de atraso)</t>
  </si>
  <si>
    <t xml:space="preserve">38597 / 46895 </t>
  </si>
  <si>
    <t xml:space="preserve">Administrativo MGT - +55 (51) 9682-1855 </t>
  </si>
  <si>
    <t>Sinalização*15168</t>
  </si>
  <si>
    <t xml:space="preserve">38754 / 47091 </t>
  </si>
  <si>
    <t>Sinalização*15212</t>
  </si>
  <si>
    <t>18/03/2026 16:51 (7 dia(s) de atraso)</t>
  </si>
  <si>
    <t xml:space="preserve">39928 / 48530 </t>
  </si>
  <si>
    <t>21/05/2026 18:50 (1 dia(s) de atraso)</t>
  </si>
  <si>
    <t xml:space="preserve">37759 / 45833 </t>
  </si>
  <si>
    <t xml:space="preserve">Fernanda Mendonça - +55 (11) 3298-6970 </t>
  </si>
  <si>
    <t>Sinalização*14949</t>
  </si>
  <si>
    <t xml:space="preserve">39053 / 47465 </t>
  </si>
  <si>
    <t xml:space="preserve">Cartório São Miguel Paulista - +55 (13) 9713-5000 </t>
  </si>
  <si>
    <t>Sinalização*15279</t>
  </si>
  <si>
    <t>13/04/2026 09:58 (13 dia(s) de atraso)</t>
  </si>
  <si>
    <t xml:space="preserve">40139 / 48807 </t>
  </si>
  <si>
    <t xml:space="preserve">Cleria Maria Barcelos da Costa - +55 (51) 9985-0063 </t>
  </si>
  <si>
    <t>SITE#15639</t>
  </si>
  <si>
    <t xml:space="preserve">Kamilly - +55 (11) 2244-7748 </t>
  </si>
  <si>
    <t>Sinalização *1336</t>
  </si>
  <si>
    <t xml:space="preserve">39017 / 47416 </t>
  </si>
  <si>
    <t>01/04/2026 14:46 (9 dia(s) de atraso)</t>
  </si>
  <si>
    <t xml:space="preserve">37807 / 45892 </t>
  </si>
  <si>
    <t xml:space="preserve">Luís Fernando - +55 (11) 98025-2081 </t>
  </si>
  <si>
    <t>Sinalização*14932</t>
  </si>
  <si>
    <t xml:space="preserve">40131 / 48780 </t>
  </si>
  <si>
    <t xml:space="preserve">38964 / 47355 </t>
  </si>
  <si>
    <t xml:space="preserve">39800 / 48375 </t>
  </si>
  <si>
    <t xml:space="preserve">Rosana Oliveira - (00)00000-0000 </t>
  </si>
  <si>
    <t>SITE#15523</t>
  </si>
  <si>
    <t xml:space="preserve">40102 / 48759 </t>
  </si>
  <si>
    <t xml:space="preserve">Robério Silva Guimarães - +55 (11) 3014-9366 </t>
  </si>
  <si>
    <t>SITE#15611</t>
  </si>
  <si>
    <t xml:space="preserve">38188 / 46258 </t>
  </si>
  <si>
    <t>Sinalização PS2mm</t>
  </si>
  <si>
    <t xml:space="preserve">39646 / 48084 </t>
  </si>
  <si>
    <t>Sinalização - Chamado 201841</t>
  </si>
  <si>
    <t xml:space="preserve">39141 / 47573 </t>
  </si>
  <si>
    <t xml:space="preserve">Pr. Elias Rodrigues - +55 (19) 98605-9145 </t>
  </si>
  <si>
    <t xml:space="preserve">38257 / 46483 </t>
  </si>
  <si>
    <t xml:space="preserve">Winner Family Club - (00)00000-0000 </t>
  </si>
  <si>
    <t>Sinalização*15058</t>
  </si>
  <si>
    <t>13/02/2026 15:46 (3 dia(s) de atraso)</t>
  </si>
  <si>
    <t xml:space="preserve">39224 / 47663 </t>
  </si>
  <si>
    <t xml:space="preserve">Tiago Ferreira dos Santos - +55 (11) 98339-7072 </t>
  </si>
  <si>
    <t>Sinalização*15344</t>
  </si>
  <si>
    <t>13/04/2026 11:19 (4 dia(s) de atraso)</t>
  </si>
  <si>
    <t xml:space="preserve">38671 / 46907 </t>
  </si>
  <si>
    <t xml:space="preserve">Larissa - +55 (19) 99339-9578 </t>
  </si>
  <si>
    <t>Sinalização - Chamado 192262</t>
  </si>
  <si>
    <t xml:space="preserve">39118 / 47555 </t>
  </si>
  <si>
    <t xml:space="preserve">Avirton Pedro Eduardo - +55 (34) 99129-2161 </t>
  </si>
  <si>
    <t>Sinalização*15311</t>
  </si>
  <si>
    <t>13/04/2026 09:56 (10 dia(s) de atraso)</t>
  </si>
  <si>
    <t xml:space="preserve">39314 / 47796 </t>
  </si>
  <si>
    <t xml:space="preserve">Lygia Maria Barros Nascimento - +55 (21) 98157-7226 </t>
  </si>
  <si>
    <t>SITE*15380</t>
  </si>
  <si>
    <t xml:space="preserve">38778 / 46287 </t>
  </si>
  <si>
    <t xml:space="preserve">Fer Valente - +55 (19) 98801-0946 </t>
  </si>
  <si>
    <t>07/04/2026 16:25 (21 dia(s) de atraso)</t>
  </si>
  <si>
    <t xml:space="preserve">39910 / 48419 </t>
  </si>
  <si>
    <t>29/05/2026 09:48 (7 dia(s) de atraso)</t>
  </si>
  <si>
    <t xml:space="preserve">39553 / 48077 </t>
  </si>
  <si>
    <t xml:space="preserve">Mariana Vargas Carvalho Pitangui - +55 (31) 99279-1343 </t>
  </si>
  <si>
    <t>SITE*15448</t>
  </si>
  <si>
    <t xml:space="preserve">39059 / 47473 </t>
  </si>
  <si>
    <t xml:space="preserve">Augusto Cezar Góes de Britto - +55 (77) 98821-1238 </t>
  </si>
  <si>
    <t>Sinalização*15296</t>
  </si>
  <si>
    <t xml:space="preserve">39411 / 47765 </t>
  </si>
  <si>
    <t>Sinalização - OC 6353</t>
  </si>
  <si>
    <t xml:space="preserve">BRUNA LUIZA DENGO - +55 (46) 9911-4091 </t>
  </si>
  <si>
    <t>Sinalização#15097</t>
  </si>
  <si>
    <t>16/02/2026 11:28 (3 dia(s) de atraso)</t>
  </si>
  <si>
    <t xml:space="preserve">39547 / 48069 </t>
  </si>
  <si>
    <t xml:space="preserve">39512 / 48035 </t>
  </si>
  <si>
    <t>SITE*15431</t>
  </si>
  <si>
    <t xml:space="preserve">38199 / 46390 </t>
  </si>
  <si>
    <t xml:space="preserve">Elizete Morais Pinheiro Britto - +55 (31) 98632-0658 </t>
  </si>
  <si>
    <t>Sinalização*15052</t>
  </si>
  <si>
    <t xml:space="preserve">38029 / 46095 </t>
  </si>
  <si>
    <t>Sinalização - O/C 114130 e 114131</t>
  </si>
  <si>
    <t>05/02/2026 17:36 (6 dia(s) de atraso)</t>
  </si>
  <si>
    <t xml:space="preserve">39179 / 47611 </t>
  </si>
  <si>
    <t>Sinalização*15314</t>
  </si>
  <si>
    <t xml:space="preserve">39444 / 47773 </t>
  </si>
  <si>
    <t xml:space="preserve">Brian Victor Andre - +55 (19) 99279-4460 </t>
  </si>
  <si>
    <t xml:space="preserve">39078 / 47501 </t>
  </si>
  <si>
    <t xml:space="preserve">Benedito Maurício Martins de Carvalho - +55 (11) 94954-7599 </t>
  </si>
  <si>
    <t>Sinalização*15290</t>
  </si>
  <si>
    <t xml:space="preserve">38229 / 46445 </t>
  </si>
  <si>
    <t>Recorte ACM preto</t>
  </si>
  <si>
    <t xml:space="preserve">38581 / 46872 </t>
  </si>
  <si>
    <t xml:space="preserve">Brian Victor - +55 (19) 9927-9446 </t>
  </si>
  <si>
    <t>Recorte ACM BRANCO</t>
  </si>
  <si>
    <t xml:space="preserve">38881 / 47256 </t>
  </si>
  <si>
    <t xml:space="preserve">Consumidor final - +55 (00) 00000-0000 </t>
  </si>
  <si>
    <t>23/03/2026 10:19 (5 dia(s) de atraso)</t>
  </si>
  <si>
    <t xml:space="preserve">38063 / 46222 </t>
  </si>
  <si>
    <t xml:space="preserve">RAFAEL GUTIERREZ MACHADO - +55 (55) 3412-4242 </t>
  </si>
  <si>
    <t>Sinalização*15012</t>
  </si>
  <si>
    <t xml:space="preserve">40104 / 48762 </t>
  </si>
  <si>
    <t xml:space="preserve">Jéssyca Talita da Silva - +55 (12) 3961-2907 </t>
  </si>
  <si>
    <t>SITE#15628</t>
  </si>
  <si>
    <t xml:space="preserve">39489 / 48007 </t>
  </si>
  <si>
    <t xml:space="preserve">ROBERTA DUTRA - (00)00000-0000 </t>
  </si>
  <si>
    <t>SITE*15435</t>
  </si>
  <si>
    <t xml:space="preserve">40005 / 48612 </t>
  </si>
  <si>
    <t xml:space="preserve">37746 / 45813 </t>
  </si>
  <si>
    <t xml:space="preserve">RENATO GONCALVES DE SOUZA - +55 (19) 99996-0383 </t>
  </si>
  <si>
    <t>Sinalização*14935</t>
  </si>
  <si>
    <t>21/01/2026 17:35 (9 dia(s) de atraso)</t>
  </si>
  <si>
    <t xml:space="preserve">37809 / 45896 </t>
  </si>
  <si>
    <t xml:space="preserve">MARCELO GALTER - +55 (11) 3563-3905 </t>
  </si>
  <si>
    <t>Sinalização*14956</t>
  </si>
  <si>
    <t>20/01/2026 15:07 (5 dia(s) de atraso)</t>
  </si>
  <si>
    <t xml:space="preserve">38735 / 47067 </t>
  </si>
  <si>
    <t>Sinalização*15202</t>
  </si>
  <si>
    <t xml:space="preserve">39473 / 47982 </t>
  </si>
  <si>
    <t xml:space="preserve">Maria lucia pereira - +55 (21) 99982-2148 </t>
  </si>
  <si>
    <t>SITE*15425</t>
  </si>
  <si>
    <t xml:space="preserve">39439 / 47946 </t>
  </si>
  <si>
    <t xml:space="preserve">FRANCISCO NEGRA - +55 (11) 99138-7846 </t>
  </si>
  <si>
    <t>Sinalização SITE*15418</t>
  </si>
  <si>
    <t xml:space="preserve">39490 / 48008 </t>
  </si>
  <si>
    <t xml:space="preserve">Edson Dias da Silveira Junior - +55 (11) 96134-9623 </t>
  </si>
  <si>
    <t>SITE*15437</t>
  </si>
  <si>
    <t xml:space="preserve">39705 / 48240 </t>
  </si>
  <si>
    <t xml:space="preserve">Nozomu Tamura - +55 (11) 98207-8301 </t>
  </si>
  <si>
    <t>Sinalização * 15484</t>
  </si>
  <si>
    <t xml:space="preserve">39895 / 48492 </t>
  </si>
  <si>
    <t xml:space="preserve">Eliane Fernandes - +55 (51) 9846-9805 </t>
  </si>
  <si>
    <t>SITE#15566</t>
  </si>
  <si>
    <t xml:space="preserve">37883 / 45983 </t>
  </si>
  <si>
    <t xml:space="preserve">Sociedade de Amparo - +55 (11) 5084-9058 </t>
  </si>
  <si>
    <t>Sinalização*14946</t>
  </si>
  <si>
    <t xml:space="preserve">37741 / 45806 </t>
  </si>
  <si>
    <t xml:space="preserve">Juliana Camargo Xavier - +55 (11) 98366-8426 </t>
  </si>
  <si>
    <t>Sinalização*14939</t>
  </si>
  <si>
    <t xml:space="preserve">38498 / 46793 </t>
  </si>
  <si>
    <t xml:space="preserve">Condominio edificio mirabel - +55 (11) 97121-9818 </t>
  </si>
  <si>
    <t>Sinalização*15122</t>
  </si>
  <si>
    <t>03/03/2026 14:50 (6 dia(s) de atraso)</t>
  </si>
  <si>
    <t xml:space="preserve">38746 / 47085 </t>
  </si>
  <si>
    <t xml:space="preserve">Mauro - +55 (19) 99724-2192 </t>
  </si>
  <si>
    <t>Sinalização*15208</t>
  </si>
  <si>
    <t xml:space="preserve">38923 / 47306 </t>
  </si>
  <si>
    <t xml:space="preserve">Maria Elena Bianchi - +55 (11) 93060-0960 </t>
  </si>
  <si>
    <t>Sinalização*15254</t>
  </si>
  <si>
    <t xml:space="preserve">39941 / 48549 </t>
  </si>
  <si>
    <t xml:space="preserve">Otávio lacerda de paula silva - +55 (61) 9961-3904 </t>
  </si>
  <si>
    <t>SITE#15568</t>
  </si>
  <si>
    <t xml:space="preserve">38040 / 46195 </t>
  </si>
  <si>
    <t>Placa de PS</t>
  </si>
  <si>
    <t>27/01/2026 17:50 (4 dia(s) de atraso)</t>
  </si>
  <si>
    <t xml:space="preserve">38827 / 47188 </t>
  </si>
  <si>
    <t xml:space="preserve">ALVORADA COMERCIO DE PRODUTOS AGROPECUARIOS LTDA - +55 (67) 3312-1650 </t>
  </si>
  <si>
    <t>Sinalização*15233</t>
  </si>
  <si>
    <t xml:space="preserve">39797 / 48372 </t>
  </si>
  <si>
    <t xml:space="preserve">EMBRIOLOGICA ASSESSORIA EM REPRODUCAO ASSISTIDA - +55 (11) 9915-5575 </t>
  </si>
  <si>
    <t>SITE#15520</t>
  </si>
  <si>
    <t xml:space="preserve">39185 / 47618 </t>
  </si>
  <si>
    <t xml:space="preserve">MARCIA CRISTIAN LABIAK - +55 (42) 99945-3177 </t>
  </si>
  <si>
    <t>Sinalização*15332</t>
  </si>
  <si>
    <t xml:space="preserve">39488 / 48006 </t>
  </si>
  <si>
    <t>SITE*15434</t>
  </si>
  <si>
    <t xml:space="preserve">38566 / 46860 </t>
  </si>
  <si>
    <t xml:space="preserve">Benicio Stabile Levy Alves - +55 (11) 97184-2205 </t>
  </si>
  <si>
    <t>Sinalização*15151</t>
  </si>
  <si>
    <t xml:space="preserve">39149 / 47587 </t>
  </si>
  <si>
    <t xml:space="preserve">Rodolfo B R Pereira - +55 (11) 98465-7553 </t>
  </si>
  <si>
    <t>Sinalização*15319</t>
  </si>
  <si>
    <t xml:space="preserve">37902 / 46010 </t>
  </si>
  <si>
    <t xml:space="preserve">40097 / 48756 </t>
  </si>
  <si>
    <t>05/06/2026 11:51 (7 dia(s) de atraso)</t>
  </si>
  <si>
    <t xml:space="preserve">39934 / 48539 </t>
  </si>
  <si>
    <t xml:space="preserve">38215 / 46420 </t>
  </si>
  <si>
    <t xml:space="preserve">ADRIANA BARBOSA DOS SANTOS - (00)00000-0000 </t>
  </si>
  <si>
    <t>Sinalização*15061</t>
  </si>
  <si>
    <t xml:space="preserve">Fabio Souza - +55 (19) 9834-0281 </t>
  </si>
  <si>
    <t>Sinalização#15096</t>
  </si>
  <si>
    <t xml:space="preserve">38551 / 46846 </t>
  </si>
  <si>
    <t xml:space="preserve">SANDRA MUNOZ MERINO - +55 (11) 99974-2942 </t>
  </si>
  <si>
    <t>Sinalização*15147</t>
  </si>
  <si>
    <t xml:space="preserve">39913 / 48508 </t>
  </si>
  <si>
    <t>sinnalização vinil</t>
  </si>
  <si>
    <t>25/05/2026 17:46 (5 dia(s) de atraso)</t>
  </si>
  <si>
    <t xml:space="preserve">39569 / 48097 </t>
  </si>
  <si>
    <t>SITE*15449</t>
  </si>
  <si>
    <t xml:space="preserve">39183 / 47615 </t>
  </si>
  <si>
    <t xml:space="preserve">Ana Luiza Almeida Carmo - +55 (31) 98861-0091 </t>
  </si>
  <si>
    <t>Sinalização*15330</t>
  </si>
  <si>
    <t>13/04/2026 10:00 (6 dia(s) de atraso)</t>
  </si>
  <si>
    <t xml:space="preserve">38704 / 47026 </t>
  </si>
  <si>
    <t>Vinil Recortado</t>
  </si>
  <si>
    <t xml:space="preserve">39666 / 48182 </t>
  </si>
  <si>
    <t xml:space="preserve">39694 / 48189 </t>
  </si>
  <si>
    <t>Sinalização - Chamado 203447</t>
  </si>
  <si>
    <t xml:space="preserve">39742 / 48298 </t>
  </si>
  <si>
    <t>Lona</t>
  </si>
  <si>
    <t xml:space="preserve">37806 / 45891 </t>
  </si>
  <si>
    <t>Sinalização - O/C 113.459</t>
  </si>
  <si>
    <t>17/01/2026 11:11 (1 dia(s) de atraso)</t>
  </si>
  <si>
    <t xml:space="preserve">37838 / 45927 </t>
  </si>
  <si>
    <t xml:space="preserve">Layon Raphael da Cruz Ferreira - +55 (19) 99295-5208 </t>
  </si>
  <si>
    <t>Sinalização - LONA</t>
  </si>
  <si>
    <t>17/01/2026 11:09 (2 dia(s) de atraso)</t>
  </si>
  <si>
    <t xml:space="preserve">38803 / 47153 </t>
  </si>
  <si>
    <t>VENDA BALCAO PGTO EM DINHEIRO</t>
  </si>
  <si>
    <t xml:space="preserve">38599 / 46901 </t>
  </si>
  <si>
    <t xml:space="preserve">Edson Salatini - +55 (19) 99754-3580 </t>
  </si>
  <si>
    <t>Sinalização*15171</t>
  </si>
  <si>
    <t>09/03/2026 09:35 (4 dia(s) de atraso)</t>
  </si>
  <si>
    <t xml:space="preserve">38967 / 47358 </t>
  </si>
  <si>
    <t xml:space="preserve">Kelly Alves falcão Rodrigues - +55 (21) 97128-8227 </t>
  </si>
  <si>
    <t>Sinalização*15271</t>
  </si>
  <si>
    <t xml:space="preserve">39961 / 48570 </t>
  </si>
  <si>
    <t xml:space="preserve">Alethea Ruckert de Araujo - +55 (98) 4068-1630 </t>
  </si>
  <si>
    <t>SITE#15585</t>
  </si>
  <si>
    <t xml:space="preserve">38522 / 46816 </t>
  </si>
  <si>
    <t xml:space="preserve">Carlos Marcelo Ferreira dos Santos - +55 (19) 99155-0113 </t>
  </si>
  <si>
    <t>Sinalização*15143</t>
  </si>
  <si>
    <t>03/03/2026 18:14 (1 dia(s) de atraso)</t>
  </si>
  <si>
    <t xml:space="preserve">39476 / 47985 </t>
  </si>
  <si>
    <t xml:space="preserve">37983 / 46084 </t>
  </si>
  <si>
    <t xml:space="preserve">Geralda GABRIELE - +55 (19) 3246-2940 </t>
  </si>
  <si>
    <t>Sinalização / SHOCK - 1340012</t>
  </si>
  <si>
    <t>05/02/2026 18:25 (8 dia(s) de atraso)</t>
  </si>
  <si>
    <t>29/01/2026 16:37 (6 dia(s) de atraso)</t>
  </si>
  <si>
    <t xml:space="preserve">39843 / 48428 </t>
  </si>
  <si>
    <t xml:space="preserve">JOSÉ MARTUSEWICZ NETO - +55 (11) 2797-7900 </t>
  </si>
  <si>
    <t>SITE#15540</t>
  </si>
  <si>
    <t xml:space="preserve">39232 / 47672 </t>
  </si>
  <si>
    <t xml:space="preserve">AMANDA DOS SANTOS DA CUNHA LOPES - +55 (18) 99158-3410 </t>
  </si>
  <si>
    <t>Sinalização*15351</t>
  </si>
  <si>
    <t>13/04/2026 10:00 (4 dia(s) de atraso)</t>
  </si>
  <si>
    <t xml:space="preserve">39019 / 47418 </t>
  </si>
  <si>
    <t xml:space="preserve">Ovídio de maio jr - +55 (11) 99900-7988 </t>
  </si>
  <si>
    <t>Sinalização*15282</t>
  </si>
  <si>
    <t xml:space="preserve">39976 / 48583 </t>
  </si>
  <si>
    <t xml:space="preserve">Rafael Silva - +55 (51) 9843-9959 </t>
  </si>
  <si>
    <t>SITE#15589</t>
  </si>
  <si>
    <t>29/05/2026 15:06 (2 dia(s) de atraso)</t>
  </si>
  <si>
    <t xml:space="preserve">39606 / 48148 </t>
  </si>
  <si>
    <t xml:space="preserve">Márcio William Souto Viana - +55 (11) 98119-5775 </t>
  </si>
  <si>
    <t>SITE*15472</t>
  </si>
  <si>
    <t xml:space="preserve">38867 / 47242 </t>
  </si>
  <si>
    <t xml:space="preserve">Letícia Dantas - +55 (18) 99645-2324 </t>
  </si>
  <si>
    <t>Sinalização*15244</t>
  </si>
  <si>
    <t xml:space="preserve">39875 / 48468 </t>
  </si>
  <si>
    <t xml:space="preserve">Luiza Iolanda Cortez - +55 (83) 9968-0909 </t>
  </si>
  <si>
    <t>SITE#15555</t>
  </si>
  <si>
    <t xml:space="preserve">39766 / 48329 </t>
  </si>
  <si>
    <t xml:space="preserve">Grupo MM - +55 (11) 2175-2450 </t>
  </si>
  <si>
    <t>SITE#15507</t>
  </si>
  <si>
    <t xml:space="preserve">39794 / 48370 </t>
  </si>
  <si>
    <t>14/05/2026 15:27 (1 dia(s) de atraso)</t>
  </si>
  <si>
    <t xml:space="preserve">38847 / 47217 </t>
  </si>
  <si>
    <t xml:space="preserve">CONDOMINIO GRAND GARDEN - +55 (11) 4586-0001 </t>
  </si>
  <si>
    <t>Sinalização*15231</t>
  </si>
  <si>
    <t>19/03/2026 15:03 (1 dia(s) de atraso)</t>
  </si>
  <si>
    <t xml:space="preserve">39510 / 48034 </t>
  </si>
  <si>
    <t xml:space="preserve">Elizabeth Gouvea - +55 (21) 97168-8188 </t>
  </si>
  <si>
    <t>SITE*154422</t>
  </si>
  <si>
    <t xml:space="preserve">39528 / 48049 </t>
  </si>
  <si>
    <t xml:space="preserve">38293 / 46522 </t>
  </si>
  <si>
    <t xml:space="preserve">JANAINA PAULA VIDA - (00)00000-0000 </t>
  </si>
  <si>
    <t>Sinalização*15078</t>
  </si>
  <si>
    <t xml:space="preserve">38458 / 46741 </t>
  </si>
  <si>
    <t>20/02/2026 14:57 (1 dia(s) de atraso)</t>
  </si>
  <si>
    <t xml:space="preserve">38465 / 46748 </t>
  </si>
  <si>
    <t xml:space="preserve">Luiz Carlos Reis - +55 (11) 99385-1687 </t>
  </si>
  <si>
    <t>Sinalização*15128</t>
  </si>
  <si>
    <t>25/02/2026 16:34 (1 dia(s) de atraso)</t>
  </si>
  <si>
    <t xml:space="preserve">39405 / 47907 </t>
  </si>
  <si>
    <t xml:space="preserve">Silvani Luiz - +55 (19) 9923-1606 </t>
  </si>
  <si>
    <t>SITE*15409</t>
  </si>
  <si>
    <t xml:space="preserve">38330 / 46570 </t>
  </si>
  <si>
    <t xml:space="preserve">Adriano - +55 (19) 9493-5543 </t>
  </si>
  <si>
    <t>Aluga-se / vende-se</t>
  </si>
  <si>
    <t>17/02/2026 10:58 (4 dia(s) de atraso)</t>
  </si>
  <si>
    <t xml:space="preserve">39289 / 47759 </t>
  </si>
  <si>
    <t xml:space="preserve">39130 / 47564 </t>
  </si>
  <si>
    <t xml:space="preserve">Caio Marra - +55 (19) 9919-6028 </t>
  </si>
  <si>
    <t>Sinalização *1342</t>
  </si>
  <si>
    <t>13/04/2026 09:57 (6 dia(s) de atraso)</t>
  </si>
  <si>
    <t xml:space="preserve">39131 / 47565 </t>
  </si>
  <si>
    <t>Sinalização *1341</t>
  </si>
  <si>
    <t>13/04/2026 09:56 (6 dia(s) de atraso)</t>
  </si>
  <si>
    <t xml:space="preserve">38385 / 46635 </t>
  </si>
  <si>
    <t xml:space="preserve">Pedro Ricardo Del Valle - +55 (14) 9963-5861 </t>
  </si>
  <si>
    <t>Sinalização#15108</t>
  </si>
  <si>
    <t xml:space="preserve">38848 / 47220 </t>
  </si>
  <si>
    <t xml:space="preserve">valdelice da silva - +55 (41) 99875-1262 </t>
  </si>
  <si>
    <t>Sinalização*15238</t>
  </si>
  <si>
    <t xml:space="preserve">38351 / 46588 </t>
  </si>
  <si>
    <t xml:space="preserve">38379 / 46628 </t>
  </si>
  <si>
    <t>Placa de Sala 179642</t>
  </si>
  <si>
    <t xml:space="preserve">38380 / 46629 </t>
  </si>
  <si>
    <t>Placa de Sala 179643</t>
  </si>
  <si>
    <t xml:space="preserve">38646 / 46977 </t>
  </si>
  <si>
    <t xml:space="preserve">Vanessa - +55 (19) 99522-4478 </t>
  </si>
  <si>
    <t xml:space="preserve">39501 / 48018 </t>
  </si>
  <si>
    <t>24/04/2026 14:30 (1 dia(s) de atraso)</t>
  </si>
  <si>
    <t xml:space="preserve">39644 / 48086 </t>
  </si>
  <si>
    <t>Sinalização - Chamado 202111</t>
  </si>
  <si>
    <t xml:space="preserve">39070 / 47491 </t>
  </si>
  <si>
    <t xml:space="preserve">Juliano - (00)00000-0000 </t>
  </si>
  <si>
    <t xml:space="preserve">37890 / 45993 </t>
  </si>
  <si>
    <t xml:space="preserve">Deborah da Graça Amaral - +55 (12) 36225-3051 </t>
  </si>
  <si>
    <t>Sinalização*14980</t>
  </si>
  <si>
    <t xml:space="preserve">38134 / 46312 </t>
  </si>
  <si>
    <t xml:space="preserve">Domingos Soares - +55 (11) 98588-7813 </t>
  </si>
  <si>
    <t>Sinalização*15032</t>
  </si>
  <si>
    <t xml:space="preserve">38940 / 47321 </t>
  </si>
  <si>
    <t xml:space="preserve">Supremo City Utilidades Domésticas Ltda - +55 (11) 4103-7075 </t>
  </si>
  <si>
    <t>Sinalização*15259</t>
  </si>
  <si>
    <t xml:space="preserve">38197 / 46388 </t>
  </si>
  <si>
    <t xml:space="preserve">THIAGO MARTINUSSI - +55 (11) 4066-7100 </t>
  </si>
  <si>
    <t>Sinalização*15049</t>
  </si>
  <si>
    <t xml:space="preserve">39410 / 47849 </t>
  </si>
  <si>
    <t>Sinalização/ IPLACAS - O/C 119.287</t>
  </si>
  <si>
    <t xml:space="preserve">39706 / 48242 </t>
  </si>
  <si>
    <t xml:space="preserve">João Vitor dos Santos - +55 (12) 9910-7926 </t>
  </si>
  <si>
    <t>Sinalização *15486</t>
  </si>
  <si>
    <t xml:space="preserve">40067 / 48700 </t>
  </si>
  <si>
    <t xml:space="preserve">MARCELO GALVAO - +55 (12) 9811-8208 </t>
  </si>
  <si>
    <t xml:space="preserve">39743 / 48300 </t>
  </si>
  <si>
    <t xml:space="preserve">William Artur gabryel pussi - +55 (44) 99125-5975 </t>
  </si>
  <si>
    <t>SITE*15499</t>
  </si>
  <si>
    <t xml:space="preserve">38719 / 47049 </t>
  </si>
  <si>
    <t xml:space="preserve">Leonardo Bromberg - +55 (11) 98995-2554 </t>
  </si>
  <si>
    <t>Sinalização*15199</t>
  </si>
  <si>
    <t xml:space="preserve">39318 / 47801 </t>
  </si>
  <si>
    <t xml:space="preserve">Raphael Hor - +55 (11) 95530-4086 </t>
  </si>
  <si>
    <t>SITE*15385</t>
  </si>
  <si>
    <t xml:space="preserve">39862 / 48445 </t>
  </si>
  <si>
    <t xml:space="preserve">Alexandre F. Domingues - +55 (17) 9973-4706 </t>
  </si>
  <si>
    <t>SITE#15550</t>
  </si>
  <si>
    <t xml:space="preserve">39390 / 47890 </t>
  </si>
  <si>
    <t xml:space="preserve">Luana Ferrari Dos Santos - +55 (11) 9944-5069 </t>
  </si>
  <si>
    <t>SITE*15404</t>
  </si>
  <si>
    <t xml:space="preserve">39475 / 47984 </t>
  </si>
  <si>
    <t xml:space="preserve">RICARDO M RIBEIRO - +55 (11) 99315-1162 </t>
  </si>
  <si>
    <t>SITE*15426</t>
  </si>
  <si>
    <t xml:space="preserve">39759 / 48318 </t>
  </si>
  <si>
    <t>SITE#15513</t>
  </si>
  <si>
    <t xml:space="preserve">37739 / 45803 </t>
  </si>
  <si>
    <t xml:space="preserve">Valter Craveiro da Silva - +55 (11) 97186-0300 </t>
  </si>
  <si>
    <t>Sinalização*14940</t>
  </si>
  <si>
    <t xml:space="preserve">38264 / 46489 </t>
  </si>
  <si>
    <t xml:space="preserve">ALEXANDRE DAS NEVES - +55 (11) 97224-2941 </t>
  </si>
  <si>
    <t>Sinalização*15074</t>
  </si>
  <si>
    <t xml:space="preserve">39725 / 48261 </t>
  </si>
  <si>
    <t xml:space="preserve">Marcelo Souza - +55 (48) 3045-6152 </t>
  </si>
  <si>
    <t>Sinalização *15494</t>
  </si>
  <si>
    <t xml:space="preserve">39452 / 47961 </t>
  </si>
  <si>
    <t xml:space="preserve">Lucas Cesar Reis - +55 (19) 98960-7214 </t>
  </si>
  <si>
    <t xml:space="preserve">38123 / 46302 </t>
  </si>
  <si>
    <t xml:space="preserve">38423 / 46686 </t>
  </si>
  <si>
    <t xml:space="preserve">39182 / 47614 </t>
  </si>
  <si>
    <t>Sinalização*15327</t>
  </si>
  <si>
    <t>13/04/2026 11:19 (6 dia(s) de atraso)</t>
  </si>
  <si>
    <t>Sinalização*15219</t>
  </si>
  <si>
    <t xml:space="preserve">38760 / 47099 </t>
  </si>
  <si>
    <t>18/03/2026 16:51 (6 dia(s) de atraso)</t>
  </si>
  <si>
    <t xml:space="preserve">39493 / 48010 </t>
  </si>
  <si>
    <t>SITE*15439</t>
  </si>
  <si>
    <t>29/04/2026 08:18 (2 dia(s) de atraso)</t>
  </si>
  <si>
    <t xml:space="preserve">37803 / 45889 </t>
  </si>
  <si>
    <t xml:space="preserve">37996 / 46142 </t>
  </si>
  <si>
    <t>28/01/2026 15:21 (7 dia(s) de atraso)</t>
  </si>
  <si>
    <t xml:space="preserve">38049 / 46184 </t>
  </si>
  <si>
    <t>Adesivo Recorte Branco</t>
  </si>
  <si>
    <t>24/04/2026 16:06 (92 dia(s) de atraso)</t>
  </si>
  <si>
    <t xml:space="preserve">38148 / 46328 </t>
  </si>
  <si>
    <t>Chamado 187440</t>
  </si>
  <si>
    <t xml:space="preserve">38300 / 46536 </t>
  </si>
  <si>
    <t xml:space="preserve">Marcelo Silva - +55 (19) 98122-3751 </t>
  </si>
  <si>
    <t>Sinalização - Adesivo</t>
  </si>
  <si>
    <t xml:space="preserve">38650 / 46981 </t>
  </si>
  <si>
    <t>03/03/2026 14:46 (1 dia(s) de atraso)</t>
  </si>
  <si>
    <t xml:space="preserve">38810 / 47157 </t>
  </si>
  <si>
    <t>31/03/2026 09:03 (14 dia(s) de atraso)</t>
  </si>
  <si>
    <t xml:space="preserve">38910 / 47297 </t>
  </si>
  <si>
    <t xml:space="preserve">38973 / 47258 </t>
  </si>
  <si>
    <t xml:space="preserve">Juliana Sorati - +55 (19) 99332-0806 </t>
  </si>
  <si>
    <t>PVC EXPADIDO 20MM</t>
  </si>
  <si>
    <t>09/04/2026 17:39 (13 dia(s) de atraso)</t>
  </si>
  <si>
    <t xml:space="preserve">39036 / 47442 </t>
  </si>
  <si>
    <t xml:space="preserve">39188 / 47621 </t>
  </si>
  <si>
    <t xml:space="preserve">39243 / 47682 </t>
  </si>
  <si>
    <t>10/04/2026 09:48 (2 dia(s) de atraso)</t>
  </si>
  <si>
    <t xml:space="preserve">39784 / 48341 </t>
  </si>
  <si>
    <t>Sinalização - 18851 OG</t>
  </si>
  <si>
    <t xml:space="preserve">38105 / 46281 </t>
  </si>
  <si>
    <t xml:space="preserve">ALAMINO SILVA SOCIEDADE DE ADVOGADOS - +55 (15) 3326-2261 </t>
  </si>
  <si>
    <t>Sinalização*15022</t>
  </si>
  <si>
    <t>09/02/2026 15:44 (7 dia(s) de atraso)</t>
  </si>
  <si>
    <t xml:space="preserve">38202 / 46395 </t>
  </si>
  <si>
    <t xml:space="preserve">CLAUDIO CELIBERTI - +55 (11) 99638-9522 </t>
  </si>
  <si>
    <t>Sinalização*15057</t>
  </si>
  <si>
    <t xml:space="preserve">38321 / 46557 </t>
  </si>
  <si>
    <t>Sinalização*15085</t>
  </si>
  <si>
    <t xml:space="preserve">38405 / 46661 </t>
  </si>
  <si>
    <t xml:space="preserve">Danielle Henrique - +55 (11) 97881-2198 </t>
  </si>
  <si>
    <t>Sinalização*15106</t>
  </si>
  <si>
    <t xml:space="preserve">37744 / 45810 </t>
  </si>
  <si>
    <t xml:space="preserve">RICARDO BOYADJIAN - +55 (11) 99979-2238 </t>
  </si>
  <si>
    <t>Sinalização*14942</t>
  </si>
  <si>
    <t xml:space="preserve">37812 / 45900 </t>
  </si>
  <si>
    <t xml:space="preserve">WILIANS DE OLIVEIRA GODOI - +55 (11) 98545-1584 </t>
  </si>
  <si>
    <t>Sinalização*14959</t>
  </si>
  <si>
    <t xml:space="preserve">Sávio Luiz Couto Monteleone - +55 (19) 9819-3185 </t>
  </si>
  <si>
    <t>Sinalização#15100</t>
  </si>
  <si>
    <t>19/02/2026 19:12 (6 dia(s) de atraso)</t>
  </si>
  <si>
    <t xml:space="preserve">39497 / 48013 </t>
  </si>
  <si>
    <t xml:space="preserve">40082 / 48731 </t>
  </si>
  <si>
    <t>SITE#15623</t>
  </si>
  <si>
    <t>08/06/2026 18:36 (6 dia(s) de atraso)</t>
  </si>
  <si>
    <t xml:space="preserve">Mauro Cristino De Oliveira - +55 (19) 99796-1113 </t>
  </si>
  <si>
    <t>Sinalização - BALCÃO</t>
  </si>
  <si>
    <t>05/06/2026 11:47 (2 dia(s) de atraso)</t>
  </si>
  <si>
    <t xml:space="preserve">39480 / 47993 </t>
  </si>
  <si>
    <t xml:space="preserve">Rodrigo Silva Porto - +55 (11) 98276-1402 </t>
  </si>
  <si>
    <t>SITE*15430</t>
  </si>
  <si>
    <t xml:space="preserve">39381 / 47879 </t>
  </si>
  <si>
    <t xml:space="preserve">ketleen Compras - +55 (11) 97627-9807 </t>
  </si>
  <si>
    <t>SITE*15399</t>
  </si>
  <si>
    <t xml:space="preserve">38112 / 46290 </t>
  </si>
  <si>
    <t xml:space="preserve">Clodoaldo S Silva - +55 (33) 68361-7837 </t>
  </si>
  <si>
    <t>Sinalização*15025</t>
  </si>
  <si>
    <t xml:space="preserve">39415 / 47918 </t>
  </si>
  <si>
    <t xml:space="preserve">Douglas Rose - +55 (11) 9678-5677 </t>
  </si>
  <si>
    <t>SITE*15411</t>
  </si>
  <si>
    <t xml:space="preserve">39716 / 48256 </t>
  </si>
  <si>
    <t xml:space="preserve">RUBENS MARQUES DE PAIVA JUNIOR - +55 (19) 99201-0274 </t>
  </si>
  <si>
    <t>SITE*15492</t>
  </si>
  <si>
    <t>19/05/2026 16:49 (6 dia(s) de atraso)</t>
  </si>
  <si>
    <t xml:space="preserve">38103 / 46278 </t>
  </si>
  <si>
    <t xml:space="preserve">39262 / 47706 </t>
  </si>
  <si>
    <t>10/04/2026 09:49 (1 dia(s) de atraso)</t>
  </si>
  <si>
    <t xml:space="preserve">39295 / 47772 </t>
  </si>
  <si>
    <t xml:space="preserve">39454 / 47963 </t>
  </si>
  <si>
    <t xml:space="preserve">38238 / 46459 </t>
  </si>
  <si>
    <t xml:space="preserve">JOSE ROGERIO PEREIRA - +55 (19) 99695-9923 </t>
  </si>
  <si>
    <t>Sinalização*15067</t>
  </si>
  <si>
    <t xml:space="preserve">39362 / 47853 </t>
  </si>
  <si>
    <t>Adesivo</t>
  </si>
  <si>
    <t>02/02/2026 15:26 (7 dia(s) de atraso)</t>
  </si>
  <si>
    <t xml:space="preserve">38200 / 46393 </t>
  </si>
  <si>
    <t xml:space="preserve">Irene aparecida kraehnerte - +55 (11) 96932-9546 </t>
  </si>
  <si>
    <t>Sinalização*15053</t>
  </si>
  <si>
    <t>09/02/2026 15:44 (4 dia(s) de atraso)</t>
  </si>
  <si>
    <t xml:space="preserve">39832 / 48410 </t>
  </si>
  <si>
    <t xml:space="preserve">Flavio Baranyi Famula - +55 (11) 9337-3020 </t>
  </si>
  <si>
    <t>SITE#15531</t>
  </si>
  <si>
    <t xml:space="preserve">39884 / 48477 </t>
  </si>
  <si>
    <t xml:space="preserve">39952 / 48557 </t>
  </si>
  <si>
    <t xml:space="preserve">ANISIO COSTA CASTELO BRANCO - +55 (11) 9403-0302 </t>
  </si>
  <si>
    <t>SITE#15574</t>
  </si>
  <si>
    <t>02/06/2026 18:05 (7 dia(s) de atraso)</t>
  </si>
  <si>
    <t xml:space="preserve">40060 / 48694 </t>
  </si>
  <si>
    <t xml:space="preserve">Davi Firmo - +55 (11) 98909-0212 </t>
  </si>
  <si>
    <t>SITE#15615</t>
  </si>
  <si>
    <t>02/06/2026 18:05 (1 dia(s) de atraso)</t>
  </si>
  <si>
    <t xml:space="preserve">39921 / 48523 </t>
  </si>
  <si>
    <t xml:space="preserve">Nislene Bruno de Castro Loures - +55 (31) 99987-1147 </t>
  </si>
  <si>
    <t>SITE#15580</t>
  </si>
  <si>
    <t xml:space="preserve">38820 / 47181 </t>
  </si>
  <si>
    <t>Sinalização*15228</t>
  </si>
  <si>
    <t xml:space="preserve">39106 / 47532 </t>
  </si>
  <si>
    <t>Sinalização*15302</t>
  </si>
  <si>
    <t xml:space="preserve">39856 / 48438 </t>
  </si>
  <si>
    <t>25/05/2026 17:46 (7 dia(s) de atraso)</t>
  </si>
  <si>
    <t xml:space="preserve">39478 / 47987 </t>
  </si>
  <si>
    <t xml:space="preserve">Jivago Luz Romero - +55 (19) 99200-1251 </t>
  </si>
  <si>
    <t>SITE*15428</t>
  </si>
  <si>
    <t>29/04/2026 08:17 (5 dia(s) de atraso)</t>
  </si>
  <si>
    <t xml:space="preserve">38888 / 47272 </t>
  </si>
  <si>
    <t>18/03/2026 18:04 (1 dia(s) de atraso)</t>
  </si>
  <si>
    <t xml:space="preserve">39055 / 47467 </t>
  </si>
  <si>
    <t xml:space="preserve">Elmiro Saraiva de Souza - +55 (11) 95869-3647 </t>
  </si>
  <si>
    <t>Sinalização*15291</t>
  </si>
  <si>
    <t xml:space="preserve">39811 / 48391 </t>
  </si>
  <si>
    <t xml:space="preserve">40107 / 48763 </t>
  </si>
  <si>
    <t>PEDIDO 4173</t>
  </si>
  <si>
    <t>02/06/2026 17:08 (1 dia(s) de atraso)</t>
  </si>
  <si>
    <t xml:space="preserve">39258 / 47700 </t>
  </si>
  <si>
    <t xml:space="preserve">Carlo Velludo Guidi - +55 (16) 9999-2971 </t>
  </si>
  <si>
    <t>Sinalização*15362</t>
  </si>
  <si>
    <t xml:space="preserve">38891 / 47275 </t>
  </si>
  <si>
    <t>16/03/2026 14:24 (7 dia(s) de atraso)</t>
  </si>
  <si>
    <t xml:space="preserve">Isabella - +55 (19) 99213-8158 </t>
  </si>
  <si>
    <t>Sinalização PETG</t>
  </si>
  <si>
    <t>03/03/2026 18:08 (4 dia(s) de atraso)</t>
  </si>
  <si>
    <t xml:space="preserve">38699 / 47008 </t>
  </si>
  <si>
    <t>Adesivo - Thermo King</t>
  </si>
  <si>
    <t xml:space="preserve">38883 / 47261 </t>
  </si>
  <si>
    <t>23/03/2026 10:20 (4 dia(s) de atraso)</t>
  </si>
  <si>
    <t xml:space="preserve">38963 / 47354 </t>
  </si>
  <si>
    <t xml:space="preserve">39357 / 47702 </t>
  </si>
  <si>
    <t>Sinalização - Chamado 198614</t>
  </si>
  <si>
    <t xml:space="preserve">38913 / 47300 </t>
  </si>
  <si>
    <t xml:space="preserve">Camila Cossari - +55 (11) 4181-8330 </t>
  </si>
  <si>
    <t>Sinalização*15249</t>
  </si>
  <si>
    <t xml:space="preserve">38792 / 47136 </t>
  </si>
  <si>
    <t xml:space="preserve">Thaina De Oliveira Cunha Dias - +55 (11) 9659-7667 </t>
  </si>
  <si>
    <t>Sinalização *1337</t>
  </si>
  <si>
    <t xml:space="preserve">38943 / 47327 </t>
  </si>
  <si>
    <t xml:space="preserve">Fabiana Armentano Costa - (00)00000-0000 </t>
  </si>
  <si>
    <t>Sinalização*15261</t>
  </si>
  <si>
    <t xml:space="preserve">38046 / 46199 </t>
  </si>
  <si>
    <t xml:space="preserve">AFH COMERCIO E SERVIÇOS LTDA - +55 (11) 4116-4169 </t>
  </si>
  <si>
    <t>Sinalização*15010</t>
  </si>
  <si>
    <t xml:space="preserve">39213 / 47648 </t>
  </si>
  <si>
    <t>10/04/2026 09:48 (4 dia(s) de atraso)</t>
  </si>
  <si>
    <t xml:space="preserve">39769 / 48331 </t>
  </si>
  <si>
    <t xml:space="preserve">Juliano Silva - +55 (16) 3630-1866 </t>
  </si>
  <si>
    <t>SITE#15505</t>
  </si>
  <si>
    <t xml:space="preserve">39818 / 48397 </t>
  </si>
  <si>
    <t xml:space="preserve">ERNESTO GIOVANONI JUNIOR - +55 (19) 9962-3517 </t>
  </si>
  <si>
    <t>SITE#15525</t>
  </si>
  <si>
    <t xml:space="preserve">37858 / 45951 </t>
  </si>
  <si>
    <t xml:space="preserve">Patricia Hollanda Gassen - (00)00000-0000 </t>
  </si>
  <si>
    <t>Sinalização*14972</t>
  </si>
  <si>
    <t xml:space="preserve">39063 / 47482 </t>
  </si>
  <si>
    <t>ACM 3mm</t>
  </si>
  <si>
    <t xml:space="preserve">38518 / 46812 </t>
  </si>
  <si>
    <t xml:space="preserve">MADELON CHAVES FAIAS - +55 (41) 99907-4283 </t>
  </si>
  <si>
    <t>Sinalização*15142</t>
  </si>
  <si>
    <t xml:space="preserve">38223 / 46433 </t>
  </si>
  <si>
    <t xml:space="preserve">39449 / 47958 </t>
  </si>
  <si>
    <t xml:space="preserve">39303 / 47756 </t>
  </si>
  <si>
    <t>Sinalização/ IPLACAS - O/C 118.872</t>
  </si>
  <si>
    <t xml:space="preserve">38548 / 46843 </t>
  </si>
  <si>
    <t xml:space="preserve">39892 / 48489 </t>
  </si>
  <si>
    <t xml:space="preserve">Mauro Alves Ramos Batista - +55 (11) 95430-4790 </t>
  </si>
  <si>
    <t>SITE#15561</t>
  </si>
  <si>
    <t xml:space="preserve">39204 / 47636 </t>
  </si>
  <si>
    <t>Adesivos Portão</t>
  </si>
  <si>
    <t xml:space="preserve">38571 / 46865 </t>
  </si>
  <si>
    <t xml:space="preserve">Fernando Faccioli - +55 (11) 93948-7973 </t>
  </si>
  <si>
    <t>Sinalização*15161</t>
  </si>
  <si>
    <t xml:space="preserve">38626 / 46937 </t>
  </si>
  <si>
    <t xml:space="preserve">DIOCLAN EQUIPAMENTOS INDUSTRIAIS LTDA - +55 (11) 4177-1561 </t>
  </si>
  <si>
    <t>Sinalização*15180</t>
  </si>
  <si>
    <t xml:space="preserve">38748 / 47086 </t>
  </si>
  <si>
    <t xml:space="preserve">Sérgio Luiz Machado - +55 (11) 99549-3245 </t>
  </si>
  <si>
    <t>Sinalização*15209</t>
  </si>
  <si>
    <t xml:space="preserve">38430 / 46699 </t>
  </si>
  <si>
    <t xml:space="preserve">Compras - +55 (19) 3245-0376 </t>
  </si>
  <si>
    <t>Sinalização*15116</t>
  </si>
  <si>
    <t xml:space="preserve">40096 / 48755 </t>
  </si>
  <si>
    <t xml:space="preserve">37745 / 45811 </t>
  </si>
  <si>
    <t xml:space="preserve">Yvone Aquino - (00)00000-0000 </t>
  </si>
  <si>
    <t>Sinalização*14936</t>
  </si>
  <si>
    <t>04/02/2026 16:29 (21 dia(s) de atraso)</t>
  </si>
  <si>
    <t xml:space="preserve">38368 / 46609 </t>
  </si>
  <si>
    <t xml:space="preserve">37833 / 45879 </t>
  </si>
  <si>
    <t>Sinalização o.c 468.169 - 468.337</t>
  </si>
  <si>
    <t>04/02/2026 16:27 (16 dia(s) de atraso)</t>
  </si>
  <si>
    <t xml:space="preserve">39081 / 47504 </t>
  </si>
  <si>
    <t>13/04/2026 16:37 (17 dia(s) de atraso)</t>
  </si>
  <si>
    <t xml:space="preserve">38593 / 46891 </t>
  </si>
  <si>
    <t xml:space="preserve">Fernando Gavitti - +55 (19) 3273-1923 </t>
  </si>
  <si>
    <t>Sinalização*15166</t>
  </si>
  <si>
    <t xml:space="preserve">38822 / 47182 </t>
  </si>
  <si>
    <t xml:space="preserve">Karine C O Parenti - (00)00000-0000 </t>
  </si>
  <si>
    <t>Sinalização*15229</t>
  </si>
  <si>
    <t>23/03/2026 16:26 (5 dia(s) de atraso)</t>
  </si>
  <si>
    <t xml:space="preserve">39594 / 48134 </t>
  </si>
  <si>
    <t xml:space="preserve">Heloiza Biazotti Vieira - +55 (16) 99717-2304 </t>
  </si>
  <si>
    <t>SITE*15459</t>
  </si>
  <si>
    <t xml:space="preserve">39876 / 48470 </t>
  </si>
  <si>
    <t xml:space="preserve">Ana Paula Boni - +55 (11) 9754-6720 </t>
  </si>
  <si>
    <t>SITE#15556</t>
  </si>
  <si>
    <t xml:space="preserve">38491 / 46781 </t>
  </si>
  <si>
    <t>26/02/2026 17:54 (8 dia(s) de atraso)</t>
  </si>
  <si>
    <t xml:space="preserve">39771 / 48332 </t>
  </si>
  <si>
    <t xml:space="preserve">Edifício Requena - +55 (19) 9992-9052 </t>
  </si>
  <si>
    <t>SITE#15504</t>
  </si>
  <si>
    <t xml:space="preserve">37747 / 45814 </t>
  </si>
  <si>
    <t xml:space="preserve">Angelo Brunno Escorcio Santos - +55 (13) 99164-5976 </t>
  </si>
  <si>
    <t>Sinalização*14929</t>
  </si>
  <si>
    <t>15/01/2026 15:13 (3 dia(s) de atraso)</t>
  </si>
  <si>
    <t xml:space="preserve">39229 / 47668 </t>
  </si>
  <si>
    <t xml:space="preserve">Bianca Azevedo Lisboa - +55 (11) 95369-7958 </t>
  </si>
  <si>
    <t>Sinalização*15346</t>
  </si>
  <si>
    <t xml:space="preserve">39552 / 48075 </t>
  </si>
  <si>
    <t xml:space="preserve">GRUPO TAIZ CAMPBELL - +55 (11) 8338-4921 </t>
  </si>
  <si>
    <t>SITE*15447</t>
  </si>
  <si>
    <t xml:space="preserve">37960 / 46096 </t>
  </si>
  <si>
    <t xml:space="preserve">39563 / 48094 </t>
  </si>
  <si>
    <t xml:space="preserve">39407 / 47912 </t>
  </si>
  <si>
    <t xml:space="preserve">Fabiana Santos - +55 (11) 9964-0366 </t>
  </si>
  <si>
    <t>SITE*15410</t>
  </si>
  <si>
    <t xml:space="preserve">39853 / 48437 </t>
  </si>
  <si>
    <t xml:space="preserve">Ana Flávia Cappellano - +55 (11) 9950-0944 </t>
  </si>
  <si>
    <t>SITE#15548</t>
  </si>
  <si>
    <t xml:space="preserve">39189 / 47622 </t>
  </si>
  <si>
    <t xml:space="preserve">39834 / 48411 </t>
  </si>
  <si>
    <t xml:space="preserve">Juvenal Francisco da Silva Neto - +55 (11) 9803-6427 </t>
  </si>
  <si>
    <t>SITE#15532</t>
  </si>
  <si>
    <t xml:space="preserve">40050 / 48683 </t>
  </si>
  <si>
    <t>SITE#15607</t>
  </si>
  <si>
    <t xml:space="preserve">38195 / 46386 </t>
  </si>
  <si>
    <t xml:space="preserve">Edna Bombardi - (00)00000-0000 </t>
  </si>
  <si>
    <t>Sinalização*15046</t>
  </si>
  <si>
    <t xml:space="preserve">39529 / 48050 </t>
  </si>
  <si>
    <t xml:space="preserve">38241 / 46461 </t>
  </si>
  <si>
    <t xml:space="preserve">Maria Luisa Masarin - +55 (11) 97277-2402 </t>
  </si>
  <si>
    <t>Sinalização*15071</t>
  </si>
  <si>
    <t xml:space="preserve">37994 / 46140 </t>
  </si>
  <si>
    <t xml:space="preserve">39284 / 47743 </t>
  </si>
  <si>
    <t>09/04/2026 17:39 (1 dia(s) de atraso)</t>
  </si>
  <si>
    <t xml:space="preserve">38826 / 47187 </t>
  </si>
  <si>
    <t xml:space="preserve">Carina Sales - +55 (61) 98526-6277 </t>
  </si>
  <si>
    <t>Sinalização*15232</t>
  </si>
  <si>
    <t xml:space="preserve">39406 / 47908 </t>
  </si>
  <si>
    <t xml:space="preserve">Silvio Cesar Barros - +55 (11) 9851-1958 </t>
  </si>
  <si>
    <t>SITE*15408</t>
  </si>
  <si>
    <t>27/04/2026 14:42 (4 dia(s) de atraso)</t>
  </si>
  <si>
    <t xml:space="preserve">37912 / 46019 </t>
  </si>
  <si>
    <t>Sinalização*14968</t>
  </si>
  <si>
    <t xml:space="preserve">37886 / 45987 </t>
  </si>
  <si>
    <t xml:space="preserve">VALERIA CONTIN - +55 (19) 99601-4245 </t>
  </si>
  <si>
    <t>Sinalização*14975</t>
  </si>
  <si>
    <t xml:space="preserve">39370 / 47344 </t>
  </si>
  <si>
    <t>Adesivos - 18744 OG</t>
  </si>
  <si>
    <t>27/04/2026 18:07 (7 dia(s) de atraso)</t>
  </si>
  <si>
    <t>Sinalização PS 1mm</t>
  </si>
  <si>
    <t>24/02/2026 16:11 (1 dia(s) de atraso)</t>
  </si>
  <si>
    <t xml:space="preserve">38256 / 46481 </t>
  </si>
  <si>
    <t xml:space="preserve">Kaique Antônio Ferreira - +55 (19) 98218-1432 </t>
  </si>
  <si>
    <t>Placas Sinalização - #15073</t>
  </si>
  <si>
    <t>04/02/2026 16:28 (1 dia(s) de atraso)</t>
  </si>
  <si>
    <t xml:space="preserve">38697 / 47024 </t>
  </si>
  <si>
    <t xml:space="preserve">entrega e pagamento - +55 (19) 98323-1171 </t>
  </si>
  <si>
    <t>Sinalização#15196</t>
  </si>
  <si>
    <t xml:space="preserve">39761 / 48321 </t>
  </si>
  <si>
    <t xml:space="preserve">Graziela Foregato Cavalcante Luciano - +55 (19) 9998-7149 </t>
  </si>
  <si>
    <t>SITE#15512</t>
  </si>
  <si>
    <t>29/05/2026 17:11 (14 dia(s) de atraso)</t>
  </si>
  <si>
    <t xml:space="preserve">39971 / 48581 </t>
  </si>
  <si>
    <t xml:space="preserve">40118 / 48776 </t>
  </si>
  <si>
    <t>02/06/2026 17:10 (1 dia(s) de atraso)</t>
  </si>
  <si>
    <t xml:space="preserve">38653 / 46984 </t>
  </si>
  <si>
    <t xml:space="preserve">38459 / 46742 </t>
  </si>
  <si>
    <t xml:space="preserve">38966 / 47357 </t>
  </si>
  <si>
    <t xml:space="preserve">38511 / 46807 </t>
  </si>
  <si>
    <t>Sinalização - CHAVEIROS GATOS</t>
  </si>
  <si>
    <t xml:space="preserve">39082 / 47505 </t>
  </si>
  <si>
    <t xml:space="preserve">38169 / 46358 </t>
  </si>
  <si>
    <t xml:space="preserve">38666 / 46996 </t>
  </si>
  <si>
    <t>PEDIDO BRZ CAPRI</t>
  </si>
  <si>
    <t xml:space="preserve">38819 / 47135 </t>
  </si>
  <si>
    <t>PEDIDO BRZ</t>
  </si>
  <si>
    <t>23/03/2026 10:21 (10 dia(s) de atraso)</t>
  </si>
  <si>
    <t xml:space="preserve">38439 / 46709 </t>
  </si>
  <si>
    <t xml:space="preserve">38783 / 47126 </t>
  </si>
  <si>
    <t>SINALIZAÇÃO*VINIL</t>
  </si>
  <si>
    <t xml:space="preserve">38287 / 46515 </t>
  </si>
  <si>
    <t xml:space="preserve">38268 / 46494 </t>
  </si>
  <si>
    <t xml:space="preserve">38353 / 46590 </t>
  </si>
  <si>
    <t>11/02/2026 16:17 (1 dia(s) de atraso)</t>
  </si>
  <si>
    <t xml:space="preserve">38367 / 46608 </t>
  </si>
  <si>
    <t xml:space="preserve">38457 / 46740 </t>
  </si>
  <si>
    <t xml:space="preserve">38779 / 47121 </t>
  </si>
  <si>
    <t xml:space="preserve">37992 / 46139 </t>
  </si>
  <si>
    <t xml:space="preserve">38644 / 46970 </t>
  </si>
  <si>
    <t xml:space="preserve">39583 / 48124 </t>
  </si>
  <si>
    <t xml:space="preserve">39715 / 48232 </t>
  </si>
  <si>
    <t xml:space="preserve">38508 / 46795 </t>
  </si>
  <si>
    <t xml:space="preserve">39382 / 47867 </t>
  </si>
  <si>
    <t>24/04/2026 16:22 (7 dia(s) de atraso)</t>
  </si>
  <si>
    <t xml:space="preserve">38192 / 46384 </t>
  </si>
  <si>
    <t xml:space="preserve">IVONE ELISABETE REIS - +55 (14) 99121-6498 </t>
  </si>
  <si>
    <t>Sinalização*15045</t>
  </si>
  <si>
    <t xml:space="preserve">38338 / 46582 </t>
  </si>
  <si>
    <t xml:space="preserve">CLAUDIA TADIA LOPES LOURENCO - +55 (19) 99539-8008 </t>
  </si>
  <si>
    <t>Sinalização*15094</t>
  </si>
  <si>
    <t>03/03/2026 18:09 (14 dia(s) de atraso)</t>
  </si>
  <si>
    <t xml:space="preserve">37796 / 45882 </t>
  </si>
  <si>
    <t>23/01/2026 09:31 (15 dia(s) de atraso)</t>
  </si>
  <si>
    <t xml:space="preserve">38118 / 46297 </t>
  </si>
  <si>
    <t>28/01/2026 15:21 (1 dia(s) de atraso)</t>
  </si>
  <si>
    <t xml:space="preserve">38155 / 46342 </t>
  </si>
  <si>
    <t xml:space="preserve">38421 / 46684 </t>
  </si>
  <si>
    <t xml:space="preserve">39011 / 47413 </t>
  </si>
  <si>
    <t>30/03/2026 16:43 (7 dia(s) de atraso)</t>
  </si>
  <si>
    <t>08/05/2026 11:31 (3 dia(s) de atraso)</t>
  </si>
  <si>
    <t xml:space="preserve">39009 / 47410 </t>
  </si>
  <si>
    <t xml:space="preserve">38845 / 47214 </t>
  </si>
  <si>
    <t xml:space="preserve">38600 / 46902 </t>
  </si>
  <si>
    <t>Sinalização*15172</t>
  </si>
  <si>
    <t>09/03/2026 17:42 (4 dia(s) de atraso)</t>
  </si>
  <si>
    <t xml:space="preserve">38168 / 46357 </t>
  </si>
  <si>
    <t xml:space="preserve">38447 / 46727 </t>
  </si>
  <si>
    <t>20/02/2026 14:58 (4 dia(s) de atraso)</t>
  </si>
  <si>
    <t xml:space="preserve">38643 / 46968 </t>
  </si>
  <si>
    <t>05/03/2026 11:59 (2 dia(s) de atraso)</t>
  </si>
  <si>
    <t xml:space="preserve">38602 / 46904 </t>
  </si>
  <si>
    <t>Sinalização*15174</t>
  </si>
  <si>
    <t>09/03/2026 17:43 (4 dia(s) de atraso)</t>
  </si>
  <si>
    <t xml:space="preserve">38035 / 46188 </t>
  </si>
  <si>
    <t xml:space="preserve">39401 / 47903 </t>
  </si>
  <si>
    <t xml:space="preserve">38846 / 47215 </t>
  </si>
  <si>
    <t xml:space="preserve">38609 / 46917 </t>
  </si>
  <si>
    <t xml:space="preserve">39572 / 48105 </t>
  </si>
  <si>
    <t xml:space="preserve">Pedro Pinheiro - +55 (19) 2660-5530 </t>
  </si>
  <si>
    <t>SITE*15454</t>
  </si>
  <si>
    <t>29/04/2026 17:31 (2 dia(s) de atraso)</t>
  </si>
  <si>
    <t xml:space="preserve">37767 / 45845 </t>
  </si>
  <si>
    <t>Serviço de Recorte</t>
  </si>
  <si>
    <t>12/01/2026 16:58 (5 dia(s) de atraso)</t>
  </si>
  <si>
    <t>ML Iplacas</t>
  </si>
  <si>
    <t>ML Shock</t>
  </si>
  <si>
    <t>Shopee</t>
  </si>
  <si>
    <t>Total Investido em ADS</t>
  </si>
  <si>
    <t>Mês/ Canal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</si>
  <si>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</si>
  <si>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</si>
  <si>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</si>
  <si>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</si>
  <si>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</si>
  <si>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</si>
  <si>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</si>
  <si>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</si>
  <si>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</si>
  <si>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</si>
  <si>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</si>
  <si>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</si>
  <si>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</si>
  <si>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OS</t>
  </si>
  <si>
    <t>Item</t>
  </si>
  <si>
    <t>Motivo de Retrabalho</t>
  </si>
  <si>
    <t>Custo Retrabalho</t>
  </si>
  <si>
    <t>Mês</t>
  </si>
  <si>
    <t>Ano</t>
  </si>
  <si>
    <t>Problema com Impressão</t>
  </si>
  <si>
    <t>Lista de Motivos</t>
  </si>
  <si>
    <t>Perda no Corte</t>
  </si>
  <si>
    <t>Problema na impressão</t>
  </si>
  <si>
    <t>Falha no Fechamento</t>
  </si>
  <si>
    <t>Problema no corte</t>
  </si>
  <si>
    <t>Falha na Criação</t>
  </si>
  <si>
    <t>Logistico</t>
  </si>
  <si>
    <t>Problema na instalação</t>
  </si>
  <si>
    <t>Falha Comercial</t>
  </si>
  <si>
    <t>Meta de Vendas</t>
  </si>
  <si>
    <t>% Participação</t>
  </si>
  <si>
    <t>Mercado Livre Shock</t>
  </si>
  <si>
    <t>Mercado Livre Iplacas</t>
  </si>
  <si>
    <t>Orçamento</t>
  </si>
  <si>
    <t>Telefone</t>
  </si>
  <si>
    <t>Cadastro</t>
  </si>
  <si>
    <t>Validade</t>
  </si>
  <si>
    <t xml:space="preserve">CDE - CLINICA MEDICA LTDA </t>
  </si>
  <si>
    <t>ELLEN</t>
  </si>
  <si>
    <t xml:space="preserve">+55 (19) 3737-0770 </t>
  </si>
  <si>
    <t>0 dia</t>
  </si>
  <si>
    <t>Aprovado (O.S.: 37834)</t>
  </si>
  <si>
    <t xml:space="preserve">Bruno Santos Alves </t>
  </si>
  <si>
    <t xml:space="preserve">+55 (14) 99631-0234 </t>
  </si>
  <si>
    <t>Aprovado (O.S.: 37731)</t>
  </si>
  <si>
    <t xml:space="preserve">M.G PADRONIZA </t>
  </si>
  <si>
    <t>Moises Gomes</t>
  </si>
  <si>
    <t xml:space="preserve">+55 (19) 98838-8527 </t>
  </si>
  <si>
    <t>Aprovado (O.S.: 37728)</t>
  </si>
  <si>
    <t xml:space="preserve">DUMUM ENERGIA SOLAR FACIL </t>
  </si>
  <si>
    <t>Daniel Burchauser Salla</t>
  </si>
  <si>
    <t xml:space="preserve">+55 (19) 99998-1266 </t>
  </si>
  <si>
    <t>Aprovado (O.S.: 37734)</t>
  </si>
  <si>
    <t xml:space="preserve">PETCALI </t>
  </si>
  <si>
    <t>Claudinei</t>
  </si>
  <si>
    <t xml:space="preserve">+55 (19) 99407-6359 </t>
  </si>
  <si>
    <t>Aprovado (O.S.: 37737)</t>
  </si>
  <si>
    <t xml:space="preserve">Alex Design </t>
  </si>
  <si>
    <t>Alex Betarelo</t>
  </si>
  <si>
    <t xml:space="preserve">+55 (19) 99668-4822 </t>
  </si>
  <si>
    <t>Aprovado (O.S.: 37748)</t>
  </si>
  <si>
    <t>Aprovado (O.S.: 37743)</t>
  </si>
  <si>
    <t xml:space="preserve">RW LOG TRANSPORTES NACIONAIS LTDA - ME </t>
  </si>
  <si>
    <t>Comercial</t>
  </si>
  <si>
    <t xml:space="preserve">+55 (19) 3265-0643 </t>
  </si>
  <si>
    <t>Painel com Display Acrilico</t>
  </si>
  <si>
    <t xml:space="preserve">Em aberto </t>
  </si>
  <si>
    <t xml:space="preserve">HARIKOA COMUNICAÇÃO </t>
  </si>
  <si>
    <t>Eliane</t>
  </si>
  <si>
    <t xml:space="preserve">+55 (19) 99742-4593 </t>
  </si>
  <si>
    <t>Aprovado (O.S.: 37754)</t>
  </si>
  <si>
    <t xml:space="preserve">CONSTRUMAG </t>
  </si>
  <si>
    <t>Fabiola</t>
  </si>
  <si>
    <t xml:space="preserve">+55 (11) 94035-8331 </t>
  </si>
  <si>
    <t xml:space="preserve">LUNAR BRASIL E-COMMERCE LTDA </t>
  </si>
  <si>
    <t>Beatriz</t>
  </si>
  <si>
    <t xml:space="preserve">+55 (19) 92001-8298 </t>
  </si>
  <si>
    <t>Aprovado (O.S.: 37764)</t>
  </si>
  <si>
    <t>Aprovado (O.S.: 37767)</t>
  </si>
  <si>
    <t xml:space="preserve">Covabra Loja 10 </t>
  </si>
  <si>
    <t>Cassio</t>
  </si>
  <si>
    <t xml:space="preserve">+55 (11) 94113-6830 </t>
  </si>
  <si>
    <t>Aprovado (O.S.: 37843)</t>
  </si>
  <si>
    <t>Aprovado (O.S.: 37922)</t>
  </si>
  <si>
    <t>Aprovado (O.S.: 37788)</t>
  </si>
  <si>
    <t>Aprovado (O.S.: 37789)</t>
  </si>
  <si>
    <t xml:space="preserve">COVABRA Loja 23 </t>
  </si>
  <si>
    <t>Larissa</t>
  </si>
  <si>
    <t xml:space="preserve">(19)97821-8585 </t>
  </si>
  <si>
    <t>Aprovado (O.S.: 37842)</t>
  </si>
  <si>
    <t xml:space="preserve">IC TRANSPORTES LTDA </t>
  </si>
  <si>
    <t>compras</t>
  </si>
  <si>
    <t xml:space="preserve">+55 (19) 99245-4655 </t>
  </si>
  <si>
    <t>Aprovado (O.S.: 37833)</t>
  </si>
  <si>
    <t xml:space="preserve">Cleide Terin </t>
  </si>
  <si>
    <t>Cleide</t>
  </si>
  <si>
    <t xml:space="preserve">+55 (19) 3269-9257 </t>
  </si>
  <si>
    <t>Aprovado (O.S.: 38088)</t>
  </si>
  <si>
    <t>Aprovado (O.S.: 37796)</t>
  </si>
  <si>
    <t xml:space="preserve">MUNDO COMUNICACAO </t>
  </si>
  <si>
    <t>Compras</t>
  </si>
  <si>
    <t xml:space="preserve">+55 (19) 98991-7938 </t>
  </si>
  <si>
    <t>Impressão em ACM do Cliente</t>
  </si>
  <si>
    <t>Aprovado (O.S.: 37801)</t>
  </si>
  <si>
    <t>Aprovado (O.S.: 37802)</t>
  </si>
  <si>
    <t>Aprovado (O.S.: 37803)</t>
  </si>
  <si>
    <t>ORC.: Aprovado</t>
  </si>
  <si>
    <t xml:space="preserve">ASSOCIACAO ATLETICA PONTE PRETA COUNTRY CLUB </t>
  </si>
  <si>
    <t>Gabriel</t>
  </si>
  <si>
    <t xml:space="preserve">+55 (19) 99555-4575 </t>
  </si>
  <si>
    <t>Aprovado (O.S.: 37825)</t>
  </si>
  <si>
    <t xml:space="preserve">Marianna de Pontes Simões </t>
  </si>
  <si>
    <t>Marianna de Pontes Simões</t>
  </si>
  <si>
    <t xml:space="preserve">+55 (13) 99143-5005 </t>
  </si>
  <si>
    <t>Comandas</t>
  </si>
  <si>
    <t>Aprovado (O.S.: 37826)</t>
  </si>
  <si>
    <t>Aprovado (O.S.: 37827)</t>
  </si>
  <si>
    <t>Aprovado (O.S.: 37830)</t>
  </si>
  <si>
    <t>Aprovado (O.S.: 37831)</t>
  </si>
  <si>
    <t>Aprovado (O.S.: 37835)</t>
  </si>
  <si>
    <t xml:space="preserve">Artico log </t>
  </si>
  <si>
    <t>João</t>
  </si>
  <si>
    <t xml:space="preserve">+55 (19) 3327-3303 </t>
  </si>
  <si>
    <t>Aprovado (O.S.: 37839)</t>
  </si>
  <si>
    <t>Aprovado (O.S.: 37979)</t>
  </si>
  <si>
    <t xml:space="preserve">COVABRA CENTRO DE DISTRIBUIÇÃO </t>
  </si>
  <si>
    <t xml:space="preserve">+55 (19) 3727-2400 </t>
  </si>
  <si>
    <t>Aprovado (O.S.: 37844)</t>
  </si>
  <si>
    <t>Aprovado (O.S.: 37851)</t>
  </si>
  <si>
    <t>Aprovado (O.S.: 37846)</t>
  </si>
  <si>
    <t>Aprovado (O.S.: 37850)</t>
  </si>
  <si>
    <t xml:space="preserve">COVABRA LOJA 18 </t>
  </si>
  <si>
    <t xml:space="preserve">+55 (19) 97821-8585 </t>
  </si>
  <si>
    <t>Aprovado (O.S.: 37950)</t>
  </si>
  <si>
    <t xml:space="preserve">Clara Helena de Oliveira </t>
  </si>
  <si>
    <t xml:space="preserve">+55 (19) 99476-1914 </t>
  </si>
  <si>
    <t>Aprovado (O.S.: 37857)</t>
  </si>
  <si>
    <t xml:space="preserve">26.885.880 JULIANA FURLANETTI BALDISSERA </t>
  </si>
  <si>
    <t xml:space="preserve">+55 (19) 99761-2687 </t>
  </si>
  <si>
    <t>Aprovado (O.S.: 37863)</t>
  </si>
  <si>
    <t xml:space="preserve">SETSAFE CONSULTORIA &amp; TREINAMENTOS LTDA </t>
  </si>
  <si>
    <t xml:space="preserve">+55 (19) 3221-4021 </t>
  </si>
  <si>
    <t>Aprovado (O.S.: 38442)</t>
  </si>
  <si>
    <t xml:space="preserve">Associação Alphaville Dom Pedro </t>
  </si>
  <si>
    <t>Gabriela</t>
  </si>
  <si>
    <t xml:space="preserve">+55 (19) 98434-0036 </t>
  </si>
  <si>
    <t>Aprovado (O.S.: 37873)</t>
  </si>
  <si>
    <t>Aprovado (O.S.: 37871)</t>
  </si>
  <si>
    <t>Aprovado (O.S.: 37872)</t>
  </si>
  <si>
    <t>Aprovado (O.S.: 37874)</t>
  </si>
  <si>
    <t>Aprovado (O.S.: 37875)</t>
  </si>
  <si>
    <t xml:space="preserve">TECNOPERFIL </t>
  </si>
  <si>
    <t>Rafael</t>
  </si>
  <si>
    <t xml:space="preserve">+55 (19) 99962-3372 </t>
  </si>
  <si>
    <t>Aprovado (O.S.: 37876)</t>
  </si>
  <si>
    <t xml:space="preserve">CLINICA DA CIDADE </t>
  </si>
  <si>
    <t xml:space="preserve">+55 (19) 97151-0604 </t>
  </si>
  <si>
    <t>Sinalização - LETREIRO UNIMART</t>
  </si>
  <si>
    <t>Aprovado (O.S.: 37882)</t>
  </si>
  <si>
    <t xml:space="preserve">HOLAMAQ BLUEBURNER </t>
  </si>
  <si>
    <t>Moises</t>
  </si>
  <si>
    <t xml:space="preserve">+55 (19) 99861-9873 </t>
  </si>
  <si>
    <t>Aprovado (O.S.: 37910)</t>
  </si>
  <si>
    <t xml:space="preserve">FERREIRA AGUIAR LTDA </t>
  </si>
  <si>
    <t>Victor</t>
  </si>
  <si>
    <t xml:space="preserve">+55 (73) 9837-8608 </t>
  </si>
  <si>
    <t>Aprovado (O.S.: 37939)</t>
  </si>
  <si>
    <t xml:space="preserve">Silvia Marinho </t>
  </si>
  <si>
    <t xml:space="preserve">+55 (11) 99639-4126 </t>
  </si>
  <si>
    <t>Aprovado (O.S.: 37898)</t>
  </si>
  <si>
    <t xml:space="preserve">Pablo Almeida Da Silva </t>
  </si>
  <si>
    <t xml:space="preserve">+55 (21) 9872-8768 </t>
  </si>
  <si>
    <t>Aprovado (O.S.: 37893)</t>
  </si>
  <si>
    <t xml:space="preserve">Paula Castello Miguel </t>
  </si>
  <si>
    <t xml:space="preserve">+55 (27) 98822-4668 </t>
  </si>
  <si>
    <t>Aprovado (O.S.: 37896)</t>
  </si>
  <si>
    <t>Aprovado (O.S.: 37901)</t>
  </si>
  <si>
    <t>Aprovado (O.S.: 37902)</t>
  </si>
  <si>
    <t>Adesivagem Bau 3/4</t>
  </si>
  <si>
    <t>30 dias</t>
  </si>
  <si>
    <t>Aprovado (O.S.: 37909)</t>
  </si>
  <si>
    <t xml:space="preserve">DTEL </t>
  </si>
  <si>
    <t>Pedro - Compras</t>
  </si>
  <si>
    <t xml:space="preserve">+55 (81) 8256-9255 </t>
  </si>
  <si>
    <t xml:space="preserve">IMPROCROP DO BRASIL LTDA. </t>
  </si>
  <si>
    <t>Flavia Silva</t>
  </si>
  <si>
    <t xml:space="preserve">+55 (44) 3123-9567 </t>
  </si>
  <si>
    <t>Placas de Campo</t>
  </si>
  <si>
    <t xml:space="preserve">Almaplast Embalagens </t>
  </si>
  <si>
    <t>Antonio</t>
  </si>
  <si>
    <t xml:space="preserve">+55 (19) 99204-7215 </t>
  </si>
  <si>
    <t>Padronização POLO</t>
  </si>
  <si>
    <t xml:space="preserve">APOIO VISUAL </t>
  </si>
  <si>
    <t>Grace justino</t>
  </si>
  <si>
    <t xml:space="preserve">+55 (11) 99231-1817 </t>
  </si>
  <si>
    <t>Aprovado (O.S.: 37923)</t>
  </si>
  <si>
    <t xml:space="preserve">UNIMETAL TAUBATE INDUSTRIA COMERCIO E EMPREENDIMENTOS LTDA </t>
  </si>
  <si>
    <t>Luan Victor da Luz</t>
  </si>
  <si>
    <t xml:space="preserve">+55 (19) 3812-9200 </t>
  </si>
  <si>
    <t>Aprovado (O.S.: 37929)</t>
  </si>
  <si>
    <t>Aprovado (O.S.: 37943)</t>
  </si>
  <si>
    <t>Aprovado (O.S.: 37932)</t>
  </si>
  <si>
    <t>Aprovado (O.S.: 37936)</t>
  </si>
  <si>
    <t>Aprovado (O.S.: 37937)</t>
  </si>
  <si>
    <t xml:space="preserve">BRINDES FALCAO </t>
  </si>
  <si>
    <t>Reinaldo</t>
  </si>
  <si>
    <t xml:space="preserve">+55 (19) 97409-8993 </t>
  </si>
  <si>
    <t>Aprovado (O.S.: 37938)</t>
  </si>
  <si>
    <t xml:space="preserve">MNORONHA EVENTOS </t>
  </si>
  <si>
    <t>Magali</t>
  </si>
  <si>
    <t xml:space="preserve">+55 (19) 3272-9606 </t>
  </si>
  <si>
    <t>Totens</t>
  </si>
  <si>
    <t xml:space="preserve">NOVA AVENTURA COMERCIO DE ARTIGOS ESPORTIVOS LTDA. </t>
  </si>
  <si>
    <t xml:space="preserve">+55 (19) 9892-6601 </t>
  </si>
  <si>
    <t>Aprovado (O.S.: 37946)</t>
  </si>
  <si>
    <t xml:space="preserve">Maíra Salazar </t>
  </si>
  <si>
    <t xml:space="preserve">+55 (11) 98987-7944 </t>
  </si>
  <si>
    <t>Aprovado (O.S.: 37969)</t>
  </si>
  <si>
    <t>Aprovado (O.S.: 37948)</t>
  </si>
  <si>
    <t xml:space="preserve">Caroline Jullie Lopes Pena Aguiar </t>
  </si>
  <si>
    <t xml:space="preserve">+55 (22) 98127-9807 </t>
  </si>
  <si>
    <t>Aprovado (O.S.: 37974)</t>
  </si>
  <si>
    <t xml:space="preserve">CEVA SAUDE ANIMAL </t>
  </si>
  <si>
    <t>Geralda GABRIELE</t>
  </si>
  <si>
    <t xml:space="preserve">+55 (19) 3246-2940 </t>
  </si>
  <si>
    <t>Aprovado (O.S.: 37983)</t>
  </si>
  <si>
    <t xml:space="preserve">GRAFICA E PAPELARIA GUTENBERG </t>
  </si>
  <si>
    <t>Bianca</t>
  </si>
  <si>
    <t xml:space="preserve">(00)00000-0000 </t>
  </si>
  <si>
    <t>Wobbler</t>
  </si>
  <si>
    <t>Aprovado (O.S.: 37960)</t>
  </si>
  <si>
    <t>Aprovado (O.S.: 37961)</t>
  </si>
  <si>
    <t xml:space="preserve">Escritorio Taquaral </t>
  </si>
  <si>
    <t>Fernanda</t>
  </si>
  <si>
    <t xml:space="preserve">+55 (19) 98963-9015 </t>
  </si>
  <si>
    <t>Letra Caixa</t>
  </si>
  <si>
    <t>Aprovado (O.S.: 37976)</t>
  </si>
  <si>
    <t xml:space="preserve">AUTOMATIZE SOLUCOES </t>
  </si>
  <si>
    <t>Paula Caroline</t>
  </si>
  <si>
    <t xml:space="preserve">+55 (19) 99368-5982 </t>
  </si>
  <si>
    <t>Aprovado (O.S.: 38006)</t>
  </si>
  <si>
    <t>Aprovado (O.S.: 38122)</t>
  </si>
  <si>
    <t>Aprovado (O.S.: 37987)</t>
  </si>
  <si>
    <t>Aprovado (O.S.: 37989)</t>
  </si>
  <si>
    <t xml:space="preserve">MATERNIDADE DE CAMPINAS </t>
  </si>
  <si>
    <t>Marcio</t>
  </si>
  <si>
    <t xml:space="preserve">+55 (19) 3306-6000 </t>
  </si>
  <si>
    <t>Aprovado (O.S.: 37990)</t>
  </si>
  <si>
    <t>Aprovado (O.S.: 37991)</t>
  </si>
  <si>
    <t>Aprovado (O.S.: 38280)</t>
  </si>
  <si>
    <t>Aprovado (O.S.: 37992)</t>
  </si>
  <si>
    <t>Aprovado (O.S.: 37994)</t>
  </si>
  <si>
    <t>Aprovado (O.S.: 37996)</t>
  </si>
  <si>
    <t xml:space="preserve">JC BORRACHA </t>
  </si>
  <si>
    <t>Junior Oliveira</t>
  </si>
  <si>
    <t xml:space="preserve">+55 (19) 98122-2010 </t>
  </si>
  <si>
    <t>10 dias</t>
  </si>
  <si>
    <t>Aprovado (O.S.: 38004)</t>
  </si>
  <si>
    <t xml:space="preserve">PLASTIMIL INDUSTRIA E COMERCIO DE PLASTICOS LTDA. </t>
  </si>
  <si>
    <t>Valeria</t>
  </si>
  <si>
    <t xml:space="preserve">+55 (19) 3856-6100 </t>
  </si>
  <si>
    <t>Aprovado (O.S.: 38176)</t>
  </si>
  <si>
    <t>Aprovado (O.S.: 38059)</t>
  </si>
  <si>
    <t xml:space="preserve">NUCTECH </t>
  </si>
  <si>
    <t>Elza</t>
  </si>
  <si>
    <t xml:space="preserve">+55 (19) 99520-1395 </t>
  </si>
  <si>
    <t>Aprovado (O.S.: 38054)</t>
  </si>
  <si>
    <t xml:space="preserve">VISUAL CAMP </t>
  </si>
  <si>
    <t xml:space="preserve">(19)99113-9769 </t>
  </si>
  <si>
    <t>Aprovado (O.S.: 38026)</t>
  </si>
  <si>
    <t xml:space="preserve">GAS LEGAL </t>
  </si>
  <si>
    <t>Jefferson</t>
  </si>
  <si>
    <t xml:space="preserve">+55 (19) 98366-3132 </t>
  </si>
  <si>
    <t>Aprovado (O.S.: 38032)</t>
  </si>
  <si>
    <t xml:space="preserve">SIM DISTRIBUIDORA DE VEICULOS E PECAS LTDA </t>
  </si>
  <si>
    <t>Cristiane</t>
  </si>
  <si>
    <t xml:space="preserve">+55 (19) 99583-9796 </t>
  </si>
  <si>
    <t>Aprovado (O.S.: 38048)</t>
  </si>
  <si>
    <t xml:space="preserve">PAPEL ONLINE </t>
  </si>
  <si>
    <t>Luciana</t>
  </si>
  <si>
    <t xml:space="preserve">+55 (11) 4588-7860 </t>
  </si>
  <si>
    <t>Aprovado (O.S.: 38049)</t>
  </si>
  <si>
    <t xml:space="preserve">Gleis Coimbra </t>
  </si>
  <si>
    <t xml:space="preserve">+55 (19) 99614-8148 </t>
  </si>
  <si>
    <t>Aprovado (O.S.: 38055)</t>
  </si>
  <si>
    <t>Aprovado (O.S.: 38035)</t>
  </si>
  <si>
    <t>Aprovado (O.S.: 38037)</t>
  </si>
  <si>
    <t xml:space="preserve">COVABRA ADM </t>
  </si>
  <si>
    <t>Lucas</t>
  </si>
  <si>
    <t xml:space="preserve">+55 (19) 99339-9578 </t>
  </si>
  <si>
    <t>Aprovado (O.S.: 38040)</t>
  </si>
  <si>
    <t xml:space="preserve">INSTITUTO NOVA EUROPA IDIOMAS LTDA </t>
  </si>
  <si>
    <t>Gustavo</t>
  </si>
  <si>
    <t xml:space="preserve">+55 (19) 3277-0369 </t>
  </si>
  <si>
    <t>Aprovado (O.S.: 38051)</t>
  </si>
  <si>
    <t xml:space="preserve">Condominio Colorado 3 </t>
  </si>
  <si>
    <t xml:space="preserve">+55 (19) 3306-8588 </t>
  </si>
  <si>
    <t>Aprovado (O.S.: 38159)</t>
  </si>
  <si>
    <t xml:space="preserve">ITALAJES VIDROS </t>
  </si>
  <si>
    <t>Elaine Bergamo</t>
  </si>
  <si>
    <t xml:space="preserve">+55 (51) 9698-4973 </t>
  </si>
  <si>
    <t>Aprovado (O.S.: 38126)</t>
  </si>
  <si>
    <t xml:space="preserve">FOCCARE </t>
  </si>
  <si>
    <t>Henrique</t>
  </si>
  <si>
    <t xml:space="preserve">+55 (11) 93001-0077 </t>
  </si>
  <si>
    <t xml:space="preserve">ODP-SMG LTDA </t>
  </si>
  <si>
    <t xml:space="preserve">+55 (11) 99820-3630 </t>
  </si>
  <si>
    <t>Aprovado (O.S.: 38080)</t>
  </si>
  <si>
    <t>Padrão</t>
  </si>
  <si>
    <t>Aprovado (O.S.: 38074)</t>
  </si>
  <si>
    <t>Aprovado (O.S.: 38073)</t>
  </si>
  <si>
    <t>Caio</t>
  </si>
  <si>
    <t>Aprovado (O.S.: 38076)</t>
  </si>
  <si>
    <t>Aprovado (O.S.: 38075)</t>
  </si>
  <si>
    <t xml:space="preserve">CARREGA E VAI LTDA </t>
  </si>
  <si>
    <t>Leonardo</t>
  </si>
  <si>
    <t xml:space="preserve">+55 (19) 98286-8468 </t>
  </si>
  <si>
    <t>Aprovado (O.S.: 38082)</t>
  </si>
  <si>
    <t>Aprovado (O.S.: 38083)</t>
  </si>
  <si>
    <t xml:space="preserve">CALL EXPRESS TRANSPORTE E LOGISTICA LTDA </t>
  </si>
  <si>
    <t>CLÉBER</t>
  </si>
  <si>
    <t xml:space="preserve">+55 (19) 3267-1900 </t>
  </si>
  <si>
    <t>Aprovado (O.S.: 38085)</t>
  </si>
  <si>
    <t>Aprovado (O.S.: 38188)</t>
  </si>
  <si>
    <t xml:space="preserve">COVABRA LOJA 29 </t>
  </si>
  <si>
    <t xml:space="preserve">+55 (19) 99429-6047 </t>
  </si>
  <si>
    <t>Aprovado (O.S.: 38147)</t>
  </si>
  <si>
    <t xml:space="preserve">COVABRA Loja 22 </t>
  </si>
  <si>
    <t>Aprovado (O.S.: 38127)</t>
  </si>
  <si>
    <t xml:space="preserve">SOCIEDADE ALPHAVILLE CAMPINAS RESIDENCIAL </t>
  </si>
  <si>
    <t>Bruno</t>
  </si>
  <si>
    <t xml:space="preserve">+55 (19) 99334-0796 </t>
  </si>
  <si>
    <t>Aprovado (O.S.: 38102)</t>
  </si>
  <si>
    <t>Aprovado (O.S.: 38103)</t>
  </si>
  <si>
    <t>Sinalização - Rota de Fuga</t>
  </si>
  <si>
    <t>Aprovado (O.S.: 38115)</t>
  </si>
  <si>
    <t xml:space="preserve">VITAL FORCE </t>
  </si>
  <si>
    <t>Lorena</t>
  </si>
  <si>
    <t xml:space="preserve">+55 (17) 99232-6274 </t>
  </si>
  <si>
    <t>Sinalização - Placas de Campo</t>
  </si>
  <si>
    <t>Aprovado (O.S.: 38118)</t>
  </si>
  <si>
    <t>Aprovado (O.S.: 38123)</t>
  </si>
  <si>
    <t>Aprovado (O.S.: 38125)</t>
  </si>
  <si>
    <t xml:space="preserve">COVABRA SUPERMERCADOS LTDA </t>
  </si>
  <si>
    <t xml:space="preserve">+55 (19) 3803-0000 </t>
  </si>
  <si>
    <t>Aprovado (O.S.: 38131)</t>
  </si>
  <si>
    <t xml:space="preserve">COVABRA Loja 9 Atual </t>
  </si>
  <si>
    <t>Aprovado (O.S.: 38358)</t>
  </si>
  <si>
    <t xml:space="preserve">PLAFON ENGENHARIA E SERVICOS ELETRICOS </t>
  </si>
  <si>
    <t>Thiago Nonato</t>
  </si>
  <si>
    <t xml:space="preserve">+55 (19) 98288-6812 </t>
  </si>
  <si>
    <t>Aprovado (O.S.: 38146)</t>
  </si>
  <si>
    <t>Aprovado (O.S.: 38130)</t>
  </si>
  <si>
    <t>Aprovado (O.S.: 38143)</t>
  </si>
  <si>
    <t xml:space="preserve">FUNDAÇÃO DE DESENVOLVIMENTO DA UNICAMP FUNCAMP </t>
  </si>
  <si>
    <t>Barbara Manzano</t>
  </si>
  <si>
    <t xml:space="preserve">+55 (19) 99176-5038 </t>
  </si>
  <si>
    <t>Aprovado (O.S.: 38148)</t>
  </si>
  <si>
    <t xml:space="preserve">Guilherme Santos de Moraes </t>
  </si>
  <si>
    <t xml:space="preserve">+55 (19) 98217-5555 </t>
  </si>
  <si>
    <t>Aprovado (O.S.: 38151)</t>
  </si>
  <si>
    <t>Aprovado (O.S.: 38155)</t>
  </si>
  <si>
    <t xml:space="preserve">CONDOMINIO PARQUE DAS VERTENTES </t>
  </si>
  <si>
    <t>Henrique Xavier</t>
  </si>
  <si>
    <t xml:space="preserve">+55 (19) 99905-4432 </t>
  </si>
  <si>
    <t>Aprovado (O.S.: 38158)</t>
  </si>
  <si>
    <t>Aprovado (O.S.: 38024)</t>
  </si>
  <si>
    <t>Aprovado (O.S.: 38371)</t>
  </si>
  <si>
    <t xml:space="preserve">Charles Rodrigues Da Silva </t>
  </si>
  <si>
    <t>Charles Rodrigues Da Silva</t>
  </si>
  <si>
    <t xml:space="preserve">+55 (00) 00000-0000 </t>
  </si>
  <si>
    <t>Teste</t>
  </si>
  <si>
    <t>Aprovado (O.S.: 38167)</t>
  </si>
  <si>
    <t>Aprovado (O.S.: 38168)</t>
  </si>
  <si>
    <t>Aprovado (O.S.: 38169)</t>
  </si>
  <si>
    <t>Aprovado (O.S.: 38170)</t>
  </si>
  <si>
    <t>Aprovado (O.S.: 38171)</t>
  </si>
  <si>
    <t>Aprovado (O.S.: 38172)</t>
  </si>
  <si>
    <t>Aprovado (O.S.: 38173)</t>
  </si>
  <si>
    <t>Stefano</t>
  </si>
  <si>
    <t>Aprovado (O.S.: 38180)</t>
  </si>
  <si>
    <t>Aprovado (O.S.: 38182)</t>
  </si>
  <si>
    <t>Aprovado (O.S.: 38183)</t>
  </si>
  <si>
    <t xml:space="preserve">DELSOL ENGENHARIA LTDA </t>
  </si>
  <si>
    <t>Matheus</t>
  </si>
  <si>
    <t xml:space="preserve">+55 (51) 3031-7171 </t>
  </si>
  <si>
    <t>Aprovado (O.S.: 38187)</t>
  </si>
  <si>
    <t>Aprovado (O.S.: 38190)</t>
  </si>
  <si>
    <t xml:space="preserve">HOBER ARTEFATOS PLASTICOS LTDA </t>
  </si>
  <si>
    <t>Andrea/Sara</t>
  </si>
  <si>
    <t xml:space="preserve">+55 (11) 97153-9538 </t>
  </si>
  <si>
    <t>Aprovado (O.S.: 38209)</t>
  </si>
  <si>
    <t>Aprovado (O.S.: 38193)</t>
  </si>
  <si>
    <t xml:space="preserve">Camila Cristina Lopes Machado </t>
  </si>
  <si>
    <t>Camila Cristina Lopes Machado</t>
  </si>
  <si>
    <t xml:space="preserve">+55 (19) 98301-1901 </t>
  </si>
  <si>
    <t>Aprovado (O.S.: 38206)</t>
  </si>
  <si>
    <t xml:space="preserve">ELOCLIMA SOLUCOES EM AR CONDICIONADO </t>
  </si>
  <si>
    <t>Selma</t>
  </si>
  <si>
    <t xml:space="preserve">+55 (19) 3291-5994 </t>
  </si>
  <si>
    <t xml:space="preserve">TEADIT BRASIL LTDA </t>
  </si>
  <si>
    <t>Otavio Souza</t>
  </si>
  <si>
    <t xml:space="preserve">+55 (19) 3765-6575 </t>
  </si>
  <si>
    <t>Aprovado (O.S.: 38252)</t>
  </si>
  <si>
    <t>Aprovado (O.S.: 38219)</t>
  </si>
  <si>
    <t>Aprovado (O.S.: 38220)</t>
  </si>
  <si>
    <t>BEATRIZ RODRIGUES</t>
  </si>
  <si>
    <t>Aprovado (O.S.: 38223)</t>
  </si>
  <si>
    <t xml:space="preserve">FRIGOESTRELA </t>
  </si>
  <si>
    <t>Departamento de Compras</t>
  </si>
  <si>
    <t>Aprovado (O.S.: 38226)</t>
  </si>
  <si>
    <t>Camila</t>
  </si>
  <si>
    <t xml:space="preserve">SP TJ - Indaiatuba </t>
  </si>
  <si>
    <t>Hengli</t>
  </si>
  <si>
    <t xml:space="preserve">+55 (12) 99656-6083 </t>
  </si>
  <si>
    <t xml:space="preserve">Brian Victor Andre </t>
  </si>
  <si>
    <t xml:space="preserve">+55 (19) 99279-4460 </t>
  </si>
  <si>
    <t>Aprovado (O.S.: 38229)</t>
  </si>
  <si>
    <t xml:space="preserve">RUMO STUDIO </t>
  </si>
  <si>
    <t>Arthur</t>
  </si>
  <si>
    <t xml:space="preserve">+55 (11) 94369-8963 </t>
  </si>
  <si>
    <t>Aprovado (O.S.: 38595)</t>
  </si>
  <si>
    <t xml:space="preserve">JAPI S/A INDUSTRIA E COMERCIO </t>
  </si>
  <si>
    <t>Vanessa Custodio</t>
  </si>
  <si>
    <t xml:space="preserve">+55 (11) 4532-3333 </t>
  </si>
  <si>
    <t>Aprovado (O.S.: 38243)</t>
  </si>
  <si>
    <t>Aprovado (O.S.: 38244)</t>
  </si>
  <si>
    <t xml:space="preserve">HUNTER DOUGLAS DO BRASIL LTDA </t>
  </si>
  <si>
    <t>Camila Prevedel</t>
  </si>
  <si>
    <t xml:space="preserve">+55 (19) 99348-3052 </t>
  </si>
  <si>
    <t>Aprovado (O.S.: 38278)</t>
  </si>
  <si>
    <t>Aprovado (O.S.: 38261)</t>
  </si>
  <si>
    <t>Aprovado (O.S.: 38265)</t>
  </si>
  <si>
    <t>Aprovado (O.S.: 38267)</t>
  </si>
  <si>
    <t>Aprovado (O.S.: 38268)</t>
  </si>
  <si>
    <t xml:space="preserve">ASSOCIACAO SWISS PARK COMERCIAL </t>
  </si>
  <si>
    <t>Aprovado (O.S.: 38275)</t>
  </si>
  <si>
    <t xml:space="preserve">ARGETEX INDUSTRIA E COMERCIO TEXTIL LTDA </t>
  </si>
  <si>
    <t>Matheus S. Santos</t>
  </si>
  <si>
    <t>Aprovado (O.S.: 38283)</t>
  </si>
  <si>
    <t>Aprovado (O.S.: 38284)</t>
  </si>
  <si>
    <t>João Vitor</t>
  </si>
  <si>
    <t>Aprovado (O.S.: 38291)</t>
  </si>
  <si>
    <t>Aprovado (O.S.: 38286)</t>
  </si>
  <si>
    <t>Aprovado (O.S.: 38287)</t>
  </si>
  <si>
    <t>Aprovado (O.S.: 38288)</t>
  </si>
  <si>
    <t>Aprovado (O.S.: 38289)</t>
  </si>
  <si>
    <t>Isis Pedroni</t>
  </si>
  <si>
    <t>Aprovado (O.S.: 38349)</t>
  </si>
  <si>
    <t xml:space="preserve">Marcelo Silva </t>
  </si>
  <si>
    <t xml:space="preserve">+55 (19) 98122-3751 </t>
  </si>
  <si>
    <t>Aprovado (O.S.: 38300)</t>
  </si>
  <si>
    <t>Aprovado (O.S.: 38362)</t>
  </si>
  <si>
    <t xml:space="preserve">GM DOS REIS INDUSTRIA E COMERCIO LTDA </t>
  </si>
  <si>
    <t>Leandro</t>
  </si>
  <si>
    <t xml:space="preserve">+55 (19) 99801-7373 </t>
  </si>
  <si>
    <t>Aprovado (O.S.: 38350)</t>
  </si>
  <si>
    <t>Aprovado (O.S.: 38312)</t>
  </si>
  <si>
    <t>Aprovado (O.S.: 38320)</t>
  </si>
  <si>
    <t xml:space="preserve">COVABRA LOJA 20 </t>
  </si>
  <si>
    <t xml:space="preserve">+55 (19) 98328-3612 </t>
  </si>
  <si>
    <t>Placas do Açougue</t>
  </si>
  <si>
    <t xml:space="preserve">COVABRA Loja 21 </t>
  </si>
  <si>
    <t xml:space="preserve">+55 (19) 99820-3470 </t>
  </si>
  <si>
    <t>Aprovado (O.S.: 38468)</t>
  </si>
  <si>
    <t>Aprovado (O.S.: 38324)</t>
  </si>
  <si>
    <t xml:space="preserve">ADRIANO DE JESUS SENHORINHO 39872070865 </t>
  </si>
  <si>
    <t>Adriano</t>
  </si>
  <si>
    <t xml:space="preserve">+55 (19) 9493-5543 </t>
  </si>
  <si>
    <t>Aprovado (O.S.: 38330)</t>
  </si>
  <si>
    <t>Aprovado (O.S.: 38351)</t>
  </si>
  <si>
    <t>Aprovado (O.S.: 38352)</t>
  </si>
  <si>
    <t>Aprovado (O.S.: 38353)</t>
  </si>
  <si>
    <t>Aprovado (O.S.: 38355)</t>
  </si>
  <si>
    <t xml:space="preserve">DHL LOGISTICS (BRAZIL) LTDA. </t>
  </si>
  <si>
    <t>Danyelli</t>
  </si>
  <si>
    <t xml:space="preserve">+55 (19) 99627-5914 </t>
  </si>
  <si>
    <t>Aprovado (O.S.: 38391)</t>
  </si>
  <si>
    <t xml:space="preserve">Epson do Brasil </t>
  </si>
  <si>
    <t>Sean Máximo</t>
  </si>
  <si>
    <t xml:space="preserve">+55 (11) 99149-9794 </t>
  </si>
  <si>
    <t>Aprovado (O.S.: 38616)</t>
  </si>
  <si>
    <t>Aprovado (O.S.: 38367)</t>
  </si>
  <si>
    <t>Aprovado (O.S.: 38368)</t>
  </si>
  <si>
    <t>Aprovado (O.S.: 38369)</t>
  </si>
  <si>
    <t>Impressão em PS 2mm do Cliente</t>
  </si>
  <si>
    <t>Aprovado (O.S.: 38379)</t>
  </si>
  <si>
    <t>Aprovado (O.S.: 38380)</t>
  </si>
  <si>
    <t xml:space="preserve">ASSOCIATED SPRING DO BRASIL LTDA </t>
  </si>
  <si>
    <t>Luciane Lando</t>
  </si>
  <si>
    <t xml:space="preserve">+55 (19) 3725-1080 </t>
  </si>
  <si>
    <t>Aprovado (O.S.: 38381)</t>
  </si>
  <si>
    <t>Comandas Frente e Verso</t>
  </si>
  <si>
    <t>Aprovado (O.S.: 38400)</t>
  </si>
  <si>
    <t>Aprovado (O.S.: 38580)</t>
  </si>
  <si>
    <t>Glauber</t>
  </si>
  <si>
    <t>Aprovado (O.S.: 38431)</t>
  </si>
  <si>
    <t>Aprovado (O.S.: 38412)</t>
  </si>
  <si>
    <t>Everton Cruz</t>
  </si>
  <si>
    <t>Aprovado (O.S.: 38503)</t>
  </si>
  <si>
    <t>Sinalização - ALUMÍNIO 1,5MM</t>
  </si>
  <si>
    <t>Cassio Donato</t>
  </si>
  <si>
    <t>Aprovado (O.S.: 38418)</t>
  </si>
  <si>
    <t>Aprovado (O.S.: 38421)</t>
  </si>
  <si>
    <t>Aprovado (O.S.: 38422)</t>
  </si>
  <si>
    <t>Aprovado (O.S.: 38423)</t>
  </si>
  <si>
    <t>Aprovado (O.S.: 38424)</t>
  </si>
  <si>
    <t>Aprovado (O.S.: 38425)</t>
  </si>
  <si>
    <t>Aprovado (O.S.: 38426)</t>
  </si>
  <si>
    <t xml:space="preserve">JMA Transportes </t>
  </si>
  <si>
    <t xml:space="preserve">+55 (19) 97408-9987 </t>
  </si>
  <si>
    <t>Aprovado (O.S.: 38438)</t>
  </si>
  <si>
    <t>Wanessa</t>
  </si>
  <si>
    <t>Aprovado (O.S.: 38482)</t>
  </si>
  <si>
    <t xml:space="preserve">DWF COMUNICACAO VISUAL LTDA </t>
  </si>
  <si>
    <t>Isabella</t>
  </si>
  <si>
    <t xml:space="preserve">+55 (19) 99213-8158 </t>
  </si>
  <si>
    <t>Crachás</t>
  </si>
  <si>
    <t>Displays Açougue - Chamado 186131</t>
  </si>
  <si>
    <t xml:space="preserve">PAGV </t>
  </si>
  <si>
    <t>PAGV CONSTRUÇÃO</t>
  </si>
  <si>
    <t xml:space="preserve">+55 (19) 3249-0085 </t>
  </si>
  <si>
    <t>Aprovado (O.S.: 38480)</t>
  </si>
  <si>
    <t>Aprovado (O.S.: 39632)</t>
  </si>
  <si>
    <t>Aprovado (O.S.: 38446)</t>
  </si>
  <si>
    <t>Aprovado (O.S.: 38447)</t>
  </si>
  <si>
    <t>Aprovado (O.S.: 38449)</t>
  </si>
  <si>
    <t>Aprovado (O.S.: 38451)</t>
  </si>
  <si>
    <t>Adesivos Telefone Emergencia</t>
  </si>
  <si>
    <t xml:space="preserve">LIFE DESIGNER PROPAGANDA </t>
  </si>
  <si>
    <t>Luís Carlos</t>
  </si>
  <si>
    <t xml:space="preserve">+55 (19) 98825-2944 </t>
  </si>
  <si>
    <t>Aprovado (O.S.: 38455)</t>
  </si>
  <si>
    <t>Aprovado (O.S.: 38456)</t>
  </si>
  <si>
    <t>Aprovado (O.S.: 38457)</t>
  </si>
  <si>
    <t>Aprovado (O.S.: 38458)</t>
  </si>
  <si>
    <t>Aprovado (O.S.: 38459)</t>
  </si>
  <si>
    <t>Aprovado (O.S.: 38506)</t>
  </si>
  <si>
    <t xml:space="preserve">Silvana Alves Mendonca </t>
  </si>
  <si>
    <t xml:space="preserve">+55 (35) 98147-2111 </t>
  </si>
  <si>
    <t>Aprovado (O.S.: 38488)</t>
  </si>
  <si>
    <t xml:space="preserve">COVABRA Loja 6 </t>
  </si>
  <si>
    <t>Aprovado (O.S.: 38556)</t>
  </si>
  <si>
    <t xml:space="preserve">ACHLOR QUIMICA LTDA </t>
  </si>
  <si>
    <t>Fernando</t>
  </si>
  <si>
    <t xml:space="preserve">+55 (19) 2042-3839 </t>
  </si>
  <si>
    <t>Aprovado (O.S.: 38497)</t>
  </si>
  <si>
    <t>Aprovado (O.S.: 38495)</t>
  </si>
  <si>
    <t>Aprovado (O.S.: 38579)</t>
  </si>
  <si>
    <t>Aprovado (O.S.: 38511)</t>
  </si>
  <si>
    <t>Aprovado (O.S.: 38515)</t>
  </si>
  <si>
    <t>Aprovado (O.S.: 38516)</t>
  </si>
  <si>
    <t>Aprovado (O.S.: 38517)</t>
  </si>
  <si>
    <t>Aprovado (O.S.: 38519)</t>
  </si>
  <si>
    <t>Aprovado (O.S.: 38532)</t>
  </si>
  <si>
    <t>Aprovado (O.S.: 38562)</t>
  </si>
  <si>
    <t>Aprovado (O.S.: 38542)</t>
  </si>
  <si>
    <t>Aprovado (O.S.: 38545)</t>
  </si>
  <si>
    <t>Aprovado (O.S.: 38546)</t>
  </si>
  <si>
    <t>Aprovado (O.S.: 38547)</t>
  </si>
  <si>
    <t>Aprovado (O.S.: 38548)</t>
  </si>
  <si>
    <t>Aprovado (O.S.: 38549)</t>
  </si>
  <si>
    <t>Aprovado (O.S.: 38550)</t>
  </si>
  <si>
    <t>Aprovado (O.S.: 38573)</t>
  </si>
  <si>
    <t>Aprovado (O.S.: 38574)</t>
  </si>
  <si>
    <t>Aprovado (O.S.: 38575)</t>
  </si>
  <si>
    <t xml:space="preserve">37.607.324 BRIAN VICTOR ANDRE </t>
  </si>
  <si>
    <t>Brian Victor</t>
  </si>
  <si>
    <t xml:space="preserve">+55 (19) 9927-9446 </t>
  </si>
  <si>
    <t>Aprovado (O.S.: 38581)</t>
  </si>
  <si>
    <t xml:space="preserve">IGREJA FAROL </t>
  </si>
  <si>
    <t xml:space="preserve">+55 (19) 98186-7256 </t>
  </si>
  <si>
    <t>Aprovado (O.S.: 38588)</t>
  </si>
  <si>
    <t>Aprovado (O.S.: 38589)</t>
  </si>
  <si>
    <t xml:space="preserve">IDEAL NETWORK SOLUCOES EM VOZ, DADOS E IMAGEM </t>
  </si>
  <si>
    <t>Cristiane Almeida</t>
  </si>
  <si>
    <t xml:space="preserve">+55 (19) 99599-6168 </t>
  </si>
  <si>
    <t>Aprovado (O.S.: 38604)</t>
  </si>
  <si>
    <t xml:space="preserve">Covabra Loja 3 </t>
  </si>
  <si>
    <t xml:space="preserve">+55 (11) 4487-6450 </t>
  </si>
  <si>
    <t>Aprovado (O.S.: 38674)</t>
  </si>
  <si>
    <t xml:space="preserve">BLACKBIO </t>
  </si>
  <si>
    <t>Cássio</t>
  </si>
  <si>
    <t xml:space="preserve">(34)9194-0271/(34)9630-4798 </t>
  </si>
  <si>
    <t xml:space="preserve">NORDEO CONSTRUCOES E LOGISTICA LTDA </t>
  </si>
  <si>
    <t>Geovane</t>
  </si>
  <si>
    <t xml:space="preserve">+55 (21) 99592-3725 </t>
  </si>
  <si>
    <t>Aprovado (O.S.: 38671)</t>
  </si>
  <si>
    <t>Móbile - PS 0,5mm</t>
  </si>
  <si>
    <t>Aprovado (O.S.: 38701)</t>
  </si>
  <si>
    <t>Aprovado (O.S.: 38609)</t>
  </si>
  <si>
    <t>Aprovado (O.S.: 38620)</t>
  </si>
  <si>
    <t>Aprovado (O.S.: 38769)</t>
  </si>
  <si>
    <t xml:space="preserve">DYLL COMERCIO E SERVICOS LTDA </t>
  </si>
  <si>
    <t xml:space="preserve">+55 (19) 99919-5656 </t>
  </si>
  <si>
    <t>Aprovado (O.S.: 38630)</t>
  </si>
  <si>
    <t xml:space="preserve">KRACHT LANDBOUW WETENSCHAP </t>
  </si>
  <si>
    <t>Carla</t>
  </si>
  <si>
    <t xml:space="preserve">+55 (19) 2042-3277 </t>
  </si>
  <si>
    <t>Placa de Campo</t>
  </si>
  <si>
    <t xml:space="preserve">CLINICA C.D.E. DIAGNOSTICOS LIMITADA </t>
  </si>
  <si>
    <t>Mateus</t>
  </si>
  <si>
    <t xml:space="preserve">+55 (19) 3817-2008 </t>
  </si>
  <si>
    <t xml:space="preserve">SERRA AZUL WATER PARK S/A </t>
  </si>
  <si>
    <t>Maria Augusta de Freitas</t>
  </si>
  <si>
    <t xml:space="preserve">+55 (11) 4496-8028 </t>
  </si>
  <si>
    <t>TOTENS POLIONDA</t>
  </si>
  <si>
    <t>André Carrara</t>
  </si>
  <si>
    <t>Aprovado (O.S.: 38663)</t>
  </si>
  <si>
    <t xml:space="preserve">Covabra Loja 24 </t>
  </si>
  <si>
    <t>Lucelia</t>
  </si>
  <si>
    <t>Aprovado (O.S.: 38678)</t>
  </si>
  <si>
    <t xml:space="preserve">DANIDREA INDUSTRIA E COMERCIO LTDA </t>
  </si>
  <si>
    <t>Marketing</t>
  </si>
  <si>
    <t xml:space="preserve">+55 (19) 2136-0850 </t>
  </si>
  <si>
    <t>Totem Triedro</t>
  </si>
  <si>
    <t>Aprovado (O.S.: 38641)</t>
  </si>
  <si>
    <t>Aprovado (O.S.: 38642)</t>
  </si>
  <si>
    <t>Aprovado (O.S.: 38643)</t>
  </si>
  <si>
    <t>Aprovado (O.S.: 38644)</t>
  </si>
  <si>
    <t>Aprovado (O.S.: 38645)</t>
  </si>
  <si>
    <t xml:space="preserve">ASSOCIACAO DOS PROPRIETARIOS E MORADORES DO LOTEAMENTO MONT BLANC RESIDENCE </t>
  </si>
  <si>
    <t xml:space="preserve">+55 (19) 99749-1932 </t>
  </si>
  <si>
    <t xml:space="preserve">Vanessa </t>
  </si>
  <si>
    <t xml:space="preserve">+55 (19) 99522-4478 </t>
  </si>
  <si>
    <t>Aprovado (O.S.: 38646)</t>
  </si>
  <si>
    <t xml:space="preserve">IRAN TARDELI QUEIROZ DA SILVA </t>
  </si>
  <si>
    <t>IRAN</t>
  </si>
  <si>
    <t xml:space="preserve">+55 (19) 99817-9067 </t>
  </si>
  <si>
    <t>Aprovado (O.S.: 38648)</t>
  </si>
  <si>
    <t xml:space="preserve">SUMPRO PROMOCIONAIS </t>
  </si>
  <si>
    <t xml:space="preserve">+55 (19) 99569-4712 </t>
  </si>
  <si>
    <t>Sinalização - Troféus</t>
  </si>
  <si>
    <t>Aprovado (O.S.: 38650)</t>
  </si>
  <si>
    <t>Aprovado (O.S.: 38653)</t>
  </si>
  <si>
    <t xml:space="preserve">LA VITA ALIMENTOS </t>
  </si>
  <si>
    <t>Simone</t>
  </si>
  <si>
    <t xml:space="preserve">+55 (19) 99710-6325 </t>
  </si>
  <si>
    <t>Aprovado (O.S.: 38887)</t>
  </si>
  <si>
    <t>Aprovado (O.S.: 38660)</t>
  </si>
  <si>
    <t xml:space="preserve">DANIEL LETRAS </t>
  </si>
  <si>
    <t>Daniel</t>
  </si>
  <si>
    <t xml:space="preserve">+55 (19) 3229-8764 </t>
  </si>
  <si>
    <t>Aprovado (O.S.: 38662)</t>
  </si>
  <si>
    <t>Aprovado (O.S.: 38666)</t>
  </si>
  <si>
    <t>Aprovado (O.S.: 38667)</t>
  </si>
  <si>
    <t>Aprovado (O.S.: 38699)</t>
  </si>
  <si>
    <t xml:space="preserve">Carla Badan </t>
  </si>
  <si>
    <t xml:space="preserve">+55 (19) 99736-9070 </t>
  </si>
  <si>
    <t>Aprovado (O.S.: 38684)</t>
  </si>
  <si>
    <t xml:space="preserve">BIOMCROP BIOTECNOLOGIA AGRICOLA LTDA </t>
  </si>
  <si>
    <t xml:space="preserve">+55 (19) 99657-3297 </t>
  </si>
  <si>
    <t xml:space="preserve">Eraldo Alves da Silva </t>
  </si>
  <si>
    <t xml:space="preserve">+55 190 000 000 </t>
  </si>
  <si>
    <t>Aprovado (O.S.: 38686)</t>
  </si>
  <si>
    <t xml:space="preserve">INOVA ITAPECERICA </t>
  </si>
  <si>
    <t>Fabrini</t>
  </si>
  <si>
    <t xml:space="preserve">+55 (19) 99955-7699 </t>
  </si>
  <si>
    <t>Aprovado (O.S.: 38742)</t>
  </si>
  <si>
    <t>Aprovado (O.S.: 38704)</t>
  </si>
  <si>
    <t>Aprovado (O.S.: 38716)</t>
  </si>
  <si>
    <t>Aprovado (O.S.: 38747)</t>
  </si>
  <si>
    <t xml:space="preserve">Samara Bitencourt Borges </t>
  </si>
  <si>
    <t xml:space="preserve">+55 (19) 98326-3641 </t>
  </si>
  <si>
    <t>Aprovado (O.S.: 38727)</t>
  </si>
  <si>
    <t xml:space="preserve">SS TECNOLOGIA INDUSTRIAL E COMERCIO LTDA </t>
  </si>
  <si>
    <t>Juliana</t>
  </si>
  <si>
    <t>Aprovado (O.S.: 38730)</t>
  </si>
  <si>
    <t>Aprovado (O.S.: 38736)</t>
  </si>
  <si>
    <t>Aprovado (O.S.: 38762)</t>
  </si>
  <si>
    <t xml:space="preserve">BS&amp;B Safety System Ltda </t>
  </si>
  <si>
    <t>Julio Cesar Lourenço</t>
  </si>
  <si>
    <t xml:space="preserve">(11)94214-8405 </t>
  </si>
  <si>
    <t>Aprovado (O.S.: 38761)</t>
  </si>
  <si>
    <t>Aprovado (O.S.: 38763)</t>
  </si>
  <si>
    <t>Aprovado (O.S.: 38766)</t>
  </si>
  <si>
    <t xml:space="preserve">EXPRESSO SAO MIGUEL S/A </t>
  </si>
  <si>
    <t>Marcelo</t>
  </si>
  <si>
    <t xml:space="preserve">+55 (19) 99143-8688 </t>
  </si>
  <si>
    <t>Aprovado (O.S.: 39249)</t>
  </si>
  <si>
    <t>Troca de Fonte</t>
  </si>
  <si>
    <t>Aprovado (O.S.: 38856)</t>
  </si>
  <si>
    <t>Aprovado (O.S.: 38779)</t>
  </si>
  <si>
    <t>Aprovado (O.S.: 38780)</t>
  </si>
  <si>
    <t>Aprovado (O.S.: 38781)</t>
  </si>
  <si>
    <t>Aprovado (O.S.: 38782)</t>
  </si>
  <si>
    <t>Aprovado (O.S.: 38783)</t>
  </si>
  <si>
    <t xml:space="preserve">ALCANCE ENGENHARIA </t>
  </si>
  <si>
    <t xml:space="preserve">+55 (33) 8467-6636 </t>
  </si>
  <si>
    <t>Aprovado (O.S.: 38878)</t>
  </si>
  <si>
    <t>Aprovado (O.S.: 38790)</t>
  </si>
  <si>
    <t>Aprovado (O.S.: 38819)</t>
  </si>
  <si>
    <t xml:space="preserve">Thaina De Oliveira Cunha Dias </t>
  </si>
  <si>
    <t xml:space="preserve">+55 (11) 9659-7667 </t>
  </si>
  <si>
    <t>Aprovado (O.S.: 38792)</t>
  </si>
  <si>
    <t xml:space="preserve">RESIDENCIAL MIRANTE DO PARQUE </t>
  </si>
  <si>
    <t>Sindico Manoel</t>
  </si>
  <si>
    <t xml:space="preserve">+55 (11) 4617-6680 </t>
  </si>
  <si>
    <t>Aprovado (O.S.: 38794)</t>
  </si>
  <si>
    <t xml:space="preserve">AUTO PECAS FUSCAO PRETO </t>
  </si>
  <si>
    <t xml:space="preserve">+55 (19) 97413-6020 </t>
  </si>
  <si>
    <t>Aprovado (O.S.: 38800)</t>
  </si>
  <si>
    <t>Aprovado (O.S.: 38801)</t>
  </si>
  <si>
    <t>Aprovado (O.S.: 38810)</t>
  </si>
  <si>
    <t>Sinalização - Postinho Luminoso</t>
  </si>
  <si>
    <t xml:space="preserve">CASTELO MOTORS </t>
  </si>
  <si>
    <t>Vinicius</t>
  </si>
  <si>
    <t xml:space="preserve">+55 (19) 2121-4801 </t>
  </si>
  <si>
    <t>Aprovado (O.S.: 38837)</t>
  </si>
  <si>
    <t xml:space="preserve">Unicamp </t>
  </si>
  <si>
    <t>Camila Daniela Teodoro</t>
  </si>
  <si>
    <t xml:space="preserve">+55 (19) 98191-8469 </t>
  </si>
  <si>
    <t>60 dias</t>
  </si>
  <si>
    <t>Aprovado (O.S.: 39276)</t>
  </si>
  <si>
    <t xml:space="preserve">Mazak </t>
  </si>
  <si>
    <t>Bruna Maria</t>
  </si>
  <si>
    <t xml:space="preserve">+55 (19) 3464-9100 </t>
  </si>
  <si>
    <t>Aprovado (O.S.: 38825)</t>
  </si>
  <si>
    <t>Aprovado (O.S.: 38832)</t>
  </si>
  <si>
    <t xml:space="preserve">FRONTVISION COMUNICACAO VISUAL LTDA </t>
  </si>
  <si>
    <t xml:space="preserve">+55 (19) 99453-7072 </t>
  </si>
  <si>
    <t xml:space="preserve">Covabra Loja 5 </t>
  </si>
  <si>
    <t>Aprovado (O.S.: 38857)</t>
  </si>
  <si>
    <t>Aprovado (O.S.: 38838)</t>
  </si>
  <si>
    <t>Aprovado (O.S.: 38839)</t>
  </si>
  <si>
    <t>DHL</t>
  </si>
  <si>
    <t>Aprovado (O.S.: 38844)</t>
  </si>
  <si>
    <t>Aprovado (O.S.: 38845)</t>
  </si>
  <si>
    <t>Aprovado (O.S.: 38846)</t>
  </si>
  <si>
    <t>Aprovado (O.S.: 38917)</t>
  </si>
  <si>
    <t xml:space="preserve">LEAD SOLUCOES AMBIENTAIS </t>
  </si>
  <si>
    <t>Alexandre</t>
  </si>
  <si>
    <t xml:space="preserve">+55 (19) 3381-8503 </t>
  </si>
  <si>
    <t>Aprovado (O.S.: 38924)</t>
  </si>
  <si>
    <t>Aprovado (O.S.: 38880)</t>
  </si>
  <si>
    <t xml:space="preserve">Consumidor final </t>
  </si>
  <si>
    <t>Aprovado (O.S.: 38881)</t>
  </si>
  <si>
    <t xml:space="preserve">JULIANA FERNANDA SORATI </t>
  </si>
  <si>
    <t>Juliana Sorati</t>
  </si>
  <si>
    <t xml:space="preserve">+55 (19) 99332-0806 </t>
  </si>
  <si>
    <t>Aprovado (O.S.: 38973)</t>
  </si>
  <si>
    <t>Aprovado (O.S.: 38883)</t>
  </si>
  <si>
    <t xml:space="preserve">COVABRA Loja 2 </t>
  </si>
  <si>
    <t>Sinalização - Chamado 193293</t>
  </si>
  <si>
    <t>Aprovado (O.S.: 38984)</t>
  </si>
  <si>
    <t>Aprovado (O.S.: 38902)</t>
  </si>
  <si>
    <t>Aprovado (O.S.: 38888)</t>
  </si>
  <si>
    <t>Aprovado (O.S.: 38889)</t>
  </si>
  <si>
    <t>Aprovado (O.S.: 38890)</t>
  </si>
  <si>
    <t>Aprovado (O.S.: 38891)</t>
  </si>
  <si>
    <t>Aprovado (O.S.: 38893)</t>
  </si>
  <si>
    <t>Aprovado (O.S.: 38899)</t>
  </si>
  <si>
    <t>Aprovado (O.S.: 38909)</t>
  </si>
  <si>
    <t>Aprovado (O.S.: 38910)</t>
  </si>
  <si>
    <t xml:space="preserve">Acrylic Art </t>
  </si>
  <si>
    <t>Flavio</t>
  </si>
  <si>
    <t xml:space="preserve">+55 (19) 98108-9491 </t>
  </si>
  <si>
    <t>Impressão em acrílicos</t>
  </si>
  <si>
    <t xml:space="preserve">RESIDENCIAL AGATA VILLE </t>
  </si>
  <si>
    <t xml:space="preserve">+55 (19) 99533-8102 </t>
  </si>
  <si>
    <t>Aprovado (O.S.: 38929)</t>
  </si>
  <si>
    <t>Aprovado (O.S.: 38934)</t>
  </si>
  <si>
    <t>Aprovado (O.S.: 39024)</t>
  </si>
  <si>
    <t>Aprovado (O.S.: 38945)</t>
  </si>
  <si>
    <t>Aprovado (O.S.: 38947)</t>
  </si>
  <si>
    <t>Aprovado (O.S.: 39370)</t>
  </si>
  <si>
    <t>Aprovado (O.S.: 38963)</t>
  </si>
  <si>
    <t>Aprovado (O.S.: 38964)</t>
  </si>
  <si>
    <t>Aprovado (O.S.: 38965)</t>
  </si>
  <si>
    <t>Aprovado (O.S.: 38966)</t>
  </si>
  <si>
    <t xml:space="preserve">RPM MOTORES ELETRICOS </t>
  </si>
  <si>
    <t>Patricia</t>
  </si>
  <si>
    <t xml:space="preserve">+55 (19) 9653-4560 </t>
  </si>
  <si>
    <t xml:space="preserve">ALUD CARGO TRANSPORTES LTDA </t>
  </si>
  <si>
    <t>Lucas Ramalho</t>
  </si>
  <si>
    <t xml:space="preserve">+55 (19) 99201-9689 </t>
  </si>
  <si>
    <t>Aprovado (O.S.: 39091)</t>
  </si>
  <si>
    <t xml:space="preserve">18.754.219 DANIEL FRANCO GUZMAN </t>
  </si>
  <si>
    <t xml:space="preserve">+55 (19) 99352-8329 </t>
  </si>
  <si>
    <t>Sinalização.</t>
  </si>
  <si>
    <t>Aprovado (O.S.: 38994)</t>
  </si>
  <si>
    <t>Aprovado (O.S.: 38995)</t>
  </si>
  <si>
    <t>Aprovado (O.S.: 39201)</t>
  </si>
  <si>
    <t>Aprovado (O.S.: 39226)</t>
  </si>
  <si>
    <t>Aprovado (O.S.: 39004)</t>
  </si>
  <si>
    <t>Aprovado (O.S.: 39009)</t>
  </si>
  <si>
    <t>Aprovado (O.S.: 39010)</t>
  </si>
  <si>
    <t>Aprovado (O.S.: 39011)</t>
  </si>
  <si>
    <t>Aprovado (O.S.: 39012)</t>
  </si>
  <si>
    <t>Aprovado (O.S.: 39014)</t>
  </si>
  <si>
    <t>Aprovado (O.S.: 39017)</t>
  </si>
  <si>
    <t xml:space="preserve">Super Maker </t>
  </si>
  <si>
    <t>Sylvio</t>
  </si>
  <si>
    <t xml:space="preserve">+55 (19) 9604-7799 </t>
  </si>
  <si>
    <t>Aprovado (O.S.: 39034)</t>
  </si>
  <si>
    <t>Aprovado (O.S.: 39035)</t>
  </si>
  <si>
    <t>Aprovado (O.S.: 39036)</t>
  </si>
  <si>
    <t>Aprovado (O.S.: 39037)</t>
  </si>
  <si>
    <t>Aprovado (O.S.: 39038)</t>
  </si>
  <si>
    <t>Aprovado (O.S.: 39039)</t>
  </si>
  <si>
    <t>Eduardo Barbosa</t>
  </si>
  <si>
    <t>Aprovado (O.S.: 39046)</t>
  </si>
  <si>
    <t xml:space="preserve">Cicero Leite Cavalcante </t>
  </si>
  <si>
    <t xml:space="preserve">+55 (19) 99658-8890 </t>
  </si>
  <si>
    <t>Aprovado (O.S.: 39062)</t>
  </si>
  <si>
    <t>Aprovado (O.S.: 39063)</t>
  </si>
  <si>
    <t>Aprovado (O.S.: 39079)</t>
  </si>
  <si>
    <t>Aprovado (O.S.: 39080)</t>
  </si>
  <si>
    <t>Aprovado (O.S.: 39081)</t>
  </si>
  <si>
    <t>Aprovado (O.S.: 39082)</t>
  </si>
  <si>
    <t>Aprovado (O.S.: 39084)</t>
  </si>
  <si>
    <t xml:space="preserve">ACADEMIA INOVA </t>
  </si>
  <si>
    <t xml:space="preserve">+55 (11) 4229-5127 </t>
  </si>
  <si>
    <t>Aprovado (O.S.: 39097)</t>
  </si>
  <si>
    <t>Aprovado (O.S.: 39098)</t>
  </si>
  <si>
    <t>Aprovado (O.S.: 39137)</t>
  </si>
  <si>
    <t>Aprovado (O.S.: 39116)</t>
  </si>
  <si>
    <t>Aprovado (O.S.: 39136)</t>
  </si>
  <si>
    <t xml:space="preserve">Covabra Loja 25 </t>
  </si>
  <si>
    <t xml:space="preserve">+55 (11) 99644-4770 </t>
  </si>
  <si>
    <t>Aprovado (O.S.: 39156)</t>
  </si>
  <si>
    <t>Aprovado (O.S.: 39235)</t>
  </si>
  <si>
    <t>Aprovado (O.S.: 39208)</t>
  </si>
  <si>
    <t xml:space="preserve">Bionovis S/A </t>
  </si>
  <si>
    <t>Andressa Laveli</t>
  </si>
  <si>
    <t xml:space="preserve">(19)3881-5007 </t>
  </si>
  <si>
    <t>Aprovado (O.S.: 39379)</t>
  </si>
  <si>
    <t xml:space="preserve">WR GUINCHO &amp; SERVICOS </t>
  </si>
  <si>
    <t>Wellington</t>
  </si>
  <si>
    <t xml:space="preserve">+55 (19) 98809-9880 </t>
  </si>
  <si>
    <t>Aprovado (O.S.: 39127)</t>
  </si>
  <si>
    <t xml:space="preserve">FISCHER </t>
  </si>
  <si>
    <t>Michele</t>
  </si>
  <si>
    <t xml:space="preserve">+55 (19) 3336-0067 </t>
  </si>
  <si>
    <t>Aprovado (O.S.: 39225)</t>
  </si>
  <si>
    <t>Aprovado (O.S.: 39120)</t>
  </si>
  <si>
    <t>Aprovado (O.S.: 39121)</t>
  </si>
  <si>
    <t>Aprovado (O.S.: 39128)</t>
  </si>
  <si>
    <t xml:space="preserve">Caio Marra </t>
  </si>
  <si>
    <t xml:space="preserve">+55 (19) 9919-6028 </t>
  </si>
  <si>
    <t>Aprovado (O.S.: 39130)</t>
  </si>
  <si>
    <t>Aprovado (O.S.: 39131)</t>
  </si>
  <si>
    <t>Aprovado (O.S.: 39143)</t>
  </si>
  <si>
    <t xml:space="preserve">COPPERSTELL BIMETALICOS LTDA </t>
  </si>
  <si>
    <t>Rayane Santos</t>
  </si>
  <si>
    <t xml:space="preserve">+55 (19) 3765-9800 </t>
  </si>
  <si>
    <t>Aprovado (O.S.: 39165)</t>
  </si>
  <si>
    <t>Aprovado (O.S.: 39161)</t>
  </si>
  <si>
    <t>Aprovado (O.S.: 39186)</t>
  </si>
  <si>
    <t>Aprovado (O.S.: 39187)</t>
  </si>
  <si>
    <t>Aprovado (O.S.: 39188)</t>
  </si>
  <si>
    <t>Aprovado (O.S.: 39189)</t>
  </si>
  <si>
    <t xml:space="preserve">55.274.653 LAIS CRISTINA ALVES </t>
  </si>
  <si>
    <t>Lais</t>
  </si>
  <si>
    <t xml:space="preserve">+55 (19) 99392-9227 </t>
  </si>
  <si>
    <t>Aprovado (O.S.: 39206)</t>
  </si>
  <si>
    <t>Isaias</t>
  </si>
  <si>
    <t xml:space="preserve">+55 (19) 3031-7448 </t>
  </si>
  <si>
    <t>Aprovado (O.S.: 39199)</t>
  </si>
  <si>
    <t>Aprovado (O.S.: 39204)</t>
  </si>
  <si>
    <t>Aprovado (O.S.: 39213)</t>
  </si>
  <si>
    <t>Aprovado (O.S.: 39214)</t>
  </si>
  <si>
    <t xml:space="preserve">CONDOMINIO CAMPO BELO MEDICAL CENTER </t>
  </si>
  <si>
    <t>Natalia Bispo</t>
  </si>
  <si>
    <t xml:space="preserve">+55 (11) 5090-3434 </t>
  </si>
  <si>
    <t xml:space="preserve">FT MOTORS PREMIUM COMERCIO DE VEICULOS LTDA </t>
  </si>
  <si>
    <t>FT MOTORS PREMIUM</t>
  </si>
  <si>
    <t xml:space="preserve">+55 (11) 96967-6662 </t>
  </si>
  <si>
    <t>Aprovado (O.S.: 39216)</t>
  </si>
  <si>
    <t xml:space="preserve">PHYSIO CROP </t>
  </si>
  <si>
    <t xml:space="preserve">+55 (27) 99743-5251 </t>
  </si>
  <si>
    <t xml:space="preserve">IC TRANSPORTES </t>
  </si>
  <si>
    <t xml:space="preserve">+55 (31) 9373-0055 </t>
  </si>
  <si>
    <t>Sinalização - ACM e Adesivos</t>
  </si>
  <si>
    <t>Aprovado (O.S.: 39236)</t>
  </si>
  <si>
    <t>Aprovado (O.S.: 39237)</t>
  </si>
  <si>
    <t>Aprovado (O.S.: 39238)</t>
  </si>
  <si>
    <t>Aprovado (O.S.: 39239)</t>
  </si>
  <si>
    <t>Aprovado (O.S.: 39241)</t>
  </si>
  <si>
    <t>Aprovado (O.S.: 39242)</t>
  </si>
  <si>
    <t>Aprovado (O.S.: 39243)</t>
  </si>
  <si>
    <t>Aprovado (O.S.: 39244)</t>
  </si>
  <si>
    <t>Aprovado (O.S.: 39247)</t>
  </si>
  <si>
    <t>Aprovado (O.S.: 39255)</t>
  </si>
  <si>
    <t>Aprovado (O.S.: 39264)</t>
  </si>
  <si>
    <t xml:space="preserve">Covabra Loja 17 </t>
  </si>
  <si>
    <t>Aprovado (O.S.: 39357)</t>
  </si>
  <si>
    <t>Aprovado (O.S.: 39262)</t>
  </si>
  <si>
    <t>Aprovado (O.S.: 39273)</t>
  </si>
  <si>
    <t xml:space="preserve">DELTA PROJETOS GERENC E CONSTRU LTDA </t>
  </si>
  <si>
    <t>Sidnei M. Varjão</t>
  </si>
  <si>
    <t xml:space="preserve">+55 (18) 99755-4334 </t>
  </si>
  <si>
    <t>Aprovado (O.S.: 39270)</t>
  </si>
  <si>
    <t xml:space="preserve">BRUGNOLA CORRETORA DE SEGUROS LTDA </t>
  </si>
  <si>
    <t>Guilherme</t>
  </si>
  <si>
    <t xml:space="preserve">+55 (19) 98851-9909 </t>
  </si>
  <si>
    <t>Aprovado (O.S.: 39283)</t>
  </si>
  <si>
    <t>Aprovado (O.S.: 39289)</t>
  </si>
  <si>
    <t xml:space="preserve">Patricia Lacombe </t>
  </si>
  <si>
    <t>Lidiane Carraro</t>
  </si>
  <si>
    <t xml:space="preserve">+55 (19) 97112-8927 </t>
  </si>
  <si>
    <t>Aprovado (O.S.: 39308)</t>
  </si>
  <si>
    <t xml:space="preserve">A ARANTES PAPELARIA E INFORMATICA LTDA - ME </t>
  </si>
  <si>
    <t>Hellen Bastos</t>
  </si>
  <si>
    <t xml:space="preserve">+55 (19) 98737-9006 </t>
  </si>
  <si>
    <t>Aprovado (O.S.: 39294)</t>
  </si>
  <si>
    <t>Helena</t>
  </si>
  <si>
    <t>Aprovado (O.S.: 39411)</t>
  </si>
  <si>
    <t>Aprovado (O.S.: 39412)</t>
  </si>
  <si>
    <t>Aprovado (O.S.: 39295)</t>
  </si>
  <si>
    <t>Aprovado (O.S.: 39444)</t>
  </si>
  <si>
    <t>Aprovado (O.S.: 39297)</t>
  </si>
  <si>
    <t xml:space="preserve">Marpha Comunicação Visual </t>
  </si>
  <si>
    <t xml:space="preserve">+55 (19) 98958-5261 </t>
  </si>
  <si>
    <t>Sinalização - Diversos FASE 2</t>
  </si>
  <si>
    <t>Sinalização - Diversos FASE 3</t>
  </si>
  <si>
    <t>Aprovado (O.S.: 39328)</t>
  </si>
  <si>
    <t>Aprovado (O.S.: 39322)</t>
  </si>
  <si>
    <t>Aprovado (O.S.: 39330)</t>
  </si>
  <si>
    <t xml:space="preserve">DACARTO INDUSTRIA E COMERCIO DE PLASTICOS LTDA </t>
  </si>
  <si>
    <t>Roberto Holando</t>
  </si>
  <si>
    <t xml:space="preserve">+55 (11) 91572-5396 </t>
  </si>
  <si>
    <t>Aprovado (O.S.: 39368)</t>
  </si>
  <si>
    <t>Aprovado (O.S.: 39343)</t>
  </si>
  <si>
    <t>Aprovado (O.S.: 39354)</t>
  </si>
  <si>
    <t xml:space="preserve">IGREJA BATISTA CAMPINAS CAMINHO </t>
  </si>
  <si>
    <t>Tathi Felix</t>
  </si>
  <si>
    <t xml:space="preserve">+55 (19) 99825-2860 </t>
  </si>
  <si>
    <t>Aprovado (O.S.: 39397)</t>
  </si>
  <si>
    <t>Aprovado (O.S.: 39359)</t>
  </si>
  <si>
    <t>Aprovado (O.S.: 39360)</t>
  </si>
  <si>
    <t>Aprovado (O.S.: 39362)</t>
  </si>
  <si>
    <t>Aprovado (O.S.: 39363)</t>
  </si>
  <si>
    <t>Aprovado (O.S.: 39364)</t>
  </si>
  <si>
    <t>Aprovado (O.S.: 39373)</t>
  </si>
  <si>
    <t xml:space="preserve">SEDE ADMINISTRATIVA I </t>
  </si>
  <si>
    <t>Mayara Francyne Mora</t>
  </si>
  <si>
    <t xml:space="preserve">+55 (41) 3013-2300 </t>
  </si>
  <si>
    <t>Aprovado (O.S.: 39376)</t>
  </si>
  <si>
    <t xml:space="preserve">TANNER </t>
  </si>
  <si>
    <t>George</t>
  </si>
  <si>
    <t>Placa Largura Excedente</t>
  </si>
  <si>
    <t>Aprovado (O.S.: 39386)</t>
  </si>
  <si>
    <t xml:space="preserve">35.274.866 SEBASTIAO VIEIRA FILHO </t>
  </si>
  <si>
    <t>Felipe</t>
  </si>
  <si>
    <t xml:space="preserve">+55 (67) 9927-7015 </t>
  </si>
  <si>
    <t>Aprovado (O.S.: 39387)</t>
  </si>
  <si>
    <t xml:space="preserve">PROCISA DO BRASIL PROJETOS, CONSTRUCOES E INSTALACOES L </t>
  </si>
  <si>
    <t>Gabrielle</t>
  </si>
  <si>
    <t xml:space="preserve">+55 (11) 94506-1151 </t>
  </si>
  <si>
    <t>Sinalização - Placar CIPA</t>
  </si>
  <si>
    <t>Aprovado (O.S.: 39401)</t>
  </si>
  <si>
    <t>Aprovado (O.S.: 39402)</t>
  </si>
  <si>
    <t>Aprovado (O.S.: 39940)</t>
  </si>
  <si>
    <t>Aprovado (O.S.: 39433)</t>
  </si>
  <si>
    <t xml:space="preserve">INSTITUTO RECRIE </t>
  </si>
  <si>
    <t>Juliane Lobo</t>
  </si>
  <si>
    <t xml:space="preserve">+55 (19) 97405-6644 </t>
  </si>
  <si>
    <t>Aprovado (O.S.: 39424)</t>
  </si>
  <si>
    <t xml:space="preserve">LOCAWEB </t>
  </si>
  <si>
    <t xml:space="preserve">+55 (11) 98584-7295 </t>
  </si>
  <si>
    <t xml:space="preserve">Crislei Rodrigues Santos </t>
  </si>
  <si>
    <t>Crislei</t>
  </si>
  <si>
    <t xml:space="preserve">+55 (19) 98719-6084 </t>
  </si>
  <si>
    <t>Sinalização - Adesivos</t>
  </si>
  <si>
    <t>Aprovado (O.S.: 39300)</t>
  </si>
  <si>
    <t>Aprovado (O.S.: 40086)</t>
  </si>
  <si>
    <t xml:space="preserve">SEU CHICO </t>
  </si>
  <si>
    <t xml:space="preserve">+55 (81) 9147-2698 </t>
  </si>
  <si>
    <t xml:space="preserve">CODEX </t>
  </si>
  <si>
    <t>Michael Franco</t>
  </si>
  <si>
    <t xml:space="preserve">+55 (12) 98130-6361 </t>
  </si>
  <si>
    <t>Aprovado (O.S.: 39689)</t>
  </si>
  <si>
    <t>DP</t>
  </si>
  <si>
    <t>Aprovado (O.S.: 39549)</t>
  </si>
  <si>
    <t>Aprovado (O.S.: 39442)</t>
  </si>
  <si>
    <t>Aprovado (O.S.: 39443)</t>
  </si>
  <si>
    <t>Aprovado (O.S.: 39445)</t>
  </si>
  <si>
    <t>Aprovado (O.S.: 39446)</t>
  </si>
  <si>
    <t>Aprovado (O.S.: 39447)</t>
  </si>
  <si>
    <t>Aprovado (O.S.: 39448)</t>
  </si>
  <si>
    <t>Aprovado (O.S.: 39449)</t>
  </si>
  <si>
    <t>Aprovado (O.S.: 39450)</t>
  </si>
  <si>
    <t>Aprovado (O.S.: 39451)</t>
  </si>
  <si>
    <t>Aprovado (O.S.: 39453)</t>
  </si>
  <si>
    <t>Aprovado (O.S.: 39454)</t>
  </si>
  <si>
    <t>Aprovado (O.S.: 39455)</t>
  </si>
  <si>
    <t>Aprovado (O.S.: 39457)</t>
  </si>
  <si>
    <t>Aprovado (O.S.: 39459)</t>
  </si>
  <si>
    <t>Aprovado (O.S.: 39462)</t>
  </si>
  <si>
    <t>Painel Gestão</t>
  </si>
  <si>
    <t xml:space="preserve">Hilove - Fertilizantes Especiais </t>
  </si>
  <si>
    <t>Stella</t>
  </si>
  <si>
    <t xml:space="preserve">+55 (16) 99793-8028 </t>
  </si>
  <si>
    <t>5 dias</t>
  </si>
  <si>
    <t>Sinalização - Diversos</t>
  </si>
  <si>
    <t xml:space="preserve">Simone Santos Nascimento </t>
  </si>
  <si>
    <t>Simone Santos Nascimento</t>
  </si>
  <si>
    <t xml:space="preserve">+55 (19) 99914-5122 </t>
  </si>
  <si>
    <t>Aprovado (O.S.: 39485)</t>
  </si>
  <si>
    <t>Aprovado (O.S.: 39511)</t>
  </si>
  <si>
    <t>Aprovado (O.S.: 39495)</t>
  </si>
  <si>
    <t>Aprovado (O.S.: 39496)</t>
  </si>
  <si>
    <t>Aprovado (O.S.: 39497)</t>
  </si>
  <si>
    <t>Aprovado (O.S.: 39498)</t>
  </si>
  <si>
    <t>Aprovado (O.S.: 39499)</t>
  </si>
  <si>
    <t>Aprovado (O.S.: 39500)</t>
  </si>
  <si>
    <t>Aprovado (O.S.: 39501)</t>
  </si>
  <si>
    <t xml:space="preserve">ULTRA MAQUINAS ASSISTENCIA TECNICA E LOCACOES LTDA </t>
  </si>
  <si>
    <t xml:space="preserve">+55 (19) 99898-5042 </t>
  </si>
  <si>
    <t>Aprovado (O.S.: 39509)</t>
  </si>
  <si>
    <t xml:space="preserve">COLEGIO MAO AMIGA </t>
  </si>
  <si>
    <t>Mathias</t>
  </si>
  <si>
    <t xml:space="preserve">+55 (11) 95343-5482 </t>
  </si>
  <si>
    <t>placa Aluminio</t>
  </si>
  <si>
    <t xml:space="preserve">CONSORCIO CA - CEMBRA-ANTUERPIA </t>
  </si>
  <si>
    <t xml:space="preserve">+55 (41) 9888-4196 </t>
  </si>
  <si>
    <t>Sinalização - Gabaritos</t>
  </si>
  <si>
    <t>Aprovado (O.S.: 39522)</t>
  </si>
  <si>
    <t>Aprovado (O.S.: 39523)</t>
  </si>
  <si>
    <t>Aprovado (O.S.: 39524)</t>
  </si>
  <si>
    <t>Aprovado (O.S.: 39526)</t>
  </si>
  <si>
    <t>Aprovado (O.S.: 39527)</t>
  </si>
  <si>
    <t>Aprovado (O.S.: 39528)</t>
  </si>
  <si>
    <t>Aprovado (O.S.: 39529)</t>
  </si>
  <si>
    <t>Aprovado (O.S.: 39530)</t>
  </si>
  <si>
    <t>Aprovado (O.S.: 39531)</t>
  </si>
  <si>
    <t>Aprovado (O.S.: 39535)</t>
  </si>
  <si>
    <t>Aprovado (O.S.: 39578)</t>
  </si>
  <si>
    <t>Aprovado (O.S.: 39695)</t>
  </si>
  <si>
    <t>Aprovado (O.S.: 39646)</t>
  </si>
  <si>
    <t>Aprovado (O.S.: 39647)</t>
  </si>
  <si>
    <t>Aprovado (O.S.: 39644)</t>
  </si>
  <si>
    <t>Sinalização - Geladeiras</t>
  </si>
  <si>
    <t>Aprovado (O.S.: 39563)</t>
  </si>
  <si>
    <t>Aprovado (O.S.: 39603)</t>
  </si>
  <si>
    <t xml:space="preserve">Fabiano Valentino Real </t>
  </si>
  <si>
    <t>Fabiano Valentino Real</t>
  </si>
  <si>
    <t xml:space="preserve">+55 (19) 98933-3991 </t>
  </si>
  <si>
    <t>Impressão PETG 0,5mm</t>
  </si>
  <si>
    <t>Aprovado (O.S.: 40106)</t>
  </si>
  <si>
    <t>Aprovado (O.S.: 39621)</t>
  </si>
  <si>
    <t>Aprovado (O.S.: 39581)</t>
  </si>
  <si>
    <t>Aprovado (O.S.: 39582)</t>
  </si>
  <si>
    <t>Aprovado (O.S.: 39583)</t>
  </si>
  <si>
    <t>Aprovado (O.S.: 39584)</t>
  </si>
  <si>
    <t>Aprovado (O.S.: 39585)</t>
  </si>
  <si>
    <t>Aprovado (O.S.: 39586)</t>
  </si>
  <si>
    <t>Aprovado (O.S.: 39587)</t>
  </si>
  <si>
    <t>Aprovado (O.S.: 39588)</t>
  </si>
  <si>
    <t>Aprovado (O.S.: 39590)</t>
  </si>
  <si>
    <t>Aprovado (O.S.: 39591)</t>
  </si>
  <si>
    <t xml:space="preserve">Marcelino Novaes de Souza </t>
  </si>
  <si>
    <t xml:space="preserve">+55 (19) 99787-4737 </t>
  </si>
  <si>
    <t>Aprovado (O.S.: 39597)</t>
  </si>
  <si>
    <t>Aprovado (O.S.: 39599)</t>
  </si>
  <si>
    <t>Aprovado (O.S.: 39607)</t>
  </si>
  <si>
    <t>Aprovado (O.S.: 39608)</t>
  </si>
  <si>
    <t>Aprovado (O.S.: 39609)</t>
  </si>
  <si>
    <t>Aprovado (O.S.: 39610)</t>
  </si>
  <si>
    <t>Aprovado (O.S.: 39611)</t>
  </si>
  <si>
    <t>Aprovado (O.S.: 39612)</t>
  </si>
  <si>
    <t>Aprovado (O.S.: 39613)</t>
  </si>
  <si>
    <t>Aprovado (O.S.: 39614)</t>
  </si>
  <si>
    <t>Aprovado (O.S.: 39623)</t>
  </si>
  <si>
    <t>Aprovado (O.S.: 39616)</t>
  </si>
  <si>
    <t xml:space="preserve">DWF COMUNICACAO VISUAL </t>
  </si>
  <si>
    <t xml:space="preserve">+55 (19) 3213-3344 </t>
  </si>
  <si>
    <t xml:space="preserve">Mayara Aparecida Machado </t>
  </si>
  <si>
    <t xml:space="preserve">+55 (19) 99309-9237 </t>
  </si>
  <si>
    <t>Aprovado (O.S.: 39680)</t>
  </si>
  <si>
    <t>Aprovado (O.S.: 39676)</t>
  </si>
  <si>
    <t>Aprovado (O.S.: 39643)</t>
  </si>
  <si>
    <t xml:space="preserve">Maxwell da Silva Paassaes Júnior </t>
  </si>
  <si>
    <t xml:space="preserve">+55 (11) 9727-7741 </t>
  </si>
  <si>
    <t>Aprovado (O.S.: 39634)</t>
  </si>
  <si>
    <t>Aprovado (O.S.: 39747)</t>
  </si>
  <si>
    <t>Aprovado (O.S.: 39666)</t>
  </si>
  <si>
    <t>Aprovado (O.S.: 39775)</t>
  </si>
  <si>
    <t>AMANDA</t>
  </si>
  <si>
    <t>Aprovado (O.S.: 39693)</t>
  </si>
  <si>
    <t>Aprovado (O.S.: 39694)</t>
  </si>
  <si>
    <t xml:space="preserve">L ANNUNZIATA &amp; CIA LTDA </t>
  </si>
  <si>
    <t>Roseane</t>
  </si>
  <si>
    <t xml:space="preserve">+55 (11) 3093-5555 </t>
  </si>
  <si>
    <t>Sinalização - LETRA CAIXA</t>
  </si>
  <si>
    <t>Aprovado (O.S.: 39653)</t>
  </si>
  <si>
    <t>Aprovado (O.S.: 39654)</t>
  </si>
  <si>
    <t>Aprovado (O.S.: 39655)</t>
  </si>
  <si>
    <t>Aprovado (O.S.: 39656)</t>
  </si>
  <si>
    <t>Aprovado (O.S.: 39657)</t>
  </si>
  <si>
    <t>Aprovado (O.S.: 39658)</t>
  </si>
  <si>
    <t>Aprovado (O.S.: 39659)</t>
  </si>
  <si>
    <t>Aprovado (O.S.: 39660)</t>
  </si>
  <si>
    <t>Aprovado (O.S.: 39661)</t>
  </si>
  <si>
    <t>Aprovado (O.S.: 39662)</t>
  </si>
  <si>
    <t xml:space="preserve">THE OFFER CO. </t>
  </si>
  <si>
    <t>Guiherme</t>
  </si>
  <si>
    <t xml:space="preserve">(19)98217-5555 </t>
  </si>
  <si>
    <t>Aprovado (O.S.: 39674)</t>
  </si>
  <si>
    <t>Aprovado (O.S.: 39682)</t>
  </si>
  <si>
    <t>Aprovado (O.S.: 39687)</t>
  </si>
  <si>
    <t>Aprovado (O.S.: 39688)</t>
  </si>
  <si>
    <t>Aprovado (O.S.: 39697)</t>
  </si>
  <si>
    <t xml:space="preserve">BHIO SUPPLY </t>
  </si>
  <si>
    <t>Ana Paula Schilling Varges</t>
  </si>
  <si>
    <t xml:space="preserve">+55 (51) 3459-4000 </t>
  </si>
  <si>
    <t>Aprovado (O.S.: 39735)</t>
  </si>
  <si>
    <t>Aprovado (O.S.: 39698)</t>
  </si>
  <si>
    <t>Aprovado (O.S.: 39715)</t>
  </si>
  <si>
    <t>Aprovado (O.S.: 39699)</t>
  </si>
  <si>
    <t>Aprovado (O.S.: 39700)</t>
  </si>
  <si>
    <t>Aprovado (O.S.: 39701)</t>
  </si>
  <si>
    <t>Aprovado (O.S.: 39702)</t>
  </si>
  <si>
    <t>Aprovado (O.S.: 39703)</t>
  </si>
  <si>
    <t>Aprovado (O.S.: 39704)</t>
  </si>
  <si>
    <t>Aprovado (O.S.: 39717)</t>
  </si>
  <si>
    <t>Aprovado (O.S.: 39721)</t>
  </si>
  <si>
    <t xml:space="preserve">Bruno Daniel Bento </t>
  </si>
  <si>
    <t xml:space="preserve">+55 (17) 9915-6438 </t>
  </si>
  <si>
    <t>Aprovado (O.S.: 39729)</t>
  </si>
  <si>
    <t>Aprovado (O.S.: 39845)</t>
  </si>
  <si>
    <t>Aprovado (O.S.: 39731)</t>
  </si>
  <si>
    <t xml:space="preserve">CAMPUS II CAMPINAS SWIFT/CLINICA ESCOLA PSICOL.APLICADA </t>
  </si>
  <si>
    <t xml:space="preserve">+55 (19) 99439-6566 </t>
  </si>
  <si>
    <t>Aprovado (O.S.: 39748)</t>
  </si>
  <si>
    <t>Aprovado (O.S.: 39739)</t>
  </si>
  <si>
    <t>Aprovado (O.S.: 39740)</t>
  </si>
  <si>
    <t>Aprovado (O.S.: 39741)</t>
  </si>
  <si>
    <t>-</t>
  </si>
  <si>
    <t xml:space="preserve">+55 (19) 98366-0624 </t>
  </si>
  <si>
    <t>Aprovado (O.S.: 39742)</t>
  </si>
  <si>
    <t>Aprovado (O.S.: 39758)</t>
  </si>
  <si>
    <t>Sinalização - Lonas</t>
  </si>
  <si>
    <t xml:space="preserve">ENCADERNADORA IDEAL COMERCIAL LTDA </t>
  </si>
  <si>
    <t>Edinho</t>
  </si>
  <si>
    <t xml:space="preserve">+55 (19) 97403-0431 </t>
  </si>
  <si>
    <t>Aprovado (O.S.: 39760)</t>
  </si>
  <si>
    <t>Aprovado (O.S.: 39767)</t>
  </si>
  <si>
    <t>Aprovado (O.S.: 39953)</t>
  </si>
  <si>
    <t xml:space="preserve">CEVA VETERINARIA </t>
  </si>
  <si>
    <t>Carla SILVA</t>
  </si>
  <si>
    <t xml:space="preserve">+55 (19) 99403-1151 </t>
  </si>
  <si>
    <t>Aprovado (O.S.: 40120)</t>
  </si>
  <si>
    <t>Aprovado (O.S.: 39784)</t>
  </si>
  <si>
    <t>Aprovado (O.S.: 39779)</t>
  </si>
  <si>
    <t>Aprovado (O.S.: 39776)</t>
  </si>
  <si>
    <t>Aprovado (O.S.: 39808)</t>
  </si>
  <si>
    <t>Aprovado (O.S.: 39794)</t>
  </si>
  <si>
    <t xml:space="preserve">Amanda Loreta Beck </t>
  </si>
  <si>
    <t xml:space="preserve">+55 (19) 99905-9751 </t>
  </si>
  <si>
    <t>Aprovado (O.S.: 39804)</t>
  </si>
  <si>
    <t xml:space="preserve">PAUMAR S.A - INDUSTRIA E COMERCIO </t>
  </si>
  <si>
    <t>ADM</t>
  </si>
  <si>
    <t xml:space="preserve">+55 (11) 98971-9556 </t>
  </si>
  <si>
    <t>Aprovado (O.S.: 39844)</t>
  </si>
  <si>
    <t>Aprovado (O.S.: 39811)</t>
  </si>
  <si>
    <t xml:space="preserve">EMBRA EMBRA SERVICOS EM TECNOLOGIA LTDA </t>
  </si>
  <si>
    <t>Nathalia</t>
  </si>
  <si>
    <t xml:space="preserve">+55 (19) 99311-2632 </t>
  </si>
  <si>
    <t>Aprovado (O.S.: 39835)</t>
  </si>
  <si>
    <t>Aprovado (O.S.: 39859)</t>
  </si>
  <si>
    <t>Aprovado (O.S.: 39838)</t>
  </si>
  <si>
    <t>Aprovado (O.S.: 39910)</t>
  </si>
  <si>
    <t xml:space="preserve">ALTHION TECH </t>
  </si>
  <si>
    <t>Emerson Goveia</t>
  </si>
  <si>
    <t xml:space="preserve">+55 (11) 95185-5250 </t>
  </si>
  <si>
    <t>Aprovado (O.S.: 39856)</t>
  </si>
  <si>
    <t xml:space="preserve">BRIGADEIRO DOCERIA E CAFE </t>
  </si>
  <si>
    <t xml:space="preserve">+55 (11) 3813-6656 </t>
  </si>
  <si>
    <t>Aprovado (O.S.: 39869)</t>
  </si>
  <si>
    <t>Aprovado (O.S.: 40002)</t>
  </si>
  <si>
    <t>Aprovado (O.S.: 39867)</t>
  </si>
  <si>
    <t>Aprovado (O.S.: 39873)</t>
  </si>
  <si>
    <t>Aprovado (O.S.: 40085)</t>
  </si>
  <si>
    <t>Aprovado (O.S.: 39877)</t>
  </si>
  <si>
    <t>Aprovado (O.S.: 39908)</t>
  </si>
  <si>
    <t xml:space="preserve">FORMACCO EMPRENDIMENTOS </t>
  </si>
  <si>
    <t>Maurício</t>
  </si>
  <si>
    <t xml:space="preserve">+55 (48) 8829-3266 </t>
  </si>
  <si>
    <t xml:space="preserve">AGENCIA TRILHAS </t>
  </si>
  <si>
    <t>Renê</t>
  </si>
  <si>
    <t xml:space="preserve">+55 (16) 99419-2278 </t>
  </si>
  <si>
    <t>Aprovado (O.S.: 39936)</t>
  </si>
  <si>
    <t>Aprovado (O.S.: 39884)</t>
  </si>
  <si>
    <t xml:space="preserve">SKYHALL </t>
  </si>
  <si>
    <t>Cinthia Keller</t>
  </si>
  <si>
    <t xml:space="preserve">+55 (11) 97443-9470 </t>
  </si>
  <si>
    <t xml:space="preserve">AGRO FERREIRA WL </t>
  </si>
  <si>
    <t>Waldir</t>
  </si>
  <si>
    <t xml:space="preserve">+55 (19) 98116-4181 </t>
  </si>
  <si>
    <t>Aprovado (O.S.: 39929)</t>
  </si>
  <si>
    <t>Sinalização - Vinil Blackout</t>
  </si>
  <si>
    <t>Aprovado (O.S.: 39928)</t>
  </si>
  <si>
    <t xml:space="preserve">CONDOMINIO RESIDENCIAL </t>
  </si>
  <si>
    <t>Residencial Diversita</t>
  </si>
  <si>
    <t>Aprovado (O.S.: 39930)</t>
  </si>
  <si>
    <t xml:space="preserve">+55 (19) 3881-5007 </t>
  </si>
  <si>
    <t>Sinalização - Adesivos Escada</t>
  </si>
  <si>
    <t>Crachas</t>
  </si>
  <si>
    <t>Aprovado (O.S.: 40016)</t>
  </si>
  <si>
    <t>Aprovado (O.S.: 39971)</t>
  </si>
  <si>
    <t>Aprovado (O.S.: 39980)</t>
  </si>
  <si>
    <t>Gabrielle Marques Da Silva</t>
  </si>
  <si>
    <t>Aprovado (O.S.: 39991)</t>
  </si>
  <si>
    <t xml:space="preserve">PROCISA DO BRASIL PROJETOS, CONSTRUCOES E INSTALACOES </t>
  </si>
  <si>
    <t>Aprovado (O.S.: 39992)</t>
  </si>
  <si>
    <t>Aprovado (O.S.: 39993)</t>
  </si>
  <si>
    <t>Aprovado (O.S.: 39994)</t>
  </si>
  <si>
    <t>Sinalização - Quadro de gestão.</t>
  </si>
  <si>
    <t xml:space="preserve">Reprovado </t>
  </si>
  <si>
    <t xml:space="preserve">PROCISA DO BRASIL PROJETOS, CONSTRUCOES E INSTALACOES LTDA. </t>
  </si>
  <si>
    <t>Aprovado (O.S.: 39995)</t>
  </si>
  <si>
    <t>Aprovado (O.S.: 39996)</t>
  </si>
  <si>
    <t xml:space="preserve">PROCISA DO BRASIL PROJ.CONSTR.E INSTALACOES LTDA. </t>
  </si>
  <si>
    <t>Aprovado (O.S.: 39997)</t>
  </si>
  <si>
    <t>Aprovado (O.S.: 39998)</t>
  </si>
  <si>
    <t>Aprovado (O.S.: 39999)</t>
  </si>
  <si>
    <t>Aprovado (O.S.: 40000)</t>
  </si>
  <si>
    <t>Aprovado (O.S.: 40087)</t>
  </si>
  <si>
    <t>Aprovado (O.S.: 40004)</t>
  </si>
  <si>
    <t>Aprovado (O.S.: 40005)</t>
  </si>
  <si>
    <t>Aprovado (O.S.: 40018)</t>
  </si>
  <si>
    <t>Aprovado (O.S.: 40012)</t>
  </si>
  <si>
    <t>Aprovado (O.S.: 40020)</t>
  </si>
  <si>
    <t xml:space="preserve">61.876.332 MARCELLO MANCONI </t>
  </si>
  <si>
    <t>Marcello</t>
  </si>
  <si>
    <t xml:space="preserve">+55 (12) 99124-4045 </t>
  </si>
  <si>
    <t>Aprovado (O.S.: 40024)</t>
  </si>
  <si>
    <t xml:space="preserve">VIAESTETIC </t>
  </si>
  <si>
    <t>Aprovado (O.S.: 40025)</t>
  </si>
  <si>
    <t>Magnaldo Quiterio dos Santos</t>
  </si>
  <si>
    <t>Sinalização - Emergência</t>
  </si>
  <si>
    <t>Aprovado (O.S.: 40027)</t>
  </si>
  <si>
    <t>Aprovado (O.S.: 40111)</t>
  </si>
  <si>
    <t>Aprovado (O.S.: 40036)</t>
  </si>
  <si>
    <t>Aprovado (O.S.: 40037)</t>
  </si>
  <si>
    <t>PS2mm</t>
  </si>
  <si>
    <t>Aprovado (O.S.: 40061)</t>
  </si>
  <si>
    <t xml:space="preserve">STRONGLIFT CENTRO DE TREINAMENTO </t>
  </si>
  <si>
    <t>Luisa</t>
  </si>
  <si>
    <t xml:space="preserve">+55 (19) 7116-1105 </t>
  </si>
  <si>
    <t>Aprovado (O.S.: 40065)</t>
  </si>
  <si>
    <t>Aprovado (O.S.: 40080)</t>
  </si>
  <si>
    <t>Aprovado (O.S.: 40336)</t>
  </si>
  <si>
    <t>Aprovado (O.S.: 40084)</t>
  </si>
  <si>
    <t xml:space="preserve">EDIFICIO JOSE MAURICIO ANDRETA </t>
  </si>
  <si>
    <t>Cond Andreta</t>
  </si>
  <si>
    <t xml:space="preserve">+55 (19) 98923-8471 </t>
  </si>
  <si>
    <t>Aprovado (O.S.: 40101)</t>
  </si>
  <si>
    <t xml:space="preserve">AB ENERGY DO BRASIL LTDA. </t>
  </si>
  <si>
    <t>Natália Oliveira</t>
  </si>
  <si>
    <t xml:space="preserve">+55 (11) 94913-4045 </t>
  </si>
  <si>
    <t>Adesivo Jateado + Vinil comum</t>
  </si>
  <si>
    <t>Aprovado (O.S.: 40214)</t>
  </si>
  <si>
    <t>Aprovado (O.S.: 40119)</t>
  </si>
  <si>
    <t>Aprovado (O.S.: 40096)</t>
  </si>
  <si>
    <t>Aprovado (O.S.: 40097)</t>
  </si>
  <si>
    <t>Aprovado (O.S.: 40098)</t>
  </si>
  <si>
    <t>Aprovado (O.S.: 40107)</t>
  </si>
  <si>
    <t>Material TRUCK</t>
  </si>
  <si>
    <t xml:space="preserve">CONDOMINIO RESIDENCIAL PLAZA DAS FLORES </t>
  </si>
  <si>
    <t>Adm Plaza Das Flores</t>
  </si>
  <si>
    <t xml:space="preserve">+55 (19) 3238-9030 </t>
  </si>
  <si>
    <t>Aprovado (O.S.: 40133)</t>
  </si>
  <si>
    <t xml:space="preserve">WERK ARQUITETURA </t>
  </si>
  <si>
    <t xml:space="preserve">+55 (19) 98969-1983 </t>
  </si>
  <si>
    <t>Aprovado (O.S.: 40112)</t>
  </si>
  <si>
    <t xml:space="preserve">IB TECHNOLOGY </t>
  </si>
  <si>
    <t>Rogerio</t>
  </si>
  <si>
    <t xml:space="preserve">+55 (19) 98271-4717 </t>
  </si>
  <si>
    <t>Aprovado (O.S.: 40114)</t>
  </si>
  <si>
    <t>Aprovado (O.S.: 40118)</t>
  </si>
  <si>
    <t>Aprovado (O.S.: 40121)</t>
  </si>
  <si>
    <t xml:space="preserve">ABQM </t>
  </si>
  <si>
    <t xml:space="preserve">+55 (11) 91340-5109 </t>
  </si>
  <si>
    <t>Aprovado (O.S.: 40198)</t>
  </si>
  <si>
    <t>Aprovado (O.S.: 40173)</t>
  </si>
  <si>
    <t>Aprovado (O.S.: 40128)</t>
  </si>
  <si>
    <t xml:space="preserve">ALPHAVILLE CAMPINAS CLUBE </t>
  </si>
  <si>
    <t xml:space="preserve">+55 (19) 98883-0010 </t>
  </si>
  <si>
    <t>Aprovado (O.S.: 37727)</t>
  </si>
  <si>
    <t xml:space="preserve">CLARK SOLUTIONS </t>
  </si>
  <si>
    <t>Clark Solutions</t>
  </si>
  <si>
    <t xml:space="preserve">+55 (11) 97097-7166 </t>
  </si>
  <si>
    <t>Aprovado (O.S.: 37786)</t>
  </si>
  <si>
    <t xml:space="preserve">HEINZ-GLAS DO BRASIL INDUSTRIA E COMERCIO DE EMBALAGENS LTDA. </t>
  </si>
  <si>
    <t>S. Maçonilio</t>
  </si>
  <si>
    <t xml:space="preserve">+55 (11) 98897-2212 </t>
  </si>
  <si>
    <t>Aprovado (O.S.: 37738)</t>
  </si>
  <si>
    <t xml:space="preserve">LINK ENERGY SOLAR </t>
  </si>
  <si>
    <t>Edgar Pedroso</t>
  </si>
  <si>
    <t xml:space="preserve">+55 (19) 97164-0605 </t>
  </si>
  <si>
    <t>Aprovado (O.S.: 37729)</t>
  </si>
  <si>
    <t xml:space="preserve">CONDOMINIO CONECT LIFE </t>
  </si>
  <si>
    <t xml:space="preserve">+55 (55) 11971-2815 </t>
  </si>
  <si>
    <t>Aprovado (O.S.: 37758)</t>
  </si>
  <si>
    <t xml:space="preserve">RESIDENCIAL PARQUE BRASIL </t>
  </si>
  <si>
    <t>Luis Henrique Santos</t>
  </si>
  <si>
    <t xml:space="preserve">+55 (11) 94608-7377 </t>
  </si>
  <si>
    <t xml:space="preserve">CASA DE ISRAEL </t>
  </si>
  <si>
    <t>Gabriel de Paula</t>
  </si>
  <si>
    <t xml:space="preserve">+55 (41) 8843-5326 </t>
  </si>
  <si>
    <t xml:space="preserve">USINA DE BENEFICIAMENTO DE LEITE </t>
  </si>
  <si>
    <t xml:space="preserve">+55 (42) 3234-8000 </t>
  </si>
  <si>
    <t>Aprovado (O.S.: 39252)</t>
  </si>
  <si>
    <t xml:space="preserve">IGREJA BATISTA VISTA ALEGRE </t>
  </si>
  <si>
    <t>Igreja Batista Vista Alegre</t>
  </si>
  <si>
    <t xml:space="preserve">+55 (19) 99522-6349 </t>
  </si>
  <si>
    <t xml:space="preserve">BAUHAUS PINHEIROS BY YOU, INC </t>
  </si>
  <si>
    <t>Bauhaus</t>
  </si>
  <si>
    <t xml:space="preserve">+55 (11) 91530-0030 </t>
  </si>
  <si>
    <t>Aprovado (O.S.: 37752)</t>
  </si>
  <si>
    <t xml:space="preserve">TATIANA MEDEIROS PINTO </t>
  </si>
  <si>
    <t xml:space="preserve">+55 (21) 97963-4389 </t>
  </si>
  <si>
    <t>Aprovado (O.S.: 37791)</t>
  </si>
  <si>
    <t xml:space="preserve">Elenir Quintana </t>
  </si>
  <si>
    <t>Elite Comércio e Serviços</t>
  </si>
  <si>
    <t xml:space="preserve">+55 (61) 8330-1204 </t>
  </si>
  <si>
    <t xml:space="preserve">HORIZONTES LTDA </t>
  </si>
  <si>
    <t>Horizontes Ltda</t>
  </si>
  <si>
    <t xml:space="preserve">+55 (31) 3571-0340 </t>
  </si>
  <si>
    <t>Sinalização*14892</t>
  </si>
  <si>
    <t>Aprovado (O.S.: 37735)</t>
  </si>
  <si>
    <t xml:space="preserve">Anna paula da CRUZ CEZARIO </t>
  </si>
  <si>
    <t>Anna Paula Da Cruz Cezario</t>
  </si>
  <si>
    <t xml:space="preserve">+55 (11) 97237-6833 </t>
  </si>
  <si>
    <t>Aprovado (O.S.: 37736)</t>
  </si>
  <si>
    <t xml:space="preserve">CONDOMINIO VINHAS DA VISTA ALEGRE </t>
  </si>
  <si>
    <t>Administração</t>
  </si>
  <si>
    <t xml:space="preserve">+55 (19) 99670-9025 </t>
  </si>
  <si>
    <t xml:space="preserve">Valter Craveiro da Silva </t>
  </si>
  <si>
    <t xml:space="preserve">+55 (11) 97186-0300 </t>
  </si>
  <si>
    <t>Aprovado (O.S.: 37739)</t>
  </si>
  <si>
    <t xml:space="preserve">Henrique Resende Siqueira </t>
  </si>
  <si>
    <t xml:space="preserve">+55 (11) 93908-4466 </t>
  </si>
  <si>
    <t>Aprovado (O.S.: 37740)</t>
  </si>
  <si>
    <t xml:space="preserve">Juliana Camargo Xavier </t>
  </si>
  <si>
    <t xml:space="preserve">+55 (11) 98366-8426 </t>
  </si>
  <si>
    <t>Aprovado (O.S.: 37741)</t>
  </si>
  <si>
    <t xml:space="preserve">Marcelo kojima </t>
  </si>
  <si>
    <t xml:space="preserve">+55 (31) 99142-7402 </t>
  </si>
  <si>
    <t>Aprovado (O.S.: 37742)</t>
  </si>
  <si>
    <t xml:space="preserve">OPERGEL COML E IMPORT. </t>
  </si>
  <si>
    <t xml:space="preserve">RICARDO BOYADJIAN </t>
  </si>
  <si>
    <t xml:space="preserve">+55 (11) 99979-2238 </t>
  </si>
  <si>
    <t>Aprovado (O.S.: 37744)</t>
  </si>
  <si>
    <t xml:space="preserve">PANTERA EMBALAGENS PLASTICAS LTDA </t>
  </si>
  <si>
    <t>Yvone Aquino</t>
  </si>
  <si>
    <t>Aprovado (O.S.: 37745)</t>
  </si>
  <si>
    <t xml:space="preserve">ICC INDUSTRIAL COMERCIO EXPORTACAO E IMPORTACAO S.A. </t>
  </si>
  <si>
    <t>Pedro - ICC Jundiaí</t>
  </si>
  <si>
    <t xml:space="preserve">+55 (11) 97835-3152 </t>
  </si>
  <si>
    <t xml:space="preserve">RENATO GONCALVES DE SOUZA </t>
  </si>
  <si>
    <t xml:space="preserve">+55 (19) 99996-0383 </t>
  </si>
  <si>
    <t>Aprovado (O.S.: 37746)</t>
  </si>
  <si>
    <t xml:space="preserve">Angelo Brunno Escorcio Santos </t>
  </si>
  <si>
    <t xml:space="preserve">+55 (13) 99164-5976 </t>
  </si>
  <si>
    <t>Aprovado (O.S.: 37747)</t>
  </si>
  <si>
    <t xml:space="preserve">CONDOMINIO EDIFICIO CAMBARA </t>
  </si>
  <si>
    <t>Lenildo Otero Rodrigues</t>
  </si>
  <si>
    <t xml:space="preserve">+55 (13) 99111-2044 </t>
  </si>
  <si>
    <t>Aprovado (O.S.: 37749)</t>
  </si>
  <si>
    <t xml:space="preserve">CRESCE CLINICA ESPECIALIZADA LTDA </t>
  </si>
  <si>
    <t>Jessica Soares Lucas</t>
  </si>
  <si>
    <t xml:space="preserve">+55 (21) 98041-1638 </t>
  </si>
  <si>
    <t xml:space="preserve">REZEK FERREIRA INFORMATICA LTDA </t>
  </si>
  <si>
    <t xml:space="preserve">+55 (31) 3319-1900 </t>
  </si>
  <si>
    <t>Aprovado (O.S.: 37750)</t>
  </si>
  <si>
    <t>Aprovado (O.S.: 37784)</t>
  </si>
  <si>
    <t xml:space="preserve">CONDOMINIO EDIFICIO VILLE GIVERNY. </t>
  </si>
  <si>
    <t xml:space="preserve">+55 (01) 1288-5599 </t>
  </si>
  <si>
    <t>Aprovado (O.S.: 37760)</t>
  </si>
  <si>
    <t xml:space="preserve">CONDOMINIO EDIFICIO WINTER PARK </t>
  </si>
  <si>
    <t>Marcos Barreto</t>
  </si>
  <si>
    <t xml:space="preserve">+55 (19) 7836-1661 </t>
  </si>
  <si>
    <t>Aprovado (O.S.: 37751)</t>
  </si>
  <si>
    <t xml:space="preserve">SSCE SOLUCOES EM SUPRIMENTOS E CONSULTORIA EMPRESARIAL </t>
  </si>
  <si>
    <t xml:space="preserve">+55 (22) 99899-1322 </t>
  </si>
  <si>
    <t xml:space="preserve">GEPLAN TERRAPLENAGEM LTDA </t>
  </si>
  <si>
    <t>Bruno Ribeiro / Vitor Barbosa</t>
  </si>
  <si>
    <t xml:space="preserve">+55 (12) 99654-8859 </t>
  </si>
  <si>
    <t xml:space="preserve">NEXORAD </t>
  </si>
  <si>
    <t>Fer Vieira</t>
  </si>
  <si>
    <t xml:space="preserve">+55 (19) 99324-2564 </t>
  </si>
  <si>
    <t>Aprovado (O.S.: 37771)</t>
  </si>
  <si>
    <t xml:space="preserve">Patricia Xavier </t>
  </si>
  <si>
    <t xml:space="preserve">+55 (11) 98809-1955 </t>
  </si>
  <si>
    <t>Aprovado (O.S.: 37756)</t>
  </si>
  <si>
    <t xml:space="preserve">SAMURAI PECAS PARA TRATORES S.A. </t>
  </si>
  <si>
    <t>Leonardo Martins</t>
  </si>
  <si>
    <t xml:space="preserve">+55 (11) 94902-1117 </t>
  </si>
  <si>
    <t>Aprovado (O.S.: 37753)</t>
  </si>
  <si>
    <t xml:space="preserve">ZIL SOLUCOES COMERCIAIS </t>
  </si>
  <si>
    <t xml:space="preserve">+55 (21) 97673-8813 </t>
  </si>
  <si>
    <t>Aprovado (O.S.: 37755)</t>
  </si>
  <si>
    <t xml:space="preserve">Pedro Dias </t>
  </si>
  <si>
    <t xml:space="preserve">+55 (19) 99772-2033 </t>
  </si>
  <si>
    <t>Aprovado (O.S.: 37772)</t>
  </si>
  <si>
    <t xml:space="preserve">CONDOMINIO RESIDENCIAL BITTENCOURT 678 </t>
  </si>
  <si>
    <t xml:space="preserve">+55 (19) 32320-7111 </t>
  </si>
  <si>
    <t>Aprovado (O.S.: 37757)</t>
  </si>
  <si>
    <t xml:space="preserve">NINE OFFICE BOUTIQUE </t>
  </si>
  <si>
    <t xml:space="preserve">+55 (11) 98792-2829 </t>
  </si>
  <si>
    <t>Aprovado (O.S.: 37761)</t>
  </si>
  <si>
    <t xml:space="preserve">JR HIDRELI </t>
  </si>
  <si>
    <t>Fernanda Mendonça</t>
  </si>
  <si>
    <t xml:space="preserve">+55 (11) 3298-6970 </t>
  </si>
  <si>
    <t>Aprovado (O.S.: 37759)</t>
  </si>
  <si>
    <t xml:space="preserve">NORTON DISTRIBUIDORA HOSPITALAR </t>
  </si>
  <si>
    <t xml:space="preserve">+55 (11) 6639-7108 </t>
  </si>
  <si>
    <t xml:space="preserve">BIOCTAL </t>
  </si>
  <si>
    <t xml:space="preserve">+55 (19) 98111-3176 </t>
  </si>
  <si>
    <t xml:space="preserve">A. RAYMOND BRASIL LTDA </t>
  </si>
  <si>
    <t>Carina Polleto</t>
  </si>
  <si>
    <t xml:space="preserve">+55 (19) 3836-6900 </t>
  </si>
  <si>
    <t>Aprovado (O.S.: 38247)</t>
  </si>
  <si>
    <t xml:space="preserve">Rodolfo guerra </t>
  </si>
  <si>
    <t>rodolfogue@hotmail.co</t>
  </si>
  <si>
    <t xml:space="preserve">+55 (19) 97405-9421 </t>
  </si>
  <si>
    <t>Aprovado (O.S.: 37770)</t>
  </si>
  <si>
    <t xml:space="preserve">VALESKA DURAZZO DA SILVA </t>
  </si>
  <si>
    <t xml:space="preserve">+55 (11) 98368-2780 </t>
  </si>
  <si>
    <t>Aprovado (O.S.: 37762)</t>
  </si>
  <si>
    <t xml:space="preserve">FORTPLAN </t>
  </si>
  <si>
    <t>David</t>
  </si>
  <si>
    <t xml:space="preserve">+55 (21) 98530-2498 </t>
  </si>
  <si>
    <t>Aprovado (O.S.: 37769)</t>
  </si>
  <si>
    <t xml:space="preserve">VERDEBIANCO </t>
  </si>
  <si>
    <t>Verdebianco Logistica</t>
  </si>
  <si>
    <t xml:space="preserve">+55 (11) 91483-3063 </t>
  </si>
  <si>
    <t>Aprovado (O.S.: 37763)</t>
  </si>
  <si>
    <t xml:space="preserve">BELLO MIMO </t>
  </si>
  <si>
    <t>Soraya</t>
  </si>
  <si>
    <t xml:space="preserve">+55 (19) 3016-1317 </t>
  </si>
  <si>
    <t>Aprovado (O.S.: 37828)</t>
  </si>
  <si>
    <t xml:space="preserve">DIGIMETTA - INDUSTRIA E COMERCIO E SERVICOS DE SINALIZACAO LTDA </t>
  </si>
  <si>
    <t>Alexandre Pelizaro</t>
  </si>
  <si>
    <t xml:space="preserve">+55 (19) 3869-5853 </t>
  </si>
  <si>
    <t>Aprovado (O.S.: 37768)</t>
  </si>
  <si>
    <t xml:space="preserve">UBER-SIGNS </t>
  </si>
  <si>
    <t>Roberto</t>
  </si>
  <si>
    <t xml:space="preserve">+55 (19) 99115-2299 </t>
  </si>
  <si>
    <t>Aprovado (O.S.: 37773)</t>
  </si>
  <si>
    <t xml:space="preserve">Bianca Barra de Mello </t>
  </si>
  <si>
    <t xml:space="preserve">+55 (19) 99360-3849 </t>
  </si>
  <si>
    <t>Aprovado (O.S.: 37776)</t>
  </si>
  <si>
    <t xml:space="preserve">CONDOMINIO E EDIFICIO CANANEIA </t>
  </si>
  <si>
    <t>Fabio Campos</t>
  </si>
  <si>
    <t xml:space="preserve">+55 (11) 99321-4122 </t>
  </si>
  <si>
    <t>Aprovado (O.S.: 37778)</t>
  </si>
  <si>
    <t xml:space="preserve">CONDOMINIO ON PANAMBY </t>
  </si>
  <si>
    <t>Erick Stegun</t>
  </si>
  <si>
    <t>Aprovado (O.S.: 37781)</t>
  </si>
  <si>
    <t xml:space="preserve">SOLOJET SHARES </t>
  </si>
  <si>
    <t>Danyele - Marketing Solojet</t>
  </si>
  <si>
    <t xml:space="preserve">+55 (11) 97664-0557 </t>
  </si>
  <si>
    <t>Aprovado (O.S.: 37775)</t>
  </si>
  <si>
    <t xml:space="preserve">MK MULTIMARCAS </t>
  </si>
  <si>
    <t>Mk Multimarcas</t>
  </si>
  <si>
    <t xml:space="preserve">+55 (42) 8838-6033 </t>
  </si>
  <si>
    <t xml:space="preserve">ARENA DAS DUNAS CONCESSAO E EVENTOS S/A </t>
  </si>
  <si>
    <t>Rafael Guedes</t>
  </si>
  <si>
    <t xml:space="preserve">+55 (84) 3211-4275 </t>
  </si>
  <si>
    <t>Aprovado (O.S.: 37774)</t>
  </si>
  <si>
    <t xml:space="preserve">RESIDENCIAL HELBOR SPAZIO CLUB ALTO DO IPIRANGA </t>
  </si>
  <si>
    <t>ADM- Helbor Spazio Club</t>
  </si>
  <si>
    <t xml:space="preserve">+55 (11) 3996-7151 </t>
  </si>
  <si>
    <t>Aprovado (O.S.: 39664)</t>
  </si>
  <si>
    <t xml:space="preserve">BETON STEEL </t>
  </si>
  <si>
    <t>Suprimentos AC2R</t>
  </si>
  <si>
    <t xml:space="preserve">+55 (21) 99744-0083 </t>
  </si>
  <si>
    <t>Aprovado (O.S.: 37793)</t>
  </si>
  <si>
    <t xml:space="preserve">CONDOMINIO RESIDENCIAL PORTO CACHOEIRA </t>
  </si>
  <si>
    <t>Ingrid</t>
  </si>
  <si>
    <t xml:space="preserve">+55 (48) 8412-1997 </t>
  </si>
  <si>
    <t xml:space="preserve">NEOS ENGENHARIA COMERCIO E SERVICOS LTDA </t>
  </si>
  <si>
    <t xml:space="preserve">+55 (19) 99357-2247 </t>
  </si>
  <si>
    <t>Aprovado (O.S.: 37819)</t>
  </si>
  <si>
    <t xml:space="preserve">PIMENTEL, VEGA, SMILGIN, SOUZA, LIMA ADVOGADOS </t>
  </si>
  <si>
    <t>Mazivania Monteiro</t>
  </si>
  <si>
    <t xml:space="preserve">+55 (21) 98343-6168 </t>
  </si>
  <si>
    <t>Aprovado (O.S.: 37777)</t>
  </si>
  <si>
    <t xml:space="preserve">CONDOMINIO EDIFICIO FERNANDO </t>
  </si>
  <si>
    <t>Cris Lopes</t>
  </si>
  <si>
    <t xml:space="preserve">+55 (11) 99912-8049 </t>
  </si>
  <si>
    <t>Aprovado (O.S.: 37782)</t>
  </si>
  <si>
    <t xml:space="preserve">CONDOMINIO MORUMBI SUL PARK </t>
  </si>
  <si>
    <t>Administração - MSP</t>
  </si>
  <si>
    <t xml:space="preserve">+55 (11) 99307-2361 </t>
  </si>
  <si>
    <t>Aprovado (O.S.: 37795)</t>
  </si>
  <si>
    <t xml:space="preserve">PREVISC </t>
  </si>
  <si>
    <t>Karolyni Silva de Souza Martini</t>
  </si>
  <si>
    <t>Aprovado (O.S.: 37779)</t>
  </si>
  <si>
    <t xml:space="preserve">KLUBER LUBRICATION LUBRIFICANTES ESPECIAIS LTDA </t>
  </si>
  <si>
    <t>Crislaine</t>
  </si>
  <si>
    <t xml:space="preserve">+55 (11) 4166-9156 </t>
  </si>
  <si>
    <t>Aprovado (O.S.: 37877)</t>
  </si>
  <si>
    <t xml:space="preserve">ESCOLA SENAI ARMANDO DE ARRUDA PEREIRA - CFP 1.23 </t>
  </si>
  <si>
    <t>Gerson</t>
  </si>
  <si>
    <t>Aprovado (O.S.: 37880)</t>
  </si>
  <si>
    <t xml:space="preserve">CLUBE JUNDIAIENSE </t>
  </si>
  <si>
    <t>Norma</t>
  </si>
  <si>
    <t xml:space="preserve">+55 (11) 4582-3220 </t>
  </si>
  <si>
    <t>Aprovado (O.S.: 38216)</t>
  </si>
  <si>
    <t xml:space="preserve">Jakeline Alves De Souza </t>
  </si>
  <si>
    <t xml:space="preserve">+55 (18) 99686-8273 </t>
  </si>
  <si>
    <t>Aprovado (O.S.: 37780)</t>
  </si>
  <si>
    <t xml:space="preserve">Gerson Rocha de Souza </t>
  </si>
  <si>
    <t xml:space="preserve">+55 (51) 99907-5019 </t>
  </si>
  <si>
    <t>Aprovado (O.S.: 37783)</t>
  </si>
  <si>
    <t xml:space="preserve">Waldir Rodrigues da Silva </t>
  </si>
  <si>
    <t xml:space="preserve">+55 (81) 98719-0279 </t>
  </si>
  <si>
    <t>Aprovado (O.S.: 37785)</t>
  </si>
  <si>
    <t xml:space="preserve">Pedro Donizete Gabbia Junior </t>
  </si>
  <si>
    <t xml:space="preserve">+55 (14) 99668-6864 </t>
  </si>
  <si>
    <t>Aprovado (O.S.: 37787)</t>
  </si>
  <si>
    <t xml:space="preserve">Thiago Figueiredo </t>
  </si>
  <si>
    <t xml:space="preserve">+55 (11) 98356-6676 </t>
  </si>
  <si>
    <t>Aprovado (O.S.: 37790)</t>
  </si>
  <si>
    <t xml:space="preserve">COMERCIAL BANDEIRANTES DE BATERIAS LTDA </t>
  </si>
  <si>
    <t>Paulo Nascimento</t>
  </si>
  <si>
    <t xml:space="preserve">+55 (19) 99645-4361 </t>
  </si>
  <si>
    <t>Aprovado (O.S.: 37792)</t>
  </si>
  <si>
    <t xml:space="preserve">ASSOCI DOS PROPRIE E AMIGOS DO LOTEA RESER DAS PAINEI </t>
  </si>
  <si>
    <t>Financeiro Paineiras</t>
  </si>
  <si>
    <t xml:space="preserve">+55 (19) 98967-2707 </t>
  </si>
  <si>
    <t>Aprovado (O.S.: 37794)</t>
  </si>
  <si>
    <t xml:space="preserve">CONDOMINIO DOS EDIFICIOS SILVER BALI E APPLE BALI </t>
  </si>
  <si>
    <t>Marcio Pizani</t>
  </si>
  <si>
    <t xml:space="preserve">+55 (21) 96452-5225 </t>
  </si>
  <si>
    <t xml:space="preserve">TETRA-BASE - ENGENHARIA E CONSTRUCOES LTDA. </t>
  </si>
  <si>
    <t>Rodrigo</t>
  </si>
  <si>
    <t xml:space="preserve">+55 (11) 2552-1609 </t>
  </si>
  <si>
    <t xml:space="preserve">PRIMEIRO DE MAIO FUTEBOL CLUBE </t>
  </si>
  <si>
    <t>Cida Gonçalves Compras PM</t>
  </si>
  <si>
    <t xml:space="preserve">+55 (11) 99856-3311 </t>
  </si>
  <si>
    <t>Aprovado (O.S.: 37797)</t>
  </si>
  <si>
    <t xml:space="preserve">NOVA PLAST </t>
  </si>
  <si>
    <t>Jéssica</t>
  </si>
  <si>
    <t xml:space="preserve">+55 (19) 98107-5551 </t>
  </si>
  <si>
    <t>Aprovado (O.S.: 37800)</t>
  </si>
  <si>
    <t xml:space="preserve">GRUPO PORTINARI </t>
  </si>
  <si>
    <t>Nurian</t>
  </si>
  <si>
    <t xml:space="preserve">+55 (11) 99420-7471 </t>
  </si>
  <si>
    <t xml:space="preserve">PROJETA E REFORMA </t>
  </si>
  <si>
    <t>Gustavo Elorza</t>
  </si>
  <si>
    <t xml:space="preserve">+55 (11) 94002-5475 </t>
  </si>
  <si>
    <t>Aprovado (O.S.: 37805)</t>
  </si>
  <si>
    <t xml:space="preserve">COMERCIAL 2001 DO BRASIL </t>
  </si>
  <si>
    <t xml:space="preserve">+55 (11) 97154-1026 </t>
  </si>
  <si>
    <t>Aprovado (O.S.: 37806)</t>
  </si>
  <si>
    <t xml:space="preserve">CONDOMINIO MONT SERRAT </t>
  </si>
  <si>
    <t>Luís Fernando</t>
  </si>
  <si>
    <t xml:space="preserve">+55 (11) 98025-2081 </t>
  </si>
  <si>
    <t>Aprovado (O.S.: 37807)</t>
  </si>
  <si>
    <t>Aprovado (O.S.: 37984)</t>
  </si>
  <si>
    <t xml:space="preserve">CONDOMINIO EDIFICIO COSTA BLANCA </t>
  </si>
  <si>
    <t xml:space="preserve">+55 (11) 91876-9433 </t>
  </si>
  <si>
    <t>Aprovado (O.S.: 37808)</t>
  </si>
  <si>
    <t xml:space="preserve">ALTO ALEGRE </t>
  </si>
  <si>
    <t>ALTO ALEGRE</t>
  </si>
  <si>
    <t xml:space="preserve">PMP DRIVE SYSTEMS DO BRASIL COMERCIO LTDA </t>
  </si>
  <si>
    <t>MARCELO GALTER</t>
  </si>
  <si>
    <t xml:space="preserve">+55 (11) 3563-3905 </t>
  </si>
  <si>
    <t>Aprovado (O.S.: 37809)</t>
  </si>
  <si>
    <t xml:space="preserve">CONFORMETAL </t>
  </si>
  <si>
    <t>Conformetal</t>
  </si>
  <si>
    <t xml:space="preserve">+55 (11) 94722-8413 </t>
  </si>
  <si>
    <t>Aprovado (O.S.: 37810)</t>
  </si>
  <si>
    <t xml:space="preserve">EMTUCO SERVICOS E PARTICIPACOES S.A. </t>
  </si>
  <si>
    <t>Fabiane Cristina Silva</t>
  </si>
  <si>
    <t xml:space="preserve">+55 (47) 3029-6400 </t>
  </si>
  <si>
    <t>Aprovado (O.S.: 37811)</t>
  </si>
  <si>
    <t xml:space="preserve">EFFORT ENGENHARIA </t>
  </si>
  <si>
    <t>André Santos</t>
  </si>
  <si>
    <t xml:space="preserve">+55 (13) 98123-3714 </t>
  </si>
  <si>
    <t>Aprovado (O.S.: 37814)</t>
  </si>
  <si>
    <t xml:space="preserve">WILIANS DE OLIVEIRA GODOI </t>
  </si>
  <si>
    <t xml:space="preserve">+55 (11) 98545-1584 </t>
  </si>
  <si>
    <t>Aprovado (O.S.: 37812)</t>
  </si>
  <si>
    <t xml:space="preserve">CONDOMINIO RESIDENCIAL DAS CAMELIAS </t>
  </si>
  <si>
    <t>Condomínio Residencial das Camélias</t>
  </si>
  <si>
    <t>Aprovado (O.S.: 37813)</t>
  </si>
  <si>
    <t xml:space="preserve">PODER LEGISLATIVO CAMARA DOS DEPUTADOS ESTADUAIS </t>
  </si>
  <si>
    <t>Lizandra ( CRM ALESC)</t>
  </si>
  <si>
    <t xml:space="preserve">+55 (48) 9988-0801 </t>
  </si>
  <si>
    <t xml:space="preserve">DAM SYSTEMS </t>
  </si>
  <si>
    <t>Diego Perico</t>
  </si>
  <si>
    <t xml:space="preserve">+55 (42) 9831-2190 </t>
  </si>
  <si>
    <t>Aprovado (O.S.: 37817)</t>
  </si>
  <si>
    <t xml:space="preserve">MAXIMUS INDUSTRIA E COMERCIO DE EMBALAGENS PLASTICAS LTDA </t>
  </si>
  <si>
    <t>David Moreira Das Neves</t>
  </si>
  <si>
    <t xml:space="preserve">+55 (11) 93933-4128 </t>
  </si>
  <si>
    <t>Aprovado (O.S.: 37820)</t>
  </si>
  <si>
    <t xml:space="preserve">ASSOC DOS ADQUIRENTES DE LOTES NO LOT JARDIM DAS HORTENCIAS </t>
  </si>
  <si>
    <t>Sérgio</t>
  </si>
  <si>
    <t xml:space="preserve">+55 (12) 99773-2811 </t>
  </si>
  <si>
    <t>Aprovado (O.S.: 37836)</t>
  </si>
  <si>
    <t xml:space="preserve">GV COMER LOCAC REPRESEN E TRANSP ESPECIAIS LTDA </t>
  </si>
  <si>
    <t>Compras | GV Logistica</t>
  </si>
  <si>
    <t xml:space="preserve">+55 (11) 97641-3757 </t>
  </si>
  <si>
    <t>Aprovado (O.S.: 37818)</t>
  </si>
  <si>
    <t xml:space="preserve">M&amp;R INDUSTRIA E COMERCIO DE ALIMENTOS LTDA </t>
  </si>
  <si>
    <t>Valéria</t>
  </si>
  <si>
    <t xml:space="preserve">+55 (31) 9571-6263 </t>
  </si>
  <si>
    <t>Aprovado (O.S.: 37916)</t>
  </si>
  <si>
    <t xml:space="preserve">John Gabriel Almeida Dos Santos </t>
  </si>
  <si>
    <t>John Gabriel Almeida Dos Santos</t>
  </si>
  <si>
    <t xml:space="preserve">+55 (21) 97288-8336 </t>
  </si>
  <si>
    <t>Sinalização*14643</t>
  </si>
  <si>
    <t>Aprovado (O.S.: 37816)</t>
  </si>
  <si>
    <t xml:space="preserve">M.A. CONSTRUTORA </t>
  </si>
  <si>
    <t xml:space="preserve">+55 (13) 98843-6516 </t>
  </si>
  <si>
    <t>Aprovado (O.S.: 37848)</t>
  </si>
  <si>
    <t xml:space="preserve">VANNUCCI IMPORTACAO, EXPORTACAO E COMERCIO DE AUTOPECAS LTDA </t>
  </si>
  <si>
    <t>Carlos</t>
  </si>
  <si>
    <t xml:space="preserve">+55 (19) 99460-5760 </t>
  </si>
  <si>
    <t>Aprovado (O.S.: 39641)</t>
  </si>
  <si>
    <t xml:space="preserve">NEW BS BRASIL IMPORT LTDA </t>
  </si>
  <si>
    <t>NEW BS BRASIL IMPORT LTDA</t>
  </si>
  <si>
    <t xml:space="preserve">+55 (11) 97468-8679 </t>
  </si>
  <si>
    <t xml:space="preserve">EDIFICIO TORRE DE LA DEFENSE </t>
  </si>
  <si>
    <t>Milton</t>
  </si>
  <si>
    <t xml:space="preserve">+55 (13) 99792-2889 </t>
  </si>
  <si>
    <t>Aprovado (O.S.: 37832)</t>
  </si>
  <si>
    <t xml:space="preserve">CONDOMINIO RESIDENCIAL ARITANA </t>
  </si>
  <si>
    <t>Malani</t>
  </si>
  <si>
    <t xml:space="preserve">+55 (11) 99914-7168 </t>
  </si>
  <si>
    <t>Aprovado (O.S.: 37951)</t>
  </si>
  <si>
    <t xml:space="preserve">Leticia Yumi Tokashiki </t>
  </si>
  <si>
    <t xml:space="preserve">+55 (12) 98821-5609 </t>
  </si>
  <si>
    <t>Aprovado (O.S.: 37823)</t>
  </si>
  <si>
    <t xml:space="preserve">CONDOMINIO EDIFICIO OUTEIRO MAIA </t>
  </si>
  <si>
    <t>WASHINGTON TADEU VALLIM</t>
  </si>
  <si>
    <t xml:space="preserve">+55 (11) 2797-7900 </t>
  </si>
  <si>
    <t>Aprovado (O.S.: 37821)</t>
  </si>
  <si>
    <t xml:space="preserve">RESERVA FAMILY </t>
  </si>
  <si>
    <t>Dennis Skajko Sacciotti</t>
  </si>
  <si>
    <t xml:space="preserve">+55 (11) 97236-3534 </t>
  </si>
  <si>
    <t>Aprovado (O.S.: 37822)</t>
  </si>
  <si>
    <t xml:space="preserve">Camila Gomes Ventura </t>
  </si>
  <si>
    <t xml:space="preserve">+55 (11) 94039-5495 </t>
  </si>
  <si>
    <t>Aprovado (O.S.: 37824)</t>
  </si>
  <si>
    <t xml:space="preserve">Humberto de Sousa Pereira Lima Neto </t>
  </si>
  <si>
    <t xml:space="preserve">+55 (16) 99135-0007 </t>
  </si>
  <si>
    <t>Aprovado (O.S.: 37829)</t>
  </si>
  <si>
    <t xml:space="preserve">CONDOMINIO PRIME DESIGN OFFICES </t>
  </si>
  <si>
    <t>Prime Design Office</t>
  </si>
  <si>
    <t xml:space="preserve">+55 (21) 92000-0632 </t>
  </si>
  <si>
    <t>Aprovado (O.S.: 37966)</t>
  </si>
  <si>
    <t xml:space="preserve">Layon Raphael da Cruz Ferreira </t>
  </si>
  <si>
    <t xml:space="preserve">+55 (19) 99295-5208 </t>
  </si>
  <si>
    <t>Aprovado (O.S.: 37838)</t>
  </si>
  <si>
    <t xml:space="preserve">INOVA </t>
  </si>
  <si>
    <t>Eu</t>
  </si>
  <si>
    <t xml:space="preserve">+55 (11) 91613-4176 </t>
  </si>
  <si>
    <t>Aprovado (O.S.: 37837)</t>
  </si>
  <si>
    <t xml:space="preserve">JC </t>
  </si>
  <si>
    <t>Ana Compras</t>
  </si>
  <si>
    <t xml:space="preserve">+55 (19) 99699-0253 </t>
  </si>
  <si>
    <t>Aprovado (O.S.: 37840)</t>
  </si>
  <si>
    <t xml:space="preserve">Diane Aline Ribeiro </t>
  </si>
  <si>
    <t xml:space="preserve">+55 (11) 98294-4547 </t>
  </si>
  <si>
    <t>Aprovado (O.S.: 37856)</t>
  </si>
  <si>
    <t xml:space="preserve">Cristian Parada </t>
  </si>
  <si>
    <t xml:space="preserve">+55 (11) 97676-7720 </t>
  </si>
  <si>
    <t>Aprovado (O.S.: 37841)</t>
  </si>
  <si>
    <t xml:space="preserve">YAPP BRASIL FABRICACAO DE TANQUES E RESERVATORIOS PARA VEICULOS AUTOMOTORES LTDA. </t>
  </si>
  <si>
    <t>Mayana</t>
  </si>
  <si>
    <t xml:space="preserve">+55 (19) 99580-9535 </t>
  </si>
  <si>
    <t xml:space="preserve">PRODESP </t>
  </si>
  <si>
    <t>?</t>
  </si>
  <si>
    <t xml:space="preserve">+55 (11) 91413-5641 </t>
  </si>
  <si>
    <t xml:space="preserve">MAXI RUBBER INDUSTRIAS QUIMICAS LTDA </t>
  </si>
  <si>
    <t xml:space="preserve">+55 (11) 94513-2156 </t>
  </si>
  <si>
    <t>Aprovado (O.S.: 37847)</t>
  </si>
  <si>
    <t xml:space="preserve">Vagner Cleber Lindolfo </t>
  </si>
  <si>
    <t>Vagner Cleber Lindolfo</t>
  </si>
  <si>
    <t xml:space="preserve">+55 (19) 99670-3771 </t>
  </si>
  <si>
    <t>Aprovado (O.S.: 37845)</t>
  </si>
  <si>
    <t xml:space="preserve">BRABA ACADEMIA DE MUSCULACAO LTDA </t>
  </si>
  <si>
    <t xml:space="preserve">+55 (49) 9801-4471 </t>
  </si>
  <si>
    <t>Aprovado (O.S.: 37849)</t>
  </si>
  <si>
    <t xml:space="preserve">CONDOMINIO RESIDENCIAL VILA DAS FLORES </t>
  </si>
  <si>
    <t xml:space="preserve">+55 (11) 98738-3391 </t>
  </si>
  <si>
    <t>Aprovado (O.S.: 37859)</t>
  </si>
  <si>
    <t xml:space="preserve">CONDOMINIO DO EDIFICIO DOMUS PROFESSOR MARIO PESSOA </t>
  </si>
  <si>
    <t>Condomínio do Edifício Domus Professor Mario Pessoa</t>
  </si>
  <si>
    <t xml:space="preserve">+55 (81) 8181-8181 </t>
  </si>
  <si>
    <t>Aprovado (O.S.: 37852)</t>
  </si>
  <si>
    <t xml:space="preserve">TRIMAK RENTAL </t>
  </si>
  <si>
    <t>DIEGO FONSECA</t>
  </si>
  <si>
    <t xml:space="preserve">+55 (21) 99753-5502 </t>
  </si>
  <si>
    <t>Aprovado (O.S.: 37853)</t>
  </si>
  <si>
    <t xml:space="preserve">Andrey d'assumpção Lourenço </t>
  </si>
  <si>
    <t xml:space="preserve">+55 (19) 99789-0962 </t>
  </si>
  <si>
    <t>Aprovado (O.S.: 37854)</t>
  </si>
  <si>
    <t xml:space="preserve">JEFFERSON SANTOS DA MOTA </t>
  </si>
  <si>
    <t xml:space="preserve">+55 (71) 98792-7714 </t>
  </si>
  <si>
    <t>Aprovado (O.S.: 37855)</t>
  </si>
  <si>
    <t xml:space="preserve">REVIVER CLINICA DE REABILITACAO NEUROLOGICA </t>
  </si>
  <si>
    <t>Patricia Hollanda Gassen</t>
  </si>
  <si>
    <t>Aprovado (O.S.: 37858)</t>
  </si>
  <si>
    <t xml:space="preserve">MARCELO PUCCINI CAMINHA FILHO </t>
  </si>
  <si>
    <t xml:space="preserve">+55 (11) 92007-4801 </t>
  </si>
  <si>
    <t>Aprovado (O.S.: 37860)</t>
  </si>
  <si>
    <t xml:space="preserve">Bruno DINIZ DA SILVA </t>
  </si>
  <si>
    <t xml:space="preserve">+55 (19) 98769-9196 </t>
  </si>
  <si>
    <t>Aprovado (O.S.: 37861)</t>
  </si>
  <si>
    <t xml:space="preserve">Maria de Fátima D Tozzo </t>
  </si>
  <si>
    <t xml:space="preserve">+55 (19) 99417-3838 </t>
  </si>
  <si>
    <t>Aprovado (O.S.: 37915)</t>
  </si>
  <si>
    <t xml:space="preserve">CONDOMINIO DO EDIFICIO IPANEMA PARK APART HOTEL </t>
  </si>
  <si>
    <t>Gerência</t>
  </si>
  <si>
    <t xml:space="preserve">+55 (21) 99738-3429 </t>
  </si>
  <si>
    <t>Aprovado (O.S.: 37864)</t>
  </si>
  <si>
    <t xml:space="preserve">CONDOMINIO RESIDENCIAL VARANDAS CAMPINAS CARLOS GOMES </t>
  </si>
  <si>
    <t>CONDOMINIO RESIDENCIAL JARDIM</t>
  </si>
  <si>
    <t xml:space="preserve">(00)0000-000 </t>
  </si>
  <si>
    <t>Aprovado (O.S.: 37868)</t>
  </si>
  <si>
    <t xml:space="preserve">XPRIME CAMPINAS </t>
  </si>
  <si>
    <t>Vagner</t>
  </si>
  <si>
    <t xml:space="preserve">+55 (19) 99705-5274 </t>
  </si>
  <si>
    <t>Aprovado (O.S.: 37906)</t>
  </si>
  <si>
    <t xml:space="preserve">Bruna Santos Da Silva De Lima </t>
  </si>
  <si>
    <t>Bruna ???</t>
  </si>
  <si>
    <t xml:space="preserve">+55 (11) 97519-7420 </t>
  </si>
  <si>
    <t>Aprovado (O.S.: 37867)</t>
  </si>
  <si>
    <t xml:space="preserve">ASSOCIACAO DE PAIS E PROFESSORES DA ESCOLA DE EDUCACAO BASICA PRESIDENTE ROOSEVELT </t>
  </si>
  <si>
    <t>Sandra Nogueira</t>
  </si>
  <si>
    <t xml:space="preserve">+55 (48) 9617-8466 </t>
  </si>
  <si>
    <t>Sinalização*14877</t>
  </si>
  <si>
    <t>Aprovado (O.S.: 37869)</t>
  </si>
  <si>
    <t xml:space="preserve">PRAIA DAS VIRTUDES </t>
  </si>
  <si>
    <t>Sabrina Amorim</t>
  </si>
  <si>
    <t xml:space="preserve">+55 (27) 99532-3093 </t>
  </si>
  <si>
    <t>Aprovado (O.S.: 37870)</t>
  </si>
  <si>
    <t>Cristina Oliveira</t>
  </si>
  <si>
    <t xml:space="preserve">JOLITEX </t>
  </si>
  <si>
    <t>Compras Maria- Jolitex</t>
  </si>
  <si>
    <t xml:space="preserve">+55 (19) 99939-7252 </t>
  </si>
  <si>
    <t xml:space="preserve">INOVA MEIO AMBIENTE </t>
  </si>
  <si>
    <t>Inova Meio Ambiente</t>
  </si>
  <si>
    <t xml:space="preserve">+55 (11) 2597-7673 </t>
  </si>
  <si>
    <t xml:space="preserve">HL PLACAS LTDA </t>
  </si>
  <si>
    <t xml:space="preserve">+55 (31) 9333-4737 </t>
  </si>
  <si>
    <t xml:space="preserve">CONDOMINIO EDIFICIO BV </t>
  </si>
  <si>
    <t>Ivan Lodovici</t>
  </si>
  <si>
    <t xml:space="preserve">+55 (11) 99200-3155 </t>
  </si>
  <si>
    <t>Aprovado (O.S.: 37889)</t>
  </si>
  <si>
    <t xml:space="preserve">FABINJECT INDUSTRIA PLASTICA LTDA </t>
  </si>
  <si>
    <t>Thais</t>
  </si>
  <si>
    <t xml:space="preserve">+55 (12) 98859-8872 </t>
  </si>
  <si>
    <t xml:space="preserve">VERI SOLUCOES TECNOLOGICAS </t>
  </si>
  <si>
    <t>Beatriz França</t>
  </si>
  <si>
    <t xml:space="preserve">+55 (11) 95220-7610 </t>
  </si>
  <si>
    <t xml:space="preserve">ELYON MANUFACTURING SOLUTIONS LTDA </t>
  </si>
  <si>
    <t>Jose Lucas - Treetech</t>
  </si>
  <si>
    <t xml:space="preserve">+55 (11) 2410-1190 </t>
  </si>
  <si>
    <t>Aprovado (O.S.: 37982)</t>
  </si>
  <si>
    <t xml:space="preserve">ND BOMBAS COMERCIO E SERVICOS LTDA </t>
  </si>
  <si>
    <t>Isabel</t>
  </si>
  <si>
    <t xml:space="preserve">+55 (19) 99206-0237 </t>
  </si>
  <si>
    <t>Aprovado (O.S.: 38097)</t>
  </si>
  <si>
    <t xml:space="preserve">CONDOMINIO RESIDENCIAL HORIZONTES PRACAS RESIDENCIAIS </t>
  </si>
  <si>
    <t>Horizontes Praças Residenciais</t>
  </si>
  <si>
    <t>Aprovado (O.S.: 37881)</t>
  </si>
  <si>
    <t xml:space="preserve">NUCLEO SOCIO EDUCATIVO TIAOZINHO </t>
  </si>
  <si>
    <t>Sociedade de Amparo</t>
  </si>
  <si>
    <t xml:space="preserve">+55 (11) 5084-9058 </t>
  </si>
  <si>
    <t>Aprovado (O.S.: 37883)</t>
  </si>
  <si>
    <t xml:space="preserve">ASSOCIACAO DE PAIS E MESTRES DA EE ERICO DE ABREU SODRE </t>
  </si>
  <si>
    <t>APM EE ERICO DE ABREU SODRE</t>
  </si>
  <si>
    <t xml:space="preserve">+55 (11) 5594-4610 </t>
  </si>
  <si>
    <t>Aprovado (O.S.: 37884)</t>
  </si>
  <si>
    <t xml:space="preserve">Rosimeire Pereira Da Silva </t>
  </si>
  <si>
    <t xml:space="preserve">+55 (11) 94786-6253 </t>
  </si>
  <si>
    <t>Aprovado (O.S.: 37885)</t>
  </si>
  <si>
    <t xml:space="preserve">VALERIA CONTIN </t>
  </si>
  <si>
    <t xml:space="preserve">+55 (19) 99601-4245 </t>
  </si>
  <si>
    <t>Aprovado (O.S.: 37886)</t>
  </si>
  <si>
    <t xml:space="preserve">CONDOMINIO EDIFICIO CHATEAU DU FRONTENAC </t>
  </si>
  <si>
    <t>Condomínio Edifício Chateau Du Frontenac</t>
  </si>
  <si>
    <t xml:space="preserve">+55 (19) 99823-1225 </t>
  </si>
  <si>
    <t>Aprovado (O.S.: 37887)</t>
  </si>
  <si>
    <t xml:space="preserve">GMS SISTEMAS DE PREVENCAO CONTRA INCENDIO </t>
  </si>
  <si>
    <t>Matheus Durães</t>
  </si>
  <si>
    <t xml:space="preserve">+55 (11) 97990-9543 </t>
  </si>
  <si>
    <t xml:space="preserve">DELFIM COMERCIO E INDUSTRIA LTDA </t>
  </si>
  <si>
    <t>Nayra Barbosa</t>
  </si>
  <si>
    <t xml:space="preserve">+55 (11) 3526-4455 </t>
  </si>
  <si>
    <t>Aprovado (O.S.: 37888)</t>
  </si>
  <si>
    <t xml:space="preserve">RESIDENCIAL VERDES VALES </t>
  </si>
  <si>
    <t>Deborah da Graça Amaral</t>
  </si>
  <si>
    <t xml:space="preserve">+55 (12) 36225-3051 </t>
  </si>
  <si>
    <t>Aprovado (O.S.: 37890)</t>
  </si>
  <si>
    <t xml:space="preserve">SHEARER DO BRASIL EMPREENDIMENTOS IMOBILIARIOS, AGROPECUARIA E PARTICIPACOES LTDA </t>
  </si>
  <si>
    <t>Fabio Lima</t>
  </si>
  <si>
    <t xml:space="preserve">+55 (19) 98142-7148 </t>
  </si>
  <si>
    <t>Aprovado (O.S.: 37905)</t>
  </si>
  <si>
    <t xml:space="preserve">CONDOMINIO ILHAS DO ATLANTICO RESIDENCE </t>
  </si>
  <si>
    <t>Rafael Murilo Vieira</t>
  </si>
  <si>
    <t>Aprovado (O.S.: 37891)</t>
  </si>
  <si>
    <t xml:space="preserve">SP ENGE CONSTRUTORA LTDA. </t>
  </si>
  <si>
    <t>Luan Fernandes / Sp Enge Construtora</t>
  </si>
  <si>
    <t xml:space="preserve">+55 (11) 99560-6484 </t>
  </si>
  <si>
    <t xml:space="preserve">SUB-CONDOMINIO EDIFICIO SAO LUIS DE GONZAGA </t>
  </si>
  <si>
    <t>Centro de Eventos São Luís</t>
  </si>
  <si>
    <t xml:space="preserve">+55 (11) 94185-2453 </t>
  </si>
  <si>
    <t xml:space="preserve">Vitor Luiz Libano de Aguiar </t>
  </si>
  <si>
    <t>Vitor Luiz Libano de Aguiar</t>
  </si>
  <si>
    <t xml:space="preserve">+55 (11) 99510-8641 </t>
  </si>
  <si>
    <t>Sinalização*14835</t>
  </si>
  <si>
    <t>Aprovado (O.S.: 37892)</t>
  </si>
  <si>
    <t xml:space="preserve">BR4 ENERGIA </t>
  </si>
  <si>
    <t xml:space="preserve">+55 (67) 9601-3131 </t>
  </si>
  <si>
    <t>Aprovado (O.S.: 37899)</t>
  </si>
  <si>
    <t>Aprovado (O.S.: 37895)</t>
  </si>
  <si>
    <t xml:space="preserve">CONDOMINIO RESIDENCIAL VERDICANTTO </t>
  </si>
  <si>
    <t>Yamandú Eduardo Martorell</t>
  </si>
  <si>
    <t xml:space="preserve">+55 (48) 9981-2580 </t>
  </si>
  <si>
    <t>Aprovado (O.S.: 37897)</t>
  </si>
  <si>
    <t xml:space="preserve">Camila Gregorio de Araujo </t>
  </si>
  <si>
    <t xml:space="preserve">+55 (11) 95555-7249 </t>
  </si>
  <si>
    <t>Aprovado (O.S.: 37913)</t>
  </si>
  <si>
    <t xml:space="preserve">Carina Flaifel </t>
  </si>
  <si>
    <t xml:space="preserve">+55 (19) 97415-3524 </t>
  </si>
  <si>
    <t>Aprovado (O.S.: 37931)</t>
  </si>
  <si>
    <t xml:space="preserve">Felipe Pereira Da Silva </t>
  </si>
  <si>
    <t xml:space="preserve">+55 (11) 98584-1189 </t>
  </si>
  <si>
    <t>Aprovado (O.S.: 37903)</t>
  </si>
  <si>
    <t xml:space="preserve">GR2 TRANSPORTES </t>
  </si>
  <si>
    <t xml:space="preserve">+55 (11) 94723-3405 </t>
  </si>
  <si>
    <t>Aprovado (O.S.: 37904)</t>
  </si>
  <si>
    <t xml:space="preserve">ASSOCIACAO ESPACO FELIZ </t>
  </si>
  <si>
    <t>Juliana Brito</t>
  </si>
  <si>
    <t xml:space="preserve">+55 (19) 98324-1425 </t>
  </si>
  <si>
    <t>Aprovado (O.S.: 37900)</t>
  </si>
  <si>
    <t xml:space="preserve">ASSOCIACAO DOS PROPRIETARIOS DO LOTEAMENTO RESIDENCIAL ENTRE VERDES </t>
  </si>
  <si>
    <t xml:space="preserve">+55 (19) 99648-4413 </t>
  </si>
  <si>
    <t xml:space="preserve">Davi Di Grazia </t>
  </si>
  <si>
    <t>Davi Di Grazia</t>
  </si>
  <si>
    <t xml:space="preserve">+55 (11) 99396-0120 </t>
  </si>
  <si>
    <t xml:space="preserve">HT&amp;T ATACADO E VAREJO </t>
  </si>
  <si>
    <t>CAEVV</t>
  </si>
  <si>
    <t xml:space="preserve">+55 (31) 8960-0547 </t>
  </si>
  <si>
    <t>Aprovado (O.S.: 37926)</t>
  </si>
  <si>
    <t xml:space="preserve">ESPACO NOTRE </t>
  </si>
  <si>
    <t>Sabrina Vega</t>
  </si>
  <si>
    <t xml:space="preserve">+55 (41) 9697-0117 </t>
  </si>
  <si>
    <t>Aprovado (O.S.: 37918)</t>
  </si>
  <si>
    <t xml:space="preserve">CARTONAV </t>
  </si>
  <si>
    <t xml:space="preserve">+55 (19) 3871-1633 </t>
  </si>
  <si>
    <t>Aprovado (O.S.: 37911)</t>
  </si>
  <si>
    <t>Aprovado (O.S.: 37912)</t>
  </si>
  <si>
    <t xml:space="preserve">PANDIN MOVEIS LTDA </t>
  </si>
  <si>
    <t>Pandin Moveis</t>
  </si>
  <si>
    <t xml:space="preserve">+55 (17) 2136-8300 </t>
  </si>
  <si>
    <t>Aprovado (O.S.: 37914)</t>
  </si>
  <si>
    <t xml:space="preserve">MARINA ROLIM GIOSA CAMARGO </t>
  </si>
  <si>
    <t xml:space="preserve">+55 (11) 99771-7023 </t>
  </si>
  <si>
    <t>Aprovado (O.S.: 37917)</t>
  </si>
  <si>
    <t xml:space="preserve">FIBERTEC ENGENHARIA </t>
  </si>
  <si>
    <t>Ailton Fibertec</t>
  </si>
  <si>
    <t xml:space="preserve">+55 (11) 96332-9202 </t>
  </si>
  <si>
    <t xml:space="preserve">Matz Bech </t>
  </si>
  <si>
    <t xml:space="preserve">+55 (21) 98225-6255 </t>
  </si>
  <si>
    <t>Aprovado (O.S.: 37919)</t>
  </si>
  <si>
    <t>Condomínio Winter Park</t>
  </si>
  <si>
    <t>Aprovado (O.S.: 38028)</t>
  </si>
  <si>
    <t xml:space="preserve">FUNERARIA SAO CRISTOVAO LTDA </t>
  </si>
  <si>
    <t>RODRIGO LUIZ MULLER</t>
  </si>
  <si>
    <t xml:space="preserve">+55 (51) 3472-1323 </t>
  </si>
  <si>
    <t>Aprovado (O.S.: 37920)</t>
  </si>
  <si>
    <t>Aline</t>
  </si>
  <si>
    <t xml:space="preserve">UNIMED OS BANDEIRANTES </t>
  </si>
  <si>
    <t xml:space="preserve">+55 (11) 94776-9793 </t>
  </si>
  <si>
    <t xml:space="preserve">ALECIO CAVALLI </t>
  </si>
  <si>
    <t xml:space="preserve">+55 (19) 98222-0600 </t>
  </si>
  <si>
    <t>Aprovado (O.S.: 37921)</t>
  </si>
  <si>
    <t>Viviane</t>
  </si>
  <si>
    <t>Aprovado (O.S.: 38448)</t>
  </si>
  <si>
    <t xml:space="preserve">Carlos de souza Gilberti </t>
  </si>
  <si>
    <t>Carlos Gilberti</t>
  </si>
  <si>
    <t xml:space="preserve">+55 (13) 99778-7049 </t>
  </si>
  <si>
    <t>Aprovado (O.S.: 37925)</t>
  </si>
  <si>
    <t>Sinalização*14853</t>
  </si>
  <si>
    <t>Aprovado (O.S.: 37924)</t>
  </si>
  <si>
    <t xml:space="preserve">TELD ECO CHARGER LTDA </t>
  </si>
  <si>
    <t>Kiko Saruhashi</t>
  </si>
  <si>
    <t xml:space="preserve">+55 (11) 98266-4118 </t>
  </si>
  <si>
    <t>Aprovado (O.S.: 37930)</t>
  </si>
  <si>
    <t xml:space="preserve">ALMAI INSTITUTO DE NEURODESENVOLVIMENTO INFANTIL </t>
  </si>
  <si>
    <t>Adm Almai</t>
  </si>
  <si>
    <t xml:space="preserve">+55 (13) 99704-2373 </t>
  </si>
  <si>
    <t>Aprovado (O.S.: 38007)</t>
  </si>
  <si>
    <t xml:space="preserve">Vinicius Fernandes Aires </t>
  </si>
  <si>
    <t xml:space="preserve">+55 (11) 99130-1378 </t>
  </si>
  <si>
    <t>Aprovado (O.S.: 37928)</t>
  </si>
  <si>
    <t xml:space="preserve">LAR INCRIVEL CONSTRUTORA LTDA </t>
  </si>
  <si>
    <t>Vitória Berbert</t>
  </si>
  <si>
    <t xml:space="preserve">+55 (19) 99906-6309 </t>
  </si>
  <si>
    <t>Aprovado (O.S.: 38033)</t>
  </si>
  <si>
    <t xml:space="preserve">CET </t>
  </si>
  <si>
    <t>Gabriel Henrique</t>
  </si>
  <si>
    <t xml:space="preserve">+55 (11) 97039-6556 </t>
  </si>
  <si>
    <t xml:space="preserve">SAQUAMOTOS </t>
  </si>
  <si>
    <t>Allan Fonseca</t>
  </si>
  <si>
    <t xml:space="preserve">+55 (21) 97962-6207 </t>
  </si>
  <si>
    <t>Aprovado (O.S.: 37933)</t>
  </si>
  <si>
    <t xml:space="preserve">UMICORE CATALISADORES LTDA </t>
  </si>
  <si>
    <t>Carol</t>
  </si>
  <si>
    <t xml:space="preserve">+55 (47) 9765-8560 </t>
  </si>
  <si>
    <t xml:space="preserve">RED PORTAS VENDA E MANUTENCAO DE PORTAS CORTA FOGO </t>
  </si>
  <si>
    <t>Thiago Moura</t>
  </si>
  <si>
    <t xml:space="preserve">+55 (11) 94070-4146 </t>
  </si>
  <si>
    <t>Fabio</t>
  </si>
  <si>
    <t>Aprovado (O.S.: 38269)</t>
  </si>
  <si>
    <t xml:space="preserve">ASSOCIACAO AMIGOS DA GUARIROBA </t>
  </si>
  <si>
    <t>Carlos Alves</t>
  </si>
  <si>
    <t xml:space="preserve">+55 (19) 98122-3834 </t>
  </si>
  <si>
    <t xml:space="preserve">K. L CHOPERIA E RESTAURANTE </t>
  </si>
  <si>
    <t xml:space="preserve">+55 (11) 95154-4998 </t>
  </si>
  <si>
    <t>Aprovado (O.S.: 37947)</t>
  </si>
  <si>
    <t xml:space="preserve">RENATA VIDAL CARDOSO GARDENAL </t>
  </si>
  <si>
    <t xml:space="preserve">+55 (67) 98112-2500 </t>
  </si>
  <si>
    <t>Aprovado (O.S.: 37934)</t>
  </si>
  <si>
    <t xml:space="preserve">CRESPO SOLUCOES EM TECNOLOGIA E SEGURANCA </t>
  </si>
  <si>
    <t>Vandilma Correia Crespo Santos</t>
  </si>
  <si>
    <t xml:space="preserve">+55 (81) 3362-0907 </t>
  </si>
  <si>
    <t>Aprovado (O.S.: 37935)</t>
  </si>
  <si>
    <t xml:space="preserve">Emuge - Franken Ferramentas de Precisão Ltda </t>
  </si>
  <si>
    <t>Alan Messias</t>
  </si>
  <si>
    <t xml:space="preserve">+55 (19) 99905-5124 </t>
  </si>
  <si>
    <t>Aprovado (O.S.: 37944)</t>
  </si>
  <si>
    <t xml:space="preserve">ADEMICON ADMINISTRADORA DE CONSORCIOS S/A </t>
  </si>
  <si>
    <t>Paulo Henrique</t>
  </si>
  <si>
    <t xml:space="preserve">+55 (41) 9221-0310 </t>
  </si>
  <si>
    <t>Aprovado (O.S.: 37940)</t>
  </si>
  <si>
    <t xml:space="preserve">Adriano de Lacerda </t>
  </si>
  <si>
    <t>Adriano Lacerda</t>
  </si>
  <si>
    <t xml:space="preserve">+55 (11) 99757-9887 </t>
  </si>
  <si>
    <t>Aprovado (O.S.: 37953)</t>
  </si>
  <si>
    <t xml:space="preserve">MODELO VIDROS INDUSTRIA E COMERCIO LTDA </t>
  </si>
  <si>
    <t>Modelo Vidros - Gabi</t>
  </si>
  <si>
    <t xml:space="preserve">+55 (54) 9961-3757 </t>
  </si>
  <si>
    <t>Aprovado (O.S.: 37942)</t>
  </si>
  <si>
    <t xml:space="preserve">Henrique Arantes </t>
  </si>
  <si>
    <t xml:space="preserve">+55 (11) 4673-4883 </t>
  </si>
  <si>
    <t>Aprovado (O.S.: 37941)</t>
  </si>
  <si>
    <t xml:space="preserve">BORGES CONTABILIDADE E CONSULTORIA LTDA </t>
  </si>
  <si>
    <t>Borges Contabilidade</t>
  </si>
  <si>
    <t xml:space="preserve">+55 (13) 99764-8058 </t>
  </si>
  <si>
    <t>Aprovado (O.S.: 37965)</t>
  </si>
  <si>
    <t xml:space="preserve">CONCINI EMPREENDIMENTOS LTDA </t>
  </si>
  <si>
    <t>Cris Garbellini</t>
  </si>
  <si>
    <t xml:space="preserve">+55 (19) 98135-8802 </t>
  </si>
  <si>
    <t xml:space="preserve">CONDOMINIO EDIFICIO CODE BERRINI </t>
  </si>
  <si>
    <t>Code Berrini</t>
  </si>
  <si>
    <t xml:space="preserve">+55 (11) 91678-7015 </t>
  </si>
  <si>
    <t>Aprovado (O.S.: 38052)</t>
  </si>
  <si>
    <t xml:space="preserve">FLORESTAL EMPREENDIMENTOS LTDA </t>
  </si>
  <si>
    <t>Camila Castro</t>
  </si>
  <si>
    <t xml:space="preserve">+55 (31) 9512-6100 </t>
  </si>
  <si>
    <t>Aprovado (O.S.: 37975)</t>
  </si>
  <si>
    <t xml:space="preserve">CONDOMINIO COMENDADOR ELIAS ASSI </t>
  </si>
  <si>
    <t xml:space="preserve">+55 (11) 98410-3619 </t>
  </si>
  <si>
    <t>Aprovado (O.S.: 37949)</t>
  </si>
  <si>
    <t xml:space="preserve">Mariana Zatti Silva </t>
  </si>
  <si>
    <t>Mariana Zatti Silva</t>
  </si>
  <si>
    <t xml:space="preserve">+55 (31) 9985-7875 </t>
  </si>
  <si>
    <t xml:space="preserve">JAQUE PAJONI LUXURY TRAVEL </t>
  </si>
  <si>
    <t>Jaque Giacomini Pajoni</t>
  </si>
  <si>
    <t xml:space="preserve">+55 (19) 99309-1116 </t>
  </si>
  <si>
    <t>Aprovado (O.S.: 37952)</t>
  </si>
  <si>
    <t xml:space="preserve">GABINETE DO PREFEITO </t>
  </si>
  <si>
    <t>Marcelo Jardim Constant</t>
  </si>
  <si>
    <t xml:space="preserve">+55 (51) 9653-8552 </t>
  </si>
  <si>
    <t xml:space="preserve">OPEN VILA OLIMPICA </t>
  </si>
  <si>
    <t>Eduardo Silveira</t>
  </si>
  <si>
    <t xml:space="preserve">+55 (53) 8415-8980 </t>
  </si>
  <si>
    <t xml:space="preserve">J.L.A. CONSTRUCOES E COMERCIO LTDA </t>
  </si>
  <si>
    <t>Claudia Caricati</t>
  </si>
  <si>
    <t xml:space="preserve">+55 (11) 3313-8036 </t>
  </si>
  <si>
    <t>Aprovado (O.S.: 38021)</t>
  </si>
  <si>
    <t xml:space="preserve">POLIMETAL LIGAS E METAIS LTDA </t>
  </si>
  <si>
    <t>Aprovado (O.S.: 37985)</t>
  </si>
  <si>
    <t xml:space="preserve">HICO COMERCIO E SERVICOS LTDA </t>
  </si>
  <si>
    <t>Bruna Elian</t>
  </si>
  <si>
    <t xml:space="preserve">+55 (22) 2330-0873 </t>
  </si>
  <si>
    <t xml:space="preserve">TS TECK - COMERCIO E LOCACAO DE EQUIPAMENTOS LTDA </t>
  </si>
  <si>
    <t>Rosana Bispo dos Santos</t>
  </si>
  <si>
    <t xml:space="preserve">+55 (11) 91192-2410 </t>
  </si>
  <si>
    <t>Thiago Shock</t>
  </si>
  <si>
    <t xml:space="preserve">KLZ UNIFORMES </t>
  </si>
  <si>
    <t>Claudia Henrique</t>
  </si>
  <si>
    <t xml:space="preserve">(11)2093-1835/(11)6193-183 </t>
  </si>
  <si>
    <t xml:space="preserve">FRINNI </t>
  </si>
  <si>
    <t>Jose Luis</t>
  </si>
  <si>
    <t xml:space="preserve">+55 (19) 3492-9393 </t>
  </si>
  <si>
    <t xml:space="preserve">MERCANTIL UNIÃO COM DE PEÇAS </t>
  </si>
  <si>
    <t>Nilson Junior</t>
  </si>
  <si>
    <t xml:space="preserve">+55 (11) 97011-1891 </t>
  </si>
  <si>
    <t xml:space="preserve">Felipe Sorrentino Silva </t>
  </si>
  <si>
    <t xml:space="preserve">+55 (11) 99608-8891 </t>
  </si>
  <si>
    <t>Aprovado (O.S.: 37955)</t>
  </si>
  <si>
    <t xml:space="preserve">APM DA E E TOUFIC JOULIAN </t>
  </si>
  <si>
    <t>Suporte Pedagógico</t>
  </si>
  <si>
    <t xml:space="preserve">+55 (11) 97509-3018 </t>
  </si>
  <si>
    <t xml:space="preserve">EDIFICIO ILHA DE CAPRI </t>
  </si>
  <si>
    <t>Jussara</t>
  </si>
  <si>
    <t xml:space="preserve">+55 (11) 99633-5676 </t>
  </si>
  <si>
    <t>Aprovado (O.S.: 37954)</t>
  </si>
  <si>
    <t xml:space="preserve">CLIMA SOLIS </t>
  </si>
  <si>
    <t>Clima Solis Ar Condicionado e Energia Solar</t>
  </si>
  <si>
    <t xml:space="preserve">+55 (51) 3470-6000 </t>
  </si>
  <si>
    <t>Aprovado (O.S.: 37956)</t>
  </si>
  <si>
    <t xml:space="preserve">CONDOMINIO PARQUE DAS NACOES </t>
  </si>
  <si>
    <t>Condomínio Parque Das Nações</t>
  </si>
  <si>
    <t xml:space="preserve">+55 (19) 3243-6384 </t>
  </si>
  <si>
    <t>Aprovado (O.S.: 37957)</t>
  </si>
  <si>
    <t xml:space="preserve">EDIFICIO O ATENEU </t>
  </si>
  <si>
    <t>Alessandra F. Depari</t>
  </si>
  <si>
    <t xml:space="preserve">+55 (11) 99417-6551 </t>
  </si>
  <si>
    <t>Aprovado (O.S.: 37963)</t>
  </si>
  <si>
    <t xml:space="preserve">BENS TRANSPORTE DE CARGAS LTDA </t>
  </si>
  <si>
    <t>TDB Transporte</t>
  </si>
  <si>
    <t xml:space="preserve">+55 (11) 2127-4900 </t>
  </si>
  <si>
    <t>Aprovado (O.S.: 37958)</t>
  </si>
  <si>
    <t xml:space="preserve">LUCERA </t>
  </si>
  <si>
    <t>Lucas Dias Gonçalves do Prado</t>
  </si>
  <si>
    <t xml:space="preserve">+55 (17) 9280-4776 </t>
  </si>
  <si>
    <t>Aprovado (O.S.: 37959)</t>
  </si>
  <si>
    <t>Aprovado (O.S.: 38029)</t>
  </si>
  <si>
    <t xml:space="preserve">Adriana Aparecida Santos </t>
  </si>
  <si>
    <t>Aramis Iguatemi Campinas</t>
  </si>
  <si>
    <t xml:space="preserve">+55 (19) 98149-1745 </t>
  </si>
  <si>
    <t>Aprovado (O.S.: 37968)</t>
  </si>
  <si>
    <t xml:space="preserve">CONDOMINIO EDIFICIO VARAM </t>
  </si>
  <si>
    <t>Sergio</t>
  </si>
  <si>
    <t xml:space="preserve">+55 (11) 98262-0100 </t>
  </si>
  <si>
    <t>Aprovado (O.S.: 37972)</t>
  </si>
  <si>
    <t xml:space="preserve">AURORA </t>
  </si>
  <si>
    <t>Rafael Santos</t>
  </si>
  <si>
    <t xml:space="preserve">+55 (15) 99645-3305 </t>
  </si>
  <si>
    <t>Aprovado (O.S.: 38003)</t>
  </si>
  <si>
    <t xml:space="preserve">BRASILIENSE CARGO LTDA. </t>
  </si>
  <si>
    <t>Lays Maria</t>
  </si>
  <si>
    <t xml:space="preserve">+55 (19) 99523-6383 </t>
  </si>
  <si>
    <t xml:space="preserve">RICARDO BUENO ROCHA LEME </t>
  </si>
  <si>
    <t xml:space="preserve">+55 (11) 97135-8417 </t>
  </si>
  <si>
    <t>Aprovado (O.S.: 37962)</t>
  </si>
  <si>
    <t xml:space="preserve">ESSENZA DI CHEF </t>
  </si>
  <si>
    <t>João Malta ??</t>
  </si>
  <si>
    <t xml:space="preserve">+55 (11) 99484-3218 </t>
  </si>
  <si>
    <t>Aprovado (O.S.: 37967)</t>
  </si>
  <si>
    <t xml:space="preserve">Andre Davila </t>
  </si>
  <si>
    <t xml:space="preserve">+55 (48) 99929-9976 </t>
  </si>
  <si>
    <t>Aprovado (O.S.: 37964)</t>
  </si>
  <si>
    <t xml:space="preserve">RESIDENCIAL VILA GERMANIA </t>
  </si>
  <si>
    <t>Milena Sequetim</t>
  </si>
  <si>
    <t xml:space="preserve">+55 (11) 98253-6245 </t>
  </si>
  <si>
    <t>Aprovado (O.S.: 38002)</t>
  </si>
  <si>
    <t xml:space="preserve">WILSON MARCOS DE AGUIAR </t>
  </si>
  <si>
    <t>Wilson</t>
  </si>
  <si>
    <t xml:space="preserve">+55 (11) 1111-1111 </t>
  </si>
  <si>
    <t>Aprovado (O.S.: 37973)</t>
  </si>
  <si>
    <t xml:space="preserve">Matheus Andrade Torres </t>
  </si>
  <si>
    <t xml:space="preserve">+55 (11) 97182-8493 </t>
  </si>
  <si>
    <t>Aprovado (O.S.: 37997)</t>
  </si>
  <si>
    <t xml:space="preserve">CONDOMINIO RESIDENCIAL PORTO DAS AGUAS </t>
  </si>
  <si>
    <t>Junior Medeiros</t>
  </si>
  <si>
    <t xml:space="preserve">+55 (44) 3056-6009 </t>
  </si>
  <si>
    <t>Aprovado (O.S.: 37970)</t>
  </si>
  <si>
    <t xml:space="preserve">CONJUNTO RESIDENCIAL VILLAGIO DA RIVIERA </t>
  </si>
  <si>
    <t>Marco</t>
  </si>
  <si>
    <t xml:space="preserve">+55 (11) 97303-2312 </t>
  </si>
  <si>
    <t>Aprovado (O.S.: 37971)</t>
  </si>
  <si>
    <t>Aprovado (O.S.: 38872)</t>
  </si>
  <si>
    <t xml:space="preserve">CASALITE </t>
  </si>
  <si>
    <t>Compras - Casalit</t>
  </si>
  <si>
    <t xml:space="preserve">+55 (21) 98885-4403 </t>
  </si>
  <si>
    <t>Aprovado (O.S.: 37980)</t>
  </si>
  <si>
    <t xml:space="preserve">AETOS PARTS </t>
  </si>
  <si>
    <t>Renato Peccioli</t>
  </si>
  <si>
    <t xml:space="preserve">+55 (19) 99997-8938 </t>
  </si>
  <si>
    <t>Aprovado (O.S.: 38027)</t>
  </si>
  <si>
    <t xml:space="preserve">INSTITUTO NEURONIO &amp; PENSAMENTO LTDA </t>
  </si>
  <si>
    <t>Rafael Modesti de A.</t>
  </si>
  <si>
    <t xml:space="preserve">+55 (54) 9959-3108 </t>
  </si>
  <si>
    <t>Aprovado (O.S.: 37981)</t>
  </si>
  <si>
    <t xml:space="preserve">VIASUPRI SUPRIMENTOS DE ESCRITORIO E LIMPEZA LTDA </t>
  </si>
  <si>
    <t>Vitória - Compras/SAC VS??‍?</t>
  </si>
  <si>
    <t xml:space="preserve">+55 (55) 11939-5696 </t>
  </si>
  <si>
    <t>Aprovado (O.S.: 37998)</t>
  </si>
  <si>
    <t>Aprovado (O.S.: 37999)</t>
  </si>
  <si>
    <t>Aprovado (O.S.: 38000)</t>
  </si>
  <si>
    <t xml:space="preserve">FAZENDA RIO SEM PASSO </t>
  </si>
  <si>
    <t>Dinacir José Bilibio</t>
  </si>
  <si>
    <t xml:space="preserve">+55 (44) 3518-3300 </t>
  </si>
  <si>
    <t>Aprovado (O.S.: 38044)</t>
  </si>
  <si>
    <t xml:space="preserve">CORRUTELA BAR E RESTAURANTE LTDA </t>
  </si>
  <si>
    <t>Mharvus João Barelli</t>
  </si>
  <si>
    <t xml:space="preserve">+55 (11) 3032-2443 </t>
  </si>
  <si>
    <t>Aprovado (O.S.: 37986)</t>
  </si>
  <si>
    <t xml:space="preserve">Jair Franco Junior </t>
  </si>
  <si>
    <t xml:space="preserve">+55 (19) 99764-6030 </t>
  </si>
  <si>
    <t>Aprovado (O.S.: 38012)</t>
  </si>
  <si>
    <t xml:space="preserve">PRAFESTA INDUSTRIA E COMERCIO DE EMBALAGENS LTDA </t>
  </si>
  <si>
    <t xml:space="preserve">+55 (11) 94038-1865 </t>
  </si>
  <si>
    <t>Aprovado (O.S.: 38011)</t>
  </si>
  <si>
    <t>Aprovado (O.S.: 38001)</t>
  </si>
  <si>
    <t xml:space="preserve">LOGMAM </t>
  </si>
  <si>
    <t>Segurança do Trabalho Logmam</t>
  </si>
  <si>
    <t xml:space="preserve">+55 (11) 98382-9870 </t>
  </si>
  <si>
    <t>Aprovado (O.S.: 37993)</t>
  </si>
  <si>
    <t xml:space="preserve">UNICRED DO BRASIL </t>
  </si>
  <si>
    <t xml:space="preserve">+55 (11) 3355-3099 </t>
  </si>
  <si>
    <t>Aprovado (O.S.: 37988)</t>
  </si>
  <si>
    <t>Sinalização - Guarulhos</t>
  </si>
  <si>
    <t xml:space="preserve">IDEAL CRED CORRESPONDENTE BANCARIO </t>
  </si>
  <si>
    <t>Annelyse</t>
  </si>
  <si>
    <t xml:space="preserve">+55 (66) 9636-3264 </t>
  </si>
  <si>
    <t xml:space="preserve">CONDOMINIO SALLES VANNI </t>
  </si>
  <si>
    <t>Thais - Assistente PD</t>
  </si>
  <si>
    <t xml:space="preserve">+55 (11) 97633-2219 </t>
  </si>
  <si>
    <t>Aprovado (O.S.: 38057)</t>
  </si>
  <si>
    <t>Aprovado (O.S.: 38009)</t>
  </si>
  <si>
    <t xml:space="preserve">Nicholas Balbino Souza </t>
  </si>
  <si>
    <t>Nicholas</t>
  </si>
  <si>
    <t xml:space="preserve">+55 (13) 99723-9457 </t>
  </si>
  <si>
    <t>Aprovado (O.S.: 38005)</t>
  </si>
  <si>
    <t xml:space="preserve">Modular Cargas </t>
  </si>
  <si>
    <t>Bruna Barbosa</t>
  </si>
  <si>
    <t xml:space="preserve">50.462.730 JANAINA TEREZINHA ALVES SILVA </t>
  </si>
  <si>
    <t>Tiago</t>
  </si>
  <si>
    <t xml:space="preserve">+55 (51) 9407-8273 </t>
  </si>
  <si>
    <t>Aprovado (O.S.: 38242)</t>
  </si>
  <si>
    <t xml:space="preserve">Paulo Afonso Pinto Do Santos </t>
  </si>
  <si>
    <t xml:space="preserve">+55 (11) 99635-6759 </t>
  </si>
  <si>
    <t>Aprovado (O.S.: 38008)</t>
  </si>
  <si>
    <t xml:space="preserve">CITY SOL SERVICOS DE MANUTENCAO LTDA </t>
  </si>
  <si>
    <t>Rafael Barbosa</t>
  </si>
  <si>
    <t xml:space="preserve">+55 (19) 98839-7008 </t>
  </si>
  <si>
    <t>Aprovado (O.S.: 38010)</t>
  </si>
  <si>
    <t xml:space="preserve">PLACAR COMERCIO ATACADISTA DE BEBIDAS LTDA </t>
  </si>
  <si>
    <t>Compras - Placar</t>
  </si>
  <si>
    <t xml:space="preserve">+55 (21) 96744-9647 </t>
  </si>
  <si>
    <t>Aprovado (O.S.: 38064)</t>
  </si>
  <si>
    <t xml:space="preserve">CONDOMINIO RESIDENCIAL PARQUE SOL DO PORTO </t>
  </si>
  <si>
    <t>Administração Sol Do Porto</t>
  </si>
  <si>
    <t xml:space="preserve">+55 (21) 99655-8735 </t>
  </si>
  <si>
    <t xml:space="preserve">THA ENVIADO SERVICOS LTDA </t>
  </si>
  <si>
    <t>Jenniffer Gomes</t>
  </si>
  <si>
    <t xml:space="preserve">+55 (11) 94758-3690 </t>
  </si>
  <si>
    <t>Aprovado (O.S.: 38056)</t>
  </si>
  <si>
    <t xml:space="preserve">BK CONSULTORIA E SERVICOS LTDA </t>
  </si>
  <si>
    <t>Geovanna Franco - BK</t>
  </si>
  <si>
    <t xml:space="preserve">+55 (11) 97545-8847 </t>
  </si>
  <si>
    <t>Aprovado (O.S.: 38016)</t>
  </si>
  <si>
    <t xml:space="preserve">Rafael Vieira marques </t>
  </si>
  <si>
    <t>Mariel Silva</t>
  </si>
  <si>
    <t xml:space="preserve">+55 (19) 97414-6693 </t>
  </si>
  <si>
    <t>Aprovado (O.S.: 38015)</t>
  </si>
  <si>
    <t xml:space="preserve">Alexandre Thiago Guimarães </t>
  </si>
  <si>
    <t xml:space="preserve">+55 (19) 98447-5737 </t>
  </si>
  <si>
    <t>Aprovado (O.S.: 38014)</t>
  </si>
  <si>
    <t xml:space="preserve">HOTEL SESC BLUMENAU </t>
  </si>
  <si>
    <t>Ellen</t>
  </si>
  <si>
    <t xml:space="preserve">+55 (11) 99405-8198 </t>
  </si>
  <si>
    <t>Aprovado (O.S.: 38039)</t>
  </si>
  <si>
    <t>Sinalização*IPALCAS</t>
  </si>
  <si>
    <t xml:space="preserve">ITALO ODONE MAZALI </t>
  </si>
  <si>
    <t xml:space="preserve">+55 (19) 98110-9891 </t>
  </si>
  <si>
    <t>Aprovado (O.S.: 38023)</t>
  </si>
  <si>
    <t xml:space="preserve">CONDOMINIO DO EDIFICIO REMBRANDT </t>
  </si>
  <si>
    <t>Eduardo Abreu</t>
  </si>
  <si>
    <t xml:space="preserve">+55 (22) 99825-1504 </t>
  </si>
  <si>
    <t>Aprovado (O.S.: 38019)</t>
  </si>
  <si>
    <t xml:space="preserve">BRADESCO AG SAO LEOPOLDO EST UNIF </t>
  </si>
  <si>
    <t>Mariana de Lima</t>
  </si>
  <si>
    <t xml:space="preserve">+55 (11) 7084-4621 </t>
  </si>
  <si>
    <t>Aprovado (O.S.: 38018)</t>
  </si>
  <si>
    <t xml:space="preserve">VILLA DEL PRADO </t>
  </si>
  <si>
    <t>Tatiane Pedriali</t>
  </si>
  <si>
    <t xml:space="preserve">+55 (11) 97276-6705 </t>
  </si>
  <si>
    <t xml:space="preserve">Rutiele pereira da silva </t>
  </si>
  <si>
    <t xml:space="preserve">+55 (11) 98552-7652 </t>
  </si>
  <si>
    <t>Aprovado (O.S.: 38020)</t>
  </si>
  <si>
    <t xml:space="preserve">Fabio Alves Soares </t>
  </si>
  <si>
    <t xml:space="preserve">+55 (41) 99649-3873 </t>
  </si>
  <si>
    <t>Aprovado (O.S.: 38022)</t>
  </si>
  <si>
    <t xml:space="preserve">ALW ENGENHARIA ELETRICA </t>
  </si>
  <si>
    <t>Eng Leonardo Guimarães</t>
  </si>
  <si>
    <t xml:space="preserve">+55 (11) 99131-4215 </t>
  </si>
  <si>
    <t xml:space="preserve">VENKON EXPRESS TRANSPORTES </t>
  </si>
  <si>
    <t>Renan Domingues - Compras Monte Mor</t>
  </si>
  <si>
    <t xml:space="preserve">+55 (11) 94778-3810 </t>
  </si>
  <si>
    <t>Aprovado (O.S.: 38031)</t>
  </si>
  <si>
    <t xml:space="preserve">CETEA NORDESTE </t>
  </si>
  <si>
    <t>R.</t>
  </si>
  <si>
    <t xml:space="preserve">+55 (79) 8106-0425 </t>
  </si>
  <si>
    <t xml:space="preserve">PHZ REFORMAS LTDA </t>
  </si>
  <si>
    <t>HELENA</t>
  </si>
  <si>
    <t xml:space="preserve">+55 (51) 8545-9944 </t>
  </si>
  <si>
    <t xml:space="preserve">CAPOANO ARQUITETURA </t>
  </si>
  <si>
    <t>João Júnior</t>
  </si>
  <si>
    <t xml:space="preserve">+55 (19) 99289-1908 </t>
  </si>
  <si>
    <t>Aprovado (O.S.: 38036)</t>
  </si>
  <si>
    <t xml:space="preserve">TRANSMORGUINI LOCACAO E TRANSPORTES LTDA </t>
  </si>
  <si>
    <t>Marcelo Amaral</t>
  </si>
  <si>
    <t xml:space="preserve">+55 (24) 97402-0378 </t>
  </si>
  <si>
    <t>Aprovado (O.S.: 38030)</t>
  </si>
  <si>
    <t xml:space="preserve">VIVACOM COMERCIO E SERVICOS LTDA </t>
  </si>
  <si>
    <t>vivacomcompras</t>
  </si>
  <si>
    <t xml:space="preserve">+55 (14) 99752-2856 </t>
  </si>
  <si>
    <t>Aprovado (O.S.: 38179)</t>
  </si>
  <si>
    <t xml:space="preserve">ROGERIO BERNARDO GUERRA </t>
  </si>
  <si>
    <t>rogerio bernardo guerra</t>
  </si>
  <si>
    <t xml:space="preserve">+55 (11) 98960-1865 </t>
  </si>
  <si>
    <t>Admin</t>
  </si>
  <si>
    <t xml:space="preserve">UNIMED OS BANDEIRANTES - LABORATORIO UNIDADE ITATIBA </t>
  </si>
  <si>
    <t>Unimed Os Bandeirantes</t>
  </si>
  <si>
    <t>Aprovado (O.S.: 38505)</t>
  </si>
  <si>
    <t xml:space="preserve">SQUAD 360 </t>
  </si>
  <si>
    <t>Nathiele - Squad360</t>
  </si>
  <si>
    <t xml:space="preserve">+55 (11) 94996-7914 </t>
  </si>
  <si>
    <t>Aprovado (O.S.: 38042)</t>
  </si>
  <si>
    <t>Aprovado (O.S.: 38034)</t>
  </si>
  <si>
    <t xml:space="preserve">NEXTAR </t>
  </si>
  <si>
    <t>‎Gustavo Nascimento</t>
  </si>
  <si>
    <t xml:space="preserve">+55 (48) 9693-5275 </t>
  </si>
  <si>
    <t>Aprovado (O.S.: 38140)</t>
  </si>
  <si>
    <t xml:space="preserve">CONDOMINIO RESIDENCIAL ALTANO </t>
  </si>
  <si>
    <t>Glaucia Mariotto</t>
  </si>
  <si>
    <t xml:space="preserve">+55 (12) 99229-8401 </t>
  </si>
  <si>
    <t xml:space="preserve">CONDOMINIO TREVISO </t>
  </si>
  <si>
    <t xml:space="preserve">+55 (11) 98770-3353 </t>
  </si>
  <si>
    <t>Aprovado (O.S.: 38038)</t>
  </si>
  <si>
    <t xml:space="preserve">POLONIA SOCIEDADE BENEFICENTE DO RIO DE JANEIRO </t>
  </si>
  <si>
    <t xml:space="preserve">+55 (21) 99844-8105 </t>
  </si>
  <si>
    <t>Aprovado (O.S.: 38045)</t>
  </si>
  <si>
    <t xml:space="preserve">Jarbas Barbosa de Oliveira Jr </t>
  </si>
  <si>
    <t xml:space="preserve">+55 (13) 99202-0415 </t>
  </si>
  <si>
    <t>Aprovado (O.S.: 38041)</t>
  </si>
  <si>
    <t xml:space="preserve">CONDOMINIO DO EDIFICIO PARK LORENA </t>
  </si>
  <si>
    <t>Condomínio Park Lorena</t>
  </si>
  <si>
    <t xml:space="preserve">+55 (31) 99266-7489 </t>
  </si>
  <si>
    <t>Aprovado (O.S.: 38043)</t>
  </si>
  <si>
    <t>Aprovado (O.S.: 39196)</t>
  </si>
  <si>
    <t xml:space="preserve">A.F.H. COMERCIO E SERVICOS TECNICOS LTDA </t>
  </si>
  <si>
    <t>AFH COMERCIO E SERVIÇOS LTDA</t>
  </si>
  <si>
    <t xml:space="preserve">+55 (11) 4116-4169 </t>
  </si>
  <si>
    <t>Aprovado (O.S.: 38046)</t>
  </si>
  <si>
    <t xml:space="preserve">CONDOMINIO DO EDIFICIO RESIDENCIAL BARRA DE ITAUNA </t>
  </si>
  <si>
    <t>Condomínio Barra De Itaún</t>
  </si>
  <si>
    <t xml:space="preserve">+55 (21) 97143-8809 </t>
  </si>
  <si>
    <t xml:space="preserve">Lucia de Oliveira </t>
  </si>
  <si>
    <t xml:space="preserve">+55 (11) 97235-9509 </t>
  </si>
  <si>
    <t>Aprovado (O.S.: 38047)</t>
  </si>
  <si>
    <t xml:space="preserve">ASSOCIACAO DOS ADQUIRENTES DO EDIFICIL KEY BISCAYNE </t>
  </si>
  <si>
    <t>Serginho</t>
  </si>
  <si>
    <t xml:space="preserve">+55 (13) 98133-3303 </t>
  </si>
  <si>
    <t>Aprovado (O.S.: 38072)</t>
  </si>
  <si>
    <t xml:space="preserve">SAGE BRASIL INTERIORES AUT IND E COM LTDA. </t>
  </si>
  <si>
    <t>Fernando Alves</t>
  </si>
  <si>
    <t xml:space="preserve">+55 (11) 94539-1694 </t>
  </si>
  <si>
    <t>Aprovado (O.S.: 38389)</t>
  </si>
  <si>
    <t xml:space="preserve">PEXTRON CONTROLES ELETRONICOS LTDA </t>
  </si>
  <si>
    <t>Luis Lucas</t>
  </si>
  <si>
    <t xml:space="preserve">+55 (11) 94763-7141 </t>
  </si>
  <si>
    <t>Aprovado (O.S.: 38096)</t>
  </si>
  <si>
    <t xml:space="preserve">ATOP AUTOMACAO </t>
  </si>
  <si>
    <t>Taynara Compras</t>
  </si>
  <si>
    <t xml:space="preserve">+55 (19) 97123-0928 </t>
  </si>
  <si>
    <t>Aprovado (O.S.: 38060)</t>
  </si>
  <si>
    <t xml:space="preserve">CONDOMINIO MILLENIUM SAO JOSE </t>
  </si>
  <si>
    <t>Tati ✨</t>
  </si>
  <si>
    <t xml:space="preserve">+55 (11) 95569-4345 </t>
  </si>
  <si>
    <t xml:space="preserve">OFICIAL DE REGISTRO CIVIL DAS PESSOAS NATURAIS E TABELIAO NOTAS DO DISTRITO DE OURO VERDE </t>
  </si>
  <si>
    <t>Júlia Mota</t>
  </si>
  <si>
    <t xml:space="preserve">+55 (19) 99890-2005 </t>
  </si>
  <si>
    <t>Aprovado (O.S.: 38050)</t>
  </si>
  <si>
    <t xml:space="preserve">FOTUS ENERGIA SOLAR LTDA </t>
  </si>
  <si>
    <t>Caroline Souza l Assistente de Suprimentos</t>
  </si>
  <si>
    <t xml:space="preserve">+55 (27) 99708-1261 </t>
  </si>
  <si>
    <t xml:space="preserve">MORADAS DO VERDE </t>
  </si>
  <si>
    <t>Conato Administradora</t>
  </si>
  <si>
    <t xml:space="preserve">+55 (41) 8777-3630 </t>
  </si>
  <si>
    <t>Aprovado (O.S.: 38053)</t>
  </si>
  <si>
    <t xml:space="preserve">VERI ALIMENTOS FILIAL PAINEIRAS </t>
  </si>
  <si>
    <t>SERGIO SANTOS</t>
  </si>
  <si>
    <t xml:space="preserve">+55 (11) 99645-3738 </t>
  </si>
  <si>
    <t>Aprovado (O.S.: 38070)</t>
  </si>
  <si>
    <t xml:space="preserve">DJA COMERCIO DE PISCINAS LTDA - ME </t>
  </si>
  <si>
    <t>Assistec Piscinas</t>
  </si>
  <si>
    <t xml:space="preserve">+55 (19) 99391-1595 </t>
  </si>
  <si>
    <t>Aprovado (O.S.: 38062)</t>
  </si>
  <si>
    <t>Aprovado (O.S.: 38325)</t>
  </si>
  <si>
    <t xml:space="preserve">SOL ATITUDE SOLUCOES EM ENERGIA LTDA </t>
  </si>
  <si>
    <t>Osmar Marques l Sol Atitude</t>
  </si>
  <si>
    <t xml:space="preserve">+55 (11) 4280-3245 </t>
  </si>
  <si>
    <t>Aprovado (O.S.: 38078)</t>
  </si>
  <si>
    <t xml:space="preserve">CONDOMINIO VILLA PARADISO </t>
  </si>
  <si>
    <t>Condominio Villa Paradiso</t>
  </si>
  <si>
    <t xml:space="preserve">+55 (11) 92133-7073 </t>
  </si>
  <si>
    <t>Aprovado (O.S.: 38058)</t>
  </si>
  <si>
    <t xml:space="preserve">Isabelle Maria Vieira Aguiar Kalil </t>
  </si>
  <si>
    <t>Melp</t>
  </si>
  <si>
    <t xml:space="preserve">+55 (31) 9869-0708 </t>
  </si>
  <si>
    <t xml:space="preserve">CONDOMINIO ARAUCARIA </t>
  </si>
  <si>
    <t>IVERSON SANTOS</t>
  </si>
  <si>
    <t xml:space="preserve">+55 (41) 8811-4025 </t>
  </si>
  <si>
    <t>Aprovado (O.S.: 38061)</t>
  </si>
  <si>
    <t xml:space="preserve">SYNTEC DO BRASIL LTDA </t>
  </si>
  <si>
    <t>Arthur Cardoso</t>
  </si>
  <si>
    <t xml:space="preserve">+55 (11) 94230-8530 </t>
  </si>
  <si>
    <t>Aprovado (O.S.: 38281)</t>
  </si>
  <si>
    <t xml:space="preserve">ACRILICOS VIP </t>
  </si>
  <si>
    <t xml:space="preserve">+55 (19) 99411-0006 </t>
  </si>
  <si>
    <t>Aprovado (O.S.: 38066)</t>
  </si>
  <si>
    <t xml:space="preserve">RAFAEL GUTIERREZ MACHADO </t>
  </si>
  <si>
    <t xml:space="preserve">+55 (55) 3412-4242 </t>
  </si>
  <si>
    <t>Aprovado (O.S.: 38063)</t>
  </si>
  <si>
    <t>Aprovado (O.S.: 38065)</t>
  </si>
  <si>
    <t>Aprovado (O.S.: 38067)</t>
  </si>
  <si>
    <t xml:space="preserve">Jairton Lucena Ribeiro </t>
  </si>
  <si>
    <t xml:space="preserve">+55 (11) 99872-6654 </t>
  </si>
  <si>
    <t>Aprovado (O.S.: 38068)</t>
  </si>
  <si>
    <t xml:space="preserve">WANIA G KAFTAN </t>
  </si>
  <si>
    <t xml:space="preserve">+55 (11) 99768-4171 </t>
  </si>
  <si>
    <t>Aprovado (O.S.: 38069)</t>
  </si>
  <si>
    <t xml:space="preserve">JOSE HUMBERTO SILVA </t>
  </si>
  <si>
    <t xml:space="preserve">+55 (13) 99113-0080 </t>
  </si>
  <si>
    <t>Aprovado (O.S.: 38071)</t>
  </si>
  <si>
    <t xml:space="preserve">WON SOLUCOES </t>
  </si>
  <si>
    <t>Francisco</t>
  </si>
  <si>
    <t xml:space="preserve">+55 (65) 8448-9943 </t>
  </si>
  <si>
    <t xml:space="preserve">CONDOMINIO DO EDIFICIO MARCO SAULO </t>
  </si>
  <si>
    <t>De Faro Alves Assessoria Condominial</t>
  </si>
  <si>
    <t xml:space="preserve">+55 (21) 96669-7689 </t>
  </si>
  <si>
    <t>Aprovado (O.S.: 38077)</t>
  </si>
  <si>
    <t>Aprovado (O.S.: 38079)</t>
  </si>
  <si>
    <t xml:space="preserve">TGP BRASIL PROJETOS &amp; TRANSPORTES INTERNACIONAIS LTDA </t>
  </si>
  <si>
    <t>Rafaela Coelho</t>
  </si>
  <si>
    <t xml:space="preserve">+55 (11) 99579-3033 </t>
  </si>
  <si>
    <t>Aprovado (O.S.: 38081)</t>
  </si>
  <si>
    <t xml:space="preserve">IRMANDADE DA SANTA CASA DE FERNANDOPOLIS </t>
  </si>
  <si>
    <t>Compras Fernandopolis</t>
  </si>
  <si>
    <t xml:space="preserve">+55 (17) 99762-6597 </t>
  </si>
  <si>
    <t>Aprovado (O.S.: 38174)</t>
  </si>
  <si>
    <t xml:space="preserve">RESIDENCIAL FLORISA </t>
  </si>
  <si>
    <t>Camila Costa</t>
  </si>
  <si>
    <t xml:space="preserve">+55 (11) 95809-7354 </t>
  </si>
  <si>
    <t xml:space="preserve">APEX SERVICOS ESPECIAIS LTDA </t>
  </si>
  <si>
    <t>Thiago Theophilo</t>
  </si>
  <si>
    <t xml:space="preserve">+55 (24) 99907-9033 </t>
  </si>
  <si>
    <t>Aprovado (O.S.: 38086)</t>
  </si>
  <si>
    <t>Aprovado (O.S.: 38181)</t>
  </si>
  <si>
    <t xml:space="preserve">NICOFER COMERCIO DE LAMINADOS LTDA. </t>
  </si>
  <si>
    <t>Nicola</t>
  </si>
  <si>
    <t xml:space="preserve">+55 (11) 98131-6944 </t>
  </si>
  <si>
    <t>Aprovado (O.S.: 38100)</t>
  </si>
  <si>
    <t xml:space="preserve">MAPLE BEAR PENHA </t>
  </si>
  <si>
    <t xml:space="preserve">+55 (11) 7238-8080 </t>
  </si>
  <si>
    <t>Aprovado (O.S.: 38084)</t>
  </si>
  <si>
    <t xml:space="preserve">RCL IMPLANTES </t>
  </si>
  <si>
    <t xml:space="preserve">+55 (11) 96607-8497 </t>
  </si>
  <si>
    <t xml:space="preserve">CONDOMINIO PRACTICAL WAY </t>
  </si>
  <si>
    <t>Flavia Cristina</t>
  </si>
  <si>
    <t xml:space="preserve">+55 (11) 96719-9963 </t>
  </si>
  <si>
    <t xml:space="preserve">RESIDENCIAL PIAZZA DI CAPRI </t>
  </si>
  <si>
    <t>Taina Oliveira</t>
  </si>
  <si>
    <t xml:space="preserve">+55 (11) 97340-0424 </t>
  </si>
  <si>
    <t xml:space="preserve">YUPI GINASTICA ARTISTICA LTDA </t>
  </si>
  <si>
    <t xml:space="preserve">+55 (11) 94442-2996 </t>
  </si>
  <si>
    <t>Aprovado (O.S.: 38089)</t>
  </si>
  <si>
    <t xml:space="preserve">ALIANCA ENGENHARIA E MEIO AMBIENTE </t>
  </si>
  <si>
    <t>PAULO CESAR MELO MATOS</t>
  </si>
  <si>
    <t xml:space="preserve">+55 (12) 99712-7818 </t>
  </si>
  <si>
    <t>Aprovado (O.S.: 38090)</t>
  </si>
  <si>
    <t>Aprovado (O.S.: 38087)</t>
  </si>
  <si>
    <t xml:space="preserve">João Boratino Esteves </t>
  </si>
  <si>
    <t xml:space="preserve">+55 (11) 97445-6865 </t>
  </si>
  <si>
    <t>Aprovado (O.S.: 38091)</t>
  </si>
  <si>
    <t xml:space="preserve">AUTO SHOPPING DAS NACOES UNIDAS </t>
  </si>
  <si>
    <t>Horquidea Rodrigues</t>
  </si>
  <si>
    <t xml:space="preserve">+55 (11) 98824-3629 </t>
  </si>
  <si>
    <t>Aprovado (O.S.: 38161)</t>
  </si>
  <si>
    <t>Aprovado (O.S.: 38277)</t>
  </si>
  <si>
    <t xml:space="preserve">Eduardo Marques Sophia </t>
  </si>
  <si>
    <t xml:space="preserve">+55 (19) 98866-1551 </t>
  </si>
  <si>
    <t>Aprovado (O.S.: 38094)</t>
  </si>
  <si>
    <t xml:space="preserve">VENANCIO PARKING </t>
  </si>
  <si>
    <t xml:space="preserve">+55 (61) 9410-2081 </t>
  </si>
  <si>
    <t xml:space="preserve">Ricardo de Alcântara Aby Azar </t>
  </si>
  <si>
    <t>Ricardo</t>
  </si>
  <si>
    <t xml:space="preserve">+55 (11) 91202-0041 </t>
  </si>
  <si>
    <t>Aprovado (O.S.: 38095)</t>
  </si>
  <si>
    <t xml:space="preserve">ROCAR </t>
  </si>
  <si>
    <t>Letícia Passos</t>
  </si>
  <si>
    <t xml:space="preserve">+55 (12) 98217-0005 </t>
  </si>
  <si>
    <t xml:space="preserve">TATION ENGENHARIA LTDA </t>
  </si>
  <si>
    <t xml:space="preserve">+55 (11) 3045-0292 </t>
  </si>
  <si>
    <t xml:space="preserve">SOCIEDADE HIPICA PAULISTA </t>
  </si>
  <si>
    <t xml:space="preserve">+55 (11) 97176-6866 </t>
  </si>
  <si>
    <t xml:space="preserve">VIARCOND FACILITES </t>
  </si>
  <si>
    <t>Viviane Cruz</t>
  </si>
  <si>
    <t xml:space="preserve">+55 (11) 94210-9197 </t>
  </si>
  <si>
    <t>Aprovado (O.S.: 38248)</t>
  </si>
  <si>
    <t>Aprovado (O.S.: 38109)</t>
  </si>
  <si>
    <t xml:space="preserve">CONDOMINIO ME WE JARDINS </t>
  </si>
  <si>
    <t xml:space="preserve">+55 (11) 3841-3501 </t>
  </si>
  <si>
    <t xml:space="preserve">PEDREIRA DIABASIO LTDA </t>
  </si>
  <si>
    <t>Mário - Depto Compras</t>
  </si>
  <si>
    <t xml:space="preserve">+55 (14) 3811-1116 </t>
  </si>
  <si>
    <t>Aprovado (O.S.: 38177)</t>
  </si>
  <si>
    <t xml:space="preserve">RESIDENCIAL HORIZONTE </t>
  </si>
  <si>
    <t>Gestaf - Síndica Ana Flávia</t>
  </si>
  <si>
    <t xml:space="preserve">+55 (19) 99650-1208 </t>
  </si>
  <si>
    <t>Aprovado (O.S.: 38107)</t>
  </si>
  <si>
    <t xml:space="preserve">Juan Santos lema </t>
  </si>
  <si>
    <t>Juan Lema</t>
  </si>
  <si>
    <t xml:space="preserve">+55 (21) 99634-1050 </t>
  </si>
  <si>
    <t xml:space="preserve">Douglas Nathan de Oliveira Nunes </t>
  </si>
  <si>
    <t xml:space="preserve">+55 (19) 98728-1514 </t>
  </si>
  <si>
    <t>Aprovado (O.S.: 38101)</t>
  </si>
  <si>
    <t xml:space="preserve">TRANSMETA </t>
  </si>
  <si>
    <t>Lucyo Antunes</t>
  </si>
  <si>
    <t xml:space="preserve">+55 (31) 9224-3731 </t>
  </si>
  <si>
    <t>Aprovado (O.S.: 38113)</t>
  </si>
  <si>
    <t xml:space="preserve">RODRIGO DAVILA DA SILVA </t>
  </si>
  <si>
    <t xml:space="preserve">+55 (21) 99779-9332 </t>
  </si>
  <si>
    <t>Aprovado (O.S.: 38104)</t>
  </si>
  <si>
    <t xml:space="preserve">ALAMINO SILVA SOCIEDADE DE ADVOGADOS </t>
  </si>
  <si>
    <t xml:space="preserve">+55 (15) 3326-2261 </t>
  </si>
  <si>
    <t>Aprovado (O.S.: 38105)</t>
  </si>
  <si>
    <t>Daiane</t>
  </si>
  <si>
    <t>Aprovado (O.S.: 38106)</t>
  </si>
  <si>
    <t>Aprovado (O.S.: 38108)</t>
  </si>
  <si>
    <t xml:space="preserve">CEASA CAMPINAS </t>
  </si>
  <si>
    <t>CEASA Campinas</t>
  </si>
  <si>
    <t xml:space="preserve">+55 (19) 99821-3552 </t>
  </si>
  <si>
    <t>14 dias</t>
  </si>
  <si>
    <t xml:space="preserve">LOGISTICA URBANA </t>
  </si>
  <si>
    <t>Giovanna</t>
  </si>
  <si>
    <t xml:space="preserve">+55 (11) 98784-6720 </t>
  </si>
  <si>
    <t>Aprovado (O.S.: 38110)</t>
  </si>
  <si>
    <t xml:space="preserve">RESERVA AMOREIRAS </t>
  </si>
  <si>
    <t>Gabrielly</t>
  </si>
  <si>
    <t xml:space="preserve">+55 (19) 3825-8960 </t>
  </si>
  <si>
    <t xml:space="preserve">OMEGA SERVICOS EM SAUDE LTDA </t>
  </si>
  <si>
    <t>Fer Valente</t>
  </si>
  <si>
    <t xml:space="preserve">+55 (19) 98801-0946 </t>
  </si>
  <si>
    <t>Aprovado (O.S.: 38778)</t>
  </si>
  <si>
    <t xml:space="preserve">GCF COMERCIO DE SUPLEMENTOS LTDA </t>
  </si>
  <si>
    <t>Nutrafit Suplementos e Vitaminas</t>
  </si>
  <si>
    <t xml:space="preserve">+55 (11) 9492-0881 </t>
  </si>
  <si>
    <t>Aprovado (O.S.: 38111)</t>
  </si>
  <si>
    <t xml:space="preserve">Clodoaldo S Silva </t>
  </si>
  <si>
    <t xml:space="preserve">+55 (33) 68361-7837 </t>
  </si>
  <si>
    <t>Aprovado (O.S.: 38112)</t>
  </si>
  <si>
    <t xml:space="preserve">MARCIO LEME DE PAULA </t>
  </si>
  <si>
    <t xml:space="preserve">+55 (17) 9816-1958 </t>
  </si>
  <si>
    <t>Aprovado (O.S.: 38114)</t>
  </si>
  <si>
    <t xml:space="preserve">TREND FOR YOU INDUSTRIA E COMERCIO DE VESTUARIOS LTDA </t>
  </si>
  <si>
    <t>TREND FOR YOU</t>
  </si>
  <si>
    <t xml:space="preserve">+55 (11) 3324-1730 </t>
  </si>
  <si>
    <t>Aprovado (O.S.: 38116)</t>
  </si>
  <si>
    <t xml:space="preserve">PATRIANI INCORPORACAO 35 SPE LTDA </t>
  </si>
  <si>
    <t>SPE35 MORIAH PROENÇA</t>
  </si>
  <si>
    <t xml:space="preserve">+55 (11) 4318-0666 </t>
  </si>
  <si>
    <t>Aprovado (O.S.: 38117)</t>
  </si>
  <si>
    <t xml:space="preserve">Vilson Alves Feitoza </t>
  </si>
  <si>
    <t xml:space="preserve">+55 (11) 99007-2510 </t>
  </si>
  <si>
    <t>Aprovado (O.S.: 38119)</t>
  </si>
  <si>
    <t xml:space="preserve">SWISS PARK PARTICIPACOES LTDA </t>
  </si>
  <si>
    <t>Marketing Swiss Park</t>
  </si>
  <si>
    <t xml:space="preserve">+55 (19) 3500-8241 </t>
  </si>
  <si>
    <t>Aprovado (O.S.: 38128)</t>
  </si>
  <si>
    <t xml:space="preserve">WEBMOTORS S.A. </t>
  </si>
  <si>
    <t>Marta</t>
  </si>
  <si>
    <t xml:space="preserve">+55 (11) 98666-7803 </t>
  </si>
  <si>
    <t>Aprovado (O.S.: 38149)</t>
  </si>
  <si>
    <t xml:space="preserve">MARAMBAIA HOTEL </t>
  </si>
  <si>
    <t xml:space="preserve">+55 (47) 9932-2209 </t>
  </si>
  <si>
    <t xml:space="preserve">LINKED </t>
  </si>
  <si>
    <t>Fernando Guimarães</t>
  </si>
  <si>
    <t xml:space="preserve">+55 (19) 99558-7171 </t>
  </si>
  <si>
    <t>Aprovado (O.S.: 38124)</t>
  </si>
  <si>
    <t xml:space="preserve">ASSOCIACAO DOS CONDOMINOS DO LOTEAMENTO MORADA DA PRAIA </t>
  </si>
  <si>
    <t>Luedson Nascimento</t>
  </si>
  <si>
    <t xml:space="preserve">+55 (13) 99621-7047 </t>
  </si>
  <si>
    <t xml:space="preserve">ASSOCIACAO DOS PROPRIETARIOS E MORADORES DO LOTEAMENTO VILLAGIO PELAVIDA </t>
  </si>
  <si>
    <t xml:space="preserve">+55 (19) 9994-2804 </t>
  </si>
  <si>
    <t>Aprovado (O.S.: 38129)</t>
  </si>
  <si>
    <t xml:space="preserve">MIGUEL RAIMUNDO DA SILVA JUNIOR </t>
  </si>
  <si>
    <t xml:space="preserve">+55 (11) 98017-8953 </t>
  </si>
  <si>
    <t>Aprovado (O.S.: 38132)</t>
  </si>
  <si>
    <t xml:space="preserve">DEBORA PINA ALMEIDA </t>
  </si>
  <si>
    <t xml:space="preserve">+55 (11) 98512-9382 </t>
  </si>
  <si>
    <t>Aprovado (O.S.: 38133)</t>
  </si>
  <si>
    <t xml:space="preserve">Domingos Soares </t>
  </si>
  <si>
    <t xml:space="preserve">+55 (11) 98588-7813 </t>
  </si>
  <si>
    <t>Aprovado (O.S.: 38134)</t>
  </si>
  <si>
    <t xml:space="preserve">JOAO VALVERDE FILHO </t>
  </si>
  <si>
    <t xml:space="preserve">+55 (11) 99832-7292 </t>
  </si>
  <si>
    <t>Aprovado (O.S.: 38135)</t>
  </si>
  <si>
    <t>Aprovado (O.S.: 38136)</t>
  </si>
  <si>
    <t>Aprovado (O.S.: 38137)</t>
  </si>
  <si>
    <t xml:space="preserve">ESPERANCA PAPELARIA E VARIEDADES LTDA </t>
  </si>
  <si>
    <t>Ana Paula Oliveira Costa Moreira</t>
  </si>
  <si>
    <t xml:space="preserve">+55 (11) 9402-1550 </t>
  </si>
  <si>
    <t>Aprovado (O.S.: 38138)</t>
  </si>
  <si>
    <t xml:space="preserve">METALARTCAR FUNILARIA E PINTURA LTDA </t>
  </si>
  <si>
    <t>Metal Art Car Funilaria E Pintura</t>
  </si>
  <si>
    <t xml:space="preserve">+55 (19) 98975-8298 </t>
  </si>
  <si>
    <t>Aprovado (O.S.: 38139)</t>
  </si>
  <si>
    <t xml:space="preserve">EDIFICIO RESIDENCIAL DONA OLIVIA </t>
  </si>
  <si>
    <t>Dona Olivia</t>
  </si>
  <si>
    <t xml:space="preserve">+55 (48) 9603-1182 </t>
  </si>
  <si>
    <t>Aprovado (O.S.: 38141)</t>
  </si>
  <si>
    <t xml:space="preserve">PLASMODIA INDUSTRIA E COMERCIO DE PLASTICOS LTDA </t>
  </si>
  <si>
    <t>Bruna Rodrigues</t>
  </si>
  <si>
    <t xml:space="preserve">+55 (11) 2088-9922 </t>
  </si>
  <si>
    <t xml:space="preserve">VLADIMIR DE JESUS PREDA </t>
  </si>
  <si>
    <t xml:space="preserve">+55 (11) 98141-8020 </t>
  </si>
  <si>
    <t>Aprovado (O.S.: 38142)</t>
  </si>
  <si>
    <t xml:space="preserve">CHATEAU DE LUMIERE </t>
  </si>
  <si>
    <t>Financeiro Chateau - Paloma Mares</t>
  </si>
  <si>
    <t xml:space="preserve">+55 999 558 980 </t>
  </si>
  <si>
    <t>Aprovado (O.S.: 38145)</t>
  </si>
  <si>
    <t xml:space="preserve">BIS AVIATION LINE MAINTENANCE &amp; HANDLING </t>
  </si>
  <si>
    <t>Marcela</t>
  </si>
  <si>
    <t xml:space="preserve">+55 (00) 0000-4224 </t>
  </si>
  <si>
    <t>Aprovado (O.S.: 38144)</t>
  </si>
  <si>
    <t xml:space="preserve">ASSOCIACAO DE PAIS E AMIGOS DOS EXCEPCIONAIS DE CAMPINAS </t>
  </si>
  <si>
    <t>Edson Catão</t>
  </si>
  <si>
    <t xml:space="preserve">+55 (19) 3772-1200 </t>
  </si>
  <si>
    <t>Sinalização/ IPLACAS - O/C 114.990</t>
  </si>
  <si>
    <t xml:space="preserve">MOVEMENT CITY &amp; LIFE </t>
  </si>
  <si>
    <t>Movement City Life</t>
  </si>
  <si>
    <t xml:space="preserve">+55 (11) 94790-3497 </t>
  </si>
  <si>
    <t>Aprovado (O.S.: 38160)</t>
  </si>
  <si>
    <t xml:space="preserve">METALURGICA TECH VISION LTDA </t>
  </si>
  <si>
    <t>Maria Luna</t>
  </si>
  <si>
    <t xml:space="preserve">+55 (11) 97253-1608 </t>
  </si>
  <si>
    <t>Aprovado (O.S.: 38157)</t>
  </si>
  <si>
    <t xml:space="preserve">CONDOMINIO JOY GARDEN </t>
  </si>
  <si>
    <t>Luciana Maso</t>
  </si>
  <si>
    <t xml:space="preserve">+55 (19) 99580-6836 </t>
  </si>
  <si>
    <t xml:space="preserve">SO-ANGEL - VENDAS DE TUDO UM POUCO LTDA </t>
  </si>
  <si>
    <t>Sol Silva</t>
  </si>
  <si>
    <t xml:space="preserve">+55 (11) 98253-5984 </t>
  </si>
  <si>
    <t>Aprovado (O.S.: 38165)</t>
  </si>
  <si>
    <t xml:space="preserve">EDIFICIO CAESAR TOWERS PAULISTA </t>
  </si>
  <si>
    <t xml:space="preserve">+55 (11) 94508-8979 </t>
  </si>
  <si>
    <t xml:space="preserve">HOSPITAL UNIMED SAO ROQUE </t>
  </si>
  <si>
    <t>Rafaela Meleiro</t>
  </si>
  <si>
    <t xml:space="preserve">+55 (11) 4784-8484 </t>
  </si>
  <si>
    <t>Aprovado (O.S.: 38189)</t>
  </si>
  <si>
    <t>Aprovado (O.S.: 38150)</t>
  </si>
  <si>
    <t xml:space="preserve">PHITOFARMA FARMACIA DE MANIPULACAO </t>
  </si>
  <si>
    <t>Cristiane Marcondes</t>
  </si>
  <si>
    <t xml:space="preserve">+55 (11) 97088-1226 </t>
  </si>
  <si>
    <t>Aprovado (O.S.: 38153)</t>
  </si>
  <si>
    <t>Aprovado (O.S.: 38398)</t>
  </si>
  <si>
    <t xml:space="preserve">CONDOMINIO EDIFICIO GREENFIELD </t>
  </si>
  <si>
    <t>Edgard - Grupo MAIER</t>
  </si>
  <si>
    <t xml:space="preserve">+55 (51) 19999-6809 </t>
  </si>
  <si>
    <t>Aprovado (O.S.: 38156)</t>
  </si>
  <si>
    <t>Aprovado (O.S.: 38152)</t>
  </si>
  <si>
    <t xml:space="preserve">UPA ZONA OESTE - UNIDADE DE PRONTO ATENDIMENTO 24 HORAS </t>
  </si>
  <si>
    <t>Financeiro</t>
  </si>
  <si>
    <t xml:space="preserve">+55 (15) 99196-8293 </t>
  </si>
  <si>
    <t>Aprovado (O.S.: 38357)</t>
  </si>
  <si>
    <t xml:space="preserve">ESQUADRIBASE COMERCIO DE VIDROS E ESPELHOS LTDA </t>
  </si>
  <si>
    <t>Simone Lopes</t>
  </si>
  <si>
    <t xml:space="preserve">+55 (11) 99999-2356 </t>
  </si>
  <si>
    <t>Aprovado (O.S.: 38185)</t>
  </si>
  <si>
    <t xml:space="preserve">L. C. MATTOS COMERCIO DE ALIMENTOS LTDA </t>
  </si>
  <si>
    <t>Atendimento Grupo CRFF Vila do Grão Piazza Romana Napolitano</t>
  </si>
  <si>
    <t xml:space="preserve">+55 (19) 99662-8041 </t>
  </si>
  <si>
    <t>Aprovado (O.S.: 38359)</t>
  </si>
  <si>
    <t xml:space="preserve">HAFF ENGENHARIA E CONSTRUCAO </t>
  </si>
  <si>
    <t>Kelly Fêrraz</t>
  </si>
  <si>
    <t xml:space="preserve">+55 (11) 94482-0929 </t>
  </si>
  <si>
    <t>Aprovado (O.S.: 38164)</t>
  </si>
  <si>
    <t xml:space="preserve">IMIGRANTES CASA E CONSTRUCAO </t>
  </si>
  <si>
    <t xml:space="preserve">+55 (19) 98907-7573 </t>
  </si>
  <si>
    <t xml:space="preserve">Janderson novais </t>
  </si>
  <si>
    <t>Janderson novais</t>
  </si>
  <si>
    <t xml:space="preserve">+55 (11) 98135-9082 </t>
  </si>
  <si>
    <t xml:space="preserve">ZETU COMERCIO DE ALIMENTOS LTDA </t>
  </si>
  <si>
    <t>Bianca Mello | T3ntáculos</t>
  </si>
  <si>
    <t xml:space="preserve">SECAO JUDICIARIA DE SAO PAULO </t>
  </si>
  <si>
    <t xml:space="preserve">(11)2172-6152/(11)2172-6153 </t>
  </si>
  <si>
    <t xml:space="preserve">CONDOMINIO ALPHABUSINESS </t>
  </si>
  <si>
    <t>Pâmela Salzani</t>
  </si>
  <si>
    <t xml:space="preserve">+55 (19) 97405-6747 </t>
  </si>
  <si>
    <t>Aprovado (O.S.: 38166)</t>
  </si>
  <si>
    <t xml:space="preserve">CONDOMINIO EDIFICIO KIOLA </t>
  </si>
  <si>
    <t>ELI &amp; DAMIANI</t>
  </si>
  <si>
    <t xml:space="preserve">+55 (99) 9933-5253 </t>
  </si>
  <si>
    <t>Aprovado (O.S.: 38175)</t>
  </si>
  <si>
    <t xml:space="preserve">KOLPLAST </t>
  </si>
  <si>
    <t xml:space="preserve">+55 (11) 4961-0974 </t>
  </si>
  <si>
    <t>Aprovado (O.S.: 38178)</t>
  </si>
  <si>
    <t>Renata Lima</t>
  </si>
  <si>
    <t>Aprovado (O.S.: 38271)</t>
  </si>
  <si>
    <t xml:space="preserve">ENERLAB SERVICOS LTDA </t>
  </si>
  <si>
    <t>Erick Rodrigues</t>
  </si>
  <si>
    <t xml:space="preserve">+55 (11) 99812-0042 </t>
  </si>
  <si>
    <t>Aprovado (O.S.: 38186)</t>
  </si>
  <si>
    <t>Aprovado (O.S.: 38194)</t>
  </si>
  <si>
    <t xml:space="preserve">TERMINAL MARITIMO DO GUARUJA S/A - TERMAG </t>
  </si>
  <si>
    <t>Amanda</t>
  </si>
  <si>
    <t xml:space="preserve">+55 (13) 95546-4345 </t>
  </si>
  <si>
    <t xml:space="preserve">RAIZ SAO PAULO PARQUE RESORT </t>
  </si>
  <si>
    <t>Administração Raiz São Paulo</t>
  </si>
  <si>
    <t xml:space="preserve">+55 (11) 99638-3263 </t>
  </si>
  <si>
    <t>Aprovado (O.S.: 38347)</t>
  </si>
  <si>
    <t xml:space="preserve">CONDOMINIO JARDIM DO MAR </t>
  </si>
  <si>
    <t>ADMINISTRACÃO Jardim Mar</t>
  </si>
  <si>
    <t xml:space="preserve">+55 (81) 8182-4831 </t>
  </si>
  <si>
    <t>Aprovado (O.S.: 38258)</t>
  </si>
  <si>
    <t>Aprovado (O.S.: 38184)</t>
  </si>
  <si>
    <t xml:space="preserve">EDIFICIO ORIENTAL </t>
  </si>
  <si>
    <t>Condominio Edificio Oriental</t>
  </si>
  <si>
    <t>Aprovado (O.S.: 38191)</t>
  </si>
  <si>
    <t xml:space="preserve">RENTALLOC LOCACAO </t>
  </si>
  <si>
    <t>Refratechmoto3</t>
  </si>
  <si>
    <t xml:space="preserve">+55 (13) 99142-6183 </t>
  </si>
  <si>
    <t xml:space="preserve">IVONE ELISABETE REIS </t>
  </si>
  <si>
    <t xml:space="preserve">+55 (14) 99121-6498 </t>
  </si>
  <si>
    <t>Aprovado (O.S.: 38192)</t>
  </si>
  <si>
    <t xml:space="preserve">CONDOMINIO RESIDENCIAL ARACA </t>
  </si>
  <si>
    <t>Edna Bombardi</t>
  </si>
  <si>
    <t>Aprovado (O.S.: 38195)</t>
  </si>
  <si>
    <t xml:space="preserve">Raphael Schmidt </t>
  </si>
  <si>
    <t xml:space="preserve">+55 (41) 99962-7182 </t>
  </si>
  <si>
    <t>Aprovado (O.S.: 38196)</t>
  </si>
  <si>
    <t xml:space="preserve">DELTA LINK COMERCIO E IMPORTACAO LTDA </t>
  </si>
  <si>
    <t>THIAGO MARTINUSSI</t>
  </si>
  <si>
    <t xml:space="preserve">+55 (11) 4066-7100 </t>
  </si>
  <si>
    <t>Aprovado (O.S.: 38197)</t>
  </si>
  <si>
    <t xml:space="preserve">Gerson da Penha de Oliveira </t>
  </si>
  <si>
    <t xml:space="preserve">+55 (11) 99561-9801 </t>
  </si>
  <si>
    <t>Aprovado (O.S.: 38198)</t>
  </si>
  <si>
    <t xml:space="preserve">Elizete Morais Pinheiro Britto </t>
  </si>
  <si>
    <t xml:space="preserve">+55 (31) 98632-0658 </t>
  </si>
  <si>
    <t>Aprovado (O.S.: 38199)</t>
  </si>
  <si>
    <t xml:space="preserve">BISMARCK SEGURANCA E MONITORAMENTO LTDA </t>
  </si>
  <si>
    <t>Bismarck Monitoramento</t>
  </si>
  <si>
    <t xml:space="preserve">+55 (19) 98194-9077 </t>
  </si>
  <si>
    <t>Aprovado (O.S.: 38205)</t>
  </si>
  <si>
    <t xml:space="preserve">CAE MASSENZI EQUESTRIAN TEAM </t>
  </si>
  <si>
    <t>Carol Massenzi</t>
  </si>
  <si>
    <t xml:space="preserve">+55 (11) 96927-1837 </t>
  </si>
  <si>
    <t xml:space="preserve">Irene aparecida kraehnerte </t>
  </si>
  <si>
    <t xml:space="preserve">+55 (11) 96932-9546 </t>
  </si>
  <si>
    <t>Aprovado (O.S.: 38200)</t>
  </si>
  <si>
    <t xml:space="preserve">Anastacio Araujo Neto </t>
  </si>
  <si>
    <t xml:space="preserve">+55 (85) 3484-7486 </t>
  </si>
  <si>
    <t>Aprovado (O.S.: 38201)</t>
  </si>
  <si>
    <t xml:space="preserve">CLAUDIO CELIBERTI </t>
  </si>
  <si>
    <t xml:space="preserve">+55 (11) 99638-9522 </t>
  </si>
  <si>
    <t>Aprovado (O.S.: 38202)</t>
  </si>
  <si>
    <t xml:space="preserve">Magnum Brotto </t>
  </si>
  <si>
    <t xml:space="preserve">+55 (41) 99917-2614 </t>
  </si>
  <si>
    <t>Aprovado (O.S.: 38203)</t>
  </si>
  <si>
    <t xml:space="preserve">CONDOMINIO VILLAGGIO DI MILANO </t>
  </si>
  <si>
    <t>Condomínio Villaggio di Milano</t>
  </si>
  <si>
    <t xml:space="preserve">+55 (11) 2208-9999 </t>
  </si>
  <si>
    <t>Aprovado (O.S.: 38204)</t>
  </si>
  <si>
    <t xml:space="preserve">ECOPEX INDUSTRIA E COMERCIO LTDA. </t>
  </si>
  <si>
    <t>Ecopex</t>
  </si>
  <si>
    <t xml:space="preserve">+55 (11) 91255-2880 </t>
  </si>
  <si>
    <t>Aprovado (O.S.: 38207)</t>
  </si>
  <si>
    <t>Aprovado (O.S.: 38208)</t>
  </si>
  <si>
    <t xml:space="preserve">Maira Catena </t>
  </si>
  <si>
    <t xml:space="preserve">+55 (11) 96449-1238 </t>
  </si>
  <si>
    <t>Aprovado (O.S.: 38218)</t>
  </si>
  <si>
    <t xml:space="preserve">VBD ADVOGADOS </t>
  </si>
  <si>
    <t>Beatriz Girotto</t>
  </si>
  <si>
    <t xml:space="preserve">+55 (11) 94343-5244 </t>
  </si>
  <si>
    <t xml:space="preserve">DALCOLETTO EMPREENDIMENTOS IMOBILIARIOS </t>
  </si>
  <si>
    <t>Giovanna Dalcoletto</t>
  </si>
  <si>
    <t xml:space="preserve">+55 (19) 98181-1900 </t>
  </si>
  <si>
    <t xml:space="preserve">CONDOMINIO JARDIM LEOPOLDINA </t>
  </si>
  <si>
    <t>aquino.katia</t>
  </si>
  <si>
    <t xml:space="preserve">+55 (11) 97423-0071 </t>
  </si>
  <si>
    <t>Aprovado (O.S.: 38259)</t>
  </si>
  <si>
    <t xml:space="preserve">LANTERY INDUSTRIA E COMERCIO LTDA </t>
  </si>
  <si>
    <t>Compras Lantery</t>
  </si>
  <si>
    <t xml:space="preserve">+55 (11) 93756-6095 </t>
  </si>
  <si>
    <t>Aprovado (O.S.: 38346)</t>
  </si>
  <si>
    <t xml:space="preserve">BOFETE GABINETE DO PREFEITO </t>
  </si>
  <si>
    <t>I.A.T E.HENRIQUE??</t>
  </si>
  <si>
    <t xml:space="preserve">+55 (14) 99161-3216 </t>
  </si>
  <si>
    <t xml:space="preserve">SINERGIA CIENTIFICA </t>
  </si>
  <si>
    <t>Sinergia Científica (Com)</t>
  </si>
  <si>
    <t xml:space="preserve">+55 (19) 97156-6658 </t>
  </si>
  <si>
    <t>Aprovado (O.S.: 38211)</t>
  </si>
  <si>
    <t>Aprovado (O.S.: 38212)</t>
  </si>
  <si>
    <t xml:space="preserve">PREFEITURA MUNICIPAL DE BOA ESPERANCA DO SUL </t>
  </si>
  <si>
    <t>Vitor Balbino</t>
  </si>
  <si>
    <t xml:space="preserve">+55 (16) 99297-1488 </t>
  </si>
  <si>
    <t xml:space="preserve">CONDOMINIO COSTA DO SOL </t>
  </si>
  <si>
    <t>Adm Costa do Sol</t>
  </si>
  <si>
    <t xml:space="preserve">+55 (11) 98735-0177 </t>
  </si>
  <si>
    <t>Aprovado (O.S.: 38213)</t>
  </si>
  <si>
    <t xml:space="preserve">PAPELARIA 14 DE AGOSTO </t>
  </si>
  <si>
    <t xml:space="preserve">+55 (15) 3552-1539 </t>
  </si>
  <si>
    <t>Aprovado (O.S.: 38221)</t>
  </si>
  <si>
    <t xml:space="preserve">UCB INDUST DE COMPON ELETRON E INFORM S.A. </t>
  </si>
  <si>
    <t xml:space="preserve">+55 (35) 3435-8350 </t>
  </si>
  <si>
    <t>Aprovado (O.S.: 38309)</t>
  </si>
  <si>
    <t xml:space="preserve">Condomínio Vivendas das Oliveiras </t>
  </si>
  <si>
    <t>Joabi Gomes</t>
  </si>
  <si>
    <t xml:space="preserve">+55 (21) 3502-7203 </t>
  </si>
  <si>
    <t xml:space="preserve">LIVE SP LTDA. </t>
  </si>
  <si>
    <t xml:space="preserve">+55 (11) 5549-8399 </t>
  </si>
  <si>
    <t>Aprovado (O.S.: 38266)</t>
  </si>
  <si>
    <t xml:space="preserve">METALURGICA SAO RAPHAEL LTDA </t>
  </si>
  <si>
    <t>Vanusa</t>
  </si>
  <si>
    <t xml:space="preserve">+55 (11) 4789-8400 </t>
  </si>
  <si>
    <t>Aprovado (O.S.: 38217)</t>
  </si>
  <si>
    <t xml:space="preserve">Luzinete Caetano </t>
  </si>
  <si>
    <t xml:space="preserve">+55 (41) 98445-2385 </t>
  </si>
  <si>
    <t>Aprovado (O.S.: 38214)</t>
  </si>
  <si>
    <t xml:space="preserve">CANNON DO BRASIL REPRESENTACOES LTDA </t>
  </si>
  <si>
    <t>ADRIANA BARBOSA DOS SANTOS</t>
  </si>
  <si>
    <t>Aprovado (O.S.: 38215)</t>
  </si>
  <si>
    <t xml:space="preserve">CONDOMINIO RESIDENCIAL AMERICA MBIGUCCI </t>
  </si>
  <si>
    <t>Nathália Brandão de Lima</t>
  </si>
  <si>
    <t xml:space="preserve">+55 (11) 4367-2444 </t>
  </si>
  <si>
    <t>Aprovado (O.S.: 38227)</t>
  </si>
  <si>
    <t xml:space="preserve">PREFEITURA DO MUNICIPIO DE MARINGA </t>
  </si>
  <si>
    <t>Márcia Shoji</t>
  </si>
  <si>
    <t xml:space="preserve">+55 (44) 3127-1135 </t>
  </si>
  <si>
    <t xml:space="preserve">San Conrado </t>
  </si>
  <si>
    <t>Poliana Oliveira</t>
  </si>
  <si>
    <t xml:space="preserve">+55 (19) 3258-2099 </t>
  </si>
  <si>
    <t xml:space="preserve">VISIONE RESIDENCE </t>
  </si>
  <si>
    <t xml:space="preserve">+55 (19) 98127-4633 </t>
  </si>
  <si>
    <t>Aprovado (O.S.: 38239)</t>
  </si>
  <si>
    <t xml:space="preserve">WAIMEA SERVICOS ADMINISTRATIVOS E PARTICIPACOES LTDA </t>
  </si>
  <si>
    <t>Alon</t>
  </si>
  <si>
    <t xml:space="preserve">+55 (11) 99210-1936 </t>
  </si>
  <si>
    <t>Aprovado (O.S.: 38224)</t>
  </si>
  <si>
    <t xml:space="preserve">INSTITUTO DE SAUDE SANTA ROSA </t>
  </si>
  <si>
    <t xml:space="preserve">+55 (65) 9804-0084 </t>
  </si>
  <si>
    <t>Aprovado (O.S.: 38222)</t>
  </si>
  <si>
    <t xml:space="preserve">SCR SINALIZAO COMERCIO E REPRESENTACOES </t>
  </si>
  <si>
    <t>SERGIO DA CONCEIÇÃO</t>
  </si>
  <si>
    <t xml:space="preserve">+55 (19) 98952-3635 </t>
  </si>
  <si>
    <t xml:space="preserve">VINHEDO PORTAL - MALL </t>
  </si>
  <si>
    <t>Luana</t>
  </si>
  <si>
    <t xml:space="preserve">+55 (19) 98303-6241 </t>
  </si>
  <si>
    <t>Aprovado (O.S.: 38225)</t>
  </si>
  <si>
    <t xml:space="preserve">FLYER INDUSTRIA AERONAUTICA LTDA </t>
  </si>
  <si>
    <t>Monica</t>
  </si>
  <si>
    <t xml:space="preserve">+55 (19) 99366-7819 </t>
  </si>
  <si>
    <t>Aprovado (O.S.: 38328)</t>
  </si>
  <si>
    <t xml:space="preserve">Rayza Nicácio Pereira </t>
  </si>
  <si>
    <t xml:space="preserve">+55 (19) 98105-9102 </t>
  </si>
  <si>
    <t>Aprovado (O.S.: 38228)</t>
  </si>
  <si>
    <t xml:space="preserve">TCA TECNOLOGIA CONSTRUCAO EM ACO </t>
  </si>
  <si>
    <t xml:space="preserve">+55 (11) 99291-7347 </t>
  </si>
  <si>
    <t xml:space="preserve">CONDOMINIO MINHA PRAIA II </t>
  </si>
  <si>
    <t>Sanira</t>
  </si>
  <si>
    <t xml:space="preserve">+55 (21) 2525-0500 </t>
  </si>
  <si>
    <t>Aprovado (O.S.: 38950)</t>
  </si>
  <si>
    <t xml:space="preserve">PIEMONTE RESIDENCIAL CLUB </t>
  </si>
  <si>
    <t>TATIANE ALVES DA SILVA</t>
  </si>
  <si>
    <t xml:space="preserve">+55 (11) 94252-5430 </t>
  </si>
  <si>
    <t>Aprovado (O.S.: 38245)</t>
  </si>
  <si>
    <t xml:space="preserve">CONDOMINIO GIARDINO D' ITALIA </t>
  </si>
  <si>
    <t>Márcia</t>
  </si>
  <si>
    <t xml:space="preserve">+55 (11) 99702-6135 </t>
  </si>
  <si>
    <t>Aprovado (O.S.: 38230)</t>
  </si>
  <si>
    <t xml:space="preserve">EDIFICIO SMART ALTO DE SANTANA </t>
  </si>
  <si>
    <t>Nilce Napoli</t>
  </si>
  <si>
    <t xml:space="preserve">+55 (11) 99973-2797 </t>
  </si>
  <si>
    <t>Aprovado (O.S.: 38232)</t>
  </si>
  <si>
    <t xml:space="preserve">MP-BIOS REPRESENTACAO E SERVICOS LTDA </t>
  </si>
  <si>
    <t xml:space="preserve">+55 (11) 2615-0255 </t>
  </si>
  <si>
    <t>Aprovado (O.S.: 38246)</t>
  </si>
  <si>
    <t xml:space="preserve">CONDOMINIO DO EDFICIO UNIVERSAL EMPRESARIAL CENTER </t>
  </si>
  <si>
    <t>Condomínio do Edifício Universal Empresarial Center</t>
  </si>
  <si>
    <t>Aprovado (O.S.: 38231)</t>
  </si>
  <si>
    <t xml:space="preserve">CONDOMINIO DO EDIFICIO PRINCIPE DE GALLES </t>
  </si>
  <si>
    <t>Condomínio do Edifício Príncipe de Galles</t>
  </si>
  <si>
    <t>Aprovado (O.S.: 38233)</t>
  </si>
  <si>
    <t xml:space="preserve">MARCOS FLORINDO </t>
  </si>
  <si>
    <t xml:space="preserve">+55 (11) 99769-9228 </t>
  </si>
  <si>
    <t>Aprovado (O.S.: 38234)</t>
  </si>
  <si>
    <t xml:space="preserve">LA PRIME CLINIC </t>
  </si>
  <si>
    <t>LA Prime Clinic</t>
  </si>
  <si>
    <t xml:space="preserve">+55 (11) 2217-0084 </t>
  </si>
  <si>
    <t>Aprovado (O.S.: 38235)</t>
  </si>
  <si>
    <t xml:space="preserve">3E EFICIENCIA ENERGETICA LTDA </t>
  </si>
  <si>
    <t>Ana Alves</t>
  </si>
  <si>
    <t xml:space="preserve">+55 (85) 9968-7966 </t>
  </si>
  <si>
    <t>Aprovado (O.S.: 38375)</t>
  </si>
  <si>
    <t xml:space="preserve">ROBERTA LIMA PERIN </t>
  </si>
  <si>
    <t xml:space="preserve">+55 (11) 93759-8056 </t>
  </si>
  <si>
    <t>Aprovado (O.S.: 38236)</t>
  </si>
  <si>
    <t xml:space="preserve">Simao Ribeiro </t>
  </si>
  <si>
    <t xml:space="preserve">+55 (61) 98274-8516 </t>
  </si>
  <si>
    <t>Aprovado (O.S.: 38237)</t>
  </si>
  <si>
    <t xml:space="preserve">JOSE ROGERIO PEREIRA </t>
  </si>
  <si>
    <t xml:space="preserve">+55 (19) 99695-9923 </t>
  </si>
  <si>
    <t>Aprovado (O.S.: 38238)</t>
  </si>
  <si>
    <t xml:space="preserve">Elis Sousa </t>
  </si>
  <si>
    <t xml:space="preserve">+55 (19) 99646-4648 </t>
  </si>
  <si>
    <t>Aprovado (O.S.: 38240)</t>
  </si>
  <si>
    <t xml:space="preserve">Maria Luisa Masarin </t>
  </si>
  <si>
    <t xml:space="preserve">+55 (11) 97277-2402 </t>
  </si>
  <si>
    <t>Aprovado (O.S.: 38241)</t>
  </si>
  <si>
    <t xml:space="preserve">SPECIAL HOME TATUAPE </t>
  </si>
  <si>
    <t>Dionisia</t>
  </si>
  <si>
    <t xml:space="preserve">+55 (11) 99727-4347 </t>
  </si>
  <si>
    <t>Aprovado (O.S.: 38270)</t>
  </si>
  <si>
    <t xml:space="preserve">CONDOMINIO IND CAMBUI </t>
  </si>
  <si>
    <t>Bruno Muniz</t>
  </si>
  <si>
    <t xml:space="preserve">+55 (19) 98455-0026 </t>
  </si>
  <si>
    <t>Aprovado (O.S.: 38251)</t>
  </si>
  <si>
    <t xml:space="preserve">SECTI </t>
  </si>
  <si>
    <t>Secti - GA</t>
  </si>
  <si>
    <t xml:space="preserve">+55 (27) 98868-2685 </t>
  </si>
  <si>
    <t>Sidnei José Correia</t>
  </si>
  <si>
    <t>Aprovado (O.S.: 38333)</t>
  </si>
  <si>
    <t xml:space="preserve">OFAG S.A </t>
  </si>
  <si>
    <t xml:space="preserve">+55 (11) 4191-1311 </t>
  </si>
  <si>
    <t>Aprovado (O.S.: 38310)</t>
  </si>
  <si>
    <t xml:space="preserve">AVATO </t>
  </si>
  <si>
    <t>Marceli Welter</t>
  </si>
  <si>
    <t>Aprovado (O.S.: 38383)</t>
  </si>
  <si>
    <t xml:space="preserve">CONJUNTO RESIDENCIAL PORTAL DO LESTE </t>
  </si>
  <si>
    <t>Nely Paula Rodrigues</t>
  </si>
  <si>
    <t>Aprovado (O.S.: 38253)</t>
  </si>
  <si>
    <t xml:space="preserve">FANTASTICO ALIMENTOS LTDA </t>
  </si>
  <si>
    <t>Maria Eduarda</t>
  </si>
  <si>
    <t xml:space="preserve">+55 (12) 99737-8738 </t>
  </si>
  <si>
    <t>Aprovado (O.S.: 38393)</t>
  </si>
  <si>
    <t xml:space="preserve">BC CONSTRUTORA </t>
  </si>
  <si>
    <t xml:space="preserve">+55 (45) 3096-8040 </t>
  </si>
  <si>
    <t>Aprovado (O.S.: 38249)</t>
  </si>
  <si>
    <t>Aprovado (O.S.: 38250)</t>
  </si>
  <si>
    <t xml:space="preserve">CONDOMINIO EDIFICIO BREST </t>
  </si>
  <si>
    <t xml:space="preserve">+55 (19) 97407-4925 </t>
  </si>
  <si>
    <t xml:space="preserve">ACCESS GESTAO DE DOCUMENTOS LTDA. </t>
  </si>
  <si>
    <t>Isabel Siqueira Freire Gomes</t>
  </si>
  <si>
    <t xml:space="preserve">+55 (11) 93906-8872 </t>
  </si>
  <si>
    <t>Aprovado (O.S.: 38319)</t>
  </si>
  <si>
    <t xml:space="preserve">MAGNET </t>
  </si>
  <si>
    <t>Kleberton</t>
  </si>
  <si>
    <t xml:space="preserve">+55 (11) 4176-7877 </t>
  </si>
  <si>
    <t>Aprovado (O.S.: 38255)</t>
  </si>
  <si>
    <t xml:space="preserve">COMERCIAL FERRARI DE MATERIAL HIDRAULICO LTDA </t>
  </si>
  <si>
    <t xml:space="preserve">+55 (19) 3276-5511 </t>
  </si>
  <si>
    <t>Nayara</t>
  </si>
  <si>
    <t xml:space="preserve">Kaique Antônio Ferreira </t>
  </si>
  <si>
    <t xml:space="preserve">+55 (19) 98218-1432 </t>
  </si>
  <si>
    <t>Aprovado (O.S.: 38256)</t>
  </si>
  <si>
    <t xml:space="preserve">EDIFICIO WINNER FAMILY CLUB </t>
  </si>
  <si>
    <t>Winner Family Club</t>
  </si>
  <si>
    <t>Aprovado (O.S.: 38257)</t>
  </si>
  <si>
    <t xml:space="preserve">rubens berossa </t>
  </si>
  <si>
    <t xml:space="preserve">+55 (11) 99952-6449 </t>
  </si>
  <si>
    <t>Aprovado (O.S.: 38260)</t>
  </si>
  <si>
    <t xml:space="preserve">KIM NETO INDUSTRIA E COMERCIO DE PANIFICACAO LTDA </t>
  </si>
  <si>
    <t>Clarissa</t>
  </si>
  <si>
    <t xml:space="preserve">+55 (11) 3336-3645 </t>
  </si>
  <si>
    <t>Aprovado (O.S.: 38382)</t>
  </si>
  <si>
    <t>Sinalização*15073</t>
  </si>
  <si>
    <t xml:space="preserve">PEDREIRA DO PARDO LTDA </t>
  </si>
  <si>
    <t>Mário</t>
  </si>
  <si>
    <t xml:space="preserve">ALEXANDRE DAS NEVES </t>
  </si>
  <si>
    <t xml:space="preserve">+55 (11) 97224-2941 </t>
  </si>
  <si>
    <t>Aprovado (O.S.: 38264)</t>
  </si>
  <si>
    <t xml:space="preserve">TRAVAIN </t>
  </si>
  <si>
    <t xml:space="preserve">+55 (19) 3016-2474 </t>
  </si>
  <si>
    <t xml:space="preserve">SAINT GERMAIN </t>
  </si>
  <si>
    <t>Eduardo Ogawa</t>
  </si>
  <si>
    <t xml:space="preserve">+55 (11) 99701-7727 </t>
  </si>
  <si>
    <t>Aprovado (O.S.: 38274)</t>
  </si>
  <si>
    <t xml:space="preserve">TENGE INDUSTRIAL S/A </t>
  </si>
  <si>
    <t>J. L MARQUEZINI</t>
  </si>
  <si>
    <t xml:space="preserve">+55 (11) 4613-3097 </t>
  </si>
  <si>
    <t>Aprovado (O.S.: 38440)</t>
  </si>
  <si>
    <t xml:space="preserve">NUCLEO ENGENHARIA CONSULTIVA S.A. </t>
  </si>
  <si>
    <t>Compras - Núcleo Engenharia</t>
  </si>
  <si>
    <t>Aprovado (O.S.: 38296)</t>
  </si>
  <si>
    <t>Aprovado (O.S.: 38272)</t>
  </si>
  <si>
    <t>Aprovado (O.S.: 38276)</t>
  </si>
  <si>
    <t xml:space="preserve">HOTEL JEQUITIMAR LTDA. </t>
  </si>
  <si>
    <t>Marketing Hotel Jequitimar</t>
  </si>
  <si>
    <t xml:space="preserve">+55 (13) 99691-9051 </t>
  </si>
  <si>
    <t xml:space="preserve">POLIANA MOREIRA </t>
  </si>
  <si>
    <t>POLIANA MOREIRA</t>
  </si>
  <si>
    <t xml:space="preserve">+55 (19) 98738-2581 </t>
  </si>
  <si>
    <t xml:space="preserve">FITAS PROGRESSO </t>
  </si>
  <si>
    <t xml:space="preserve">+55 (19) 99844-9377 </t>
  </si>
  <si>
    <t>Aprovado (O.S.: 38298)</t>
  </si>
  <si>
    <t xml:space="preserve">CONDOMINIO VISTA VALPARAISO </t>
  </si>
  <si>
    <t>CONDOMINIO VISTA VALPARAÍSO</t>
  </si>
  <si>
    <t xml:space="preserve">+55 (11) 96863-1243 </t>
  </si>
  <si>
    <t>Aprovado (O.S.: 38331)</t>
  </si>
  <si>
    <t xml:space="preserve">ULTRA COFFEE FACAMP </t>
  </si>
  <si>
    <t>Déborah Xavier</t>
  </si>
  <si>
    <t xml:space="preserve">+55 (19) 98114-9188 </t>
  </si>
  <si>
    <t>Aprovado (O.S.: 38282)</t>
  </si>
  <si>
    <t xml:space="preserve">FERTYBIO FERTILIZANTES </t>
  </si>
  <si>
    <t>Fertybio - José Pedro</t>
  </si>
  <si>
    <t xml:space="preserve">+55 (43) 8870-2381 </t>
  </si>
  <si>
    <t>Aprovado (O.S.: 38327)</t>
  </si>
  <si>
    <t xml:space="preserve">FUNDACAO COPPETEC </t>
  </si>
  <si>
    <t>Clara Guerreiro</t>
  </si>
  <si>
    <t xml:space="preserve">+55 (21) 3622-3400 </t>
  </si>
  <si>
    <t>Sinalização - O/C 2025/12756</t>
  </si>
  <si>
    <t>Aprovado (O.S.: 38279)</t>
  </si>
  <si>
    <t xml:space="preserve">CONDOMINIO RESIDENCIAL SAO JUDAS IV </t>
  </si>
  <si>
    <t>Aprovado (O.S.: 38295)</t>
  </si>
  <si>
    <t>Aprovado (O.S.: 38285)</t>
  </si>
  <si>
    <t xml:space="preserve">COVER SERVICOS &amp; ENGENHARIA </t>
  </si>
  <si>
    <t>Claudemir Silva Gonçalves</t>
  </si>
  <si>
    <t xml:space="preserve">+55 (11) 91511-6606 </t>
  </si>
  <si>
    <t>Aprovado (O.S.: 38299)</t>
  </si>
  <si>
    <t xml:space="preserve">3 BATALHAO DE SUPRIMENTO </t>
  </si>
  <si>
    <t>Karr</t>
  </si>
  <si>
    <t xml:space="preserve">+55 (51) 9290-6815 </t>
  </si>
  <si>
    <t xml:space="preserve">Clecio Santos Rodrigues </t>
  </si>
  <si>
    <t xml:space="preserve">+55 (11) 91669-1855 </t>
  </si>
  <si>
    <t>Aprovado (O.S.: 38290)</t>
  </si>
  <si>
    <t xml:space="preserve">SANTA ETELVINA VII </t>
  </si>
  <si>
    <t>Condomínio Santa Etelvina VII</t>
  </si>
  <si>
    <t xml:space="preserve">(00)0000-00 </t>
  </si>
  <si>
    <t>Aprovado (O.S.: 38292)</t>
  </si>
  <si>
    <t xml:space="preserve">VIDA ENGENHARIA LTDA </t>
  </si>
  <si>
    <t>JANAINA PAULA VIDA</t>
  </si>
  <si>
    <t>Aprovado (O.S.: 38293)</t>
  </si>
  <si>
    <t xml:space="preserve">LOGICA CONTABIL LTDA </t>
  </si>
  <si>
    <t>Marcellus Silveira da Silva</t>
  </si>
  <si>
    <t xml:space="preserve">+55 (11) 8259-7879 </t>
  </si>
  <si>
    <t>Aprovado (O.S.: 38294)</t>
  </si>
  <si>
    <t xml:space="preserve">DENVER TECNOLOGIA LTDA </t>
  </si>
  <si>
    <t xml:space="preserve">+55 (11) 96347-6543 </t>
  </si>
  <si>
    <t>Aprovado (O.S.: 38303)</t>
  </si>
  <si>
    <t xml:space="preserve">Igor Uchoa Duarte </t>
  </si>
  <si>
    <t xml:space="preserve">+55 (21) 97238-1340 </t>
  </si>
  <si>
    <t>Aprovado (O.S.: 38373)</t>
  </si>
  <si>
    <t xml:space="preserve">SETOR RESIDENCIAL </t>
  </si>
  <si>
    <t>Tatiane</t>
  </si>
  <si>
    <t xml:space="preserve">+55 (11) 95190-3890 </t>
  </si>
  <si>
    <t>Aprovado (O.S.: 38304)</t>
  </si>
  <si>
    <t xml:space="preserve">CONDOMINIO RESIDENCIAL PORTAL BARRA FUNDA - VILA RUDGE </t>
  </si>
  <si>
    <t>Aprovado (O.S.: 38305)</t>
  </si>
  <si>
    <t xml:space="preserve">CONDOMINIO RESIDENCIAL PORTAL BARRA FUNDA - VILA PACAEMBU </t>
  </si>
  <si>
    <t>Aprovado (O.S.: 38306)</t>
  </si>
  <si>
    <t xml:space="preserve">CONDOMINIO RESIDENCIAL PORTAL BARRA FUNDA - VILA MARQUE </t>
  </si>
  <si>
    <t>Aprovado (O.S.: 38307)</t>
  </si>
  <si>
    <t xml:space="preserve">CONDOMINIO RESIDENCIAL MAPP BARRA FUNDA - PERDIZES </t>
  </si>
  <si>
    <t>Aprovado (O.S.: 38308)</t>
  </si>
  <si>
    <t xml:space="preserve">CONDOMINIO EDIFICIO SAINT GERMAIN </t>
  </si>
  <si>
    <t>Luiz Roberto Salvador</t>
  </si>
  <si>
    <t xml:space="preserve">+55 (19) 99128-3565 </t>
  </si>
  <si>
    <t>Aprovado (O.S.: 38302)</t>
  </si>
  <si>
    <t xml:space="preserve">VILLAGIO PELAVIDA </t>
  </si>
  <si>
    <t xml:space="preserve">+55 (19) 99994-2806 </t>
  </si>
  <si>
    <t>Aprovado (O.S.: 38297)</t>
  </si>
  <si>
    <t xml:space="preserve">PLASTICOS VALENCA </t>
  </si>
  <si>
    <t>compras motech</t>
  </si>
  <si>
    <t xml:space="preserve">+55 (24) 99932-8359 </t>
  </si>
  <si>
    <t xml:space="preserve">Lisandra Marques Aliseda </t>
  </si>
  <si>
    <t xml:space="preserve">+55 (11) 98546-2425 </t>
  </si>
  <si>
    <t>Aprovado (O.S.: 38301)</t>
  </si>
  <si>
    <t xml:space="preserve">ENGESHOP </t>
  </si>
  <si>
    <t>ADEMIR CARVALHO</t>
  </si>
  <si>
    <t xml:space="preserve">+55 (11) 98269-6972 </t>
  </si>
  <si>
    <t>Aprovado (O.S.: 38345)</t>
  </si>
  <si>
    <t xml:space="preserve">ADL EXTRUSAO </t>
  </si>
  <si>
    <t>Jose Carlos Correia</t>
  </si>
  <si>
    <t xml:space="preserve">+55 (14) 99775-2837 </t>
  </si>
  <si>
    <t xml:space="preserve">CROSSFIT LAGOA </t>
  </si>
  <si>
    <t>LILIAN</t>
  </si>
  <si>
    <t xml:space="preserve">+55 (19) 99207-5649 </t>
  </si>
  <si>
    <t>Aprovado (O.S.: 38313)</t>
  </si>
  <si>
    <t xml:space="preserve">TRANS-WAR-TRANSPORTES LTDA </t>
  </si>
  <si>
    <t>Tiago Deotti</t>
  </si>
  <si>
    <t xml:space="preserve">+55 (19) 2101-0600 </t>
  </si>
  <si>
    <t>Aprovado (O.S.: 38314)</t>
  </si>
  <si>
    <t xml:space="preserve">A METROPOLITANA </t>
  </si>
  <si>
    <t xml:space="preserve">+55 (19) 97411-0839 </t>
  </si>
  <si>
    <t xml:space="preserve">CONDOMINIO RESIDENCIAL PORTAL BARRA FUNDA - VILA TIRADENTES </t>
  </si>
  <si>
    <t>Aprovado (O.S.: 38317)</t>
  </si>
  <si>
    <t xml:space="preserve">CENTRAL DA BARRA - BOURBON </t>
  </si>
  <si>
    <t>Aprovado (O.S.: 38318)</t>
  </si>
  <si>
    <t xml:space="preserve">REPLAN </t>
  </si>
  <si>
    <t>Alan Martin Leal</t>
  </si>
  <si>
    <t xml:space="preserve">+55 (18) 99799-8629 </t>
  </si>
  <si>
    <t xml:space="preserve">RENOVATEC COSMETICOS </t>
  </si>
  <si>
    <t>Bruno Simas</t>
  </si>
  <si>
    <t xml:space="preserve">+55 (11) 92152-0730 </t>
  </si>
  <si>
    <t>Aprovado (O.S.: 38316)</t>
  </si>
  <si>
    <t xml:space="preserve">Santa Fé Com. De Equip. Para Manut. Industrial Ltda </t>
  </si>
  <si>
    <t>Glaucia Arcanjo</t>
  </si>
  <si>
    <t xml:space="preserve">+55 (11) 3379-1146 </t>
  </si>
  <si>
    <t xml:space="preserve">CLINICA DE CIRURGIA E DERMATOLOGIA PARAISO LTDA </t>
  </si>
  <si>
    <t xml:space="preserve">+55 (11) 99937-0946 </t>
  </si>
  <si>
    <t>Aprovado (O.S.: 38321)</t>
  </si>
  <si>
    <t xml:space="preserve">Grazielle Lucena </t>
  </si>
  <si>
    <t xml:space="preserve">+55 (11) 98992-3842 </t>
  </si>
  <si>
    <t>Aprovado (O.S.: 38322)</t>
  </si>
  <si>
    <t xml:space="preserve">DOCE SAO PAULO CAFE E CHOCOLATE LTDA </t>
  </si>
  <si>
    <t>Renata Lara</t>
  </si>
  <si>
    <t xml:space="preserve">+55 (11) 3205-0271 </t>
  </si>
  <si>
    <t>Aprovado (O.S.: 38323)</t>
  </si>
  <si>
    <t>Sinalização/ IPLACAS - O/C 115.427</t>
  </si>
  <si>
    <t xml:space="preserve">CONDOMINIO RESIDENCIAL PORTINARI </t>
  </si>
  <si>
    <t xml:space="preserve">+55 (11) 98970-3963 </t>
  </si>
  <si>
    <t>Aprovado (O.S.: 38415)</t>
  </si>
  <si>
    <t xml:space="preserve">CONDOMINIO RESIDENCIAL PARQUE ARAUCARIA </t>
  </si>
  <si>
    <t>Luiz Fernando Pereira</t>
  </si>
  <si>
    <t xml:space="preserve">+55 (11) 99569-5826 </t>
  </si>
  <si>
    <t>Aprovado (O.S.: 38329)</t>
  </si>
  <si>
    <t xml:space="preserve">ARTHREX BRASIL </t>
  </si>
  <si>
    <t>Drielly Reis</t>
  </si>
  <si>
    <t xml:space="preserve">+55 (11) 97553-3663 </t>
  </si>
  <si>
    <t>Aprovado (O.S.: 38413)</t>
  </si>
  <si>
    <t xml:space="preserve">RESIDENCIAL ILHAS GREGAS </t>
  </si>
  <si>
    <t>MENSAGERIA</t>
  </si>
  <si>
    <t xml:space="preserve">+55 (11) 97220-7765 </t>
  </si>
  <si>
    <t xml:space="preserve">CONDOMINIO RESIDENCIAL COLINAS CACHOEIRA </t>
  </si>
  <si>
    <t>Jaqueline Corrêa Analista Comportametal</t>
  </si>
  <si>
    <t xml:space="preserve">+55 (41) 9741-2719 </t>
  </si>
  <si>
    <t>Aprovado (O.S.: 38332)</t>
  </si>
  <si>
    <t>MATHEUS</t>
  </si>
  <si>
    <t xml:space="preserve">ALKO DO BRASIL </t>
  </si>
  <si>
    <t>Ingrid Gentil</t>
  </si>
  <si>
    <t xml:space="preserve">+55 (21) 97573-9215 </t>
  </si>
  <si>
    <t>Aprovado (O.S.: 38399)</t>
  </si>
  <si>
    <t xml:space="preserve">CONDOMINIO VEDARA </t>
  </si>
  <si>
    <t>Carlos DM</t>
  </si>
  <si>
    <t xml:space="preserve">+55 (11) 96909-0170 </t>
  </si>
  <si>
    <t>Aprovado (O.S.: 39413)</t>
  </si>
  <si>
    <t xml:space="preserve">Carlos Roberto Morales Mostasso </t>
  </si>
  <si>
    <t>Carlos Roberto Morales Mostasso</t>
  </si>
  <si>
    <t xml:space="preserve">+55 (19) 99111-4895 </t>
  </si>
  <si>
    <t xml:space="preserve">ONIX AMBIENTAL </t>
  </si>
  <si>
    <t>COMPRAS Onix Ambiental - Eduardo</t>
  </si>
  <si>
    <t xml:space="preserve">+55 (11) 97819-1528 </t>
  </si>
  <si>
    <t>PS 2mm + Fotol.</t>
  </si>
  <si>
    <t xml:space="preserve">SENAR AR/SP </t>
  </si>
  <si>
    <t>SERVIÇO NACIONAL DE APRENIZAGEM RURAL</t>
  </si>
  <si>
    <t>Aprovado (O.S.: 38334)</t>
  </si>
  <si>
    <t xml:space="preserve">53.893.821 PAULA FERNANDA RODRIGUES DE CARVALHO MARTINS </t>
  </si>
  <si>
    <t>Mais Comercio Ltda</t>
  </si>
  <si>
    <t xml:space="preserve">+55 (37) 9972-4537 </t>
  </si>
  <si>
    <t xml:space="preserve">CONDOMINIO EDIFICIO OLIMPIA PARK </t>
  </si>
  <si>
    <t>olimpia park</t>
  </si>
  <si>
    <t>Aprovado (O.S.: 38335)</t>
  </si>
  <si>
    <t xml:space="preserve">USIMETA </t>
  </si>
  <si>
    <t>Gestao - Ramon Guimarães</t>
  </si>
  <si>
    <t xml:space="preserve">+55 (22) 99253-0113 </t>
  </si>
  <si>
    <t>Aprovado (O.S.: 38677)</t>
  </si>
  <si>
    <t xml:space="preserve">Marcus Vinicius </t>
  </si>
  <si>
    <t xml:space="preserve">+55 (11) 99982-4499 </t>
  </si>
  <si>
    <t>Aprovado (O.S.: 38336)</t>
  </si>
  <si>
    <t xml:space="preserve">CHALFIN, GOLDBERG E VAINBOIM SOCIEDADE DE ADVOGADOS </t>
  </si>
  <si>
    <t>Lourenço Maciel</t>
  </si>
  <si>
    <t>Aprovado (O.S.: 38337)</t>
  </si>
  <si>
    <t xml:space="preserve">ASSOCIACAO DE MORADORES DOS CONDOMINIOS RESIDENCIAIS BELAS ARTES, BELAS ARTES I, BELAS ARTES II E BELAS ARTES III </t>
  </si>
  <si>
    <t>Aparecida Goes</t>
  </si>
  <si>
    <t xml:space="preserve">+55 (11) 97365-7103 </t>
  </si>
  <si>
    <t>Aprovado (O.S.: 38370)</t>
  </si>
  <si>
    <t xml:space="preserve">CLAUDIA TADIA LOPES LOURENCO </t>
  </si>
  <si>
    <t xml:space="preserve">+55 (19) 99539-8008 </t>
  </si>
  <si>
    <t>Aprovado (O.S.: 38338)</t>
  </si>
  <si>
    <t xml:space="preserve">INUSA CONSTRUCOES METALICAS </t>
  </si>
  <si>
    <t>Compras - Maysa</t>
  </si>
  <si>
    <t xml:space="preserve">+55 (32) 9125-8366 </t>
  </si>
  <si>
    <t xml:space="preserve">J.S.A. CONSTRUTORA E PAVIMENTADORA LTDA </t>
  </si>
  <si>
    <t>Tarcisio</t>
  </si>
  <si>
    <t xml:space="preserve">+55 (19) 98839-9645 </t>
  </si>
  <si>
    <t>Aprovado (O.S.: 38348)</t>
  </si>
  <si>
    <t xml:space="preserve">CONDOMINIO HOMELIKE </t>
  </si>
  <si>
    <t>Monica Cotrim</t>
  </si>
  <si>
    <t xml:space="preserve">+55 (11) 99726-7533 </t>
  </si>
  <si>
    <t>Aprovado (O.S.: 38354)</t>
  </si>
  <si>
    <t>Aprovado (O.S.: 38933)</t>
  </si>
  <si>
    <t xml:space="preserve">CONDOMINIO DO EDIFICIO MARQUES DE SAO VICENTE </t>
  </si>
  <si>
    <t xml:space="preserve">+55 (21) 99298-1896 </t>
  </si>
  <si>
    <t>Aprovado (O.S.: 38356)</t>
  </si>
  <si>
    <t xml:space="preserve">FERRAGENS AQUAPATI EIRELI </t>
  </si>
  <si>
    <t>Rayana</t>
  </si>
  <si>
    <t xml:space="preserve">+55 (21) 99212-0533 </t>
  </si>
  <si>
    <t>Aprovado (O.S.: 38360)</t>
  </si>
  <si>
    <t xml:space="preserve">UNIBRAS - SANTA INES </t>
  </si>
  <si>
    <t>Allan Santos</t>
  </si>
  <si>
    <t xml:space="preserve">+55 (98) 8469-7245 </t>
  </si>
  <si>
    <t xml:space="preserve">NUCLEO ENGENHARIA ELETRICA </t>
  </si>
  <si>
    <t>Núcleo Engenharia</t>
  </si>
  <si>
    <t xml:space="preserve">+55 (19) 99410-6011 </t>
  </si>
  <si>
    <t>Aprovado (O.S.: 38372)</t>
  </si>
  <si>
    <t xml:space="preserve">OPERGEL COMERCI E INDUST DE PROD ALIMENTI LTDA </t>
  </si>
  <si>
    <t>OPERGEL COMERCIAL E INDUSTRIAL DE PRODUTOS ALIMENTICIOS LTDA</t>
  </si>
  <si>
    <t xml:space="preserve">+55 (11) 3021-8988 </t>
  </si>
  <si>
    <t>Aprovado (O.S.: 38475)</t>
  </si>
  <si>
    <t>Aprovado (O.S.: 38476)</t>
  </si>
  <si>
    <t xml:space="preserve">ESPROM - COMERCIO E SERVICOS DE PRODUTOS METALICOS LTDA </t>
  </si>
  <si>
    <t>Paulo</t>
  </si>
  <si>
    <t xml:space="preserve">+55 (15) 99740-3414 </t>
  </si>
  <si>
    <t>Aprovado (O.S.: 38363)</t>
  </si>
  <si>
    <t xml:space="preserve">CONDOMINIO SAINT JEROME </t>
  </si>
  <si>
    <t>Condomínio Saint Jerome</t>
  </si>
  <si>
    <t xml:space="preserve">+55 (11) 2626-2390 </t>
  </si>
  <si>
    <t>Aprovado (O.S.: 38361)</t>
  </si>
  <si>
    <t xml:space="preserve">Fernando Lahr </t>
  </si>
  <si>
    <t xml:space="preserve">+55 (19) 99852-2622 </t>
  </si>
  <si>
    <t>Aprovado (O.S.: 38364)</t>
  </si>
  <si>
    <t xml:space="preserve">PAPELARIA IRACEMA </t>
  </si>
  <si>
    <t>Orlando Abud</t>
  </si>
  <si>
    <t xml:space="preserve">+55 (12) 99763-1260 </t>
  </si>
  <si>
    <t xml:space="preserve">Leonardo César Bana </t>
  </si>
  <si>
    <t xml:space="preserve">+55 (41) 99677-0629 </t>
  </si>
  <si>
    <t>Aprovado (O.S.: 38365)</t>
  </si>
  <si>
    <t xml:space="preserve">COMFORT DOOR </t>
  </si>
  <si>
    <t>Everson</t>
  </si>
  <si>
    <t xml:space="preserve">+55 (43) 3376-3000 </t>
  </si>
  <si>
    <t>Aprovado (O.S.: 38366)</t>
  </si>
  <si>
    <t>Aprovado (O.S.: 38374)</t>
  </si>
  <si>
    <t xml:space="preserve">Condomínio Accanto Uno </t>
  </si>
  <si>
    <t>Paulo Pereira</t>
  </si>
  <si>
    <t xml:space="preserve">(00)0000-0000 </t>
  </si>
  <si>
    <t xml:space="preserve">ZANETTINI BAROSSI S A INDUSTRIA E COMERCIO </t>
  </si>
  <si>
    <t>Sesmt</t>
  </si>
  <si>
    <t xml:space="preserve">+55 (11) 94209-0413 </t>
  </si>
  <si>
    <t xml:space="preserve">CONDOMINIO HORIZON RESIDENCE PREMIUM </t>
  </si>
  <si>
    <t>Adilson Oliveira</t>
  </si>
  <si>
    <t xml:space="preserve">+55 (19) 2511-2407 </t>
  </si>
  <si>
    <t xml:space="preserve">CONDOMINIO RESIDENCIAL AQUARELA </t>
  </si>
  <si>
    <t>Luci Moreira</t>
  </si>
  <si>
    <t xml:space="preserve">+55 (11) 97191-0574 </t>
  </si>
  <si>
    <t>Aprovado (O.S.: 38414)</t>
  </si>
  <si>
    <t>Carla Pardi</t>
  </si>
  <si>
    <t>Aprovado (O.S.: 38376)</t>
  </si>
  <si>
    <t>Aprovado (O.S.: 38831)</t>
  </si>
  <si>
    <t xml:space="preserve">TEC AND TEC </t>
  </si>
  <si>
    <t>INGRID SILVA</t>
  </si>
  <si>
    <t xml:space="preserve">+55 (11) 97438-7485 </t>
  </si>
  <si>
    <t>Aprovado (O.S.: 38377)</t>
  </si>
  <si>
    <t xml:space="preserve">INOGENHARIA </t>
  </si>
  <si>
    <t>Eng Guilherme A. Morelli</t>
  </si>
  <si>
    <t xml:space="preserve">+55 (19) 99698-0881 </t>
  </si>
  <si>
    <t xml:space="preserve">Claudinei Vilar Matheus </t>
  </si>
  <si>
    <t xml:space="preserve">+55 (11) 99278-2827 </t>
  </si>
  <si>
    <t xml:space="preserve">ASSOCIACAO RAIZZ ITAJAI </t>
  </si>
  <si>
    <t>Chemann Gomes</t>
  </si>
  <si>
    <t xml:space="preserve">+55 (47) 9981-1184 </t>
  </si>
  <si>
    <t>Aprovado (O.S.: 38554)</t>
  </si>
  <si>
    <t xml:space="preserve">TECTURBO COMPRESSORES PECAS E SERVICOS LTDA </t>
  </si>
  <si>
    <t>Gabriella Balzani</t>
  </si>
  <si>
    <t xml:space="preserve">+55 (19) 3733-9544 </t>
  </si>
  <si>
    <t>Aprovado (O.S.: 38483)</t>
  </si>
  <si>
    <t xml:space="preserve">Marcelo henrique Nunes Moia </t>
  </si>
  <si>
    <t xml:space="preserve">+55 (11) 91718-2510 </t>
  </si>
  <si>
    <t>Aprovado (O.S.: 38390)</t>
  </si>
  <si>
    <t xml:space="preserve">HUGO LEONARDO DE OLIVEIRA SOARES </t>
  </si>
  <si>
    <t>HUGO LEONARDO DE OLIVEIRA SOARES</t>
  </si>
  <si>
    <t xml:space="preserve">+55 (11) 98259-5407 </t>
  </si>
  <si>
    <t xml:space="preserve">CONDOMINIO DO EDIFICIO RESIDENCIAL GUILHERME DE NORWICH </t>
  </si>
  <si>
    <t>Eduardo Gentile</t>
  </si>
  <si>
    <t xml:space="preserve">+55 (21) 96496-5261 </t>
  </si>
  <si>
    <t>Aprovado (O.S.: 38392)</t>
  </si>
  <si>
    <t xml:space="preserve">COMERCIAL ARAUJO JUCA </t>
  </si>
  <si>
    <t>Nilton</t>
  </si>
  <si>
    <t xml:space="preserve">+55 (22) 98143-5537 </t>
  </si>
  <si>
    <t xml:space="preserve">Pedro Ricardo Del Valle </t>
  </si>
  <si>
    <t xml:space="preserve">+55 (14) 9963-5861 </t>
  </si>
  <si>
    <t>Aprovado (O.S.: 38385)</t>
  </si>
  <si>
    <t xml:space="preserve">MEGA IMAGEM LTDA </t>
  </si>
  <si>
    <t>Alberto - setor de compras</t>
  </si>
  <si>
    <t>Aprovado (O.S.: 38386)</t>
  </si>
  <si>
    <t xml:space="preserve">CAMPO DOS OUROS </t>
  </si>
  <si>
    <t>Viaçao Campo Dos Ouros Ltda</t>
  </si>
  <si>
    <t>Aprovado (O.S.: 38387)</t>
  </si>
  <si>
    <t xml:space="preserve">Clarilena Fukugauti </t>
  </si>
  <si>
    <t xml:space="preserve">+55 (19) 9970-3299 </t>
  </si>
  <si>
    <t>Aprovado (O.S.: 38388)</t>
  </si>
  <si>
    <t xml:space="preserve">ILIKE ENERGIA SOLAR LTDA </t>
  </si>
  <si>
    <t>Flavia Omura</t>
  </si>
  <si>
    <t xml:space="preserve">+55 (11) 98565-1448 </t>
  </si>
  <si>
    <t>Aprovado (O.S.: 38559)</t>
  </si>
  <si>
    <t>Aprovado (O.S.: 38420)</t>
  </si>
  <si>
    <t xml:space="preserve">CONDOMINIO DO EDIFICIO LA RESERVE ARPOADOR </t>
  </si>
  <si>
    <t>Eliane Meira</t>
  </si>
  <si>
    <t xml:space="preserve">+55 (21) 99354-8777 </t>
  </si>
  <si>
    <t>Aprovado (O.S.: 38467)</t>
  </si>
  <si>
    <t xml:space="preserve">SENGEL CONSTRUCOES LTDA E ST UNIF </t>
  </si>
  <si>
    <t xml:space="preserve">+55 (31) 8612-2937 </t>
  </si>
  <si>
    <t>Aprovado (O.S.: 38394)</t>
  </si>
  <si>
    <t xml:space="preserve">EMPLACA </t>
  </si>
  <si>
    <t>Clarice Compras</t>
  </si>
  <si>
    <t xml:space="preserve">+55 (11) 4788-7785 </t>
  </si>
  <si>
    <t>POSTE</t>
  </si>
  <si>
    <t xml:space="preserve">HOSPITAL UNIMED </t>
  </si>
  <si>
    <t>guilherme feitosa</t>
  </si>
  <si>
    <t xml:space="preserve">+55 (14) 99850-6523 </t>
  </si>
  <si>
    <t>Aprovado (O.S.: 38513)</t>
  </si>
  <si>
    <t>Aprovado (O.S.: 38395)</t>
  </si>
  <si>
    <t xml:space="preserve">Sheila Inês Caetano Pereira </t>
  </si>
  <si>
    <t xml:space="preserve">+55 (31) 9189-4423 </t>
  </si>
  <si>
    <t>Aprovado (O.S.: 38396)</t>
  </si>
  <si>
    <t xml:space="preserve">FEST </t>
  </si>
  <si>
    <t>Flavia de Jesus</t>
  </si>
  <si>
    <t xml:space="preserve">+55 (27) 9928-7831 </t>
  </si>
  <si>
    <t xml:space="preserve">CONDOMINIO MULTIMODAL CAMPINAS </t>
  </si>
  <si>
    <t>Nicolli Nascimento</t>
  </si>
  <si>
    <t xml:space="preserve">+55 (19) 98995-6630 </t>
  </si>
  <si>
    <t>15 dias</t>
  </si>
  <si>
    <t xml:space="preserve">SANTOS &amp; BEVILAQUA - SOCIEDADE DE ADVOGADOS. </t>
  </si>
  <si>
    <t xml:space="preserve">+55 (11) 99307-4290 </t>
  </si>
  <si>
    <t xml:space="preserve">CONDOMINIO EDIFICIO ALLEGRO </t>
  </si>
  <si>
    <t xml:space="preserve">+55 (19) 98201-7536 </t>
  </si>
  <si>
    <t>Aprovado (O.S.: 38409)</t>
  </si>
  <si>
    <t xml:space="preserve">Maria Carolina Barrak de Rezende </t>
  </si>
  <si>
    <t xml:space="preserve">+55 (11) 97053-2947 </t>
  </si>
  <si>
    <t>Aprovado (O.S.: 38403)</t>
  </si>
  <si>
    <t xml:space="preserve">INTEGRAL MATERIAIS ELETRICOS LTDA </t>
  </si>
  <si>
    <t xml:space="preserve">+55 (11) 97823-6870 </t>
  </si>
  <si>
    <t>Aprovado (O.S.: 38936)</t>
  </si>
  <si>
    <t xml:space="preserve">Tharsio Frezzato </t>
  </si>
  <si>
    <t xml:space="preserve">+55 (17) 99138-1500 </t>
  </si>
  <si>
    <t>Aprovado (O.S.: 38401)</t>
  </si>
  <si>
    <t xml:space="preserve">VINICOLA SUZIN LTDA </t>
  </si>
  <si>
    <t>---</t>
  </si>
  <si>
    <t>Aprovado (O.S.: 38402)</t>
  </si>
  <si>
    <t xml:space="preserve">MUSEU DA GULA </t>
  </si>
  <si>
    <t>RH MDG</t>
  </si>
  <si>
    <t xml:space="preserve">+55 (19) 98952-7855 </t>
  </si>
  <si>
    <t>Aprovado (O.S.: 38524)</t>
  </si>
  <si>
    <t xml:space="preserve">LEVA VEICULOS </t>
  </si>
  <si>
    <t>Leva Veículos</t>
  </si>
  <si>
    <t xml:space="preserve">+55 (31) 3281-1694 </t>
  </si>
  <si>
    <t>TAMPA PLACA</t>
  </si>
  <si>
    <t xml:space="preserve">SERGIO RODRIGUES FERNANDES JUNIOR </t>
  </si>
  <si>
    <t xml:space="preserve">+55 (15) 99846-9335 </t>
  </si>
  <si>
    <t>Aprovado (O.S.: 38404)</t>
  </si>
  <si>
    <t xml:space="preserve">Danielle Henrique </t>
  </si>
  <si>
    <t xml:space="preserve">+55 (11) 97881-2198 </t>
  </si>
  <si>
    <t>Aprovado (O.S.: 38405)</t>
  </si>
  <si>
    <t xml:space="preserve">ROBERTA MOLINA SOARES BUZIGNANI </t>
  </si>
  <si>
    <t xml:space="preserve">+55 (44) 9754-2947 </t>
  </si>
  <si>
    <t>Aprovado (O.S.: 38406)</t>
  </si>
  <si>
    <t xml:space="preserve">Antonio Carlos Marostegon </t>
  </si>
  <si>
    <t xml:space="preserve">+55 (11) 94738-4162 </t>
  </si>
  <si>
    <t>Aprovado (O.S.: 38407)</t>
  </si>
  <si>
    <t xml:space="preserve">Alvaro P V da Costa </t>
  </si>
  <si>
    <t xml:space="preserve">+55 (11) 94072-6408 </t>
  </si>
  <si>
    <t>Aprovado (O.S.: 38408)</t>
  </si>
  <si>
    <t xml:space="preserve">Flavio Augusto Rodrigues Rocha </t>
  </si>
  <si>
    <t xml:space="preserve">+55 (31) 99802-8299 </t>
  </si>
  <si>
    <t>Aprovado (O.S.: 38410)</t>
  </si>
  <si>
    <t xml:space="preserve">D A E </t>
  </si>
  <si>
    <t>Vagner Martins Araújo</t>
  </si>
  <si>
    <t xml:space="preserve">+55 (19) 99882-8793 </t>
  </si>
  <si>
    <t>ACM-REFLETIVO</t>
  </si>
  <si>
    <t xml:space="preserve">CONDOMINIO DUO RESERVA DO JAPI RESIDENCIAL CLUBE </t>
  </si>
  <si>
    <t>Cicera Galdino</t>
  </si>
  <si>
    <t xml:space="preserve">+55 (11) 99660-5847 </t>
  </si>
  <si>
    <t>Aprovado (O.S.: 38411)</t>
  </si>
  <si>
    <t xml:space="preserve">CONDOMINIO RESIDENCIAS INTERNACIONAIS PARQUE GLOBAL </t>
  </si>
  <si>
    <t>Rodrigo Andrade</t>
  </si>
  <si>
    <t xml:space="preserve">+55 (11) 91547-2775 </t>
  </si>
  <si>
    <t>Placas Sinalização - OPÇÃO PS3MM</t>
  </si>
  <si>
    <t xml:space="preserve">AVANTOOLS </t>
  </si>
  <si>
    <t>Ryan Vendas</t>
  </si>
  <si>
    <t xml:space="preserve">+55 (11) 9999-9999 </t>
  </si>
  <si>
    <t>Aprovado (O.S.: 38444)</t>
  </si>
  <si>
    <t xml:space="preserve">COLEGIO DOM BOSCO RIO CLARO </t>
  </si>
  <si>
    <t xml:space="preserve">+55 (19) 99949-5386 </t>
  </si>
  <si>
    <t>Aprovado (O.S.: 38417)</t>
  </si>
  <si>
    <t>Aprovado (O.S.: 38416)</t>
  </si>
  <si>
    <t xml:space="preserve">CONDOMINIO EDIFICIO MAISON D' AMBOISE </t>
  </si>
  <si>
    <t>Juliana Cabral</t>
  </si>
  <si>
    <t xml:space="preserve">+55 (11) 5095-5919 </t>
  </si>
  <si>
    <t>Aprovado (O.S.: 38419)</t>
  </si>
  <si>
    <t xml:space="preserve">LEONARDI CONSTRUCAO INDUSTRIALIZADA LTDA </t>
  </si>
  <si>
    <t>Aline Azevedo - Leonardi</t>
  </si>
  <si>
    <t xml:space="preserve">+55 (11) 99684-5310 </t>
  </si>
  <si>
    <t>Aprovado (O.S.: 38509)</t>
  </si>
  <si>
    <t xml:space="preserve">COND.ED.POLONI </t>
  </si>
  <si>
    <t>PLANTÃO</t>
  </si>
  <si>
    <t xml:space="preserve">+55 (27) 99973-5800 </t>
  </si>
  <si>
    <t>Aprovado (O.S.: 38432)</t>
  </si>
  <si>
    <t xml:space="preserve">FERTRON AUTOMAÇÃO E ELETRICA </t>
  </si>
  <si>
    <t>Taislane</t>
  </si>
  <si>
    <t xml:space="preserve">+55 (16) 3946-5896 </t>
  </si>
  <si>
    <t>Aprovado (O.S.: 38445)</t>
  </si>
  <si>
    <t xml:space="preserve">APROCEN ASSOCIA DE PROPRIE DO RESIDENC PALLOMINO VALLEY </t>
  </si>
  <si>
    <t>Wilson Cardozo</t>
  </si>
  <si>
    <t xml:space="preserve">+55 (11) 98122-0234 </t>
  </si>
  <si>
    <t>Aprovado (O.S.: 38428)</t>
  </si>
  <si>
    <t xml:space="preserve">WORK LAVANDERIA INDUSTRIAL LTDA </t>
  </si>
  <si>
    <t>Alexandre | COMERCIAL</t>
  </si>
  <si>
    <t xml:space="preserve">+55 (19) 98162-3124 </t>
  </si>
  <si>
    <t>Aprovado (O.S.: 38435)</t>
  </si>
  <si>
    <t xml:space="preserve">FIOTEC </t>
  </si>
  <si>
    <t>Cristiane Dias Sa</t>
  </si>
  <si>
    <t xml:space="preserve">(21)2209-2600/(21)2209-2638 </t>
  </si>
  <si>
    <t xml:space="preserve">Ana Fernandes </t>
  </si>
  <si>
    <t>Ana Fernandes</t>
  </si>
  <si>
    <t xml:space="preserve">Simone Cavalheiro </t>
  </si>
  <si>
    <t xml:space="preserve">+55 (11) 98364-4284 </t>
  </si>
  <si>
    <t>Aprovado (O.S.: 38429)</t>
  </si>
  <si>
    <t xml:space="preserve">FIOLUX INDUSTRIA E COMERCIO </t>
  </si>
  <si>
    <t>Sergio A Gonçalves</t>
  </si>
  <si>
    <t xml:space="preserve">+55 (19) 3238-7666 </t>
  </si>
  <si>
    <t xml:space="preserve">CASARAO DAS FERRAMENTAS </t>
  </si>
  <si>
    <t xml:space="preserve">+55 (19) 3245-0376 </t>
  </si>
  <si>
    <t>Aprovado (O.S.: 38430)</t>
  </si>
  <si>
    <t xml:space="preserve">Berenice Aparecida Guerelus Gonçalves Gonçalves </t>
  </si>
  <si>
    <t xml:space="preserve">+55 (42) 98803-2263 </t>
  </si>
  <si>
    <t>Aprovado (O.S.: 38433)</t>
  </si>
  <si>
    <t xml:space="preserve">NIPPONTECH </t>
  </si>
  <si>
    <t>Paulo Akamine 赤嶺</t>
  </si>
  <si>
    <t xml:space="preserve">+55 (34) 3428-3725 </t>
  </si>
  <si>
    <t>Aprovado (O.S.: 38434)</t>
  </si>
  <si>
    <t xml:space="preserve">Felipe Augusto Camargo </t>
  </si>
  <si>
    <t xml:space="preserve">+55 (11) 96419-1228 </t>
  </si>
  <si>
    <t>Aprovado (O.S.: 38436)</t>
  </si>
  <si>
    <t xml:space="preserve">CAPSOLUTION SUPRIMENTOS CORPORATIVOS </t>
  </si>
  <si>
    <t xml:space="preserve">+55 (19) 7100-5373 </t>
  </si>
  <si>
    <t>PS 2mm + Fotoluminescente</t>
  </si>
  <si>
    <t xml:space="preserve">CONJUNTO RESIDENCIAL ROSALIA </t>
  </si>
  <si>
    <t xml:space="preserve">+55 (11) 99101-5101 </t>
  </si>
  <si>
    <t>Aprovado (O.S.: 38443)</t>
  </si>
  <si>
    <t xml:space="preserve">ARFRIO S/A ARMAZENS GERAIS FRIGORIFICOS </t>
  </si>
  <si>
    <t>Administração Barueri</t>
  </si>
  <si>
    <t xml:space="preserve">+55 (11) 94713-8234 </t>
  </si>
  <si>
    <t>PS 2mm + PVC EXPANDIDO FOTOLUMINESCENTE 2mm</t>
  </si>
  <si>
    <t>Aprovado (O.S.: 38439)</t>
  </si>
  <si>
    <t xml:space="preserve">Rafaela da Costa Leite Mello </t>
  </si>
  <si>
    <t>Rafa Mello</t>
  </si>
  <si>
    <t xml:space="preserve">+55 (61) 9905-1449 </t>
  </si>
  <si>
    <t xml:space="preserve">CONDOMINIO RESIDENCIAL ELIZABETH II </t>
  </si>
  <si>
    <t>David Duarte</t>
  </si>
  <si>
    <t xml:space="preserve">+55 (11) 96766-6945 </t>
  </si>
  <si>
    <t xml:space="preserve">BAKKEN HOSPITALAR </t>
  </si>
  <si>
    <t xml:space="preserve">+55 (19) 99697-9156 </t>
  </si>
  <si>
    <t>Aprovado (O.S.: 38454)</t>
  </si>
  <si>
    <t xml:space="preserve">ABAI BRASIL </t>
  </si>
  <si>
    <t>TAMYRIS GUIMARAES OLIVEIRA</t>
  </si>
  <si>
    <t xml:space="preserve">(11)4688-4001/(11)4688-4226 </t>
  </si>
  <si>
    <t xml:space="preserve">D'PAULA INDUSTRIA E COMERCIO LTDA </t>
  </si>
  <si>
    <t>Regiane Alves</t>
  </si>
  <si>
    <t xml:space="preserve">+55 (11) 4199-3737 </t>
  </si>
  <si>
    <t>Aprovado (O.S.: 38486)</t>
  </si>
  <si>
    <t xml:space="preserve">Natalia Gavassa Flores </t>
  </si>
  <si>
    <t>Natalia</t>
  </si>
  <si>
    <t xml:space="preserve">+55 (11) 98365-2743 </t>
  </si>
  <si>
    <t>Aprovado (O.S.: 38471)</t>
  </si>
  <si>
    <t>Aprovado (O.S.: 38493)</t>
  </si>
  <si>
    <t xml:space="preserve">ARKOS HOLDING BRASIL LTDA </t>
  </si>
  <si>
    <t>Nilson</t>
  </si>
  <si>
    <t xml:space="preserve">+55 (19) 99245-5223 </t>
  </si>
  <si>
    <t xml:space="preserve">AEON SECURITY </t>
  </si>
  <si>
    <t xml:space="preserve">+55 (21) 99702-4230 </t>
  </si>
  <si>
    <t>Aprovado (O.S.: 38647)</t>
  </si>
  <si>
    <t xml:space="preserve">CLUBE PAINEIRAS DO MORUMBY </t>
  </si>
  <si>
    <t xml:space="preserve">+55 (11) 99749-9976 </t>
  </si>
  <si>
    <t>Aprovado (O.S.: 38481)</t>
  </si>
  <si>
    <t xml:space="preserve">COFFEE AND CODE </t>
  </si>
  <si>
    <t>Malu</t>
  </si>
  <si>
    <t xml:space="preserve">+55 (19) 97826-7154 </t>
  </si>
  <si>
    <t xml:space="preserve">LIQUEXPRESS TRANSPORTES RODOVIARIOS LTDA </t>
  </si>
  <si>
    <t>Rodrigo Felipe</t>
  </si>
  <si>
    <t>Aprovado (O.S.: 38622)</t>
  </si>
  <si>
    <t>Aprovado (O.S.: 38450)</t>
  </si>
  <si>
    <t xml:space="preserve">Maria Aparecida Da Silva Aquino De Oliveira </t>
  </si>
  <si>
    <t>Maria Aparecida Da Silva Aquino De Oliveira</t>
  </si>
  <si>
    <t xml:space="preserve">+55 (11) 98701-3523 </t>
  </si>
  <si>
    <t>Aprovado (O.S.: 38452)</t>
  </si>
  <si>
    <t xml:space="preserve">VISUAL GEAC </t>
  </si>
  <si>
    <t>Thiago Felix</t>
  </si>
  <si>
    <t xml:space="preserve">+55 (19) 98445-8544 </t>
  </si>
  <si>
    <t>Aprovado (O.S.: 38512)</t>
  </si>
  <si>
    <t xml:space="preserve">NS SUDESTE </t>
  </si>
  <si>
    <t>Michella</t>
  </si>
  <si>
    <t xml:space="preserve">+55 (19) 3517-8211 </t>
  </si>
  <si>
    <t>Aprovado (O.S.: 38478)</t>
  </si>
  <si>
    <t xml:space="preserve">RICARDO LUIS DINIZ </t>
  </si>
  <si>
    <t xml:space="preserve">+55 (19) 97402-4912 </t>
  </si>
  <si>
    <t>Aprovado (O.S.: 38453)</t>
  </si>
  <si>
    <t xml:space="preserve">SAUDE OCUPACIONAL UNIMED - SOU </t>
  </si>
  <si>
    <t>UNIMED DE PRES PRUDENTE COOPERATIVA DE TRABALHO MEDICO</t>
  </si>
  <si>
    <t xml:space="preserve">+55 (18) 2101-8372 </t>
  </si>
  <si>
    <t>Aprovado (O.S.: 38460)</t>
  </si>
  <si>
    <t xml:space="preserve">CONDOMINIO EDIFICIO SAINT BARTHS </t>
  </si>
  <si>
    <t>Paula Simão</t>
  </si>
  <si>
    <t xml:space="preserve">+55 (11) 3744-5227 </t>
  </si>
  <si>
    <t>Aprovado (O.S.: 38461)</t>
  </si>
  <si>
    <t xml:space="preserve">Daniela Lírio Vieira de Almeida </t>
  </si>
  <si>
    <t xml:space="preserve">+55 (11) 94061-4922 </t>
  </si>
  <si>
    <t>Aprovado (O.S.: 38462)</t>
  </si>
  <si>
    <t xml:space="preserve">CONDOMINIO EDIFICIO BELA VISTA </t>
  </si>
  <si>
    <t>Condominio Edificio Bela Vista</t>
  </si>
  <si>
    <t xml:space="preserve">+55 (11) 99655-0610 </t>
  </si>
  <si>
    <t>Aprovado (O.S.: 38463)</t>
  </si>
  <si>
    <t xml:space="preserve">Renato Jorge Carvalho Pereira </t>
  </si>
  <si>
    <t xml:space="preserve">+55 (71) 98843-9372 </t>
  </si>
  <si>
    <t>Aprovado (O.S.: 38464)</t>
  </si>
  <si>
    <t xml:space="preserve">Luiz Carlos Reis </t>
  </si>
  <si>
    <t xml:space="preserve">+55 (11) 99385-1687 </t>
  </si>
  <si>
    <t>Aprovado (O.S.: 38465)</t>
  </si>
  <si>
    <t xml:space="preserve">E Q U I V E S T. </t>
  </si>
  <si>
    <t xml:space="preserve">+55 (16) 99341-6243 </t>
  </si>
  <si>
    <t>Aprovado (O.S.: 38474)</t>
  </si>
  <si>
    <t xml:space="preserve">FREEDOM ENGENHARIA E CONSTRUCAO LTDA </t>
  </si>
  <si>
    <t>Freedom Engenharia e Construção Ltda</t>
  </si>
  <si>
    <t xml:space="preserve">+55 (47) 9940-0490 </t>
  </si>
  <si>
    <t xml:space="preserve">Paolo Willians Rodrigues Mantovani </t>
  </si>
  <si>
    <t xml:space="preserve">+55 (19) 97122-6043 </t>
  </si>
  <si>
    <t>Aprovado (O.S.: 38470)</t>
  </si>
  <si>
    <t xml:space="preserve">ENGELIPE OBRAS E MANUTENCAO LTDA. </t>
  </si>
  <si>
    <t>St</t>
  </si>
  <si>
    <t xml:space="preserve">+55 (11) 98447-3827 </t>
  </si>
  <si>
    <t xml:space="preserve">KOTHE TRANSPORTES E LOGISTICA </t>
  </si>
  <si>
    <t>Josimar</t>
  </si>
  <si>
    <t xml:space="preserve">+55 (63) 8151-3131 </t>
  </si>
  <si>
    <t xml:space="preserve">CONDOMINIO RESIDENCIAL CALIFORNIA </t>
  </si>
  <si>
    <t xml:space="preserve">+55 (11) 98031-3257 </t>
  </si>
  <si>
    <t>Aprovado (O.S.: 38472)</t>
  </si>
  <si>
    <t xml:space="preserve">T&amp;E ANALITICA - CENTRO DE PESQUISA CIENTIFICA </t>
  </si>
  <si>
    <t>Compras - T&amp;E Analítica</t>
  </si>
  <si>
    <t xml:space="preserve">+55 (19) 99919-6706 </t>
  </si>
  <si>
    <t xml:space="preserve">GP TRATORES SERVICOS HIDRAULICOS </t>
  </si>
  <si>
    <t xml:space="preserve">+55 (19) 2220-5179 </t>
  </si>
  <si>
    <t xml:space="preserve">CONDOMINIO EDIFICIO ST JAMES </t>
  </si>
  <si>
    <t>Ray Constancio</t>
  </si>
  <si>
    <t xml:space="preserve">+55 (16) 99228-4850 </t>
  </si>
  <si>
    <t>Aprovado (O.S.: 38473)</t>
  </si>
  <si>
    <t>Aprovado (O.S.: 38521)</t>
  </si>
  <si>
    <t xml:space="preserve">WILMAR CRAVEIRO MARINHO DA SILVA </t>
  </si>
  <si>
    <t xml:space="preserve">+55 (71) 9608-2775 </t>
  </si>
  <si>
    <t>Aprovado (O.S.: 38528)</t>
  </si>
  <si>
    <t xml:space="preserve">APL METALIZACOES </t>
  </si>
  <si>
    <t>Apl Mentalizações</t>
  </si>
  <si>
    <t xml:space="preserve">+55 (11) 98185-7295 </t>
  </si>
  <si>
    <t>Aprovado (O.S.: 38492)</t>
  </si>
  <si>
    <t xml:space="preserve">CONDOMINIO DO CONJUNTO RESIDENCIAL OURO VERDE </t>
  </si>
  <si>
    <t>Adm</t>
  </si>
  <si>
    <t xml:space="preserve">+55 (19) 3226-8555 </t>
  </si>
  <si>
    <t>Aprovado (O.S.: 38487)</t>
  </si>
  <si>
    <t xml:space="preserve">ALTO SAO FRANCISCO </t>
  </si>
  <si>
    <t>Almeida Djacy</t>
  </si>
  <si>
    <t xml:space="preserve">+55 (11) 98722-5650 </t>
  </si>
  <si>
    <t>Aprovado (O.S.: 38477)</t>
  </si>
  <si>
    <t xml:space="preserve">Tales Calegari </t>
  </si>
  <si>
    <t xml:space="preserve">+55 (11) 97147-5850 </t>
  </si>
  <si>
    <t>Aprovado (O.S.: 38535)</t>
  </si>
  <si>
    <t xml:space="preserve">CONDOMINIO EDIFICIO PORTO SEGURO </t>
  </si>
  <si>
    <t xml:space="preserve">+55 852 242 811 </t>
  </si>
  <si>
    <t xml:space="preserve">IGREJA DO NAZARENO CENTRAL </t>
  </si>
  <si>
    <t xml:space="preserve">+55 (19) 3234-5600 </t>
  </si>
  <si>
    <t>Aprovado (O.S.: 38479)</t>
  </si>
  <si>
    <t xml:space="preserve">CENTRO NACIONAL DE TRANSPORTE </t>
  </si>
  <si>
    <t>VANESSA FRANCISCA DA SILVA</t>
  </si>
  <si>
    <t>Aprovado (O.S.: 38484)</t>
  </si>
  <si>
    <t xml:space="preserve">ESTILO GRANJA VIANA </t>
  </si>
  <si>
    <t>Claudio</t>
  </si>
  <si>
    <t xml:space="preserve">+55 (11) 3732-2240 </t>
  </si>
  <si>
    <t>Aprovado (O.S.: 38485)</t>
  </si>
  <si>
    <t>Aprovado (O.S.: 38536)</t>
  </si>
  <si>
    <t xml:space="preserve">AG Power comercio e instalação de Paineis Fotovoltaico </t>
  </si>
  <si>
    <t>Marton</t>
  </si>
  <si>
    <t xml:space="preserve">+55 (19) 97117-1961 </t>
  </si>
  <si>
    <t>Aprovado (O.S.: 38537)</t>
  </si>
  <si>
    <t xml:space="preserve">Marcio Imoto </t>
  </si>
  <si>
    <t xml:space="preserve">+55 (11) 99316-4991 </t>
  </si>
  <si>
    <t>Aprovado (O.S.: 38489)</t>
  </si>
  <si>
    <t xml:space="preserve">ASSOCIACAO TAMBORE RESIDENCIAL 2 </t>
  </si>
  <si>
    <t>Departamento Técnico T2</t>
  </si>
  <si>
    <t xml:space="preserve">+55 (11) 91327-7718 </t>
  </si>
  <si>
    <t>Aprovado (O.S.: 38552)</t>
  </si>
  <si>
    <t xml:space="preserve">CREDIVALE </t>
  </si>
  <si>
    <t>Michel Franchini Dias</t>
  </si>
  <si>
    <t xml:space="preserve">+55 (18) 98111-2288 </t>
  </si>
  <si>
    <t xml:space="preserve">Cicero pereira de oliveira </t>
  </si>
  <si>
    <t xml:space="preserve">+55 (11) 9646-8747 </t>
  </si>
  <si>
    <t>Aprovado (O.S.: 38490)</t>
  </si>
  <si>
    <t xml:space="preserve">J T &amp; P </t>
  </si>
  <si>
    <t>João Tigre</t>
  </si>
  <si>
    <t xml:space="preserve">+55 (19) 98421-0904 </t>
  </si>
  <si>
    <t>Aprovado (O.S.: 38494)</t>
  </si>
  <si>
    <t>Aprovado (O.S.: 38523)</t>
  </si>
  <si>
    <t xml:space="preserve">BRASAL PAR </t>
  </si>
  <si>
    <t>Guilherme ?</t>
  </si>
  <si>
    <t xml:space="preserve">+55 (61) 9559-9684 </t>
  </si>
  <si>
    <t>Aprovado (O.S.: 38502)</t>
  </si>
  <si>
    <t>Aprovado (O.S.: 38491)</t>
  </si>
  <si>
    <t xml:space="preserve">INSTITUTO AFFONSO FERREIRA - SOCIEDADE SIMPLES </t>
  </si>
  <si>
    <t>Bibiana</t>
  </si>
  <si>
    <t xml:space="preserve">+55 (19) 98379-3810 </t>
  </si>
  <si>
    <t>Aprovado (O.S.: 38560)</t>
  </si>
  <si>
    <t xml:space="preserve">HOSPITAL SANTA IGNES LTDA </t>
  </si>
  <si>
    <t>Tamires</t>
  </si>
  <si>
    <t xml:space="preserve">+55 (19) 2513-5990 </t>
  </si>
  <si>
    <t>Aprovado (O.S.: 38661)</t>
  </si>
  <si>
    <t xml:space="preserve">FITESA NAOTECIDOS S/A </t>
  </si>
  <si>
    <t xml:space="preserve">+55 (19) 99103-6183 </t>
  </si>
  <si>
    <t xml:space="preserve">Hyperion Materials &amp; Technologies Brazil Ltda </t>
  </si>
  <si>
    <t>Lucas Moraes</t>
  </si>
  <si>
    <t xml:space="preserve">+55 (11) 3041-3125 </t>
  </si>
  <si>
    <t>Aprovado (O.S.: 38864)</t>
  </si>
  <si>
    <t xml:space="preserve">PRAIA CLUBE </t>
  </si>
  <si>
    <t>Wanderson Praia Clube</t>
  </si>
  <si>
    <t xml:space="preserve">+55 (34) 9826-9769 </t>
  </si>
  <si>
    <t>Aprovado (O.S.: 38807)</t>
  </si>
  <si>
    <t>Aprovado (O.S.: 38619)</t>
  </si>
  <si>
    <t xml:space="preserve">Fernando Jose Bardou </t>
  </si>
  <si>
    <t>Fernando Bardou</t>
  </si>
  <si>
    <t xml:space="preserve">+55 (19) 99179-6072 </t>
  </si>
  <si>
    <t>Aprovado (O.S.: 38510)</t>
  </si>
  <si>
    <t xml:space="preserve">INSTITUTO PRESBITERIANO MACKENZIE </t>
  </si>
  <si>
    <t>Lilian</t>
  </si>
  <si>
    <t xml:space="preserve">+55 (11) 3555-2023 </t>
  </si>
  <si>
    <t>Aprovado (O.S.: 38496)</t>
  </si>
  <si>
    <t xml:space="preserve">CONDOMINIO EDIFICIO MARIBEL </t>
  </si>
  <si>
    <t>Condominio edificio mirabel</t>
  </si>
  <si>
    <t xml:space="preserve">+55 (11) 97121-9818 </t>
  </si>
  <si>
    <t>Aprovado (O.S.: 38498)</t>
  </si>
  <si>
    <t xml:space="preserve">Reinaldo Quintão Alves </t>
  </si>
  <si>
    <t xml:space="preserve">+55 (31) 99973-7766 </t>
  </si>
  <si>
    <t>Aprovado (O.S.: 38499)</t>
  </si>
  <si>
    <t>Aprovado (O.S.: 38508)</t>
  </si>
  <si>
    <t>Aprovado (O.S.: 38659)</t>
  </si>
  <si>
    <t xml:space="preserve">ARTE HIDRAULICA </t>
  </si>
  <si>
    <t>Leandro Santili</t>
  </si>
  <si>
    <t xml:space="preserve">+55 (16) 3624-3552 </t>
  </si>
  <si>
    <t>Aprovado (O.S.: 38500)</t>
  </si>
  <si>
    <t xml:space="preserve">DAY HOME CARE </t>
  </si>
  <si>
    <t>Vilma Santos</t>
  </si>
  <si>
    <t xml:space="preserve">+55 (11) 2755-0638 </t>
  </si>
  <si>
    <t>Aprovado (O.S.: 38501)</t>
  </si>
  <si>
    <t xml:space="preserve">Sandra Bueno de Oliveira </t>
  </si>
  <si>
    <t xml:space="preserve">+55 (11) 99141-4129 </t>
  </si>
  <si>
    <t>Aprovado (O.S.: 38504)</t>
  </si>
  <si>
    <t>Aprovado (O.S.: 38507)</t>
  </si>
  <si>
    <t xml:space="preserve">LD HEALTH GROUP </t>
  </si>
  <si>
    <t>Sara Medeiros</t>
  </si>
  <si>
    <t xml:space="preserve">+55 (12) 99670-5369 </t>
  </si>
  <si>
    <t>Aprovado (O.S.: 38557)</t>
  </si>
  <si>
    <t>Aprovado (O.S.: 38744)</t>
  </si>
  <si>
    <t xml:space="preserve">LITOGRAFIA BANDEIRANTES LTDA </t>
  </si>
  <si>
    <t>LUCIANA</t>
  </si>
  <si>
    <t xml:space="preserve">+55 (11) 97150-0289 </t>
  </si>
  <si>
    <t xml:space="preserve">SANEX COMERCIO E INDUSTRIA </t>
  </si>
  <si>
    <t>Rita</t>
  </si>
  <si>
    <t xml:space="preserve">+55 (41) 8462-8333 </t>
  </si>
  <si>
    <t>Aprovado (O.S.: 38725)</t>
  </si>
  <si>
    <t>Aprovado (O.S.: 38514)</t>
  </si>
  <si>
    <t xml:space="preserve">MADELON CHAVES FAIAS </t>
  </si>
  <si>
    <t xml:space="preserve">+55 (41) 99907-4283 </t>
  </si>
  <si>
    <t>Aprovado (O.S.: 38518)</t>
  </si>
  <si>
    <t xml:space="preserve">FASS INDUSTRIA E COMERCIO DE PRODUTOS AGROPECUARIOS LTDA </t>
  </si>
  <si>
    <t>Marketing Fass Agro</t>
  </si>
  <si>
    <t xml:space="preserve">+55 (16) 99181-2669 </t>
  </si>
  <si>
    <t>Aprovado (O.S.: 38614)</t>
  </si>
  <si>
    <t xml:space="preserve">CONDOMINIO EDIFICIO CAROLINA </t>
  </si>
  <si>
    <t>Albino C. Caires</t>
  </si>
  <si>
    <t xml:space="preserve">+55 (11) 3858-9726 </t>
  </si>
  <si>
    <t>Aprovado (O.S.: 38520)</t>
  </si>
  <si>
    <t xml:space="preserve">CONDOMINIO EDIFICIO NELYZA </t>
  </si>
  <si>
    <t>Carlos Marcelo Ferreira dos Santos</t>
  </si>
  <si>
    <t xml:space="preserve">+55 (19) 99155-0113 </t>
  </si>
  <si>
    <t>Aprovado (O.S.: 38522)</t>
  </si>
  <si>
    <t xml:space="preserve">QR IMOVEL </t>
  </si>
  <si>
    <t>Osvaldo Yhara</t>
  </si>
  <si>
    <t xml:space="preserve">+55 (19) 3254-2962 </t>
  </si>
  <si>
    <t>Aprovado (O.S.: 38534)</t>
  </si>
  <si>
    <t>Aprovado (O.S.: 38531)</t>
  </si>
  <si>
    <t xml:space="preserve">BONO PNEUS OROSIMBO MAIA </t>
  </si>
  <si>
    <t xml:space="preserve">+55 (19) 95330-3654 </t>
  </si>
  <si>
    <t>Aprovado (O.S.: 38525)</t>
  </si>
  <si>
    <t xml:space="preserve">AGIS MINERACAO LTDA. </t>
  </si>
  <si>
    <t>Anna</t>
  </si>
  <si>
    <t xml:space="preserve">+55 (11) 99469-9272 </t>
  </si>
  <si>
    <t xml:space="preserve">CONDOMINIO DO EDIFICIO PRISMA V </t>
  </si>
  <si>
    <t xml:space="preserve">+55 (21) 96426-0567 </t>
  </si>
  <si>
    <t>Aprovado (O.S.: 38577)</t>
  </si>
  <si>
    <t>Aprovado (O.S.: 38529)</t>
  </si>
  <si>
    <t xml:space="preserve">Carolyne de Mello </t>
  </si>
  <si>
    <t>CAROLYNE MELLO</t>
  </si>
  <si>
    <t xml:space="preserve">+55 (51) 9140-4038 </t>
  </si>
  <si>
    <t>PS 2mm + GABARITO</t>
  </si>
  <si>
    <t xml:space="preserve">UNIEDUCAMP FACULDADES INTEGRADAS LTDA </t>
  </si>
  <si>
    <t>Luna</t>
  </si>
  <si>
    <t xml:space="preserve">+55 (19) 97172-2879 </t>
  </si>
  <si>
    <t>Aprovado (O.S.: 38530)</t>
  </si>
  <si>
    <t xml:space="preserve">SINDICATO DOS TRABALHADORES NO COM HOTELEIRO </t>
  </si>
  <si>
    <t>FLAVI</t>
  </si>
  <si>
    <t xml:space="preserve">+55 (54) 8102-5253 </t>
  </si>
  <si>
    <t>Aprovado (O.S.: 38539)</t>
  </si>
  <si>
    <t xml:space="preserve">FADELITO CAMPINAS </t>
  </si>
  <si>
    <t>ADRIANO MATTOSO DOS ANJOS</t>
  </si>
  <si>
    <t xml:space="preserve">+55 (11) 98222-9210 </t>
  </si>
  <si>
    <t>Aprovado (O.S.: 38533)</t>
  </si>
  <si>
    <t xml:space="preserve">Larissa Dourado da Silva </t>
  </si>
  <si>
    <t>Larissa Dourado da Silva</t>
  </si>
  <si>
    <t xml:space="preserve">+55 (66) 9244-1010 </t>
  </si>
  <si>
    <t xml:space="preserve">RESIDENCIAL RECANTO DOS PASSAROS </t>
  </si>
  <si>
    <t>Edson Rocha</t>
  </si>
  <si>
    <t xml:space="preserve">+55 (41) 9681-9719 </t>
  </si>
  <si>
    <t>Aprovado (O.S.: 38553)</t>
  </si>
  <si>
    <t xml:space="preserve">Priscila Beneti </t>
  </si>
  <si>
    <t xml:space="preserve">+55 (19) 3406-7127 </t>
  </si>
  <si>
    <t>Aprovado (O.S.: 38538)</t>
  </si>
  <si>
    <t xml:space="preserve">Jaqueline Lima Feitosa </t>
  </si>
  <si>
    <t>Jaqueline Lima Machado</t>
  </si>
  <si>
    <t xml:space="preserve">+55 (11) 98512-7638 </t>
  </si>
  <si>
    <t>Aprovado (O.S.: 38555)</t>
  </si>
  <si>
    <t>Aprovado (O.S.: 38540)</t>
  </si>
  <si>
    <t xml:space="preserve">TABOR PARTICIPACOES LTDA </t>
  </si>
  <si>
    <t>RAYANA LIMA PEDROSA</t>
  </si>
  <si>
    <t xml:space="preserve">+55 (31) 3212-6400 </t>
  </si>
  <si>
    <t>Aprovado (O.S.: 38541)</t>
  </si>
  <si>
    <t xml:space="preserve">OLIVEIRA PAULINIA MATERIAIS PARA CONSTRUCAO LTDA </t>
  </si>
  <si>
    <t>Pri Rondanini</t>
  </si>
  <si>
    <t xml:space="preserve">+55 (19) 99297-6666 </t>
  </si>
  <si>
    <t>Aprovado (O.S.: 38544)</t>
  </si>
  <si>
    <t xml:space="preserve">CONDOMINIO CHAMPS ELYSEES </t>
  </si>
  <si>
    <t>Klebia Lopes</t>
  </si>
  <si>
    <t xml:space="preserve">+55 (11) 5644-5300 </t>
  </si>
  <si>
    <t>Aprovado (O.S.: 38543)</t>
  </si>
  <si>
    <t xml:space="preserve">SANDRA MUNOZ MERINO </t>
  </si>
  <si>
    <t xml:space="preserve">+55 (11) 99974-2942 </t>
  </si>
  <si>
    <t>Aprovado (O.S.: 38551)</t>
  </si>
  <si>
    <t>Wander Costa</t>
  </si>
  <si>
    <t>Aprovado (O.S.: 38561)</t>
  </si>
  <si>
    <t xml:space="preserve">SKYFIT ONIX </t>
  </si>
  <si>
    <t>Vanessa Rodrigues</t>
  </si>
  <si>
    <t xml:space="preserve">+55 (11) 96778-2249 </t>
  </si>
  <si>
    <t xml:space="preserve">Samuel Tarifa Franco </t>
  </si>
  <si>
    <t>Samuel Tarifa Franco</t>
  </si>
  <si>
    <t xml:space="preserve">+55 (41) 9929-3704 </t>
  </si>
  <si>
    <t>TAMPA PLACA + ACM</t>
  </si>
  <si>
    <t xml:space="preserve">VIVIANE NOVAES DE MOURA VIEIRA 01101044128 </t>
  </si>
  <si>
    <t>Flávio Beretta</t>
  </si>
  <si>
    <t xml:space="preserve">+55 (67) 9802-0295 </t>
  </si>
  <si>
    <t>Aprovado (O.S.: 38565)</t>
  </si>
  <si>
    <t xml:space="preserve">SEROPEDICA </t>
  </si>
  <si>
    <t xml:space="preserve">+55 (21) 99050-2083 </t>
  </si>
  <si>
    <t>Aprovado (O.S.: 38629)</t>
  </si>
  <si>
    <t xml:space="preserve">FUNAP </t>
  </si>
  <si>
    <t>Mario</t>
  </si>
  <si>
    <t xml:space="preserve">(11)3150-1035/(11)3150-103 </t>
  </si>
  <si>
    <t xml:space="preserve">J DIAS </t>
  </si>
  <si>
    <t>adm</t>
  </si>
  <si>
    <t xml:space="preserve">+55 (17) 98117-0546 </t>
  </si>
  <si>
    <t>Aprovado (O.S.: 38576)</t>
  </si>
  <si>
    <t xml:space="preserve">DMS BURNIER </t>
  </si>
  <si>
    <t>.</t>
  </si>
  <si>
    <t xml:space="preserve">+55 (19) 99589-7492 </t>
  </si>
  <si>
    <t>Aprovado (O.S.: 38578)</t>
  </si>
  <si>
    <t xml:space="preserve">CONDOMINIO UP LAGO DOS PATOS </t>
  </si>
  <si>
    <t>Marcela Síndica</t>
  </si>
  <si>
    <t xml:space="preserve">+55 (11) 99879-8770 </t>
  </si>
  <si>
    <t>Aprovado (O.S.: 38608)</t>
  </si>
  <si>
    <t xml:space="preserve">BASTOS, BARI, VILELA E ZUGMAN SOCIEDADE DE ADVOGADOS </t>
  </si>
  <si>
    <t>Aylla Leite</t>
  </si>
  <si>
    <t xml:space="preserve">+55 (11) 99434-4809 </t>
  </si>
  <si>
    <t>Aprovado (O.S.: 38676)</t>
  </si>
  <si>
    <t xml:space="preserve">Natalie Macedo </t>
  </si>
  <si>
    <t xml:space="preserve">+55 (19) 98292-5218 </t>
  </si>
  <si>
    <t>Aprovado (O.S.: 38563)</t>
  </si>
  <si>
    <t xml:space="preserve">GRADUAL COMERCIO REPRESENTACOES E IMPORTACAO LTDA. </t>
  </si>
  <si>
    <t xml:space="preserve">+55 (19) 98151-0519 </t>
  </si>
  <si>
    <t>Aprovado (O.S.: 38564)</t>
  </si>
  <si>
    <t xml:space="preserve">Benicio Stabile Levy Alves </t>
  </si>
  <si>
    <t xml:space="preserve">+55 (11) 97184-2205 </t>
  </si>
  <si>
    <t>Aprovado (O.S.: 38566)</t>
  </si>
  <si>
    <t xml:space="preserve">Sérgio Fabiano De Souza </t>
  </si>
  <si>
    <t xml:space="preserve">+55 (11) 98819-9418 </t>
  </si>
  <si>
    <t>Aprovado (O.S.: 38567)</t>
  </si>
  <si>
    <t xml:space="preserve">Walter Antonio Lúcio dos Santos </t>
  </si>
  <si>
    <t xml:space="preserve">+55 (11) 99919-7600 </t>
  </si>
  <si>
    <t>Aprovado (O.S.: 38568)</t>
  </si>
  <si>
    <t xml:space="preserve">CONDOMINIO EDIFICIO SOLAR DOS CORTES </t>
  </si>
  <si>
    <t>Condomínio Edifício Solar dos Cortes</t>
  </si>
  <si>
    <t xml:space="preserve">+55 (11) 98259-1308 </t>
  </si>
  <si>
    <t>Aprovado (O.S.: 38569)</t>
  </si>
  <si>
    <t xml:space="preserve">FAPEG </t>
  </si>
  <si>
    <t>Cibele Cavalheiro</t>
  </si>
  <si>
    <t xml:space="preserve">+55 (53) 3275-8124 </t>
  </si>
  <si>
    <t>Aprovado (O.S.: 38570)</t>
  </si>
  <si>
    <t xml:space="preserve">Fernando Faccioli </t>
  </si>
  <si>
    <t xml:space="preserve">+55 (11) 93948-7973 </t>
  </si>
  <si>
    <t>Aprovado (O.S.: 38571)</t>
  </si>
  <si>
    <t xml:space="preserve">Cássio Matos da Silva </t>
  </si>
  <si>
    <t xml:space="preserve">+55 (11) 98733-4024 </t>
  </si>
  <si>
    <t>Aprovado (O.S.: 38572)</t>
  </si>
  <si>
    <t>Aprovado (O.S.: 38631)</t>
  </si>
  <si>
    <t xml:space="preserve">STATUS PRO HIGIENE E LIMPEZA LTDA </t>
  </si>
  <si>
    <t xml:space="preserve">+55 (11) 99681-3265 </t>
  </si>
  <si>
    <t>Aprovado (O.S.: 38603)</t>
  </si>
  <si>
    <t xml:space="preserve">Claudia Fernanda Rampazo </t>
  </si>
  <si>
    <t>Claudia</t>
  </si>
  <si>
    <t xml:space="preserve">+55 (19) 98154-6056 </t>
  </si>
  <si>
    <t>Aprovado (O.S.: 38582)</t>
  </si>
  <si>
    <t xml:space="preserve">Gabriela Rampim Abreu </t>
  </si>
  <si>
    <t xml:space="preserve">+55 (11) 99677-0388 </t>
  </si>
  <si>
    <t>Aprovado (O.S.: 38584)</t>
  </si>
  <si>
    <t xml:space="preserve">MW AUTO SOCORRO </t>
  </si>
  <si>
    <t>Marcel Wagner</t>
  </si>
  <si>
    <t xml:space="preserve">+55 (41) 9872-8800 </t>
  </si>
  <si>
    <t>Aprovado (O.S.: 38583)</t>
  </si>
  <si>
    <t xml:space="preserve">SOS TECNOLOGIA E GESTAO DA INFORMACAO LTDA </t>
  </si>
  <si>
    <t>Elias Silvestre ??‍?</t>
  </si>
  <si>
    <t xml:space="preserve">+55 (61) 9636-3298 </t>
  </si>
  <si>
    <t>PS 2mm CIPA + ACRILICO 2mm QUADRO</t>
  </si>
  <si>
    <t>Aprovado (O.S.: 38585)</t>
  </si>
  <si>
    <t xml:space="preserve">CONDOMINIO DO EDIFICIO JULIA MARIA </t>
  </si>
  <si>
    <t>Ana C.</t>
  </si>
  <si>
    <t xml:space="preserve">+55 (11) 95430-8591 </t>
  </si>
  <si>
    <t>Aprovado (O.S.: 38594)</t>
  </si>
  <si>
    <t xml:space="preserve">João Paulo Sangion </t>
  </si>
  <si>
    <t xml:space="preserve">+55 (19) 98859-4459 </t>
  </si>
  <si>
    <t>Aprovado (O.S.: 38586)</t>
  </si>
  <si>
    <t xml:space="preserve">Itenira P. Bernardi </t>
  </si>
  <si>
    <t xml:space="preserve">+55 (19) 98444-7381 </t>
  </si>
  <si>
    <t>Aprovado (O.S.: 38628)</t>
  </si>
  <si>
    <t xml:space="preserve">AMERICA FUTEBOL CLUBE SOCIEDADE ANONIMA DO FUTEBOL </t>
  </si>
  <si>
    <t>Giovanna Alves</t>
  </si>
  <si>
    <t xml:space="preserve">+55 (31) 3431-8181 </t>
  </si>
  <si>
    <t>Aprovado (O.S.: 38587)</t>
  </si>
  <si>
    <t>Aprovado (O.S.: 38590)</t>
  </si>
  <si>
    <t xml:space="preserve">FANCOLD </t>
  </si>
  <si>
    <t>Glaucia</t>
  </si>
  <si>
    <t xml:space="preserve">+55 (11) 4994-9126 </t>
  </si>
  <si>
    <t>Aprovado (O.S.: 38618)</t>
  </si>
  <si>
    <t xml:space="preserve">CONDOMINIO NOVO HORIZONTE JARDINS II </t>
  </si>
  <si>
    <t>Daniel Cury Nunan Leite</t>
  </si>
  <si>
    <t xml:space="preserve">+55 (31) 25552-6173 </t>
  </si>
  <si>
    <t>Aprovado (O.S.: 38591)</t>
  </si>
  <si>
    <t xml:space="preserve">Paolo Rubez Rocha </t>
  </si>
  <si>
    <t xml:space="preserve">+55 (11) 99532-0086 </t>
  </si>
  <si>
    <t>Aprovado (O.S.: 38592)</t>
  </si>
  <si>
    <t xml:space="preserve">Fernando Gavitti </t>
  </si>
  <si>
    <t xml:space="preserve">+55 (19) 3273-1923 </t>
  </si>
  <si>
    <t>Aprovado (O.S.: 38593)</t>
  </si>
  <si>
    <t xml:space="preserve">CONDOMINIO L ABITARE </t>
  </si>
  <si>
    <t>Condominio Labitare - Ynara Camargo</t>
  </si>
  <si>
    <t xml:space="preserve">+55 (11) 97588-0638 </t>
  </si>
  <si>
    <t>Aprovado (O.S.: 38688)</t>
  </si>
  <si>
    <t>90 dias</t>
  </si>
  <si>
    <t xml:space="preserve">Odete Lucia Teles </t>
  </si>
  <si>
    <t xml:space="preserve">+55 (43) 99161-6356 </t>
  </si>
  <si>
    <t>Aprovado (O.S.: 38596)</t>
  </si>
  <si>
    <t xml:space="preserve">MGT GESTAO TRIBUTARIA LTDA </t>
  </si>
  <si>
    <t>Administrativo MGT</t>
  </si>
  <si>
    <t xml:space="preserve">+55 (51) 9682-1855 </t>
  </si>
  <si>
    <t>Aprovado (O.S.: 38597)</t>
  </si>
  <si>
    <t xml:space="preserve">ROMA </t>
  </si>
  <si>
    <t>EMERSON ROBERTO TAGLIATI TAGLIATI</t>
  </si>
  <si>
    <t xml:space="preserve">+55 (11) 4137-2674 </t>
  </si>
  <si>
    <t>Sinalização*15169</t>
  </si>
  <si>
    <t xml:space="preserve">RESIDENCIAL PARQUE VALENCA III </t>
  </si>
  <si>
    <t>leandro</t>
  </si>
  <si>
    <t xml:space="preserve">+55 (19) 3221-3320 </t>
  </si>
  <si>
    <t>Aprovado (O.S.: 38601)</t>
  </si>
  <si>
    <t xml:space="preserve">UNIMED OS BANDEIRANTES - HOSPITAL DIA UNIDADE ITATIBA </t>
  </si>
  <si>
    <t>QUADRO ACRILICO</t>
  </si>
  <si>
    <t xml:space="preserve">Edson Salatini </t>
  </si>
  <si>
    <t xml:space="preserve">+55 (19) 99754-3580 </t>
  </si>
  <si>
    <t>Aprovado (O.S.: 38599)</t>
  </si>
  <si>
    <t>Aprovado (O.S.: 38600)</t>
  </si>
  <si>
    <t xml:space="preserve">Wanalda Alcaantara Guerra </t>
  </si>
  <si>
    <t xml:space="preserve">+55 (11) 96725-3703 </t>
  </si>
  <si>
    <t>Aprovado (O.S.: 38607)</t>
  </si>
  <si>
    <t>Aprovado (O.S.: 38602)</t>
  </si>
  <si>
    <t xml:space="preserve">CONDOMINIO EDIFICIO TRINDAD M. BIGUCCI </t>
  </si>
  <si>
    <t>CIBELE APARECIDA DIAS</t>
  </si>
  <si>
    <t xml:space="preserve">+55 (11) 4330-4611 </t>
  </si>
  <si>
    <t>Aprovado (O.S.: 38605)</t>
  </si>
  <si>
    <t xml:space="preserve">TECH IMMUNE IMUNIZACAO E PREVENCOES EM SAUDE </t>
  </si>
  <si>
    <t>Eder Morita</t>
  </si>
  <si>
    <t xml:space="preserve">+55 (11) 98305-2869 </t>
  </si>
  <si>
    <t>Aprovado (O.S.: 38606)</t>
  </si>
  <si>
    <t xml:space="preserve">THIAGO ALVES ARAUJO DE ALMEIDA 22851045881 </t>
  </si>
  <si>
    <t>Trovão C V</t>
  </si>
  <si>
    <t xml:space="preserve">+55 (11) 97492-3630 </t>
  </si>
  <si>
    <t>ACRILICO 2mm C/ BRAILE E RELEVO</t>
  </si>
  <si>
    <t xml:space="preserve">MARCOPLAN ENGENHARIA LTDA </t>
  </si>
  <si>
    <t>Filipe</t>
  </si>
  <si>
    <t xml:space="preserve">+55 (11) 9185-5444 </t>
  </si>
  <si>
    <t xml:space="preserve">A. D. DE MELO MANUTENCAO </t>
  </si>
  <si>
    <t>Admelo Engenharia</t>
  </si>
  <si>
    <t xml:space="preserve">+55 (19) 99991-3979 </t>
  </si>
  <si>
    <t xml:space="preserve">CONDOMINIO RESIDENCIAL HM BRISA DA MATA JATOBAS </t>
  </si>
  <si>
    <t>Ana Paula</t>
  </si>
  <si>
    <t xml:space="preserve">+55 (19) 97426-6161 </t>
  </si>
  <si>
    <t xml:space="preserve">HOSPITAL MATER DEI S.A. </t>
  </si>
  <si>
    <t>Laisla Cristina De Brito</t>
  </si>
  <si>
    <t xml:space="preserve">+55 (31) 3339-9221 </t>
  </si>
  <si>
    <t>Aprovado (O.S.: 38928)</t>
  </si>
  <si>
    <t>Aprovado (O.S.: 38652)</t>
  </si>
  <si>
    <t>Aprovado (O.S.: 38610)</t>
  </si>
  <si>
    <t xml:space="preserve">DESKTOP - SIGMANET </t>
  </si>
  <si>
    <t>Yasmin Fantacci</t>
  </si>
  <si>
    <t xml:space="preserve">+55 (19) 3514-3100 </t>
  </si>
  <si>
    <t xml:space="preserve">TVS EMISSORA DO SISTEMA BRASILEIRO DE TELEVISAO </t>
  </si>
  <si>
    <t>Raphael Lenz</t>
  </si>
  <si>
    <t xml:space="preserve">+55 (21) 99625-9552 </t>
  </si>
  <si>
    <t>Aprovado (O.S.: 38611)</t>
  </si>
  <si>
    <t xml:space="preserve">André Nogueira Fass </t>
  </si>
  <si>
    <t>André Fass</t>
  </si>
  <si>
    <t xml:space="preserve">+55 (19) 99787-8624 </t>
  </si>
  <si>
    <t>Aprovado (O.S.: 38613)</t>
  </si>
  <si>
    <t xml:space="preserve">COUNTRY PARK </t>
  </si>
  <si>
    <t>Francis Rosolen</t>
  </si>
  <si>
    <t xml:space="preserve">+55 (19) 99129-4375 </t>
  </si>
  <si>
    <t>Aprovado (O.S.: 38612)</t>
  </si>
  <si>
    <t xml:space="preserve">CONDOMINIO SAN DIEGO </t>
  </si>
  <si>
    <t>Sil de Oliveirah</t>
  </si>
  <si>
    <t xml:space="preserve">+55 (11) 99800-0122 </t>
  </si>
  <si>
    <t>Aprovado (O.S.: 38615)</t>
  </si>
  <si>
    <t xml:space="preserve">ODARA </t>
  </si>
  <si>
    <t>Vinícius Alex De Souza Ribeiro</t>
  </si>
  <si>
    <t xml:space="preserve">+55 (21) 99213-0309 </t>
  </si>
  <si>
    <t>Aprovado (O.S.: 38617)</t>
  </si>
  <si>
    <t xml:space="preserve">CONDOMINIO CENTENARIO II </t>
  </si>
  <si>
    <t>Camila Duarte</t>
  </si>
  <si>
    <t xml:space="preserve">+55 (51) 8576-8777 </t>
  </si>
  <si>
    <t>ACM - FRENTE/VERSO - REFLETIVO - LAMINADO</t>
  </si>
  <si>
    <t xml:space="preserve">TRANSCATARINA TRANSPORTE RODOVIARIO LTDA </t>
  </si>
  <si>
    <t>Bruno Silva</t>
  </si>
  <si>
    <t xml:space="preserve">+55 (32) 9108-0141 </t>
  </si>
  <si>
    <t>Aprovado (O.S.: 38791)</t>
  </si>
  <si>
    <t xml:space="preserve">Fellipe Viana Vicente </t>
  </si>
  <si>
    <t xml:space="preserve">+55 (11) 99289-8514 </t>
  </si>
  <si>
    <t>Aprovado (O.S.: 38621)</t>
  </si>
  <si>
    <t xml:space="preserve">KR SAUDE SERVICOS MEDICOS CONCHAL LTDA </t>
  </si>
  <si>
    <t>ELISANGELA BARTARIM</t>
  </si>
  <si>
    <t xml:space="preserve">+55 (19) 3866-2524 </t>
  </si>
  <si>
    <t>Aprovado (O.S.: 38623)</t>
  </si>
  <si>
    <t xml:space="preserve">INST DE PESQUISAS TEC DO ESTADO DE S.PAULO S/A IPT </t>
  </si>
  <si>
    <t xml:space="preserve">+55 (11) 3767-4156 </t>
  </si>
  <si>
    <t>Aprovado (O.S.: 38624)</t>
  </si>
  <si>
    <t xml:space="preserve">Abdias m Queiroz filho </t>
  </si>
  <si>
    <t xml:space="preserve">+55 (13) 99785-8886 </t>
  </si>
  <si>
    <t>Aprovado (O.S.: 38625)</t>
  </si>
  <si>
    <t xml:space="preserve">DIOCLAN EQUIPAMENTOS INDUSTRIAIS LTDA </t>
  </si>
  <si>
    <t xml:space="preserve">+55 (11) 4177-1561 </t>
  </si>
  <si>
    <t>Aprovado (O.S.: 38626)</t>
  </si>
  <si>
    <t xml:space="preserve">FENIX CONSTRUTORA LTDA </t>
  </si>
  <si>
    <t>FENIX CONSTRUTORA</t>
  </si>
  <si>
    <t xml:space="preserve">+55 (21) 3483-7400 </t>
  </si>
  <si>
    <t>Aprovado (O.S.: 38627)</t>
  </si>
  <si>
    <t xml:space="preserve">DELPAK EMBALAGENS LTDA </t>
  </si>
  <si>
    <t>Andréa Castro</t>
  </si>
  <si>
    <t xml:space="preserve">+55 (11) 99129-3801 </t>
  </si>
  <si>
    <t>Aprovado (O.S.: 38673)</t>
  </si>
  <si>
    <t xml:space="preserve">BIONEURO </t>
  </si>
  <si>
    <t>Hugo Vinícius</t>
  </si>
  <si>
    <t xml:space="preserve">+55 (11) 93364-1508 </t>
  </si>
  <si>
    <t>Aprovado (O.S.: 38637)</t>
  </si>
  <si>
    <t xml:space="preserve">UMC SERVICOS TECNICOS </t>
  </si>
  <si>
    <t xml:space="preserve">+55 (11) 99275-7320 </t>
  </si>
  <si>
    <t xml:space="preserve">MEGA ATIBAIA - CD </t>
  </si>
  <si>
    <t xml:space="preserve">+55 (11) 92008-3152 </t>
  </si>
  <si>
    <t xml:space="preserve">+55 (11) 97512-7040 </t>
  </si>
  <si>
    <t>Aprovado (O.S.: 38959)</t>
  </si>
  <si>
    <t xml:space="preserve">Marcelo Venâncio Matoso </t>
  </si>
  <si>
    <t xml:space="preserve">+55 (21) 99165-5382 </t>
  </si>
  <si>
    <t>Aprovado (O.S.: 38635)</t>
  </si>
  <si>
    <t>Aprovado (O.S.: 38632)</t>
  </si>
  <si>
    <t xml:space="preserve">INHAUS, INHAUS INDL, INHAUS LOG, VIVANTE JAM, CONBRAS </t>
  </si>
  <si>
    <t>Gabrielle Hellen</t>
  </si>
  <si>
    <t xml:space="preserve">+55 (11) 99242-7696 </t>
  </si>
  <si>
    <t xml:space="preserve">CONDOMINIO RESIDENCIAL VISTA POLITECNICA </t>
  </si>
  <si>
    <t>Marcos</t>
  </si>
  <si>
    <t xml:space="preserve">+55 (11) 93204-3003 </t>
  </si>
  <si>
    <t>Aprovado (O.S.: 38633)</t>
  </si>
  <si>
    <t xml:space="preserve">Gabriel Rodrigues De Araujo </t>
  </si>
  <si>
    <t xml:space="preserve">+55 (51) 99947-6004 </t>
  </si>
  <si>
    <t>Aprovado (O.S.: 38634)</t>
  </si>
  <si>
    <t>Aprovado (O.S.: 38636)</t>
  </si>
  <si>
    <t xml:space="preserve">Carlos Renato Sales Da Silva </t>
  </si>
  <si>
    <t>Renato Sales</t>
  </si>
  <si>
    <t xml:space="preserve">+55 (19) 99911-1990 </t>
  </si>
  <si>
    <t>Aprovado (O.S.: 38664)</t>
  </si>
  <si>
    <t>Aprovado (O.S.: 38638)</t>
  </si>
  <si>
    <t xml:space="preserve">LEGACY SCHOOL TERESOPOLIS </t>
  </si>
  <si>
    <t>Cirone Arquitetura</t>
  </si>
  <si>
    <t xml:space="preserve">+55 (21) 96444-9774 </t>
  </si>
  <si>
    <t>ACM - REFLETIVO</t>
  </si>
  <si>
    <t>Aprovado (O.S.: 38654)</t>
  </si>
  <si>
    <t xml:space="preserve">GABRIEL TRINDADE MARIANO </t>
  </si>
  <si>
    <t xml:space="preserve">+55 (11) 98809-5862 </t>
  </si>
  <si>
    <t>Aprovado (O.S.: 38639)</t>
  </si>
  <si>
    <t xml:space="preserve">MDM ENGENHARIA </t>
  </si>
  <si>
    <t>MDM ENGENHARIA LTDA</t>
  </si>
  <si>
    <t xml:space="preserve">+55 (27) 3205-7777 </t>
  </si>
  <si>
    <t>Aprovado (O.S.: 38640)</t>
  </si>
  <si>
    <t xml:space="preserve">MAPA MACAE INDUSTRIA E COMERCIO DE EQUIPAMENTOS </t>
  </si>
  <si>
    <t xml:space="preserve">+55 (22) 9985-2807 </t>
  </si>
  <si>
    <t xml:space="preserve">CENTRO SOCIAL PRESIDENTE KENNEDY </t>
  </si>
  <si>
    <t>Secretária escolar</t>
  </si>
  <si>
    <t xml:space="preserve">+55 (19) 99794-6748 </t>
  </si>
  <si>
    <t>Aprovado (O.S.: 38649)</t>
  </si>
  <si>
    <t xml:space="preserve">COMPTA EMERGING BUSINESS - BRASIL LTDA </t>
  </si>
  <si>
    <t>Bruna</t>
  </si>
  <si>
    <t xml:space="preserve">+55 (19) 99883-7907 </t>
  </si>
  <si>
    <t>Aprovado (O.S.: 38668)</t>
  </si>
  <si>
    <t xml:space="preserve">CONDOMINIO RESIDENCIAL JOSE EUZEBIO CABRAL </t>
  </si>
  <si>
    <t>Administração e Contabilidade</t>
  </si>
  <si>
    <t xml:space="preserve">+55 (19) 98332-2263 </t>
  </si>
  <si>
    <t>Aprovado (O.S.: 38758)</t>
  </si>
  <si>
    <t xml:space="preserve">LAFIO TEXTIL LTDA </t>
  </si>
  <si>
    <t>Lafio Textil</t>
  </si>
  <si>
    <t xml:space="preserve">+55 (11) 95871-0192 </t>
  </si>
  <si>
    <t>Aprovado (O.S.: 38771)</t>
  </si>
  <si>
    <t xml:space="preserve">CONDOMINIO EDIFICIO CALCENTER II </t>
  </si>
  <si>
    <t>Paulo Moreira</t>
  </si>
  <si>
    <t xml:space="preserve">+55 (11) 99715-5690 </t>
  </si>
  <si>
    <t>Aprovado (O.S.: 38651)</t>
  </si>
  <si>
    <t>Aprovado (O.S.: 38774)</t>
  </si>
  <si>
    <t>Aprovado (O.S.: 38886)</t>
  </si>
  <si>
    <t>Aprovado (O.S.: 38655)</t>
  </si>
  <si>
    <t xml:space="preserve">INOVA IMPRESSO SERVICOS GRAFICOS LTDA </t>
  </si>
  <si>
    <t>Inova&amp;graph</t>
  </si>
  <si>
    <t xml:space="preserve">+55 (11) 3349-4999 </t>
  </si>
  <si>
    <t>Aprovado (O.S.: 38656)</t>
  </si>
  <si>
    <t xml:space="preserve">CONDOMINIO MAXX SANTA ANGELA </t>
  </si>
  <si>
    <t>Camila Elite</t>
  </si>
  <si>
    <t xml:space="preserve">+55 (11) 91976-5062 </t>
  </si>
  <si>
    <t>Aprovado (O.S.: 38657)</t>
  </si>
  <si>
    <t xml:space="preserve">VILA FLOR CONDOMINIO CLUBE </t>
  </si>
  <si>
    <t>Aprovado (O.S.: 38658)</t>
  </si>
  <si>
    <t xml:space="preserve">APICE PARK </t>
  </si>
  <si>
    <t>Condomínio Ápice Park</t>
  </si>
  <si>
    <t xml:space="preserve">+55 (11) 91340-4492 </t>
  </si>
  <si>
    <t xml:space="preserve">MOSCA LOGISTICA E TRANSPORTES </t>
  </si>
  <si>
    <t>Compras - Mosca Logística</t>
  </si>
  <si>
    <t xml:space="preserve">+55 (19) 99180-8467 </t>
  </si>
  <si>
    <t>Aprovado (O.S.: 38728)</t>
  </si>
  <si>
    <t xml:space="preserve">CONDOMINIO MONUMENTO SAO PAULO </t>
  </si>
  <si>
    <t>Administração Monumento SP</t>
  </si>
  <si>
    <t xml:space="preserve">+55 (11) 98811-0725 </t>
  </si>
  <si>
    <t>Aprovado (O.S.: 38882)</t>
  </si>
  <si>
    <t xml:space="preserve">NARA MARGARETH SILVA AZEVEDO </t>
  </si>
  <si>
    <t xml:space="preserve">+55 (21) 99189-7247 </t>
  </si>
  <si>
    <t>Aprovado (O.S.: 38665)</t>
  </si>
  <si>
    <t xml:space="preserve">SOMA CAMPINAS PRODUTOS DE HIGIENE </t>
  </si>
  <si>
    <t>Soma Adminitrativo</t>
  </si>
  <si>
    <t xml:space="preserve">+55 (19) 98233-0256 </t>
  </si>
  <si>
    <t>Aprovado (O.S.: 39221)</t>
  </si>
  <si>
    <t xml:space="preserve">AUTO POSTO ANDRADE NEVES LTDA </t>
  </si>
  <si>
    <t>Juliano Babler</t>
  </si>
  <si>
    <t xml:space="preserve">+55 (19) 99988-8331 </t>
  </si>
  <si>
    <t>Aprovado (O.S.: 38669)</t>
  </si>
  <si>
    <t xml:space="preserve">UV PACK COMERCIO E SERVICOS DE ACABAMENTOS GRAFICOS LTDA </t>
  </si>
  <si>
    <t>UV PACK COMERCIO E SERVIÇOS DE ACABAMENTOS GRAFICOS LTDA</t>
  </si>
  <si>
    <t xml:space="preserve">+55 (11) 94520-8016 </t>
  </si>
  <si>
    <t>Aprovado (O.S.: 38741)</t>
  </si>
  <si>
    <t xml:space="preserve">ASSOCIAÇÃO DOS AMIGOS DO RESERVA DA SERRA </t>
  </si>
  <si>
    <t>Reserva Serra E-mail (Compras</t>
  </si>
  <si>
    <t xml:space="preserve">+55 (11) 94135-8499 </t>
  </si>
  <si>
    <t>Aprovado (O.S.: 38670)</t>
  </si>
  <si>
    <t xml:space="preserve">VECCHI LUBRIFICANTES LTDA </t>
  </si>
  <si>
    <t>Jeniffer Compras Vrlub</t>
  </si>
  <si>
    <t xml:space="preserve">+55 (11) 95606-0742 </t>
  </si>
  <si>
    <t xml:space="preserve">Isabela Noronha Gustavo Barreiro </t>
  </si>
  <si>
    <t xml:space="preserve">+55 (19) 98167-2552 </t>
  </si>
  <si>
    <t>Aprovado (O.S.: 38750)</t>
  </si>
  <si>
    <t>Aprovado (O.S.: 38700)</t>
  </si>
  <si>
    <t xml:space="preserve">CONDOMINIO AQUARELA </t>
  </si>
  <si>
    <t>Sandra</t>
  </si>
  <si>
    <t xml:space="preserve">+55 (19) 98968-9627 </t>
  </si>
  <si>
    <t>Aprovado (O.S.: 38672)</t>
  </si>
  <si>
    <t xml:space="preserve">PENACHIN RADIADORES </t>
  </si>
  <si>
    <t>Ana Carolina de Souza</t>
  </si>
  <si>
    <t xml:space="preserve">+55 (19) 97821-0074 </t>
  </si>
  <si>
    <t>Aprovado (O.S.: 38798)</t>
  </si>
  <si>
    <t xml:space="preserve">A 4 EMPREITEIRA DE CONSTRUCAO CIVIL E ENGENHARIA </t>
  </si>
  <si>
    <t>Gabi Garcia</t>
  </si>
  <si>
    <t xml:space="preserve">+55 (19) 99589-0154 </t>
  </si>
  <si>
    <t>Aprovado (O.S.: 38675)</t>
  </si>
  <si>
    <t>Aprovado (O.S.: 38690)</t>
  </si>
  <si>
    <t>Aprovado (O.S.: 38685)</t>
  </si>
  <si>
    <t xml:space="preserve">Jaime Sidnei Barros </t>
  </si>
  <si>
    <t>JAIME BARROS</t>
  </si>
  <si>
    <t xml:space="preserve">+55 (19) 99132-1075 </t>
  </si>
  <si>
    <t xml:space="preserve">CONDOMINIO MANHATTAN SQUARE </t>
  </si>
  <si>
    <t>Manhattan Square</t>
  </si>
  <si>
    <t xml:space="preserve">+55 (31) 9447-0110 </t>
  </si>
  <si>
    <t>Aprovado (O.S.: 38717)</t>
  </si>
  <si>
    <t>Cristiano Lopes</t>
  </si>
  <si>
    <t>Aprovado (O.S.: 38689)</t>
  </si>
  <si>
    <t xml:space="preserve">Victor Borgomoni </t>
  </si>
  <si>
    <t>victor</t>
  </si>
  <si>
    <t xml:space="preserve">+55 (19) 99671-2990 </t>
  </si>
  <si>
    <t>Aprovado (O.S.: 38698)</t>
  </si>
  <si>
    <t xml:space="preserve">EQUALIZE VILA MARIANA </t>
  </si>
  <si>
    <t>FISCAL</t>
  </si>
  <si>
    <t xml:space="preserve">+55 (11) 3893-0000 </t>
  </si>
  <si>
    <t>Aprovado (O.S.: 38691)</t>
  </si>
  <si>
    <t xml:space="preserve">USETINTAS </t>
  </si>
  <si>
    <t>fiscal</t>
  </si>
  <si>
    <t>Aprovado (O.S.: 38692)</t>
  </si>
  <si>
    <t xml:space="preserve">CONDOMINIO RESIDENCIAL MIRANTE </t>
  </si>
  <si>
    <t>Entregar Na Portaria</t>
  </si>
  <si>
    <t>Aprovado (O.S.: 38693)</t>
  </si>
  <si>
    <t>Aprovado (O.S.: 38695)</t>
  </si>
  <si>
    <t>Aprovado (O.S.: 38696)</t>
  </si>
  <si>
    <t xml:space="preserve">Fabrizia T Cecilio </t>
  </si>
  <si>
    <t>entrega e pagamento</t>
  </si>
  <si>
    <t xml:space="preserve">+55 (19) 98323-1171 </t>
  </si>
  <si>
    <t>Aprovado (O.S.: 38697)</t>
  </si>
  <si>
    <t xml:space="preserve">FLOR DA VILA MINI SALGADOS MIRANDOPOLIS LTDA </t>
  </si>
  <si>
    <t>Reinaldo Essado</t>
  </si>
  <si>
    <t xml:space="preserve">+55 (19) 97412-0089 </t>
  </si>
  <si>
    <t>Aprovado (O.S.: 38713)</t>
  </si>
  <si>
    <t>Aprovado (O.S.: 39132)</t>
  </si>
  <si>
    <t xml:space="preserve">Biar Fragata Dinoá &amp; Reis Advogados Associados </t>
  </si>
  <si>
    <t>Cláudia Paiva</t>
  </si>
  <si>
    <t>Aprovado (O.S.: 38705)</t>
  </si>
  <si>
    <t>Aprovado (O.S.: 38703)</t>
  </si>
  <si>
    <t>Aprovado (O.S.: 38722)</t>
  </si>
  <si>
    <t xml:space="preserve">RTGX COMERCIO, FABRICACAO E USINAGENS DE PECAS </t>
  </si>
  <si>
    <t>Alexandre Rosolen</t>
  </si>
  <si>
    <t xml:space="preserve">+55 (11) 98347-7777 </t>
  </si>
  <si>
    <t>Aprovado (O.S.: 38718)</t>
  </si>
  <si>
    <t xml:space="preserve">COMPACTOR </t>
  </si>
  <si>
    <t>Jose</t>
  </si>
  <si>
    <t xml:space="preserve">+55 212 765 114 </t>
  </si>
  <si>
    <t>Aprovado (O.S.: 39696)</t>
  </si>
  <si>
    <t xml:space="preserve">BLUE FLEET </t>
  </si>
  <si>
    <t xml:space="preserve">+55 (11) 96850-1292 </t>
  </si>
  <si>
    <t>Aprovado (O.S.: 38709)</t>
  </si>
  <si>
    <t xml:space="preserve">CONDOMINIO EDIFICIO MACEIO </t>
  </si>
  <si>
    <t>Regiane Pereira</t>
  </si>
  <si>
    <t xml:space="preserve">+55 (19) 97401-5662 </t>
  </si>
  <si>
    <t>PS 2mm + CAVALETE</t>
  </si>
  <si>
    <t xml:space="preserve">SPOT OFFICES PENHA </t>
  </si>
  <si>
    <t xml:space="preserve">+55 (11) 94445-8188 </t>
  </si>
  <si>
    <t>Aprovado (O.S.: 38865)</t>
  </si>
  <si>
    <t xml:space="preserve">Luiz Bessa </t>
  </si>
  <si>
    <t xml:space="preserve">+55 (15) 99840-6636 </t>
  </si>
  <si>
    <t xml:space="preserve">CONDOMINIO RESID. GRAZIELA VELOSO DE OLIVEIRA </t>
  </si>
  <si>
    <t>Adilson Cantarelli</t>
  </si>
  <si>
    <t xml:space="preserve">+55 (64) 9222-3928 </t>
  </si>
  <si>
    <t>Aprovado (O.S.: 38707)</t>
  </si>
  <si>
    <t>Aprovado (O.S.: 38708)</t>
  </si>
  <si>
    <t xml:space="preserve">PAIOL CONDIMENTOS </t>
  </si>
  <si>
    <t xml:space="preserve">+55 (11) 97554-0899 </t>
  </si>
  <si>
    <t>PS 2mm - (2)</t>
  </si>
  <si>
    <t xml:space="preserve">MAVI PAPER </t>
  </si>
  <si>
    <t xml:space="preserve">+55 (11) 2897-4182 </t>
  </si>
  <si>
    <t>Aprovado (O.S.: 38711)</t>
  </si>
  <si>
    <t xml:space="preserve">CONDOMINIO RESIDENCIAL FONTE DOS PASSAROS </t>
  </si>
  <si>
    <t>JOAO CARLOS DA COSTA TEIXEIRA</t>
  </si>
  <si>
    <t>Aprovado (O.S.: 38710)</t>
  </si>
  <si>
    <t xml:space="preserve">MMA INDUSTRIA E COMERCIO DE BIJUTERIAS LTDA </t>
  </si>
  <si>
    <t>Weskley Silva</t>
  </si>
  <si>
    <t xml:space="preserve">+55 (11) 97035-3488 </t>
  </si>
  <si>
    <t>Aprovado (O.S.: 38712)</t>
  </si>
  <si>
    <t xml:space="preserve">Cintia Salvati </t>
  </si>
  <si>
    <t xml:space="preserve">+55 (11) 99163-0940 </t>
  </si>
  <si>
    <t>Aprovado (O.S.: 38714)</t>
  </si>
  <si>
    <t xml:space="preserve">ISABELLA ROGIERI </t>
  </si>
  <si>
    <t xml:space="preserve">+55 (19) 98274-0150 </t>
  </si>
  <si>
    <t>Aprovado (O.S.: 38715)</t>
  </si>
  <si>
    <t xml:space="preserve">Leonardo Bromberg </t>
  </si>
  <si>
    <t xml:space="preserve">+55 (11) 98995-2554 </t>
  </si>
  <si>
    <t>Aprovado (O.S.: 38719)</t>
  </si>
  <si>
    <t xml:space="preserve">ESPACO EDUCACAO S A </t>
  </si>
  <si>
    <t>Tagore Penna Mendes de Almeida</t>
  </si>
  <si>
    <t>Aprovado (O.S.: 38720)</t>
  </si>
  <si>
    <t xml:space="preserve">Joyce pereira de souza </t>
  </si>
  <si>
    <t xml:space="preserve">+55 (11) 94333-8963 </t>
  </si>
  <si>
    <t>Aprovado (O.S.: 38721)</t>
  </si>
  <si>
    <t>Aprovado (O.S.: 38752)</t>
  </si>
  <si>
    <t xml:space="preserve">CONDOMINIO PLATINUM </t>
  </si>
  <si>
    <t>Marcia Maria Z Molha</t>
  </si>
  <si>
    <t xml:space="preserve">+55 (11) 99945-9505 </t>
  </si>
  <si>
    <t>Aprovado (O.S.: 39109)</t>
  </si>
  <si>
    <t xml:space="preserve">R.D.A CENTER DIESEL </t>
  </si>
  <si>
    <t>Fernando Angra</t>
  </si>
  <si>
    <t xml:space="preserve">+55 (19) 99763-1327 </t>
  </si>
  <si>
    <t>Aprovado (O.S.: 38723)</t>
  </si>
  <si>
    <t xml:space="preserve">POLIGONAL ENGENHARIA E CONSTRUCOES LTDA </t>
  </si>
  <si>
    <t xml:space="preserve">+55 (67) 9104-5809 </t>
  </si>
  <si>
    <t>Aprovado (O.S.: 38726)</t>
  </si>
  <si>
    <t xml:space="preserve">CONSTRUTAMI ENGENHARIA E COMERCIO LTDA </t>
  </si>
  <si>
    <t>Matheus Maximos</t>
  </si>
  <si>
    <t xml:space="preserve">+55 (11) 97579-3428 </t>
  </si>
  <si>
    <t>Aprovado (O.S.: 38724)</t>
  </si>
  <si>
    <t xml:space="preserve">EXPRESSO DEZENOVE E QUARENTA LTDA </t>
  </si>
  <si>
    <t>Cris Rodrigues Expresso 1940</t>
  </si>
  <si>
    <t xml:space="preserve">+55 (37) 9943-4565 </t>
  </si>
  <si>
    <t xml:space="preserve">CONSTRUTORA RIBEIRO OLIVEIRA LTDA </t>
  </si>
  <si>
    <t>Compras CRO Construtora</t>
  </si>
  <si>
    <t xml:space="preserve">+55 (33) 9151-0007 </t>
  </si>
  <si>
    <t>Aprovado (O.S.: 38729)</t>
  </si>
  <si>
    <t>Aprovado (O.S.: 38734)</t>
  </si>
  <si>
    <t>Aprovado (O.S.: 38732)</t>
  </si>
  <si>
    <t>Aprovado (O.S.: 38733)</t>
  </si>
  <si>
    <t>Aprovado (O.S.: 38738)</t>
  </si>
  <si>
    <t>Aprovado (O.S.: 38735)</t>
  </si>
  <si>
    <t xml:space="preserve">CONDOMINIO OS COQUEIROS DOS FLAMINGOS E SUB CONDOMINIO LA SERENA </t>
  </si>
  <si>
    <t>MARKUS VERTEL</t>
  </si>
  <si>
    <t xml:space="preserve">+55 (81) 9857-4042 </t>
  </si>
  <si>
    <t>Aprovado (O.S.: 38777)</t>
  </si>
  <si>
    <t xml:space="preserve">FUNDACAO VALEPARAIBANA DE ENSINO </t>
  </si>
  <si>
    <t xml:space="preserve">+55 (12) 3947-1046 </t>
  </si>
  <si>
    <t>Aprovado (O.S.: 38751)</t>
  </si>
  <si>
    <t xml:space="preserve">CET LOGISTICS AGENTE DE CARGA E TRANSPORTE LTDA </t>
  </si>
  <si>
    <t>ADM CET III - Gabriel</t>
  </si>
  <si>
    <t xml:space="preserve">+55 (21) 96432-4951 </t>
  </si>
  <si>
    <t>ACM + PS 2mm</t>
  </si>
  <si>
    <t>Aprovado (O.S.: 38737)</t>
  </si>
  <si>
    <t xml:space="preserve">SINGLE TOLLE </t>
  </si>
  <si>
    <t>Alecsandra</t>
  </si>
  <si>
    <t xml:space="preserve">+55 (11) 97184-3922 </t>
  </si>
  <si>
    <t>Aprovado (O.S.: 38743)</t>
  </si>
  <si>
    <t xml:space="preserve">Jean Ribeiro do Prado </t>
  </si>
  <si>
    <t xml:space="preserve">+55 (19) 98989-7626 </t>
  </si>
  <si>
    <t>Aprovado (O.S.: 38739)</t>
  </si>
  <si>
    <t xml:space="preserve">Marcus Vinicius Amadeu Damasceno </t>
  </si>
  <si>
    <t xml:space="preserve">+55 (13) 99603-0007 </t>
  </si>
  <si>
    <t>Aprovado (O.S.: 38740)</t>
  </si>
  <si>
    <t>Aprovado (O.S.: 38905)</t>
  </si>
  <si>
    <t xml:space="preserve">CONDOMINIO RESIDENCIAL CASA GRANDE DO IPE </t>
  </si>
  <si>
    <t>Val</t>
  </si>
  <si>
    <t xml:space="preserve">+55 (19) 98113-3514 </t>
  </si>
  <si>
    <t>Aprovado (O.S.: 39200)</t>
  </si>
  <si>
    <t xml:space="preserve">XCMG BRASIL INDUSTRIA </t>
  </si>
  <si>
    <t>Gabrielle Santos</t>
  </si>
  <si>
    <t xml:space="preserve">+55 (35) 2102-0500 </t>
  </si>
  <si>
    <t>ACM +PEDESTAL</t>
  </si>
  <si>
    <t xml:space="preserve">RUSSER BRASIL LTDA </t>
  </si>
  <si>
    <t>Cristiane - Russer</t>
  </si>
  <si>
    <t xml:space="preserve">+55 (19) 97159-1984 </t>
  </si>
  <si>
    <t>Aprovado (O.S.: 38869)</t>
  </si>
  <si>
    <t xml:space="preserve">CONDOMINIO EDIFICIO YOU, BOSQUE DA SAUDE </t>
  </si>
  <si>
    <t>João Suporte Operacional</t>
  </si>
  <si>
    <t xml:space="preserve">+55 (11) 99172-3349 </t>
  </si>
  <si>
    <t xml:space="preserve">59.939.615 IRLANDIA SILVA LOPES </t>
  </si>
  <si>
    <t>Sinalizar Comunicação visual</t>
  </si>
  <si>
    <t xml:space="preserve">+55 (73) 9991-5341 </t>
  </si>
  <si>
    <t>Aprovado (O.S.: 39150)</t>
  </si>
  <si>
    <t xml:space="preserve">CONDOMINIO ROMA </t>
  </si>
  <si>
    <t>WLADIMIR GONÇALVES DE SOUZA</t>
  </si>
  <si>
    <t xml:space="preserve">+55 (11) 97261-0839 </t>
  </si>
  <si>
    <t>Aprovado (O.S.: 38749)</t>
  </si>
  <si>
    <t xml:space="preserve">INGE ENGENHARIA E CONSTRUCOES </t>
  </si>
  <si>
    <t>Fabiana</t>
  </si>
  <si>
    <t xml:space="preserve">+55 (19) 99461-8699 </t>
  </si>
  <si>
    <t>Aprovado (O.S.: 38776)</t>
  </si>
  <si>
    <t>Aprovado (O.S.: 38745)</t>
  </si>
  <si>
    <t xml:space="preserve">CONDOMINIO RESIDENCIAL BELLA VITA </t>
  </si>
  <si>
    <t>Mauro</t>
  </si>
  <si>
    <t xml:space="preserve">+55 (19) 99724-2192 </t>
  </si>
  <si>
    <t>Aprovado (O.S.: 38746)</t>
  </si>
  <si>
    <t xml:space="preserve">Sérgio Luiz Machado </t>
  </si>
  <si>
    <t xml:space="preserve">+55 (11) 99549-3245 </t>
  </si>
  <si>
    <t>Aprovado (O.S.: 38748)</t>
  </si>
  <si>
    <t>COBRANÇA</t>
  </si>
  <si>
    <t>Aprovado (O.S.: 38770)</t>
  </si>
  <si>
    <t xml:space="preserve">Celina - B. TOBACE INSTAL ELETRI E TELEFONICAS LTDA </t>
  </si>
  <si>
    <t>Celina tobace</t>
  </si>
  <si>
    <t xml:space="preserve">+55 (19) 99737-8424 </t>
  </si>
  <si>
    <t xml:space="preserve">Terezinha Goretti Tortato Cavichiolo </t>
  </si>
  <si>
    <t xml:space="preserve">+55 (41) 98501-1210 </t>
  </si>
  <si>
    <t>Aprovado (O.S.: 38753)</t>
  </si>
  <si>
    <t xml:space="preserve">ELETRO TRANSOL TECNOLOGIA </t>
  </si>
  <si>
    <t>Anderson Cardoso</t>
  </si>
  <si>
    <t xml:space="preserve">+55 (62) 8302-4183 </t>
  </si>
  <si>
    <t>Aprovado (O.S.: 38942)</t>
  </si>
  <si>
    <t xml:space="preserve">ARECO CONSULTORIA E TECNOLOGIA </t>
  </si>
  <si>
    <t>Areco Sistemas</t>
  </si>
  <si>
    <t>Aprovado (O.S.: 38754)</t>
  </si>
  <si>
    <t xml:space="preserve">PINHALENSE </t>
  </si>
  <si>
    <t>Leticia Del Vecchio</t>
  </si>
  <si>
    <t xml:space="preserve">+55 (19) 3651-9200 </t>
  </si>
  <si>
    <t xml:space="preserve">ICARE CONSULTORIA </t>
  </si>
  <si>
    <t>Gabi Mauri</t>
  </si>
  <si>
    <t xml:space="preserve">+55 (11) 95437-1008 </t>
  </si>
  <si>
    <t>FOTOLUMINESCENTE 0,8mm + VINIL</t>
  </si>
  <si>
    <t xml:space="preserve">OUTLET DOS AQUECEDORES </t>
  </si>
  <si>
    <t>Larissa Deiróz</t>
  </si>
  <si>
    <t xml:space="preserve">+55 (19) 98816-1822 </t>
  </si>
  <si>
    <t>Aprovado (O.S.: 38757)</t>
  </si>
  <si>
    <t xml:space="preserve">DAY CLINIC PARAGOMINAS </t>
  </si>
  <si>
    <t>Day Clinic</t>
  </si>
  <si>
    <t xml:space="preserve">+55 (16) 9741-3963 </t>
  </si>
  <si>
    <t>Aprovado (O.S.: 38755)</t>
  </si>
  <si>
    <t xml:space="preserve">CONDOMINIO DO EDIFICIO BELLA VITTA </t>
  </si>
  <si>
    <t>Roberto Carlos Roncete</t>
  </si>
  <si>
    <t xml:space="preserve">+55 (27) 3074-8899 </t>
  </si>
  <si>
    <t>Aprovado (O.S.: 38756)</t>
  </si>
  <si>
    <t xml:space="preserve">Rodnei Grandi </t>
  </si>
  <si>
    <t>rodnei grandi</t>
  </si>
  <si>
    <t xml:space="preserve">+55 (16) 98143-7708 </t>
  </si>
  <si>
    <t>Aprovado (O.S.: 38759)</t>
  </si>
  <si>
    <t>Aprovado (O.S.: 38760)</t>
  </si>
  <si>
    <t xml:space="preserve">Revise Campinas </t>
  </si>
  <si>
    <t>Josias</t>
  </si>
  <si>
    <t xml:space="preserve">+55 (19) 98862-5671 </t>
  </si>
  <si>
    <t>Aprovado (O.S.: 38765)</t>
  </si>
  <si>
    <t>Sinalização - O/C 13629</t>
  </si>
  <si>
    <t>Aprovado (O.S.: 38764)</t>
  </si>
  <si>
    <t xml:space="preserve">ASSOCIACAO DE AGRICULTURA NATURAL DE CAMPINAS </t>
  </si>
  <si>
    <t>OPAC da ANC</t>
  </si>
  <si>
    <t xml:space="preserve">+55 (19) 3621-6294 </t>
  </si>
  <si>
    <t>Display em PETG 0,5mm transparente</t>
  </si>
  <si>
    <t xml:space="preserve">YTW SOLUCOES TECNOLOGICAS </t>
  </si>
  <si>
    <t>Robson Rocha</t>
  </si>
  <si>
    <t xml:space="preserve">+55 (11) 99288-9886 </t>
  </si>
  <si>
    <t>Aprovado (O.S.: 38768)</t>
  </si>
  <si>
    <t xml:space="preserve">CONDOMINIO EDIFICIO CAETES </t>
  </si>
  <si>
    <t>Rogério</t>
  </si>
  <si>
    <t xml:space="preserve">+55 (11) 99654-5929 </t>
  </si>
  <si>
    <t>Aprovado (O.S.: 38788)</t>
  </si>
  <si>
    <t>Aprovado (O.S.: 38772)</t>
  </si>
  <si>
    <t xml:space="preserve">EDIFICIO VENTIMIGLIA </t>
  </si>
  <si>
    <t>Rosaura Fernandes</t>
  </si>
  <si>
    <t xml:space="preserve">+55 (51) 9288-3502 </t>
  </si>
  <si>
    <t>Aprovado (O.S.: 38785)</t>
  </si>
  <si>
    <t xml:space="preserve">PONTA DOS FACHOS LOCACAO E ADMINISTRACAO DE IMOVEIS LTDA </t>
  </si>
  <si>
    <t>CADASTRO</t>
  </si>
  <si>
    <t>Aprovado (O.S.: 38775)</t>
  </si>
  <si>
    <t>Aprovado (O.S.: 38773)</t>
  </si>
  <si>
    <t xml:space="preserve">ASSOCIACAO DOS TRIPULANTES DA LATAM BRASIL - ATL </t>
  </si>
  <si>
    <t>Administrativo Atl</t>
  </si>
  <si>
    <t xml:space="preserve">+55 (11) 93495-8483 </t>
  </si>
  <si>
    <t>Aprovado (O.S.: 38787)</t>
  </si>
  <si>
    <t xml:space="preserve">STUDIO 190 EVENTOS LTDA </t>
  </si>
  <si>
    <t>Silvia</t>
  </si>
  <si>
    <t xml:space="preserve">+55 (11) 97470-3190 </t>
  </si>
  <si>
    <t>Aprovado (O.S.: 38866)</t>
  </si>
  <si>
    <t xml:space="preserve">HOSPITAL E MATERNIDADE MARIETA KONDER BORNHAUSEN </t>
  </si>
  <si>
    <t xml:space="preserve">(47)3249-9400/(12)3911-406 </t>
  </si>
  <si>
    <t xml:space="preserve">VISTA NOVA EMPREENDIMENTOS </t>
  </si>
  <si>
    <t>Jaqueline Santos</t>
  </si>
  <si>
    <t xml:space="preserve">+55 (11) 3996-8354 </t>
  </si>
  <si>
    <t xml:space="preserve">LC-Shield </t>
  </si>
  <si>
    <t>Josemar</t>
  </si>
  <si>
    <t xml:space="preserve">+55 (19) 99708-6308 </t>
  </si>
  <si>
    <t xml:space="preserve">BCBR CARD </t>
  </si>
  <si>
    <t xml:space="preserve">ACADEMIA PARQUE FITNESS </t>
  </si>
  <si>
    <t>Academia Unique</t>
  </si>
  <si>
    <t xml:space="preserve">+55 (61) 4009-7900 </t>
  </si>
  <si>
    <t>Aprovado (O.S.: 38784)</t>
  </si>
  <si>
    <t xml:space="preserve">ATACAREJO KIDS </t>
  </si>
  <si>
    <t>ATACAREJO ECOM LTDA</t>
  </si>
  <si>
    <t xml:space="preserve">+55 (19) 9234-6817 </t>
  </si>
  <si>
    <t>Aprovado (O.S.: 38786)</t>
  </si>
  <si>
    <t>Aprovado (O.S.: 38799)</t>
  </si>
  <si>
    <t xml:space="preserve">VILLAS DE SAO FRANCISCO 10 </t>
  </si>
  <si>
    <t>Atendimento Souza&amp;Reis.</t>
  </si>
  <si>
    <t xml:space="preserve">+55 (11) 95259-4037 </t>
  </si>
  <si>
    <t xml:space="preserve">RESIDENCIAL MONTEBELLO </t>
  </si>
  <si>
    <t>Raphael Campelo</t>
  </si>
  <si>
    <t xml:space="preserve">+55 (11) 98348-6100 </t>
  </si>
  <si>
    <t xml:space="preserve">S FIGUEIREDO CONSTRUTORA LTDA </t>
  </si>
  <si>
    <t xml:space="preserve">+55 (16) 99112-2360 </t>
  </si>
  <si>
    <t>Aprovado (O.S.: 38793)</t>
  </si>
  <si>
    <t xml:space="preserve">Claudinei Dos Santos Silva </t>
  </si>
  <si>
    <t xml:space="preserve">+55 (19) 99187-3815 </t>
  </si>
  <si>
    <t>Aprovado (O.S.: 38795)</t>
  </si>
  <si>
    <t xml:space="preserve">CONDOMINIO EDIFICIO MULTI BRASIL </t>
  </si>
  <si>
    <t xml:space="preserve">+55 (61) 9864-2381 </t>
  </si>
  <si>
    <t>PVC EXPANDIDO FOTOLUMINESCENTE 2mm</t>
  </si>
  <si>
    <t>FINANCEIRO</t>
  </si>
  <si>
    <t>Aprovado (O.S.: 38796)</t>
  </si>
  <si>
    <t xml:space="preserve">J.A SERVICOS </t>
  </si>
  <si>
    <t>Email da empresa</t>
  </si>
  <si>
    <t xml:space="preserve">+55 (19) 97409-2909 </t>
  </si>
  <si>
    <t>Aprovado (O.S.: 38811)</t>
  </si>
  <si>
    <t xml:space="preserve">KIKO COSMETICS BRASIL LTDA </t>
  </si>
  <si>
    <t xml:space="preserve">+55 (11) 4550-9120 </t>
  </si>
  <si>
    <t>Aprovado (O.S.: 38805)</t>
  </si>
  <si>
    <t xml:space="preserve">RESIDENCIAL ALTOS DA SAMUEL MARTINS </t>
  </si>
  <si>
    <t>Escritório Prudente Síndicos Profissionais</t>
  </si>
  <si>
    <t xml:space="preserve">+55 (11) 99977-8309 </t>
  </si>
  <si>
    <t>Aprovado (O.S.: 38829)</t>
  </si>
  <si>
    <t xml:space="preserve">RESIDENCE DEL REY </t>
  </si>
  <si>
    <t>VP Gestão Condominial</t>
  </si>
  <si>
    <t xml:space="preserve">+55 (11) 96570-6928 </t>
  </si>
  <si>
    <t>Aprovado (O.S.: 38797)</t>
  </si>
  <si>
    <t xml:space="preserve">WS CROSS CENTRO DE TREINAMENTO LTDA </t>
  </si>
  <si>
    <t xml:space="preserve">+55 (11) 3934-6000 </t>
  </si>
  <si>
    <t>Aprovado (O.S.: 38804)</t>
  </si>
  <si>
    <t xml:space="preserve">AUTOMETAL SBC INJECAO E PINTURA DE PLASTICOS LTDA </t>
  </si>
  <si>
    <t>Irenilda Abranches</t>
  </si>
  <si>
    <t xml:space="preserve">+55 (11) 97058-2797 </t>
  </si>
  <si>
    <t>ACM - PLACAR CIPA</t>
  </si>
  <si>
    <t xml:space="preserve">RAC RS AMBIENTAL LTDA </t>
  </si>
  <si>
    <t>Bruno - Compras RAC RS</t>
  </si>
  <si>
    <t xml:space="preserve">+55 (51) 8221-0072 </t>
  </si>
  <si>
    <t>Aprovado (O.S.: 38802)</t>
  </si>
  <si>
    <t>Aprovado (O.S.: 38803)</t>
  </si>
  <si>
    <t xml:space="preserve">GREEN CORE IRRIGACAO E PAISAGISMO LTDA </t>
  </si>
  <si>
    <t xml:space="preserve">+55 (41) 7400-4404 </t>
  </si>
  <si>
    <t>Aprovado (O.S.: 38808)</t>
  </si>
  <si>
    <t>Aprovado (O.S.: 38812)</t>
  </si>
  <si>
    <t xml:space="preserve">CONDOMINIO EDIFICIO MICHELANGELO </t>
  </si>
  <si>
    <t xml:space="preserve">+55 (71) 9644-3726 </t>
  </si>
  <si>
    <t>Aprovado (O.S.: 38806)</t>
  </si>
  <si>
    <t xml:space="preserve">SPEED TRUCK </t>
  </si>
  <si>
    <t>Arthurzinho Compras Speed</t>
  </si>
  <si>
    <t xml:space="preserve">+55 (11) 91489-0253 </t>
  </si>
  <si>
    <t>Aprovado (O.S.: 38835)</t>
  </si>
  <si>
    <t xml:space="preserve">CONDOMINIO EDIFICIO SKORPIOS </t>
  </si>
  <si>
    <t>Maria Cecília Rios Cruz Corrêa Meyer</t>
  </si>
  <si>
    <t xml:space="preserve">+55 (11) 99424-3804 </t>
  </si>
  <si>
    <t>Aprovado (O.S.: 38809)</t>
  </si>
  <si>
    <t xml:space="preserve">EY TELECOM / GTA TELECOM </t>
  </si>
  <si>
    <t xml:space="preserve">+55 (51) 14200-1330 </t>
  </si>
  <si>
    <t>Aprovado (O.S.: 38815)</t>
  </si>
  <si>
    <t xml:space="preserve">CONDOMINIO RESIDENCIAL METROCASA PENHA </t>
  </si>
  <si>
    <t>Andressa Cordeiro</t>
  </si>
  <si>
    <t xml:space="preserve">+55 (11) 94530-8381 </t>
  </si>
  <si>
    <t xml:space="preserve">CONECT GESTAO E ADMINISTRACAO DE IMOVEIS LTDA </t>
  </si>
  <si>
    <t>Isabela</t>
  </si>
  <si>
    <t xml:space="preserve">+55 (19) 9170-0147 </t>
  </si>
  <si>
    <t>Aprovado (O.S.: 39847)</t>
  </si>
  <si>
    <t xml:space="preserve">MMTECH </t>
  </si>
  <si>
    <t>Gabriel Tavares</t>
  </si>
  <si>
    <t xml:space="preserve">+55 (16) 99963-8664 </t>
  </si>
  <si>
    <t>Aprovado (O.S.: 38874)</t>
  </si>
  <si>
    <t xml:space="preserve">TECITEC FILTRACAO E TRATAMENTO DE EFLUENTES LTDA </t>
  </si>
  <si>
    <t>André Marcondes</t>
  </si>
  <si>
    <t xml:space="preserve">+55 (11) 2198-2220 </t>
  </si>
  <si>
    <t>Aprovado (O.S.: 38974)</t>
  </si>
  <si>
    <t xml:space="preserve">INSTITUTO PHORTE DE EDUCACAO LTDA </t>
  </si>
  <si>
    <t>Arquitetura Patrimônio</t>
  </si>
  <si>
    <t xml:space="preserve">+55 (11) 2714-5685 </t>
  </si>
  <si>
    <t>Aprovado (O.S.: 38816)</t>
  </si>
  <si>
    <t xml:space="preserve">C.E.T.E.C CENTRAL DE TECNOLOGIA EM COBRANCA LTDA </t>
  </si>
  <si>
    <t>Aprovado (O.S.: 38817)</t>
  </si>
  <si>
    <t xml:space="preserve">UNICMAQ BRASIL COMERCIO DE MAQUINAS E INSTRUMENTOS LTDA </t>
  </si>
  <si>
    <t>Everton</t>
  </si>
  <si>
    <t xml:space="preserve">+55 (19) 99909-3969 </t>
  </si>
  <si>
    <t>Aprovado (O.S.: 38907)</t>
  </si>
  <si>
    <t>Adalberto Demer</t>
  </si>
  <si>
    <t xml:space="preserve">ALS LABORATORIOS LS LTDA. </t>
  </si>
  <si>
    <t>Pedro Henrique</t>
  </si>
  <si>
    <t xml:space="preserve">+55 (11) 5185-4400 </t>
  </si>
  <si>
    <t>Aprovado (O.S.: 38813)</t>
  </si>
  <si>
    <t xml:space="preserve">CONDOMINIO VERANO </t>
  </si>
  <si>
    <t>Condomínio Verano</t>
  </si>
  <si>
    <t xml:space="preserve">+55 (81) 3316-0265 </t>
  </si>
  <si>
    <t>Aprovado (O.S.: 38814)</t>
  </si>
  <si>
    <t xml:space="preserve">NP TINTAS </t>
  </si>
  <si>
    <t xml:space="preserve">+55 (19) 4141-6644 </t>
  </si>
  <si>
    <t>Aprovado (O.S.: 38843)</t>
  </si>
  <si>
    <t xml:space="preserve">SOHOME </t>
  </si>
  <si>
    <t>Compras SOHOME - Bruna Tecco</t>
  </si>
  <si>
    <t xml:space="preserve">+55 (44) 9845-0504 </t>
  </si>
  <si>
    <t>Aprovado (O.S.: 38898)</t>
  </si>
  <si>
    <t xml:space="preserve">RESIDENCIAL TORRES DE OZANAM </t>
  </si>
  <si>
    <t>Aprovado (O.S.: 38821)</t>
  </si>
  <si>
    <t xml:space="preserve">Ayrton Brancalhoni </t>
  </si>
  <si>
    <t>Aprovado (O.S.: 38818)</t>
  </si>
  <si>
    <t>Aprovado (O.S.: 38820)</t>
  </si>
  <si>
    <t xml:space="preserve">MASON EQUIPAMENTOS LTDA. </t>
  </si>
  <si>
    <t>Karine C O Parenti</t>
  </si>
  <si>
    <t>Aprovado (O.S.: 38822)</t>
  </si>
  <si>
    <t>Aprovado (O.S.: 38823)</t>
  </si>
  <si>
    <t>Wesley oliveira</t>
  </si>
  <si>
    <t xml:space="preserve">+55 (31) 9811-3680 </t>
  </si>
  <si>
    <t xml:space="preserve">PRIME HOUSE SACOMA </t>
  </si>
  <si>
    <t>Marcio Acosta</t>
  </si>
  <si>
    <t xml:space="preserve">+55 (11) 5080-0000 </t>
  </si>
  <si>
    <t>Aprovado (O.S.: 38824)</t>
  </si>
  <si>
    <t xml:space="preserve">Carina Sales </t>
  </si>
  <si>
    <t xml:space="preserve">+55 (61) 98526-6277 </t>
  </si>
  <si>
    <t>Aprovado (O.S.: 38826)</t>
  </si>
  <si>
    <t xml:space="preserve">ALVORADA PRODUTOS AGROPECUARIOS </t>
  </si>
  <si>
    <t>ALVORADA COMERCIO DE PRODUTOS AGROPECUARIOS LTDA</t>
  </si>
  <si>
    <t xml:space="preserve">+55 (67) 3312-1650 </t>
  </si>
  <si>
    <t>Aprovado (O.S.: 38827)</t>
  </si>
  <si>
    <t xml:space="preserve">COMEP INDUSTRIA E COMERCIO LTDA </t>
  </si>
  <si>
    <t>(financeiro)</t>
  </si>
  <si>
    <t xml:space="preserve">+55 (11) 8555-8738 </t>
  </si>
  <si>
    <t>Aprovado (O.S.: 38877)</t>
  </si>
  <si>
    <t xml:space="preserve">CONDOMINIO EDIFICIO DAS HORTENSIAS </t>
  </si>
  <si>
    <t>Condominio Edificio das Hortênsias</t>
  </si>
  <si>
    <t xml:space="preserve">+55 (11) 98263-0357 </t>
  </si>
  <si>
    <t>Aprovado (O.S.: 38828)</t>
  </si>
  <si>
    <t xml:space="preserve">LME ENGENHARIA E MANUTENCOES ELETRICAS </t>
  </si>
  <si>
    <t>MAKEL</t>
  </si>
  <si>
    <t xml:space="preserve">+55 (11) 4566-5586 </t>
  </si>
  <si>
    <t>Aprovado (O.S.: 38830)</t>
  </si>
  <si>
    <t xml:space="preserve">VIZU HAIR CLUB </t>
  </si>
  <si>
    <t>Gi</t>
  </si>
  <si>
    <t xml:space="preserve">+55 (11) 95358-9101 </t>
  </si>
  <si>
    <t>Aprovado (O.S.: 38834)</t>
  </si>
  <si>
    <t>Raquel</t>
  </si>
  <si>
    <t>Aprovado (O.S.: 38833)</t>
  </si>
  <si>
    <t xml:space="preserve">PROBENE FOODS </t>
  </si>
  <si>
    <t>Daniel/Lucas Compras</t>
  </si>
  <si>
    <t xml:space="preserve">+55 (81) 8717-0853 </t>
  </si>
  <si>
    <t>Aprovado (O.S.: 38840)</t>
  </si>
  <si>
    <t>Operacional Marambaia</t>
  </si>
  <si>
    <t>Aprovado (O.S.: 38975)</t>
  </si>
  <si>
    <t xml:space="preserve">HOSPITAL MATER DEI S/A </t>
  </si>
  <si>
    <t>Aprovado (O.S.: 38885)</t>
  </si>
  <si>
    <t xml:space="preserve">BONO UNIMART </t>
  </si>
  <si>
    <t xml:space="preserve">+55 (19) 3255-1717 </t>
  </si>
  <si>
    <t>Aprovado (O.S.: 38836)</t>
  </si>
  <si>
    <t xml:space="preserve">CONDOMINIO EDIFICIO BELLINI </t>
  </si>
  <si>
    <t>Flávio Thomaz</t>
  </si>
  <si>
    <t xml:space="preserve">+55 (21) 99156-6570 </t>
  </si>
  <si>
    <t>Aprovado (O.S.: 38852)</t>
  </si>
  <si>
    <t xml:space="preserve">RESIDENCIAL CANADIAN VILLAGE </t>
  </si>
  <si>
    <t>Jacksoncesardamotta</t>
  </si>
  <si>
    <t xml:space="preserve">+55 (11) 97704-2179 </t>
  </si>
  <si>
    <t>Aprovado (O.S.: 38987)</t>
  </si>
  <si>
    <t xml:space="preserve">ASSOCIACAO DO EMPREENDIMENTO ARQUIPEO </t>
  </si>
  <si>
    <t>Andrea Evangelista/BRA</t>
  </si>
  <si>
    <t xml:space="preserve">+55 (11) 2540-9150 </t>
  </si>
  <si>
    <t>Aprovado (O.S.: 39044)</t>
  </si>
  <si>
    <t>Aprovado (O.S.: 38842)</t>
  </si>
  <si>
    <t>Aprovado (O.S.: 38854)</t>
  </si>
  <si>
    <t>Aprovado (O.S.: 38875)</t>
  </si>
  <si>
    <t xml:space="preserve">JRM SOLUCOES </t>
  </si>
  <si>
    <t>João Pedro - Compras JRM</t>
  </si>
  <si>
    <t xml:space="preserve">+55 (11) 96581-8653 </t>
  </si>
  <si>
    <t xml:space="preserve">RESIPLASTIC INDUSTRIA E COMERCIO LTDA </t>
  </si>
  <si>
    <t>Nathalia Francisco</t>
  </si>
  <si>
    <t xml:space="preserve">+55 (11) 2699-0834 </t>
  </si>
  <si>
    <t>Aprovado (O.S.: 38884)</t>
  </si>
  <si>
    <t xml:space="preserve">GRAND GARDEN </t>
  </si>
  <si>
    <t>CONDOMINIO GRAND GARDEN</t>
  </si>
  <si>
    <t xml:space="preserve">+55 (11) 4586-0001 </t>
  </si>
  <si>
    <t>Aprovado (O.S.: 38847)</t>
  </si>
  <si>
    <t xml:space="preserve">+55 114 496 588 0/ </t>
  </si>
  <si>
    <t>Aprovado (O.S.: 38906)</t>
  </si>
  <si>
    <t xml:space="preserve">NEW PARTS </t>
  </si>
  <si>
    <t xml:space="preserve">+55 (11) 8259-6415 </t>
  </si>
  <si>
    <t>Aprovado (O.S.: 38855)</t>
  </si>
  <si>
    <t xml:space="preserve">valdelice da silva </t>
  </si>
  <si>
    <t xml:space="preserve">+55 (41) 99875-1262 </t>
  </si>
  <si>
    <t>Aprovado (O.S.: 38848)</t>
  </si>
  <si>
    <t xml:space="preserve">AGUAS DE CABREUVA COMERCIAL LTDA. </t>
  </si>
  <si>
    <t>ÁGUAS DE CABREÚVA COMERCIAL LTDA</t>
  </si>
  <si>
    <t>Aprovado (O.S.: 38849)</t>
  </si>
  <si>
    <t xml:space="preserve">REDEPHARMA </t>
  </si>
  <si>
    <t>Nelfarma Comercio</t>
  </si>
  <si>
    <t xml:space="preserve">+55 (83) 3315-6565 </t>
  </si>
  <si>
    <t>Aprovado (O.S.: 38850)</t>
  </si>
  <si>
    <t xml:space="preserve">EDIFICIO COMERCIAL / APART - HOTEL </t>
  </si>
  <si>
    <t>Camila Pereira Bruzinga</t>
  </si>
  <si>
    <t xml:space="preserve">+55 (48) 9975-3953 </t>
  </si>
  <si>
    <t>Aprovado (O.S.: 38853)</t>
  </si>
  <si>
    <t xml:space="preserve">LOGSERVICE </t>
  </si>
  <si>
    <t>Marina</t>
  </si>
  <si>
    <t xml:space="preserve">+55 (31) 9912-1391 </t>
  </si>
  <si>
    <t>Aprovado (O.S.: 38892)</t>
  </si>
  <si>
    <t xml:space="preserve">MAXSOY ALIMENTOS LTDA </t>
  </si>
  <si>
    <t>Milena</t>
  </si>
  <si>
    <t xml:space="preserve">+55 (19) 99948-9312 </t>
  </si>
  <si>
    <t>Aprovado (O.S.: 38879)</t>
  </si>
  <si>
    <t xml:space="preserve">STETSOM INDUSTRIA ELETRONICA LTDA. </t>
  </si>
  <si>
    <t>Compras01@Stetsom - João</t>
  </si>
  <si>
    <t xml:space="preserve">+55 (18) 99680-0777 </t>
  </si>
  <si>
    <t>ACM - PS 2mm</t>
  </si>
  <si>
    <t>Aprovado (O.S.: 38937)</t>
  </si>
  <si>
    <t xml:space="preserve">CONDOMINIO EDIFICIO ERNANI </t>
  </si>
  <si>
    <t>Sales</t>
  </si>
  <si>
    <t xml:space="preserve">+55 (11) 99116-4581 </t>
  </si>
  <si>
    <t>Aprovado (O.S.: 38860)</t>
  </si>
  <si>
    <t xml:space="preserve">PORCELANA HORACILIO RODRIGUES </t>
  </si>
  <si>
    <t xml:space="preserve">+55 (19) 99975-9430 </t>
  </si>
  <si>
    <t>Aprovado (O.S.: 38868)</t>
  </si>
  <si>
    <t xml:space="preserve">SWEDA INFORMATICA LTDA </t>
  </si>
  <si>
    <t>Jaqueline De Paula Navarro</t>
  </si>
  <si>
    <t xml:space="preserve">+55 (11) 2106-5618 </t>
  </si>
  <si>
    <t>Aprovado (O.S.: 38858)</t>
  </si>
  <si>
    <t xml:space="preserve">CKC </t>
  </si>
  <si>
    <t>Beto Silva</t>
  </si>
  <si>
    <t xml:space="preserve">+55 (11) 2613-4289 </t>
  </si>
  <si>
    <t>Placas Sinalização - PS1mm PVC - 10.000 Unidades</t>
  </si>
  <si>
    <t xml:space="preserve">INCORPORACOES COIMBRA SPE LTDA. </t>
  </si>
  <si>
    <t>Marcelo dos Santos Teixeira</t>
  </si>
  <si>
    <t xml:space="preserve">+55 (11) 4083-7648 </t>
  </si>
  <si>
    <t>Aprovado (O.S.: 38859)</t>
  </si>
  <si>
    <t xml:space="preserve">CONDOMINIO EDIFICIO ROSANA </t>
  </si>
  <si>
    <t>Virginia Tavares da Trindade</t>
  </si>
  <si>
    <t xml:space="preserve">+55 (11) 99972-6646 </t>
  </si>
  <si>
    <t>Aprovado (O.S.: 38861)</t>
  </si>
  <si>
    <t>Aprovado (O.S.: 38863)</t>
  </si>
  <si>
    <t xml:space="preserve">INCREBASE </t>
  </si>
  <si>
    <t>Jocimar</t>
  </si>
  <si>
    <t xml:space="preserve">+55 (11) 94702-9786 </t>
  </si>
  <si>
    <t xml:space="preserve">Letícia Dantas </t>
  </si>
  <si>
    <t xml:space="preserve">+55 (18) 99645-2324 </t>
  </si>
  <si>
    <t>Aprovado (O.S.: 38867)</t>
  </si>
  <si>
    <t xml:space="preserve">FOR FEW AUTOMOTIVE STUDIO </t>
  </si>
  <si>
    <t>Héber Alves For Few Automotive Studio</t>
  </si>
  <si>
    <t xml:space="preserve">+55 (11) 6236-9333 </t>
  </si>
  <si>
    <t xml:space="preserve">MTE-THOMSON INDUSTRIA E COMERCIO LTDA </t>
  </si>
  <si>
    <t>Vagner Marques</t>
  </si>
  <si>
    <t xml:space="preserve">+55 (16) 99408-8134 </t>
  </si>
  <si>
    <t>Aprovado (O.S.: 38870)</t>
  </si>
  <si>
    <t xml:space="preserve">RKF DISTRIBUIDORA LTDA </t>
  </si>
  <si>
    <t>Vivian Caroline Gonçalves</t>
  </si>
  <si>
    <t xml:space="preserve">+55 (41) 3277-4038 </t>
  </si>
  <si>
    <t>Aprovado (O.S.: 38873)</t>
  </si>
  <si>
    <t>Aprovado (O.S.: 38960)</t>
  </si>
  <si>
    <t xml:space="preserve">GUSMAO PLANEJAMENTO E OBRAS LTDA </t>
  </si>
  <si>
    <t>Gusmao - Projetos e orçamentos.</t>
  </si>
  <si>
    <t xml:space="preserve">(81)3427-2481/(81)3244-818 </t>
  </si>
  <si>
    <t>Gustavo Rosendo</t>
  </si>
  <si>
    <t>Aprovado (O.S.: 39169)</t>
  </si>
  <si>
    <t xml:space="preserve">CLINICA DE PSICOLOGIA CATANANTE </t>
  </si>
  <si>
    <t>Juliana Catanante Hidalgo</t>
  </si>
  <si>
    <t xml:space="preserve">+55 (11) 3732-7207 </t>
  </si>
  <si>
    <t>PS 2mm c/ sistema + ACRILICO</t>
  </si>
  <si>
    <t xml:space="preserve">DREAM VIEW SKY RESORT - RESIDENCIAL </t>
  </si>
  <si>
    <t>Suprimentos - ZANGARI</t>
  </si>
  <si>
    <t xml:space="preserve">+55 (11) 3074-4266 </t>
  </si>
  <si>
    <t xml:space="preserve">ATTIVA EQUIPAMENTOS DE SEGURANCA </t>
  </si>
  <si>
    <t>Amanda Oliveira</t>
  </si>
  <si>
    <t xml:space="preserve">+55 (19) 3844-6854 </t>
  </si>
  <si>
    <t xml:space="preserve">AQUAGEL </t>
  </si>
  <si>
    <t>CARLOS</t>
  </si>
  <si>
    <t xml:space="preserve">+55 (19) 3032-2466 </t>
  </si>
  <si>
    <t xml:space="preserve">ANALITICA </t>
  </si>
  <si>
    <t>Lima</t>
  </si>
  <si>
    <t xml:space="preserve">+55 (11) 2162-8080 </t>
  </si>
  <si>
    <t xml:space="preserve">THERMOMATIC DO BRASIL LTDA </t>
  </si>
  <si>
    <t>Compras Thermomatic</t>
  </si>
  <si>
    <t xml:space="preserve">+55 (11) 99993-5788 </t>
  </si>
  <si>
    <t>Aprovado (O.S.: 38919)</t>
  </si>
  <si>
    <t xml:space="preserve">MOUNTAIN VIEW NEGOCIOS IMOBILIARIOS LTDA </t>
  </si>
  <si>
    <t>Predial Cherem</t>
  </si>
  <si>
    <t xml:space="preserve">+55 (11) 94038-5225 </t>
  </si>
  <si>
    <t>FOTOLUMINESCENTE 0,8mm + PS 2mm</t>
  </si>
  <si>
    <t>Aprovado (O.S.: 39042)</t>
  </si>
  <si>
    <t xml:space="preserve">DIEFRA ENGENHARIA E CONSULTORIA LTDA </t>
  </si>
  <si>
    <t>Fernanda Calixta Paixão</t>
  </si>
  <si>
    <t xml:space="preserve">+55 (31) 9102-0071 </t>
  </si>
  <si>
    <t xml:space="preserve">HELISTAR TAXI AEREO ESCOLA DE PILOTAGEM E ASSESSORIA AERONAUTICA LTDA </t>
  </si>
  <si>
    <t>Samara Fernandes</t>
  </si>
  <si>
    <t xml:space="preserve">+55 (21) 99969-2404 </t>
  </si>
  <si>
    <t>Aprovado (O.S.: 38903)</t>
  </si>
  <si>
    <t>Aprovado (O.S.: 38927)</t>
  </si>
  <si>
    <t xml:space="preserve">ALESSANDRA RAMOS DE ARAUJO 28824264883 </t>
  </si>
  <si>
    <t>Alessandra</t>
  </si>
  <si>
    <t xml:space="preserve">+55 (11) 97690-2511 </t>
  </si>
  <si>
    <t xml:space="preserve">LUCAS ARRAES SAMPAIO OLIVEIRA </t>
  </si>
  <si>
    <t xml:space="preserve">+55 (81) 99967-8676 </t>
  </si>
  <si>
    <t>Aprovado (O.S.: 38894)</t>
  </si>
  <si>
    <t xml:space="preserve">André Eloy Pimenta Melo </t>
  </si>
  <si>
    <t xml:space="preserve">+55 (64) 99207-1673 </t>
  </si>
  <si>
    <t>Aprovado (O.S.: 38895)</t>
  </si>
  <si>
    <t xml:space="preserve">40.375.942 ANDRE RIOS MELLO </t>
  </si>
  <si>
    <t>Regina</t>
  </si>
  <si>
    <t xml:space="preserve">+55 (13) 3357-4557 </t>
  </si>
  <si>
    <t>Aprovado (O.S.: 38896)</t>
  </si>
  <si>
    <t>Aprovado (O.S.: 38900)</t>
  </si>
  <si>
    <t xml:space="preserve">FRIGORIFICO EL'GOLLI LTDA </t>
  </si>
  <si>
    <t>Elgolli Compras</t>
  </si>
  <si>
    <t xml:space="preserve">+55 (47) 3562-8675 </t>
  </si>
  <si>
    <t>Aprovado (O.S.: 38931)</t>
  </si>
  <si>
    <t>Aprovado (O.S.: 38969)</t>
  </si>
  <si>
    <t xml:space="preserve">Michele Cristina Leardini </t>
  </si>
  <si>
    <t xml:space="preserve">+55 (19) 99705-3193 </t>
  </si>
  <si>
    <t>Aprovado (O.S.: 38904)</t>
  </si>
  <si>
    <t>Aprovado (O.S.: 38988)</t>
  </si>
  <si>
    <t xml:space="preserve">ROSSI MAIS RESERVA JAGUARE </t>
  </si>
  <si>
    <t>Mais Reserva</t>
  </si>
  <si>
    <t xml:space="preserve">+55 (11) 94044-7397 </t>
  </si>
  <si>
    <t>Aprovado (O.S.: 38914)</t>
  </si>
  <si>
    <t xml:space="preserve">AUTO PASTORE LTDA </t>
  </si>
  <si>
    <t>Renato</t>
  </si>
  <si>
    <t xml:space="preserve">+55 (11) 3227-0688 </t>
  </si>
  <si>
    <t xml:space="preserve">FLUIDRA BRASIL </t>
  </si>
  <si>
    <t>Contas a Pagar</t>
  </si>
  <si>
    <t xml:space="preserve">+55 (47) 3224-5500 </t>
  </si>
  <si>
    <t xml:space="preserve">KERAKOLL DO BRASIL INDUSTRIA E COMERCIO LTDA. </t>
  </si>
  <si>
    <t>Felipe Inoue</t>
  </si>
  <si>
    <t xml:space="preserve">+55 (11) 3550-0000 </t>
  </si>
  <si>
    <t>Aprovado (O.S.: 38932)</t>
  </si>
  <si>
    <t xml:space="preserve">COND EDIFICIO CONJUNTO RESID HUGO STRELOW </t>
  </si>
  <si>
    <t>〽️</t>
  </si>
  <si>
    <t xml:space="preserve">+55 (13) 99205-5459 </t>
  </si>
  <si>
    <t>Aprovado (O.S.: 38916)</t>
  </si>
  <si>
    <t xml:space="preserve">Vania Maria Carvalho </t>
  </si>
  <si>
    <t>Vania</t>
  </si>
  <si>
    <t xml:space="preserve">+55 (19) 98119-2660 </t>
  </si>
  <si>
    <t>Aprovado (O.S.: 38908)</t>
  </si>
  <si>
    <t xml:space="preserve">DROGARIA CAMBIAGHI LTDA </t>
  </si>
  <si>
    <t>Elder Cambiaghi</t>
  </si>
  <si>
    <t xml:space="preserve">+55 (19) 99847-4605 </t>
  </si>
  <si>
    <t>Aprovado (O.S.: 38911)</t>
  </si>
  <si>
    <t xml:space="preserve">ACERTIVA FERRAMENTAS LTDA </t>
  </si>
  <si>
    <t>CLAUDINEI AGOSTINELLI</t>
  </si>
  <si>
    <t>Aprovado (O.S.: 38912)</t>
  </si>
  <si>
    <t xml:space="preserve">EPLAX </t>
  </si>
  <si>
    <t>Camila Cossari</t>
  </si>
  <si>
    <t xml:space="preserve">+55 (11) 4181-8330 </t>
  </si>
  <si>
    <t>Aprovado (O.S.: 38913)</t>
  </si>
  <si>
    <t xml:space="preserve">SODIE DOCES </t>
  </si>
  <si>
    <t>Ricardo Janes</t>
  </si>
  <si>
    <t xml:space="preserve">+55 (11) 4707-4608 </t>
  </si>
  <si>
    <t>Aprovado (O.S.: 38918)</t>
  </si>
  <si>
    <t xml:space="preserve">SICOOB FLUMINENSE </t>
  </si>
  <si>
    <t xml:space="preserve">+55 (22) 2726-2750 </t>
  </si>
  <si>
    <t>Aprovado (O.S.: 38920)</t>
  </si>
  <si>
    <t xml:space="preserve">Geraldo Soares Menezes Filho </t>
  </si>
  <si>
    <t xml:space="preserve">+55 (85) 98773-8525 </t>
  </si>
  <si>
    <t>Aprovado (O.S.: 38921)</t>
  </si>
  <si>
    <t xml:space="preserve">Roane Malaguti Ribeiro dos Santos </t>
  </si>
  <si>
    <t xml:space="preserve">+55 (12) 99790-6515 </t>
  </si>
  <si>
    <t>Aprovado (O.S.: 38922)</t>
  </si>
  <si>
    <t xml:space="preserve">Maria Elena Bianchi </t>
  </si>
  <si>
    <t xml:space="preserve">+55 (11) 93060-0960 </t>
  </si>
  <si>
    <t>Aprovado (O.S.: 38923)</t>
  </si>
  <si>
    <t xml:space="preserve">IMPERTELA INDUSTRIAL LTDA </t>
  </si>
  <si>
    <t>ENVIO DE BOLETO</t>
  </si>
  <si>
    <t xml:space="preserve">+55 (11) 2222-2622 </t>
  </si>
  <si>
    <t xml:space="preserve">VETNIL INDUSTRIA E COMERCIO DE PRODUTOS VETERIN LTDA </t>
  </si>
  <si>
    <t>Debora Matos Figueiredo de Melo</t>
  </si>
  <si>
    <t xml:space="preserve">+55 (19) 3848-8500 </t>
  </si>
  <si>
    <t xml:space="preserve">M A CRIVELARI COCA LTDA </t>
  </si>
  <si>
    <t>Altaneide Araujo</t>
  </si>
  <si>
    <t xml:space="preserve">+55 (77) 9971-3535 </t>
  </si>
  <si>
    <t>Aprovado (O.S.: 38926)</t>
  </si>
  <si>
    <t xml:space="preserve">CMV ENGENHARIA E ARQUITETURA </t>
  </si>
  <si>
    <t>Anna Vieira</t>
  </si>
  <si>
    <t xml:space="preserve">+55 (12) 99126-9991 </t>
  </si>
  <si>
    <t>Aprovado (O.S.: 38954)</t>
  </si>
  <si>
    <t xml:space="preserve">SAN-SEI COMERCIAL LTDA </t>
  </si>
  <si>
    <t>San Sei COMPRAS</t>
  </si>
  <si>
    <t xml:space="preserve">+55 (11) 97601-2816 </t>
  </si>
  <si>
    <t>Aprovado (O.S.: 38935)</t>
  </si>
  <si>
    <t>Aprovado (O.S.: 38930)</t>
  </si>
  <si>
    <t xml:space="preserve">NIETTO TRUCK DIESEL </t>
  </si>
  <si>
    <t>Nietto Truck --- Thaynara Nietto</t>
  </si>
  <si>
    <t xml:space="preserve">+55 (19) 97155-6631 </t>
  </si>
  <si>
    <t>Aprovado (O.S.: 39027)</t>
  </si>
  <si>
    <t xml:space="preserve">LURE DIGITAL LTDA </t>
  </si>
  <si>
    <t>Anne Praxedes</t>
  </si>
  <si>
    <t xml:space="preserve">+55 (85) 9796-1763 </t>
  </si>
  <si>
    <t>DIVERSOS</t>
  </si>
  <si>
    <t xml:space="preserve">INDUSTRIA E COMERCIO LEAL LTDA </t>
  </si>
  <si>
    <t>Leonardo Leite</t>
  </si>
  <si>
    <t xml:space="preserve">+55 (11) 2189-5300 </t>
  </si>
  <si>
    <t>Aprovado (O.S.: 39072)</t>
  </si>
  <si>
    <t xml:space="preserve">Erika Machado </t>
  </si>
  <si>
    <t xml:space="preserve">+55 (19) 9715-7352 </t>
  </si>
  <si>
    <t>Aprovado (O.S.: 38938)</t>
  </si>
  <si>
    <t>Aprovado (O.S.: 38939)</t>
  </si>
  <si>
    <t xml:space="preserve">SUPREMO CITY </t>
  </si>
  <si>
    <t>Supremo City Utilidades Domésticas Ltda</t>
  </si>
  <si>
    <t xml:space="preserve">+55 (11) 4103-7075 </t>
  </si>
  <si>
    <t>Aprovado (O.S.: 38940)</t>
  </si>
  <si>
    <t xml:space="preserve">PREFEITURA DO MUNICIPIO DE ITAPETININGA </t>
  </si>
  <si>
    <t>Valdirene</t>
  </si>
  <si>
    <t xml:space="preserve">(15)2734-200/(15)2733-200 </t>
  </si>
  <si>
    <t>Anderson Batista Rocha</t>
  </si>
  <si>
    <t>Aprovado (O.S.: 38941)</t>
  </si>
  <si>
    <t xml:space="preserve">CONDOMINIO NEW WORKER TOWER </t>
  </si>
  <si>
    <t>Rafael Oliveira</t>
  </si>
  <si>
    <t xml:space="preserve">+55 (11) 95882-5381 </t>
  </si>
  <si>
    <t>GABARITO ESTAÇÃO + CARRO ELETRICO 2</t>
  </si>
  <si>
    <t xml:space="preserve">Eduardo Serrano </t>
  </si>
  <si>
    <t>Eduardo Serrano</t>
  </si>
  <si>
    <t xml:space="preserve">+55 (17) 98803-7855 </t>
  </si>
  <si>
    <t>Fabiana Armentano Costa</t>
  </si>
  <si>
    <t>Aprovado (O.S.: 38943)</t>
  </si>
  <si>
    <t xml:space="preserve">CONDOMINIO RESIDENCIAL FISCHER XXIII </t>
  </si>
  <si>
    <t>Amanda Dangelo</t>
  </si>
  <si>
    <t xml:space="preserve">+55 (41) 3029-2964 </t>
  </si>
  <si>
    <t>Aprovado (O.S.: 38944)</t>
  </si>
  <si>
    <t xml:space="preserve">Jaqueline Di Raimo </t>
  </si>
  <si>
    <t xml:space="preserve">+55 (11) 9172-5779 </t>
  </si>
  <si>
    <t>Aprovado (O.S.: 38946)</t>
  </si>
  <si>
    <t xml:space="preserve">CONSORCIO CASA PAULISTA </t>
  </si>
  <si>
    <t>Leonardo Batista</t>
  </si>
  <si>
    <t xml:space="preserve">+55 (11) 97439-2964 </t>
  </si>
  <si>
    <t>OBRA - GALVANIZADA</t>
  </si>
  <si>
    <t xml:space="preserve">Benicorte - Corte Usinagem e Gravação </t>
  </si>
  <si>
    <t xml:space="preserve">+55 (19) 99408-8924 </t>
  </si>
  <si>
    <t>Aprovado (O.S.: 38952)</t>
  </si>
  <si>
    <t xml:space="preserve">Brasitone Componentes Eletronicos Ltda </t>
  </si>
  <si>
    <t xml:space="preserve">+55 (19) 3202-4000 </t>
  </si>
  <si>
    <t>Aprovado (O.S.: 38948)</t>
  </si>
  <si>
    <t xml:space="preserve">VERANOPOLIS GUINCHOS </t>
  </si>
  <si>
    <t>Contato Financeiro</t>
  </si>
  <si>
    <t xml:space="preserve">+55 (54) 3441-6072 </t>
  </si>
  <si>
    <t>Aprovado (O.S.: 38953)</t>
  </si>
  <si>
    <t>Aprovado (O.S.: 39075)</t>
  </si>
  <si>
    <t>Suporte de controle em PETG - impressão 3D</t>
  </si>
  <si>
    <t>Doceria Fantacussi Ltda ME</t>
  </si>
  <si>
    <t xml:space="preserve">+55 (14) 3433-7549 </t>
  </si>
  <si>
    <t>Aprovado (O.S.: 38949)</t>
  </si>
  <si>
    <t>Confeitaria e doceria nova odessa ltda</t>
  </si>
  <si>
    <t xml:space="preserve">+55 (19) 3476-3620 </t>
  </si>
  <si>
    <t>Aprovado (O.S.: 38951)</t>
  </si>
  <si>
    <t xml:space="preserve">Vinicius Ramos Silva </t>
  </si>
  <si>
    <t xml:space="preserve">+55 (11) 95335-2240 </t>
  </si>
  <si>
    <t>Aprovado (O.S.: 38955)</t>
  </si>
  <si>
    <t xml:space="preserve">ELECTROCHEMICAL INDUSTRIA E COMERCIO DE PRODUTOS QUIMICOS LTDA </t>
  </si>
  <si>
    <t xml:space="preserve">+55 (11) 3959-4990 </t>
  </si>
  <si>
    <t>Aprovado (O.S.: 38962)</t>
  </si>
  <si>
    <t xml:space="preserve">BONIN ENGENHARIA </t>
  </si>
  <si>
    <t>Maria Clara</t>
  </si>
  <si>
    <t xml:space="preserve">+55 (11) 91460-2421 </t>
  </si>
  <si>
    <t>Aprovado (O.S.: 39184)</t>
  </si>
  <si>
    <t xml:space="preserve">Ricardo Capovila </t>
  </si>
  <si>
    <t xml:space="preserve">+55 (19) 99399-4439 </t>
  </si>
  <si>
    <t>Aprovado (O.S.: 38957)</t>
  </si>
  <si>
    <t xml:space="preserve">60.072.681 MARIA EDUARDA GHISI RODRIGUES </t>
  </si>
  <si>
    <t>Henrique - Comprador</t>
  </si>
  <si>
    <t xml:space="preserve">+55 (19) 98918-1989 </t>
  </si>
  <si>
    <t>Aprovado (O.S.: 39099)</t>
  </si>
  <si>
    <t xml:space="preserve">HOSPITAL UNIMED CARUARU </t>
  </si>
  <si>
    <t>Compras unimed</t>
  </si>
  <si>
    <t xml:space="preserve">+55 (81) 8115-7849 </t>
  </si>
  <si>
    <t>SUPORTE PARA CONTROLE REMOTO</t>
  </si>
  <si>
    <t>Assistente Comunicação - ALPHAVILLE CAMPINAS CLUBE</t>
  </si>
  <si>
    <t>Aprovado (O.S.: 38958)</t>
  </si>
  <si>
    <t>Aprovado (O.S.: 38961)</t>
  </si>
  <si>
    <t xml:space="preserve">BANCO INTER S.A. </t>
  </si>
  <si>
    <t>Engenharia Banco Inter</t>
  </si>
  <si>
    <t xml:space="preserve">+55 (53) 17220-9263 </t>
  </si>
  <si>
    <t>Aprovado (O.S.: 38980)</t>
  </si>
  <si>
    <t xml:space="preserve">JOTA ELE CONSTRUCOES CIVIS S/A </t>
  </si>
  <si>
    <t xml:space="preserve">+55 (15) 98829-0080 </t>
  </si>
  <si>
    <t>OBRA - GALVANIZADA 0,8mm</t>
  </si>
  <si>
    <t>Elias Santos</t>
  </si>
  <si>
    <t xml:space="preserve">Kelly Alves falcão Rodrigues </t>
  </si>
  <si>
    <t xml:space="preserve">+55 (21) 97128-8227 </t>
  </si>
  <si>
    <t>Aprovado (O.S.: 38967)</t>
  </si>
  <si>
    <t xml:space="preserve">Suzana Ávila da Silva </t>
  </si>
  <si>
    <t>Suzana</t>
  </si>
  <si>
    <t xml:space="preserve">+55 (19) 99715-3713 </t>
  </si>
  <si>
    <t>Aprovado (O.S.: 38971)</t>
  </si>
  <si>
    <t xml:space="preserve">ROMAJO COMERCIAL ELETRICA </t>
  </si>
  <si>
    <t>TATIANA GOMES</t>
  </si>
  <si>
    <t xml:space="preserve">+55 (11) 2207-1277 </t>
  </si>
  <si>
    <t>Aprovado (O.S.: 38968)</t>
  </si>
  <si>
    <t xml:space="preserve">EQUILIBRIO CARE GESTAO E LOGISTICA DE APOIO EM SAUDE LTDA </t>
  </si>
  <si>
    <t>Sandro</t>
  </si>
  <si>
    <t xml:space="preserve">+55 (21) 99153-9994 </t>
  </si>
  <si>
    <t>Aprovado (O.S.: 39007)</t>
  </si>
  <si>
    <t xml:space="preserve">COLMEIA ENGENHARIA </t>
  </si>
  <si>
    <t>Bruno Orlandini</t>
  </si>
  <si>
    <t xml:space="preserve">+55 (18) 98148-8794 </t>
  </si>
  <si>
    <t>Aprovado (O.S.: 38972)</t>
  </si>
  <si>
    <t>Aprovado (O.S.: 38970)</t>
  </si>
  <si>
    <t xml:space="preserve">CONDOMINIO RESIDENCIAL VIVARTE ALAMEDAS </t>
  </si>
  <si>
    <t xml:space="preserve">+55 (11) 94015-3488 </t>
  </si>
  <si>
    <t>Aprovado (O.S.: 38976)</t>
  </si>
  <si>
    <t xml:space="preserve">GRUPO THERMO PRINT </t>
  </si>
  <si>
    <t>Compras e Serviços Thermo - Barbara</t>
  </si>
  <si>
    <t xml:space="preserve">+55 (11) 99521-5853 </t>
  </si>
  <si>
    <t>PVC EXPANDIDO FOTOLUMINESCENTE</t>
  </si>
  <si>
    <t>Aprovado (O.S.: 39020)</t>
  </si>
  <si>
    <t xml:space="preserve">SERGIO JOSE MARIA RIBEIRO </t>
  </si>
  <si>
    <t>Gislaine Novais</t>
  </si>
  <si>
    <t xml:space="preserve">+55 (15) 99603-2444 </t>
  </si>
  <si>
    <t>Aprovado (O.S.: 39142)</t>
  </si>
  <si>
    <t xml:space="preserve">COPABO INDUSTRIA E COMERCIO DE PRODUTOS TECNICOS LTDA </t>
  </si>
  <si>
    <t>Fabiana Patricia Lopes</t>
  </si>
  <si>
    <t xml:space="preserve">+55 (11) 3741-6650 </t>
  </si>
  <si>
    <t>Aprovado (O.S.: 39073)</t>
  </si>
  <si>
    <t xml:space="preserve">SUSTENTARE SANEAMENTO S/A </t>
  </si>
  <si>
    <t>Rodrigo Nascimento Nunes</t>
  </si>
  <si>
    <t xml:space="preserve">+55 (11) 5513-1525 </t>
  </si>
  <si>
    <t xml:space="preserve">MARZO VITORINO - INDUSTRIA E COMERCIO DE MOVEIS LTDA </t>
  </si>
  <si>
    <t>COMPRAS</t>
  </si>
  <si>
    <t xml:space="preserve">+55 (11) 99320-5077 </t>
  </si>
  <si>
    <t>Aprovado (O.S.: 38977)</t>
  </si>
  <si>
    <t xml:space="preserve">NOAH SERVICOS </t>
  </si>
  <si>
    <t>Aprovado (O.S.: 39093)</t>
  </si>
  <si>
    <t xml:space="preserve">SEROBRITA MINERACAO LTDA </t>
  </si>
  <si>
    <t>William Loureiro</t>
  </si>
  <si>
    <t xml:space="preserve">+55 (21) 2215-5521 </t>
  </si>
  <si>
    <t>Aprovado (O.S.: 40031)</t>
  </si>
  <si>
    <t xml:space="preserve">BTG LOG CABREUVA I </t>
  </si>
  <si>
    <t>Leonardo Lana</t>
  </si>
  <si>
    <t xml:space="preserve">+55 (11) 91749-5295 </t>
  </si>
  <si>
    <t>Aprovado (O.S.: 39015)</t>
  </si>
  <si>
    <t xml:space="preserve">ENGPROTECTION SOLUCOES DE TECNOLOGIA ELETRONICA </t>
  </si>
  <si>
    <t xml:space="preserve">+55 (11) 95604-0461 </t>
  </si>
  <si>
    <t>Aprovado (O.S.: 38979)</t>
  </si>
  <si>
    <t xml:space="preserve">TERMINAIS AEREOS DE MARINGA - SBMG S/A </t>
  </si>
  <si>
    <t xml:space="preserve">+55 (44) 3366-3861 </t>
  </si>
  <si>
    <t>Beatriz Betarello</t>
  </si>
  <si>
    <t>Aprovado (O.S.: 39251)</t>
  </si>
  <si>
    <t xml:space="preserve">Eduardo Carneiro </t>
  </si>
  <si>
    <t xml:space="preserve">+55 (11) 98282-6805 </t>
  </si>
  <si>
    <t>Aprovado (O.S.: 38990)</t>
  </si>
  <si>
    <t xml:space="preserve">CIA URBANIZADORA DA NOVA CAPITAL DO BRASIL - NOVACAP </t>
  </si>
  <si>
    <t xml:space="preserve">+55 (61) 9379-4380 </t>
  </si>
  <si>
    <t xml:space="preserve">CENTRO ESPIRITA ALLAN KARDEC </t>
  </si>
  <si>
    <t>Centro Espírita Allan Kardec</t>
  </si>
  <si>
    <t xml:space="preserve">+55 192 349 224 </t>
  </si>
  <si>
    <t>Aprovado (O.S.: 38982)</t>
  </si>
  <si>
    <t xml:space="preserve">Domingos Dell Aquilla Barone </t>
  </si>
  <si>
    <t xml:space="preserve">+55 (11) 99896-5514 </t>
  </si>
  <si>
    <t>Aprovado (O.S.: 38983)</t>
  </si>
  <si>
    <t>Erika Alves Bezerra</t>
  </si>
  <si>
    <t xml:space="preserve">+55 (11) 4964-1066 </t>
  </si>
  <si>
    <t>Aprovado (O.S.: 38986)</t>
  </si>
  <si>
    <t xml:space="preserve">ASSOCIACAO CULTURAL E ESPORTIVA PIRATININGA </t>
  </si>
  <si>
    <t>Clube Piratiniga</t>
  </si>
  <si>
    <t xml:space="preserve">+55 (11) 96436-7986 </t>
  </si>
  <si>
    <t>Aprovado (O.S.: 38989)</t>
  </si>
  <si>
    <t xml:space="preserve">NEXT MARKETING EVENTOS E TRANSPORTE </t>
  </si>
  <si>
    <t>Micaeli</t>
  </si>
  <si>
    <t xml:space="preserve">+55 (19) 98347-0035 </t>
  </si>
  <si>
    <t>Aprovado (O.S.: 38992)</t>
  </si>
  <si>
    <t xml:space="preserve">Solange Cipelli Pellicci </t>
  </si>
  <si>
    <t xml:space="preserve">+55 (14) 99775-3103 </t>
  </si>
  <si>
    <t>Aprovado (O.S.: 38991)</t>
  </si>
  <si>
    <t>Aprovado (O.S.: 38993)</t>
  </si>
  <si>
    <t xml:space="preserve">AGROPEU-AGRO INDUSTRIAL DE POMPEU S/A </t>
  </si>
  <si>
    <t>Mariane Lima</t>
  </si>
  <si>
    <t xml:space="preserve">(37)3523-4800/(37)3523-4809 </t>
  </si>
  <si>
    <t>Aprovado (O.S.: 39003)</t>
  </si>
  <si>
    <t>Aprovado (O.S.: 39005)</t>
  </si>
  <si>
    <t xml:space="preserve">J N Z </t>
  </si>
  <si>
    <t>Amaze Construtora / Trina Eng e Arq</t>
  </si>
  <si>
    <t xml:space="preserve">+55 (12) 4141-8525 </t>
  </si>
  <si>
    <t>PVC EXP. FOTOL. 2mm + FOTOL 0,8mm</t>
  </si>
  <si>
    <t>Aprovado (O.S.: 39006)</t>
  </si>
  <si>
    <t xml:space="preserve">TOR RHUV USINAGEM E MANUTENCAO INDUSTRIAL </t>
  </si>
  <si>
    <t>Edivanei</t>
  </si>
  <si>
    <t xml:space="preserve">+55 (15) 99707-7794 </t>
  </si>
  <si>
    <t>Aprovado (O.S.: 39008)</t>
  </si>
  <si>
    <t xml:space="preserve">FARMAFONTE DROGARIA E PERFUMARIA LTDA </t>
  </si>
  <si>
    <t>Dra.Margarete</t>
  </si>
  <si>
    <t xml:space="preserve">+55 (11) 98482-2494 </t>
  </si>
  <si>
    <t>Aprovado (O.S.: 39013)</t>
  </si>
  <si>
    <t xml:space="preserve">JF AVIATION AIRCRAFT MAINTENANCE LTDA </t>
  </si>
  <si>
    <t>Ana Luiza</t>
  </si>
  <si>
    <t xml:space="preserve">(61)9995-7223 </t>
  </si>
  <si>
    <t>Aprovado (O.S.: 39026)</t>
  </si>
  <si>
    <t>Aprovado (O.S.: 39029)</t>
  </si>
  <si>
    <t xml:space="preserve">UNITED LAB LTDA </t>
  </si>
  <si>
    <t>United/Beatriz Peres</t>
  </si>
  <si>
    <t xml:space="preserve">+55 (48) 3307-1915 </t>
  </si>
  <si>
    <t>Aprovado (O.S.: 39018)</t>
  </si>
  <si>
    <t xml:space="preserve">Ovídio de maio jr </t>
  </si>
  <si>
    <t xml:space="preserve">+55 (11) 99900-7988 </t>
  </si>
  <si>
    <t>Aprovado (O.S.: 39019)</t>
  </si>
  <si>
    <t xml:space="preserve">CONDOMINIO ACQUABELLA </t>
  </si>
  <si>
    <t>Breno Oliveira</t>
  </si>
  <si>
    <t xml:space="preserve">+55 (21) 99559-4915 </t>
  </si>
  <si>
    <t>Aprovado (O.S.: 39025)</t>
  </si>
  <si>
    <t xml:space="preserve">Diego Duarte </t>
  </si>
  <si>
    <t xml:space="preserve">+55 (19) 99731-2189 </t>
  </si>
  <si>
    <t>Aprovado (O.S.: 39021)</t>
  </si>
  <si>
    <t>Aprovado (O.S.: 39162)</t>
  </si>
  <si>
    <t xml:space="preserve">ELLO CONSTRUTORA </t>
  </si>
  <si>
    <t>PATRICIA RODRIGUES SILVA</t>
  </si>
  <si>
    <t xml:space="preserve">+55 (62) 3588-5459 </t>
  </si>
  <si>
    <t>Aprovado (O.S.: 39022)</t>
  </si>
  <si>
    <t xml:space="preserve">NAV BRASIL SERVICOS DE NAVEGACAO AEREA S.A. - NAV BRASIL </t>
  </si>
  <si>
    <t>Alex Polidoro</t>
  </si>
  <si>
    <t xml:space="preserve">+55 (19) 99302-9166 </t>
  </si>
  <si>
    <t>Aprovado (O.S.: 39383)</t>
  </si>
  <si>
    <t xml:space="preserve">Fernando Laguardia </t>
  </si>
  <si>
    <t xml:space="preserve">+55 (11) 99926-1817 </t>
  </si>
  <si>
    <t>Aprovado (O.S.: 39023)</t>
  </si>
  <si>
    <t xml:space="preserve">COORD. DE UNID. PRISIONAIS DA REGIAO CENTRAL DO ESTADO </t>
  </si>
  <si>
    <t xml:space="preserve">+55 (19) 3282-4442 </t>
  </si>
  <si>
    <t xml:space="preserve">J. M. DUQUE - COMERCIO DE MATERIAIS ELETRICOS LTDA </t>
  </si>
  <si>
    <t>Felipe Hespanhol J M Duque</t>
  </si>
  <si>
    <t xml:space="preserve">+55 (14) 3624-6801 </t>
  </si>
  <si>
    <t>Aprovado (O.S.: 39068)</t>
  </si>
  <si>
    <t>Aprovado (O.S.: 39094)</t>
  </si>
  <si>
    <t xml:space="preserve">ADLER PELZER PERNAMBUCO INDUSTRIA E COMERCIO DE PRODUTOS PLASTICOS LTDA. </t>
  </si>
  <si>
    <t>Daiana</t>
  </si>
  <si>
    <t xml:space="preserve">+55 (81) 3465-1784 </t>
  </si>
  <si>
    <t xml:space="preserve">Christopher isaac zapata </t>
  </si>
  <si>
    <t>Christopher isaac zapata</t>
  </si>
  <si>
    <t xml:space="preserve">+55 (41) 8799-2874 </t>
  </si>
  <si>
    <t xml:space="preserve">GUIMARAES PARTICIPACOES </t>
  </si>
  <si>
    <t>Elaine Andrade</t>
  </si>
  <si>
    <t xml:space="preserve">+55 (38) 9983-9664 </t>
  </si>
  <si>
    <t>Aprovado (O.S.: 39045)</t>
  </si>
  <si>
    <t xml:space="preserve">Alex Crivelari </t>
  </si>
  <si>
    <t xml:space="preserve">+55 (19) 97144-6634 </t>
  </si>
  <si>
    <t>Aprovado (O.S.: 39032)</t>
  </si>
  <si>
    <t xml:space="preserve">Igor Casado Diniz </t>
  </si>
  <si>
    <t>Igor Casado ?</t>
  </si>
  <si>
    <t xml:space="preserve">+55 (71) 8140-6688 </t>
  </si>
  <si>
    <t xml:space="preserve">CONDOMINIO EDIFICIO GREENPARK </t>
  </si>
  <si>
    <t>Patrícia Navarro</t>
  </si>
  <si>
    <t xml:space="preserve">+55 (11) 99192-4747 </t>
  </si>
  <si>
    <t>Aprovado (O.S.: 39028)</t>
  </si>
  <si>
    <t xml:space="preserve">COLEGIO RDS SWISS </t>
  </si>
  <si>
    <t xml:space="preserve">+55 (19) 3269-3569 </t>
  </si>
  <si>
    <t>Aprovado (O.S.: 39030)</t>
  </si>
  <si>
    <t>Aprovado (O.S.: 39163)</t>
  </si>
  <si>
    <t>Aprovado (O.S.: 39031)</t>
  </si>
  <si>
    <t>Urika</t>
  </si>
  <si>
    <t>Aprovado (O.S.: 39083)</t>
  </si>
  <si>
    <t xml:space="preserve">Andressa Soares </t>
  </si>
  <si>
    <t>Andressa Taveira</t>
  </si>
  <si>
    <t xml:space="preserve">+55 (61) 9970-1750 </t>
  </si>
  <si>
    <t>Aprovado (O.S.: 39040)</t>
  </si>
  <si>
    <t xml:space="preserve">ROSA RIBEIRO ENGENHARIA E SERVICOS LTDA </t>
  </si>
  <si>
    <t xml:space="preserve">+55 (11) 99765-1419 </t>
  </si>
  <si>
    <t>Aprovado (O.S.: 39051)</t>
  </si>
  <si>
    <t>RCL Implantes e Comércio de Materiais</t>
  </si>
  <si>
    <t xml:space="preserve">RE9SOL ENERGIA SOLAR </t>
  </si>
  <si>
    <t>Re9sol Energia solar e Soluções em energia.</t>
  </si>
  <si>
    <t xml:space="preserve">+55 (81) 9467-6655 </t>
  </si>
  <si>
    <t>Aprovado (O.S.: 39043)</t>
  </si>
  <si>
    <t xml:space="preserve">MARVULLE ENGENHARIA E MONTAGENS INDUSTRIAIS LTDA </t>
  </si>
  <si>
    <t>Mario Marvulle</t>
  </si>
  <si>
    <t xml:space="preserve">+55 (19) 99251-8038 </t>
  </si>
  <si>
    <t>Aprovado (O.S.: 39056)</t>
  </si>
  <si>
    <t xml:space="preserve">SELBETTI TECNOLOGIA S.A. </t>
  </si>
  <si>
    <t>Mariana - Frotas e Infra?</t>
  </si>
  <si>
    <t xml:space="preserve">+55 (47) 3441-6000 </t>
  </si>
  <si>
    <t xml:space="preserve">ACAMPAMENTO NOSSO RECANTO LTDA </t>
  </si>
  <si>
    <t>Compras - NR SAM</t>
  </si>
  <si>
    <t xml:space="preserve">+55 (11) 94206-7266 </t>
  </si>
  <si>
    <t>Aprovado (O.S.: 39067)</t>
  </si>
  <si>
    <t>Aprovado (O.S.: 39085)</t>
  </si>
  <si>
    <t xml:space="preserve">CONDOMINIO EDIFICIO FRADIQUE COUTINHO </t>
  </si>
  <si>
    <t>~Tiago Ferreira</t>
  </si>
  <si>
    <t xml:space="preserve">+55 (11) 98339-7072 </t>
  </si>
  <si>
    <t>Aprovado (O.S.: 39048)</t>
  </si>
  <si>
    <t>Aprovado (O.S.: 39049)</t>
  </si>
  <si>
    <t xml:space="preserve">CONDOMINIO ROSSI IDEAL CONQUISTA </t>
  </si>
  <si>
    <t xml:space="preserve">+55 (19) 98857-2866 </t>
  </si>
  <si>
    <t>Aprovado (O.S.: 39060)</t>
  </si>
  <si>
    <t>Aprovado (O.S.: 39047)</t>
  </si>
  <si>
    <t xml:space="preserve">INFORMACTION - CONSULTORIA EMPRESARIAL LTDA </t>
  </si>
  <si>
    <t xml:space="preserve">+55 (19) 8137-8957 </t>
  </si>
  <si>
    <t>Aprovado (O.S.: 39066)</t>
  </si>
  <si>
    <t>Aprovado (O.S.: 39778)</t>
  </si>
  <si>
    <t xml:space="preserve">Aline Carneiro Lauria </t>
  </si>
  <si>
    <t xml:space="preserve">+55 (21) 99367-4178 </t>
  </si>
  <si>
    <t>Aprovado (O.S.: 39050)</t>
  </si>
  <si>
    <t xml:space="preserve">CONAB CONSERBOMBAS LTDA </t>
  </si>
  <si>
    <t>Clara</t>
  </si>
  <si>
    <t xml:space="preserve">+55 (11) 98518-3629 </t>
  </si>
  <si>
    <t>Aprovado (O.S.: 39052)</t>
  </si>
  <si>
    <t xml:space="preserve">OFICIAL DE REGISTRO CIVIL DE PESSOAS NATURAIS </t>
  </si>
  <si>
    <t>Cartório São Miguel Paulista</t>
  </si>
  <si>
    <t xml:space="preserve">+55 (13) 9713-5000 </t>
  </si>
  <si>
    <t>Aprovado (O.S.: 39053)</t>
  </si>
  <si>
    <t xml:space="preserve">BIOS VELEIROS </t>
  </si>
  <si>
    <t>Bios Veleiros</t>
  </si>
  <si>
    <t xml:space="preserve">+55 (11) 3234-5555 </t>
  </si>
  <si>
    <t>Aprovado (O.S.: 39054)</t>
  </si>
  <si>
    <t xml:space="preserve">Elmiro Saraiva de Souza </t>
  </si>
  <si>
    <t xml:space="preserve">+55 (11) 95869-3647 </t>
  </si>
  <si>
    <t>Aprovado (O.S.: 39055)</t>
  </si>
  <si>
    <t xml:space="preserve">CONDOMINIO MISCE - VILA MADALENA </t>
  </si>
  <si>
    <t>Luis OLIVEIRA</t>
  </si>
  <si>
    <t xml:space="preserve">+55 (11) 99908-5790 </t>
  </si>
  <si>
    <t>Aprovado (O.S.: 39218)</t>
  </si>
  <si>
    <t xml:space="preserve">INST.DE PESQUISAS E PROJETOS EM EDUC.COM DE VIDA </t>
  </si>
  <si>
    <t>FELIPE GOES</t>
  </si>
  <si>
    <t xml:space="preserve">+55 (11) 95255-8600 </t>
  </si>
  <si>
    <t>Aprovado (O.S.: 39065)</t>
  </si>
  <si>
    <t xml:space="preserve">Paula Fernanda Butzen </t>
  </si>
  <si>
    <t xml:space="preserve">+55 (51) 99675-4855 </t>
  </si>
  <si>
    <t>Aprovado (O.S.: 39057)</t>
  </si>
  <si>
    <t xml:space="preserve">SQUADRA LAPI EMPREENDIMENTOS IMOBILIARIOS LTDA </t>
  </si>
  <si>
    <t>Patricia Machado Lapietra</t>
  </si>
  <si>
    <t xml:space="preserve">+55 (11) 9638-5779 </t>
  </si>
  <si>
    <t>Aprovado (O.S.: 39058)</t>
  </si>
  <si>
    <t xml:space="preserve">Augusto Cezar Góes de Britto </t>
  </si>
  <si>
    <t xml:space="preserve">+55 (77) 98821-1238 </t>
  </si>
  <si>
    <t>Aprovado (O.S.: 39059)</t>
  </si>
  <si>
    <t>Aprovado (O.S.: 39628)</t>
  </si>
  <si>
    <t xml:space="preserve">PATRICIA FREIRE </t>
  </si>
  <si>
    <t xml:space="preserve">+55 (61) 99942-3155 </t>
  </si>
  <si>
    <t>Aprovado (O.S.: 39061)</t>
  </si>
  <si>
    <t xml:space="preserve">LY DO BRASIL INDUSTRIA E COMERCIO DE ARTEFATOS DE BORRACHA LTDA. </t>
  </si>
  <si>
    <t>Lucas Henrique</t>
  </si>
  <si>
    <t xml:space="preserve">+55 (19) 98108-0925 </t>
  </si>
  <si>
    <t>Aprovado (O.S.: 39105)</t>
  </si>
  <si>
    <t xml:space="preserve">Josuan Moraes Júnior </t>
  </si>
  <si>
    <t>Josuan Moraes Jr</t>
  </si>
  <si>
    <t xml:space="preserve">+55 (47) 9651-6469 </t>
  </si>
  <si>
    <t>Aprovado (O.S.: 39064)</t>
  </si>
  <si>
    <t>Eliseu</t>
  </si>
  <si>
    <t>Aprovado (O.S.: 39134)</t>
  </si>
  <si>
    <t>Cleber Martins</t>
  </si>
  <si>
    <t>Aprovado (O.S.: 39173)</t>
  </si>
  <si>
    <t xml:space="preserve">QUALIMIX </t>
  </si>
  <si>
    <t>Amanda Garcez</t>
  </si>
  <si>
    <t xml:space="preserve">+55 (67) 3391-2800 </t>
  </si>
  <si>
    <t>Aprovado (O.S.: 39069)</t>
  </si>
  <si>
    <t xml:space="preserve">SUPREMA BET LTDA </t>
  </si>
  <si>
    <t>Compras Suprema</t>
  </si>
  <si>
    <t xml:space="preserve">+55 (15) 99636-9068 </t>
  </si>
  <si>
    <t>Aprovado (O.S.: 39148)</t>
  </si>
  <si>
    <t xml:space="preserve">ADMINISTRADORA SENSUM LTDA </t>
  </si>
  <si>
    <t>Sensum - Nova Odessa</t>
  </si>
  <si>
    <t xml:space="preserve">+55 (19) 97825-6413 </t>
  </si>
  <si>
    <t xml:space="preserve">OLIFFEL CHURRASCARIA E CAFE LTDA </t>
  </si>
  <si>
    <t>Cristina Scheffel</t>
  </si>
  <si>
    <t xml:space="preserve">+55 (00) 0000-0000 </t>
  </si>
  <si>
    <t>Aprovado (O.S.: 39087)</t>
  </si>
  <si>
    <t>Aprovado (O.S.: 39122)</t>
  </si>
  <si>
    <t xml:space="preserve">PADARIA FLORESTA </t>
  </si>
  <si>
    <t>Juliano</t>
  </si>
  <si>
    <t>Aprovado (O.S.: 39070)</t>
  </si>
  <si>
    <t xml:space="preserve">EQUILIBRIO SERVICOS ELETRICOS </t>
  </si>
  <si>
    <t>Reinaldo Equilibrio Engª</t>
  </si>
  <si>
    <t xml:space="preserve">+55 (11) 9552-0888 </t>
  </si>
  <si>
    <t>Aprovado (O.S.: 39086)</t>
  </si>
  <si>
    <t xml:space="preserve">VERDE IMOVEIS E ENERGIA </t>
  </si>
  <si>
    <t>Adeilson</t>
  </si>
  <si>
    <t xml:space="preserve">+55 (19) 99725-0554 </t>
  </si>
  <si>
    <t>Aprovado (O.S.: 39071)</t>
  </si>
  <si>
    <t xml:space="preserve">CONDOMINIO BRASIL </t>
  </si>
  <si>
    <t>Willas Carvalho</t>
  </si>
  <si>
    <t xml:space="preserve">+55 (21) 97507-2649 </t>
  </si>
  <si>
    <t>Aprovado (O.S.: 39427)</t>
  </si>
  <si>
    <t xml:space="preserve">CONDOMINIO RESIDENCIAL MERITO </t>
  </si>
  <si>
    <t>Franco</t>
  </si>
  <si>
    <t>Aprovado (O.S.: 39096)</t>
  </si>
  <si>
    <t xml:space="preserve">RECICLAR BRASIL </t>
  </si>
  <si>
    <t>Fabrício Silva</t>
  </si>
  <si>
    <t xml:space="preserve">+55 (19) 99145-3883 </t>
  </si>
  <si>
    <t>Aprovado (O.S.: 39092)</t>
  </si>
  <si>
    <t xml:space="preserve">BETA </t>
  </si>
  <si>
    <t>Cesar Augusto - Alphagraphics</t>
  </si>
  <si>
    <t xml:space="preserve">+55 (11) 97510-2234 </t>
  </si>
  <si>
    <t>Aprovado (O.S.: 39077)</t>
  </si>
  <si>
    <t xml:space="preserve">FORTBRAS AUTOPECAS S.A. </t>
  </si>
  <si>
    <t>Fortbras S.A</t>
  </si>
  <si>
    <t xml:space="preserve">+55 (11) 4501-1800 </t>
  </si>
  <si>
    <t>Aprovado (O.S.: 39074)</t>
  </si>
  <si>
    <t xml:space="preserve">Fabiana Gentil </t>
  </si>
  <si>
    <t xml:space="preserve">+55 (22) 99934-6592 </t>
  </si>
  <si>
    <t>Aprovado (O.S.: 39076)</t>
  </si>
  <si>
    <t xml:space="preserve">RIO HOTEL BRASIL EMPREENDIMENTOS IMOBILIARIOS LTDA. </t>
  </si>
  <si>
    <t>Courtyard e Residence Inn Barra da Tijuca</t>
  </si>
  <si>
    <t xml:space="preserve">+55 (21) 96610-0647 </t>
  </si>
  <si>
    <t>Aprovado (O.S.: 39088)</t>
  </si>
  <si>
    <t xml:space="preserve">Benedito Maurício Martins de Carvalho </t>
  </si>
  <si>
    <t xml:space="preserve">+55 (11) 94954-7599 </t>
  </si>
  <si>
    <t>Aprovado (O.S.: 39078)</t>
  </si>
  <si>
    <t xml:space="preserve">ASSOC DE MORAD E PROP DE LOTES DO LOT PARQUE DAS CAMELIAS </t>
  </si>
  <si>
    <t>Giovana Motta</t>
  </si>
  <si>
    <t xml:space="preserve">+55 (11) 97418-6900 </t>
  </si>
  <si>
    <t>Aprovado (O.S.: 39095)</t>
  </si>
  <si>
    <t xml:space="preserve">AVANCE CONSTRUCOES E ACESSIBILIDADE </t>
  </si>
  <si>
    <t>Carlos - COE</t>
  </si>
  <si>
    <t xml:space="preserve">+55 (11) 94197-8924 </t>
  </si>
  <si>
    <t>Aprovado (O.S.: 39275)</t>
  </si>
  <si>
    <t xml:space="preserve">ASELCO AUTOMACAO </t>
  </si>
  <si>
    <t>Marcelo Gomes</t>
  </si>
  <si>
    <t xml:space="preserve">+55 (11) 96198-3770 </t>
  </si>
  <si>
    <t>Aprovado (O.S.: 39133)</t>
  </si>
  <si>
    <t xml:space="preserve">CONDOMINIO RESIDENCIAL CHACARA SANTA CRUZ </t>
  </si>
  <si>
    <t>Beatris Ciccone</t>
  </si>
  <si>
    <t xml:space="preserve">+55 (11) 3146-9371 </t>
  </si>
  <si>
    <t>Aprovado (O.S.: 39170)</t>
  </si>
  <si>
    <t xml:space="preserve">PET'S LIFE </t>
  </si>
  <si>
    <t>Larissa SD</t>
  </si>
  <si>
    <t xml:space="preserve">+55 (16) 99149-4048 </t>
  </si>
  <si>
    <t>Aprovado (O.S.: 39089)</t>
  </si>
  <si>
    <t xml:space="preserve">WG SEGURANCA ELETRONICA </t>
  </si>
  <si>
    <t>Wesley Gava</t>
  </si>
  <si>
    <t xml:space="preserve">+55 (27) 99653-5505 </t>
  </si>
  <si>
    <t>Aprovado (O.S.: 39138)</t>
  </si>
  <si>
    <t xml:space="preserve">B R A SERVICOS DE COMUNICACAO LTDA </t>
  </si>
  <si>
    <t>Danilo - Net Turbo</t>
  </si>
  <si>
    <t xml:space="preserve">+55 (19) 3749-8996 </t>
  </si>
  <si>
    <t>Aprovado (O.S.: 39202)</t>
  </si>
  <si>
    <t xml:space="preserve">OPTIMA RENOVA LTDA </t>
  </si>
  <si>
    <t xml:space="preserve">+55 (19) 99618-2250 </t>
  </si>
  <si>
    <t>Aprovado (O.S.: 39090)</t>
  </si>
  <si>
    <t xml:space="preserve">COMUNIDADE PRESBITERIANA CHACARA PRIMAVERA </t>
  </si>
  <si>
    <t>Secretaria Chácara Primavera Valéria Oliveira</t>
  </si>
  <si>
    <t>Aprovado (O.S.: 39198)</t>
  </si>
  <si>
    <t xml:space="preserve">CONDOMINIO RESIDENCIAL SOLARIS </t>
  </si>
  <si>
    <t xml:space="preserve">+55 (11) 99315-0202 </t>
  </si>
  <si>
    <t>PS 1mm + ACM + CAVALETE</t>
  </si>
  <si>
    <t xml:space="preserve">AMBIENTAL LIMPEZA URBANA E SANEAMENTO LTDA </t>
  </si>
  <si>
    <t>Daniela</t>
  </si>
  <si>
    <t xml:space="preserve">(47)3349-2375/(47)3433-003 </t>
  </si>
  <si>
    <t xml:space="preserve">Indústrias Nucleares do Brasil S/A - INB </t>
  </si>
  <si>
    <t>Aprovado (O.S.: 39671)</t>
  </si>
  <si>
    <t xml:space="preserve">Evandro Alves dos Santos </t>
  </si>
  <si>
    <t>Evandro Alves Dos Santos</t>
  </si>
  <si>
    <t xml:space="preserve">+55 (11) 4091-3340 </t>
  </si>
  <si>
    <t>Aprovado (O.S.: 39100)</t>
  </si>
  <si>
    <t xml:space="preserve">CAIEIRAS LOG </t>
  </si>
  <si>
    <t>Yasmim Lemos?‍?</t>
  </si>
  <si>
    <t xml:space="preserve">+55 (11) 4777-9800 </t>
  </si>
  <si>
    <t xml:space="preserve">ELETRORARO COMERCIO DE ELETRODOMESTICOS LTDA </t>
  </si>
  <si>
    <t>ELETRORARO COMERCIO DE ELETRODOMESTICOS EIRELI</t>
  </si>
  <si>
    <t>Aprovado (O.S.: 39101)</t>
  </si>
  <si>
    <t xml:space="preserve">TECNOGERA - LOCACAO E TRANSFORMACAO DE ENERGIA SA </t>
  </si>
  <si>
    <t>Taila Bezerra - Tecnogera</t>
  </si>
  <si>
    <t xml:space="preserve">+55 (19) 3251-7994 </t>
  </si>
  <si>
    <t>ACM -PLACAR CIPA</t>
  </si>
  <si>
    <t>Aprovado (O.S.: 39102)</t>
  </si>
  <si>
    <t xml:space="preserve">AMEVE ENGENHARIA </t>
  </si>
  <si>
    <t>Ameve Engenharia</t>
  </si>
  <si>
    <t xml:space="preserve">+55 (11) 4117-8981 </t>
  </si>
  <si>
    <t>Aprovado (O.S.: 39108)</t>
  </si>
  <si>
    <t xml:space="preserve">MAISA LEMOS PRADO DE CARVALHO MEDEIROS </t>
  </si>
  <si>
    <t xml:space="preserve">+55 (11) 99228-9691 </t>
  </si>
  <si>
    <t>Aprovado (O.S.: 39103)</t>
  </si>
  <si>
    <t xml:space="preserve">MARQUES E CAETANO COMERCIO DE LIVROS LTDA </t>
  </si>
  <si>
    <t>Rosali Marques</t>
  </si>
  <si>
    <t>Aprovado (O.S.: 39104)</t>
  </si>
  <si>
    <t>Aprovado (O.S.: 39106)</t>
  </si>
  <si>
    <t xml:space="preserve">Aldemir Torres Pinto Vilaça </t>
  </si>
  <si>
    <t xml:space="preserve">+55 (81) 99971-9396 </t>
  </si>
  <si>
    <t>Aprovado (O.S.: 39107)</t>
  </si>
  <si>
    <t xml:space="preserve">CONDOMINIO DO EDIFICIO MONIQUE </t>
  </si>
  <si>
    <t xml:space="preserve">+55 (21) 97032-9192 </t>
  </si>
  <si>
    <t>Aprovado (O.S.: 39111)</t>
  </si>
  <si>
    <t xml:space="preserve">EDISONDA </t>
  </si>
  <si>
    <t xml:space="preserve">+55 (19) 99272-5897 </t>
  </si>
  <si>
    <t>Aprovado (O.S.: 39112)</t>
  </si>
  <si>
    <t xml:space="preserve">FILTERINTER ENTERPRISES LTDA </t>
  </si>
  <si>
    <t>Filterinter Enterprises Ltda</t>
  </si>
  <si>
    <t xml:space="preserve">+55 (19) 98176-1274 </t>
  </si>
  <si>
    <t>Aprovado (O.S.: 39168)</t>
  </si>
  <si>
    <t xml:space="preserve">INSPER INSTITUTO DE ENSINO E PESQUISA </t>
  </si>
  <si>
    <t>JEAN RICARDO</t>
  </si>
  <si>
    <t xml:space="preserve">+55 (11) 97179-4001 </t>
  </si>
  <si>
    <t>Aprovado (O.S.: 39174)</t>
  </si>
  <si>
    <t xml:space="preserve">Leandro Freire Ventura </t>
  </si>
  <si>
    <t xml:space="preserve">+55 (11) 97690-4016 </t>
  </si>
  <si>
    <t>Aprovado (O.S.: 39125)</t>
  </si>
  <si>
    <t xml:space="preserve">MANDI BUTANTA </t>
  </si>
  <si>
    <t xml:space="preserve">+55 (11) 3170-3444 </t>
  </si>
  <si>
    <t>Aprovado (O.S.: 39110)</t>
  </si>
  <si>
    <t xml:space="preserve">CONDOMINIO SPA LIFE GARDEN </t>
  </si>
  <si>
    <t>Fernando Pedro</t>
  </si>
  <si>
    <t xml:space="preserve">+55 (11) 97379-8995 </t>
  </si>
  <si>
    <t>Aprovado (O.S.: 39172)</t>
  </si>
  <si>
    <t xml:space="preserve">STEINER ENGENHARIA EIRELI </t>
  </si>
  <si>
    <t xml:space="preserve">(11)97312-4667 </t>
  </si>
  <si>
    <t>Aprovado (O.S.: 39113)</t>
  </si>
  <si>
    <t xml:space="preserve">Grupo Huzzo </t>
  </si>
  <si>
    <t xml:space="preserve">+55 (11) 91115-5683 </t>
  </si>
  <si>
    <t>Aprovado (O.S.: 39114)</t>
  </si>
  <si>
    <t xml:space="preserve">48.969.485 JOSE PAULO DE CARVALHO </t>
  </si>
  <si>
    <t>JOSE PAULO</t>
  </si>
  <si>
    <t xml:space="preserve">+55 (17) 2137-5101 </t>
  </si>
  <si>
    <t>Aprovado (O.S.: 39115)</t>
  </si>
  <si>
    <t xml:space="preserve">CONDOMINIO RESIDENCIAL PIAZZA MILANO </t>
  </si>
  <si>
    <t>Paulo Henrique Gomes Leite</t>
  </si>
  <si>
    <t xml:space="preserve">+55 (82) 3333-3333 </t>
  </si>
  <si>
    <t>Aprovado (O.S.: 39117)</t>
  </si>
  <si>
    <t xml:space="preserve">Avirton Pedro Eduardo </t>
  </si>
  <si>
    <t xml:space="preserve">+55 (34) 99129-2161 </t>
  </si>
  <si>
    <t>Aprovado (O.S.: 39118)</t>
  </si>
  <si>
    <t xml:space="preserve">Carina Cogo Bento </t>
  </si>
  <si>
    <t xml:space="preserve">+55 (11) 99428-1019 </t>
  </si>
  <si>
    <t>Aprovado (O.S.: 39119)</t>
  </si>
  <si>
    <t>Aprovado (O.S.: 39123)</t>
  </si>
  <si>
    <t>Aprovado (O.S.: 39124)</t>
  </si>
  <si>
    <t xml:space="preserve">CONDOMINIO DO CONJUNTO RESIDENCIAL REGINA PACIS </t>
  </si>
  <si>
    <t>Robson Teixeira</t>
  </si>
  <si>
    <t xml:space="preserve">+55 (21) 96775-1788 </t>
  </si>
  <si>
    <t>Aprovado (O.S.: 39126)</t>
  </si>
  <si>
    <t xml:space="preserve">CTO - CENTRO TRAUMATOLOGICO E ORTOPEDICO LTDA </t>
  </si>
  <si>
    <t>Jéssica Barana Rodrigues</t>
  </si>
  <si>
    <t xml:space="preserve">+55 (17) 98195-4233 </t>
  </si>
  <si>
    <t>Aprovado (O.S.: 39129)</t>
  </si>
  <si>
    <t xml:space="preserve">ATTRIO GASTRONOMIA LTDA </t>
  </si>
  <si>
    <t>Flavia Ellwanger</t>
  </si>
  <si>
    <t xml:space="preserve">+55 (51) 9673-7864 </t>
  </si>
  <si>
    <t>Aprovado (O.S.: 39147)</t>
  </si>
  <si>
    <t xml:space="preserve">VLF ASSESSORIA CONTABIL LTDA </t>
  </si>
  <si>
    <t>Vander</t>
  </si>
  <si>
    <t xml:space="preserve">+55 (31) 9971-7607 </t>
  </si>
  <si>
    <t>Aprovado (O.S.: 39135)</t>
  </si>
  <si>
    <t xml:space="preserve">CONDOMINIO SAO PAULO HEADQUARTERS I </t>
  </si>
  <si>
    <t xml:space="preserve">+55 (11) 3151-6509 </t>
  </si>
  <si>
    <t xml:space="preserve">DNA PHARMA BRASIL </t>
  </si>
  <si>
    <t>Renan Furlan</t>
  </si>
  <si>
    <t xml:space="preserve">+55 (11) 98358-6774 </t>
  </si>
  <si>
    <t>Aprovado (O.S.: 39139)</t>
  </si>
  <si>
    <t xml:space="preserve">Victor Miler </t>
  </si>
  <si>
    <t>Victor Miler</t>
  </si>
  <si>
    <t xml:space="preserve">+55 (21) 97436-1809 </t>
  </si>
  <si>
    <t xml:space="preserve">ROOL CONSTRUTORA </t>
  </si>
  <si>
    <t>Gabrielly Oliveira</t>
  </si>
  <si>
    <t xml:space="preserve">+55 (55) 11996-0166 </t>
  </si>
  <si>
    <t>Aprovado (O.S.: 39140)</t>
  </si>
  <si>
    <t xml:space="preserve">AIDC TECNOLOGIA LTDA </t>
  </si>
  <si>
    <t>Compras Grupo Ártico</t>
  </si>
  <si>
    <t xml:space="preserve">+55 (11) 94475-6737 </t>
  </si>
  <si>
    <t>Aprovado (O.S.: 39827)</t>
  </si>
  <si>
    <t xml:space="preserve">Elias Rodrigues </t>
  </si>
  <si>
    <t>Pr. Elias Rodrigues</t>
  </si>
  <si>
    <t xml:space="preserve">+55 (19) 98605-9145 </t>
  </si>
  <si>
    <t>Aprovado (O.S.: 39141)</t>
  </si>
  <si>
    <t xml:space="preserve">ATOL ACAI BAR LTDA </t>
  </si>
  <si>
    <t>Fabio Rodrigo Macedo Ferreira</t>
  </si>
  <si>
    <t xml:space="preserve">+55 (11) 99380-4422 </t>
  </si>
  <si>
    <t>Aprovado (O.S.: 39154)</t>
  </si>
  <si>
    <t xml:space="preserve">HANAOKA SOLUCOES QUIMICAS </t>
  </si>
  <si>
    <t>Elizabeth - Hanaoka</t>
  </si>
  <si>
    <t xml:space="preserve">+55 (11) 91648-2459 </t>
  </si>
  <si>
    <t>Aprovado (O.S.: 39178)</t>
  </si>
  <si>
    <t xml:space="preserve">Marcelo Souza Cerqueira </t>
  </si>
  <si>
    <t>Marcelo Cerqueira ✌?</t>
  </si>
  <si>
    <t xml:space="preserve">+55 (19) 98831-5186 </t>
  </si>
  <si>
    <t>Aprovado (O.S.: 39176)</t>
  </si>
  <si>
    <t>Aprovado (O.S.: 39253)</t>
  </si>
  <si>
    <t xml:space="preserve">CONDOMINIO EDIFICIO MONDRIAN </t>
  </si>
  <si>
    <t>Mondrian Marcos Bruno</t>
  </si>
  <si>
    <t xml:space="preserve">+55 (11) 94006-0030 </t>
  </si>
  <si>
    <t>Aprovado (O.S.: 39146)</t>
  </si>
  <si>
    <t xml:space="preserve">MVS ENGENHARIA </t>
  </si>
  <si>
    <t>Edson Batata</t>
  </si>
  <si>
    <t xml:space="preserve">+55 (19) 98157-0682 </t>
  </si>
  <si>
    <t>Aprovado (O.S.: 39152)</t>
  </si>
  <si>
    <t xml:space="preserve">PINOVA S.A. </t>
  </si>
  <si>
    <t xml:space="preserve">+55 (24) 99922-7628 </t>
  </si>
  <si>
    <t>Aprovado (O.S.: 39220)</t>
  </si>
  <si>
    <t xml:space="preserve">RIO NEGRINHO PREF GABINETE DO PREFEITO </t>
  </si>
  <si>
    <t>P4 2Cia 23BPM Rio Negrinho</t>
  </si>
  <si>
    <t xml:space="preserve">+55 (47) 9647-0003 </t>
  </si>
  <si>
    <t>Aprovado (O.S.: 39144)</t>
  </si>
  <si>
    <t xml:space="preserve">ESCOLA SENAI LUIZ SIMON - CFP 3.03 </t>
  </si>
  <si>
    <t>Edson Borges Cassemiro</t>
  </si>
  <si>
    <t xml:space="preserve">(11)3954-3300/(11)3146-748 </t>
  </si>
  <si>
    <t xml:space="preserve">J A LONGEVIDADE E MEDICINA PREVENTIVA LTDA </t>
  </si>
  <si>
    <t>JA INSTITUTO DE MEDICINA DE LONGEVIDADE</t>
  </si>
  <si>
    <t xml:space="preserve">+55 (99) 9999-9999 </t>
  </si>
  <si>
    <t>Aprovado (O.S.: 39145)</t>
  </si>
  <si>
    <t xml:space="preserve">Rodolfo B R Pereira </t>
  </si>
  <si>
    <t xml:space="preserve">+55 (11) 98465-7553 </t>
  </si>
  <si>
    <t>Aprovado (O.S.: 39149)</t>
  </si>
  <si>
    <t xml:space="preserve">EPICA ADMINISTRACAO LTDA </t>
  </si>
  <si>
    <t>Barbara</t>
  </si>
  <si>
    <t xml:space="preserve">+55 (11) 96310-3942 </t>
  </si>
  <si>
    <t>Aprovado (O.S.: 39153)</t>
  </si>
  <si>
    <t xml:space="preserve">ADAO BARBOSA </t>
  </si>
  <si>
    <t xml:space="preserve">+55 (11) 99961-2879 </t>
  </si>
  <si>
    <t>Aprovado (O.S.: 39155)</t>
  </si>
  <si>
    <t xml:space="preserve">MARCIO APARECIDO BALLAMINO </t>
  </si>
  <si>
    <t xml:space="preserve">+55 (19) 99239-7032 </t>
  </si>
  <si>
    <t>Aprovado (O.S.: 39157)</t>
  </si>
  <si>
    <t xml:space="preserve">ALPINO INDUSTRIA METALURGICA LTDA </t>
  </si>
  <si>
    <t>Cristiana Moura</t>
  </si>
  <si>
    <t xml:space="preserve">+55 (11) 93945-5253 </t>
  </si>
  <si>
    <t>Aprovado (O.S.: 39205)</t>
  </si>
  <si>
    <t>Aprovado (O.S.: 39158)</t>
  </si>
  <si>
    <t xml:space="preserve">HUMBERTO ONZI </t>
  </si>
  <si>
    <t>Humberto Onzi</t>
  </si>
  <si>
    <t xml:space="preserve">+55 (55) 9971-5010 </t>
  </si>
  <si>
    <t>Aprovado (O.S.: 39160)</t>
  </si>
  <si>
    <t xml:space="preserve">BIOGROW BRASIL </t>
  </si>
  <si>
    <t>Alexandre Santos</t>
  </si>
  <si>
    <t xml:space="preserve">+55 (19) 3849-3941 </t>
  </si>
  <si>
    <t>Aprovado (O.S.: 39159)</t>
  </si>
  <si>
    <t xml:space="preserve">CLINICA CARDIOS </t>
  </si>
  <si>
    <t>Thiago de paula ferreira do Prado</t>
  </si>
  <si>
    <t xml:space="preserve">+55 (43) 3252-1072 </t>
  </si>
  <si>
    <t>Aprovado (O.S.: 39175)</t>
  </si>
  <si>
    <t xml:space="preserve">ITECH </t>
  </si>
  <si>
    <t>Adriana Goncalves</t>
  </si>
  <si>
    <t xml:space="preserve">+55 (11) 94261-6657 </t>
  </si>
  <si>
    <t>Aprovado (O.S.: 39171)</t>
  </si>
  <si>
    <t xml:space="preserve">L.B COMERCIAL </t>
  </si>
  <si>
    <t xml:space="preserve">+55 (11) 4135-6247 </t>
  </si>
  <si>
    <t>Aprovado (O.S.: 39164)</t>
  </si>
  <si>
    <t xml:space="preserve">TRES LAGOAS SOLAR </t>
  </si>
  <si>
    <t>João Abrantes</t>
  </si>
  <si>
    <t xml:space="preserve">+55 (67) 8155-5652 </t>
  </si>
  <si>
    <t>Aprovado (O.S.: 39167)</t>
  </si>
  <si>
    <t xml:space="preserve">PAO DE QUEIJO OURO MINEIRO </t>
  </si>
  <si>
    <t>Ouro Mineiro</t>
  </si>
  <si>
    <t>Aprovado (O.S.: 39166)</t>
  </si>
  <si>
    <t xml:space="preserve">PORTEIRA DE FERRO RESIDENCIAL EMPREENDIMENTO IMOBILIARIO SPE LTDA </t>
  </si>
  <si>
    <t>Samantha</t>
  </si>
  <si>
    <t xml:space="preserve">+55 (11) 2959-9830 </t>
  </si>
  <si>
    <t>CRACHA PS 1mm com ventosa</t>
  </si>
  <si>
    <t xml:space="preserve">CONDOMINIO EDIFICIO TERRACO ANALIA FRANCO </t>
  </si>
  <si>
    <t>Terraço Anália Franco</t>
  </si>
  <si>
    <t xml:space="preserve">+55 (11) 2268-2504 </t>
  </si>
  <si>
    <t>Aprovado (O.S.: 39177)</t>
  </si>
  <si>
    <t xml:space="preserve">ALTINO RESIDENCIAL CLUBE </t>
  </si>
  <si>
    <t>André Nascimento</t>
  </si>
  <si>
    <t>Aprovado (O.S.: 39321)</t>
  </si>
  <si>
    <t xml:space="preserve">25 TABELIAO DE NOTAS </t>
  </si>
  <si>
    <t>Leticia Pellegatti</t>
  </si>
  <si>
    <t xml:space="preserve">+55 (11) 99487-4757 </t>
  </si>
  <si>
    <t>Aprovado (O.S.: 39194)</t>
  </si>
  <si>
    <t xml:space="preserve">AGUAS DE BOM SUCESSO LTDA </t>
  </si>
  <si>
    <t xml:space="preserve">+55 (35) 9883-7506 </t>
  </si>
  <si>
    <t>Aprovado (O.S.: 39180)</t>
  </si>
  <si>
    <t xml:space="preserve">CASA JARDIM NEBRASKA </t>
  </si>
  <si>
    <t>Nelson Moreira Bastos</t>
  </si>
  <si>
    <t xml:space="preserve">+55 (11) 95551-9981 </t>
  </si>
  <si>
    <t>Aprovado (O.S.: 39179)</t>
  </si>
  <si>
    <t>Aprovado (O.S.: 39181)</t>
  </si>
  <si>
    <t xml:space="preserve">CLARO SP FERRAMENTAS </t>
  </si>
  <si>
    <t>✨Nicomedes✨</t>
  </si>
  <si>
    <t xml:space="preserve">+55 (11) 94588-5172 </t>
  </si>
  <si>
    <t>Aprovado (O.S.: 39182)</t>
  </si>
  <si>
    <t xml:space="preserve">Ana Luiza Almeida Carmo </t>
  </si>
  <si>
    <t xml:space="preserve">+55 (31) 98861-0091 </t>
  </si>
  <si>
    <t>Aprovado (O.S.: 39183)</t>
  </si>
  <si>
    <t xml:space="preserve">A M TEODORO </t>
  </si>
  <si>
    <t>Raiane Teodoro</t>
  </si>
  <si>
    <t xml:space="preserve">+55 (27) 3011-0419 </t>
  </si>
  <si>
    <t>Etiquetas Petrobras</t>
  </si>
  <si>
    <t xml:space="preserve">VERSSAT </t>
  </si>
  <si>
    <t xml:space="preserve">+55 (19) 97413-8432 </t>
  </si>
  <si>
    <t>Placa e Obra em AÇO</t>
  </si>
  <si>
    <t xml:space="preserve">MARCIA CRISTIAN LABIAK </t>
  </si>
  <si>
    <t xml:space="preserve">+55 (42) 99945-3177 </t>
  </si>
  <si>
    <t>Aprovado (O.S.: 39185)</t>
  </si>
  <si>
    <t>Natalia Nascimento</t>
  </si>
  <si>
    <t>Aprovado (O.S.: 39192)</t>
  </si>
  <si>
    <t xml:space="preserve">Gustavo Mello Coelho </t>
  </si>
  <si>
    <t>Paraiso Estética Automotivo</t>
  </si>
  <si>
    <t xml:space="preserve">+55 (19) 99503-1364 </t>
  </si>
  <si>
    <t>Aprovado (O.S.: 39810)</t>
  </si>
  <si>
    <t>Aprovado (O.S.: 39260)</t>
  </si>
  <si>
    <t xml:space="preserve">DROGAO SUPER </t>
  </si>
  <si>
    <t xml:space="preserve">+55 (34) 9827-9476 </t>
  </si>
  <si>
    <t>Aprovado (O.S.: 39190)</t>
  </si>
  <si>
    <t>Aprovado (O.S.: 39193)</t>
  </si>
  <si>
    <t xml:space="preserve">CONDOMINIO SPORT'S GARDEN ALTO DA LAPA </t>
  </si>
  <si>
    <t xml:space="preserve">+55 (11) 91323-8858 </t>
  </si>
  <si>
    <t>Aprovado (O.S.: 39663)</t>
  </si>
  <si>
    <t>Aprovado (O.S.: 39195)</t>
  </si>
  <si>
    <t>Aprovado (O.S.: 39197)</t>
  </si>
  <si>
    <t xml:space="preserve">SANASA CAMPINAS </t>
  </si>
  <si>
    <t xml:space="preserve">+55 (19) 98122-6018 </t>
  </si>
  <si>
    <t>Aprovado (O.S.: 39207)</t>
  </si>
  <si>
    <t xml:space="preserve">CONDOMINIO VISTA PARK RESIDENCIAL </t>
  </si>
  <si>
    <t>Escritório Prudente Síndicos Profissionais -</t>
  </si>
  <si>
    <t xml:space="preserve">+55 (11) 93926-3350 </t>
  </si>
  <si>
    <t xml:space="preserve">DDL TRANSPORTES </t>
  </si>
  <si>
    <t xml:space="preserve">+55 (11) 98374-5457 </t>
  </si>
  <si>
    <t>Aprovado (O.S.: 39222)</t>
  </si>
  <si>
    <t>Aprovado (O.S.: 39332)</t>
  </si>
  <si>
    <t xml:space="preserve">GE POWER &amp; WATER EQUIPAMENTOS E SERVICOS DE ENERGIA E TRATAMENTO DE AGUA LTDA. </t>
  </si>
  <si>
    <t xml:space="preserve">+55 (11) 3067-8181 </t>
  </si>
  <si>
    <t xml:space="preserve">LIMPA JA - SOLUCOES EM PRODUTOS DE LIMPEZA. </t>
  </si>
  <si>
    <t>Jackson</t>
  </si>
  <si>
    <t xml:space="preserve">+55 (11) 3666-4805 </t>
  </si>
  <si>
    <t>Aprovado (O.S.: 39426)</t>
  </si>
  <si>
    <t>Aprovado (O.S.: 39466)</t>
  </si>
  <si>
    <t xml:space="preserve">Gerardo Majella </t>
  </si>
  <si>
    <t xml:space="preserve">+55 (21) 99680-6376 </t>
  </si>
  <si>
    <t>Aprovado (O.S.: 39209)</t>
  </si>
  <si>
    <t xml:space="preserve">MOOV ESTACAO BRAS </t>
  </si>
  <si>
    <t>Cassio Vieira Rezende</t>
  </si>
  <si>
    <t xml:space="preserve">+55 (11) 3145-1525 </t>
  </si>
  <si>
    <t>Aprovado (O.S.: 39210)</t>
  </si>
  <si>
    <t xml:space="preserve">RESIDENCIAL VIVENDAS DE IPITANGA </t>
  </si>
  <si>
    <t>Vitor Almeida</t>
  </si>
  <si>
    <t xml:space="preserve">+55 (71) 8114-8867 </t>
  </si>
  <si>
    <t>Aprovado (O.S.: 39556)</t>
  </si>
  <si>
    <t xml:space="preserve">Gisele Valente </t>
  </si>
  <si>
    <t xml:space="preserve">+55 (41) 98853-5069 </t>
  </si>
  <si>
    <t>Aprovado (O.S.: 39211)</t>
  </si>
  <si>
    <t xml:space="preserve">Edgar Fernandes Caires Lourenço </t>
  </si>
  <si>
    <t xml:space="preserve">+55 (17) 99611-7533 </t>
  </si>
  <si>
    <t>Aprovado (O.S.: 39212)</t>
  </si>
  <si>
    <t>Aprovado (O.S.: 39215)</t>
  </si>
  <si>
    <t xml:space="preserve">GT COMERCIO E DISTRIBUICAO </t>
  </si>
  <si>
    <t>Festejar Locações Para Festas</t>
  </si>
  <si>
    <t xml:space="preserve">+55 (19) 97127-7955 </t>
  </si>
  <si>
    <t>Aprovado (O.S.: 39217)</t>
  </si>
  <si>
    <t>Aprovado (O.S.: 39219)</t>
  </si>
  <si>
    <t>Aprovado (O.S.: 39257)</t>
  </si>
  <si>
    <t>ACM + VINIL ORACAL</t>
  </si>
  <si>
    <t xml:space="preserve">GALLI ENGENHARIA LTDA </t>
  </si>
  <si>
    <t>Galli Compras</t>
  </si>
  <si>
    <t xml:space="preserve">+55 (15) 92000-9498 </t>
  </si>
  <si>
    <t>Aprovado (O.S.: 39223)</t>
  </si>
  <si>
    <t>Yasmin Mazer</t>
  </si>
  <si>
    <t xml:space="preserve">Tiago Ferreira dos Santos </t>
  </si>
  <si>
    <t>Aprovado (O.S.: 39224)</t>
  </si>
  <si>
    <t xml:space="preserve">Leandro Youssef Chahine da Silva </t>
  </si>
  <si>
    <t>Leandro Youssef</t>
  </si>
  <si>
    <t xml:space="preserve">+55 (11) 96657-2207 </t>
  </si>
  <si>
    <t>Aprovado (O.S.: 39227)</t>
  </si>
  <si>
    <t xml:space="preserve">CONDOMINIO RESIDENCIAL TOP LIFE </t>
  </si>
  <si>
    <t>Top Life</t>
  </si>
  <si>
    <t xml:space="preserve">+55 (11) 2027-7900 </t>
  </si>
  <si>
    <t>Aprovado (O.S.: 39298)</t>
  </si>
  <si>
    <t xml:space="preserve">CONDOMINIO DO EDIFICIO BANGUE </t>
  </si>
  <si>
    <t>Condomínio do Edificio Banguê</t>
  </si>
  <si>
    <t xml:space="preserve">+55 (81) 99243-0132 </t>
  </si>
  <si>
    <t>Aprovado (O.S.: 39228)</t>
  </si>
  <si>
    <t xml:space="preserve">Bianca Azevedo Lisboa </t>
  </si>
  <si>
    <t xml:space="preserve">+55 (11) 95369-7958 </t>
  </si>
  <si>
    <t>Aprovado (O.S.: 39229)</t>
  </si>
  <si>
    <t xml:space="preserve">NILO LAMEIRAS FILHO </t>
  </si>
  <si>
    <t xml:space="preserve">+55 (11) 96400-9470 </t>
  </si>
  <si>
    <t>Aprovado (O.S.: 39230)</t>
  </si>
  <si>
    <t xml:space="preserve">Marcelly Ramos AJala </t>
  </si>
  <si>
    <t xml:space="preserve">+55 (61) 99314-9643 </t>
  </si>
  <si>
    <t>Aprovado (O.S.: 39231)</t>
  </si>
  <si>
    <t xml:space="preserve">AMANDA DOS SANTOS DA CUNHA LOPES </t>
  </si>
  <si>
    <t xml:space="preserve">+55 (18) 99158-3410 </t>
  </si>
  <si>
    <t>Aprovado (O.S.: 39232)</t>
  </si>
  <si>
    <t xml:space="preserve">VIVIANNE WAKUDA PATISSIERE </t>
  </si>
  <si>
    <t>Vivianne Hitomi Vakuda Mendola</t>
  </si>
  <si>
    <t xml:space="preserve">+55 (11) 6488-7708 </t>
  </si>
  <si>
    <t>Aprovado (O.S.: 39233)</t>
  </si>
  <si>
    <t xml:space="preserve">65.733.955 ANA JULIA MINUSSI SENE </t>
  </si>
  <si>
    <t>Giani Minussi</t>
  </si>
  <si>
    <t xml:space="preserve">+55 (19) 98974-1919 </t>
  </si>
  <si>
    <t>Aprovado (O.S.: 39240)</t>
  </si>
  <si>
    <t xml:space="preserve">ECCO LIMP </t>
  </si>
  <si>
    <t>Centermaster Com. Imp. Exp. E Serv. Eirelli - Epp</t>
  </si>
  <si>
    <t xml:space="preserve">+55 (11) 3991-9000 </t>
  </si>
  <si>
    <t>Aprovado (O.S.: 39234)</t>
  </si>
  <si>
    <t>Aprovado (O.S.: 39246)</t>
  </si>
  <si>
    <t xml:space="preserve">José Adilson Tavernaro </t>
  </si>
  <si>
    <t xml:space="preserve">+55 (11) 9991-6525 </t>
  </si>
  <si>
    <t>Aprovado (O.S.: 39245)</t>
  </si>
  <si>
    <t xml:space="preserve">Bruna Schmitz </t>
  </si>
  <si>
    <t xml:space="preserve">+55 (47) 9931-0230 </t>
  </si>
  <si>
    <t>Aprovado (O.S.: 39248)</t>
  </si>
  <si>
    <t>Kérine Louise ✨</t>
  </si>
  <si>
    <t>Aprovado (O.S.: 39677)</t>
  </si>
  <si>
    <t xml:space="preserve">AMCOR FLEXIBLES DO BRASIL INDUSTRIA E COMERCIO DE EMBALAGENS LTDA. </t>
  </si>
  <si>
    <t xml:space="preserve">(11)2146-1691/(11)2146-169 </t>
  </si>
  <si>
    <t xml:space="preserve">AZZ WSI DO BRASIL LTDA. </t>
  </si>
  <si>
    <t>Eliaquim Rocha</t>
  </si>
  <si>
    <t xml:space="preserve">+55 (11) 3173-7397 </t>
  </si>
  <si>
    <t>Aprovado (O.S.: 39254)</t>
  </si>
  <si>
    <t xml:space="preserve">CPQD </t>
  </si>
  <si>
    <t>Ruan</t>
  </si>
  <si>
    <t xml:space="preserve">+55 (19) 99769-0042 </t>
  </si>
  <si>
    <t xml:space="preserve">MARIO LASAR SEGALL </t>
  </si>
  <si>
    <t xml:space="preserve">+55 (11) 9637-5327 </t>
  </si>
  <si>
    <t>Aprovado (O.S.: 39256)</t>
  </si>
  <si>
    <t xml:space="preserve">MAF SERVICOS </t>
  </si>
  <si>
    <t>Andrea Juanilho Magalhaes</t>
  </si>
  <si>
    <t xml:space="preserve">+55 (11) 9744-7505 </t>
  </si>
  <si>
    <t>Aprovado (O.S.: 39250)</t>
  </si>
  <si>
    <t xml:space="preserve">ENGELIMA ENGENHARIA PREDIAL </t>
  </si>
  <si>
    <t>Joãozinho</t>
  </si>
  <si>
    <t xml:space="preserve">+55 (11) 94870-7238 </t>
  </si>
  <si>
    <t>VINIL+ACM+PVC EXP.FOTOL2mm . FOTOL 0,8mm* O/C 0044</t>
  </si>
  <si>
    <t xml:space="preserve">PROPLAST </t>
  </si>
  <si>
    <t xml:space="preserve">+55 (19) 3113-3500 </t>
  </si>
  <si>
    <t xml:space="preserve">Carlo Velludo Guidi </t>
  </si>
  <si>
    <t xml:space="preserve">+55 (16) 9999-2971 </t>
  </si>
  <si>
    <t>Aprovado (O.S.: 39258)</t>
  </si>
  <si>
    <t xml:space="preserve">Alexandre Elesbão De Oliveira </t>
  </si>
  <si>
    <t xml:space="preserve">+55 (12) 9960-4524 </t>
  </si>
  <si>
    <t>Aprovado (O.S.: 39259)</t>
  </si>
  <si>
    <t xml:space="preserve">CONDOMINIO DO EDIFICIO CASA DOS GERANIOS </t>
  </si>
  <si>
    <t>Patrícia Dias</t>
  </si>
  <si>
    <t xml:space="preserve">+55 (21) 99633-0222 </t>
  </si>
  <si>
    <t>Aprovado (O.S.: 39302)</t>
  </si>
  <si>
    <t xml:space="preserve">ARATIRI </t>
  </si>
  <si>
    <t>Marco Aurélio</t>
  </si>
  <si>
    <t xml:space="preserve">+55 (19) 99124-0632 </t>
  </si>
  <si>
    <t>Aprovado (O.S.: 39261)</t>
  </si>
  <si>
    <t xml:space="preserve">SUL GRUP EMPREENDIMENTOS </t>
  </si>
  <si>
    <t>??</t>
  </si>
  <si>
    <t xml:space="preserve">+55 (47) 9743-8747 </t>
  </si>
  <si>
    <t xml:space="preserve">SANTA ELIZA ECO RESORT LTDA. </t>
  </si>
  <si>
    <t>Santa Eliza Eco Resort Ltda</t>
  </si>
  <si>
    <t xml:space="preserve">+55 (16) 9812-3956 </t>
  </si>
  <si>
    <t>Aprovado (O.S.: 39263)</t>
  </si>
  <si>
    <t xml:space="preserve">WILL GARAGE LTDA </t>
  </si>
  <si>
    <t>Will Garage</t>
  </si>
  <si>
    <t xml:space="preserve">+55 (19) 98206-7792 </t>
  </si>
  <si>
    <t>Aprovado (O.S.: 39267)</t>
  </si>
  <si>
    <t>Aprovado (O.S.: 39271)</t>
  </si>
  <si>
    <t xml:space="preserve">RGT ACESSORIOS E PECAS LTDA </t>
  </si>
  <si>
    <t>Cacau Auto Peças</t>
  </si>
  <si>
    <t xml:space="preserve">+55 (19) 3014-0930 </t>
  </si>
  <si>
    <t>Aprovado (O.S.: 39265)</t>
  </si>
  <si>
    <t xml:space="preserve">Maria Fernanda Dezem </t>
  </si>
  <si>
    <t xml:space="preserve">+55 (19) 9924-4621 </t>
  </si>
  <si>
    <t>Aprovado (O.S.: 39266)</t>
  </si>
  <si>
    <t xml:space="preserve">Sebastiao C R Silva Claudio </t>
  </si>
  <si>
    <t xml:space="preserve">+55 (55) 1198-4568 </t>
  </si>
  <si>
    <t>Aprovado (O.S.: 39268)</t>
  </si>
  <si>
    <t xml:space="preserve">CONDOMINIO DO EDIFICIO ITAPEMA </t>
  </si>
  <si>
    <t>Ryan Dias</t>
  </si>
  <si>
    <t xml:space="preserve">+55 (11) 99629-2281 </t>
  </si>
  <si>
    <t xml:space="preserve">YIELD ENGENHARIA LTDA </t>
  </si>
  <si>
    <t>Aldo Salvatierra</t>
  </si>
  <si>
    <t xml:space="preserve">+55 (21) 96852-1383 </t>
  </si>
  <si>
    <t>Aprovado (O.S.: 39465)</t>
  </si>
  <si>
    <t xml:space="preserve">POA RESGATE </t>
  </si>
  <si>
    <t xml:space="preserve">+55 (51) 9300-9210 </t>
  </si>
  <si>
    <t>Aprovado (O.S.: 39319)</t>
  </si>
  <si>
    <t xml:space="preserve">CONDOMINIO STUDIO HOME </t>
  </si>
  <si>
    <t>Elaine Cristina Zolin</t>
  </si>
  <si>
    <t xml:space="preserve">+55 (11) 96393-4172 </t>
  </si>
  <si>
    <t>Aprovado (O.S.: 39274)</t>
  </si>
  <si>
    <t>Aprovado (O.S.: 39272)</t>
  </si>
  <si>
    <t xml:space="preserve">CONDOMINIO RESIDENCIAL MORADA DOS CLASSICOS-EDIFICIO CHOPIN </t>
  </si>
  <si>
    <t>Victoria (Zeladoria)</t>
  </si>
  <si>
    <t xml:space="preserve">+55 (11) 4438-4388 </t>
  </si>
  <si>
    <t>Aprovado (O.S.: 39377)</t>
  </si>
  <si>
    <t>Aprovado (O.S.: 39310)</t>
  </si>
  <si>
    <t>Lucas Amaral</t>
  </si>
  <si>
    <t>Sinalização - O/C 111.838</t>
  </si>
  <si>
    <t>Aprovado (O.S.: 40040)</t>
  </si>
  <si>
    <t xml:space="preserve">CONDOMINIO PROJETO IMOBILIARIO E 31 </t>
  </si>
  <si>
    <t>Arqª Bruna Sentanin</t>
  </si>
  <si>
    <t xml:space="preserve">+55 (11) 3759-8100 </t>
  </si>
  <si>
    <t>Aprovado (O.S.: 39355)</t>
  </si>
  <si>
    <t xml:space="preserve">PMA INNOVA ADMINISTRACAO CONDOMINIAL LTDA </t>
  </si>
  <si>
    <t>TRBL Guarulhos</t>
  </si>
  <si>
    <t xml:space="preserve">+55 (11) 94037-7840 </t>
  </si>
  <si>
    <t>FOTOLUMINESCENTE 0,8mm + PVC EXP. FOTOL. 2mm+ PS 2mm</t>
  </si>
  <si>
    <t>Lari</t>
  </si>
  <si>
    <t>Aprovado (O.S.: 39279)</t>
  </si>
  <si>
    <t xml:space="preserve">LABORATORIO DE ANALISES CLINICAS VITAL BRAZIL </t>
  </si>
  <si>
    <t>Aprovado (O.S.: 39280)</t>
  </si>
  <si>
    <t xml:space="preserve">LABORATORIO DE PATOLOGIA CLÍNICA DR. FRANCESCHI SS/LTDA </t>
  </si>
  <si>
    <t>Aprovado (O.S.: 39281)</t>
  </si>
  <si>
    <t>Aprovado (O.S.: 39282)</t>
  </si>
  <si>
    <t xml:space="preserve">SOLVEIG </t>
  </si>
  <si>
    <t>Marcelo - Solveig</t>
  </si>
  <si>
    <t xml:space="preserve">+55 (19) 98915-3567 </t>
  </si>
  <si>
    <t>Aprovado (O.S.: 39335)</t>
  </si>
  <si>
    <t>Condomínio Alphabusiness</t>
  </si>
  <si>
    <t>Aprovado (O.S.: 39277)</t>
  </si>
  <si>
    <t xml:space="preserve">SUDOESTE PARTICIPACOES E ADMINISTRACAO </t>
  </si>
  <si>
    <t xml:space="preserve">+55 (18) 3222-3535 </t>
  </si>
  <si>
    <t>Aprovado (O.S.: 39304)</t>
  </si>
  <si>
    <t xml:space="preserve">Ricardo Pozzo </t>
  </si>
  <si>
    <t xml:space="preserve">+55 (11) 94029-6160 </t>
  </si>
  <si>
    <t>Aprovado (O.S.: 39278)</t>
  </si>
  <si>
    <t xml:space="preserve">CCS </t>
  </si>
  <si>
    <t xml:space="preserve">+55 (22) 8173-0213 </t>
  </si>
  <si>
    <t>Aprovado (O.S.: 39555)</t>
  </si>
  <si>
    <t xml:space="preserve">AMERICA FOOTBALL CLUB </t>
  </si>
  <si>
    <t>Paulo Gustavo</t>
  </si>
  <si>
    <t xml:space="preserve">+55 (21) 98718-1815 </t>
  </si>
  <si>
    <t>Aprovado (O.S.: 39288)</t>
  </si>
  <si>
    <t>Aprovado (O.S.: 39356)</t>
  </si>
  <si>
    <t xml:space="preserve">VIP SOLUCOES LTDA </t>
  </si>
  <si>
    <t>Ricardo da VIP</t>
  </si>
  <si>
    <t xml:space="preserve">+55 (48) 9826-0154 </t>
  </si>
  <si>
    <t>Aprovado (O.S.: 39284)</t>
  </si>
  <si>
    <t>Laisa</t>
  </si>
  <si>
    <t>Aprovado (O.S.: 39296)</t>
  </si>
  <si>
    <t xml:space="preserve">FLUKKA FARMA </t>
  </si>
  <si>
    <t xml:space="preserve">+55 (11) 91478-8649 </t>
  </si>
  <si>
    <t>Aprovado (O.S.: 39285)</t>
  </si>
  <si>
    <t xml:space="preserve">CONDOMINIO DO EDIFICIO MADISON </t>
  </si>
  <si>
    <t>Joysse - Madison Assist.</t>
  </si>
  <si>
    <t xml:space="preserve">+55 (11) 94753-5974 </t>
  </si>
  <si>
    <t>PS 2mm ou ACM</t>
  </si>
  <si>
    <t>Aprovado (O.S.: 39618)</t>
  </si>
  <si>
    <t xml:space="preserve">40MPA ENGENHARIA </t>
  </si>
  <si>
    <t>Rodrigo Lima</t>
  </si>
  <si>
    <t xml:space="preserve">+55 (71) 8165-2782 </t>
  </si>
  <si>
    <t>Aprovado (O.S.: 39305)</t>
  </si>
  <si>
    <t>Sinalização/ IPLACAS - O/C 119.337</t>
  </si>
  <si>
    <t xml:space="preserve">Renata Albini </t>
  </si>
  <si>
    <t xml:space="preserve">+55 (19) 9962-6319 </t>
  </si>
  <si>
    <t>Aprovado (O.S.: 39286)</t>
  </si>
  <si>
    <t xml:space="preserve">Renato P A Cagiali </t>
  </si>
  <si>
    <t>Aprovado (O.S.: 39351)</t>
  </si>
  <si>
    <t>Aprovado (O.S.: 39303)</t>
  </si>
  <si>
    <t xml:space="preserve">HOSPITAL UNIMED BIRIGUI </t>
  </si>
  <si>
    <t>Unimed De Birigui</t>
  </si>
  <si>
    <t xml:space="preserve">+55 (18) 9912-7988 </t>
  </si>
  <si>
    <t>Aprovado (O.S.: 39287)</t>
  </si>
  <si>
    <t xml:space="preserve">AVITA CARE </t>
  </si>
  <si>
    <t>Isabelly Argentino</t>
  </si>
  <si>
    <t xml:space="preserve">+55 (19) 99518-9874 </t>
  </si>
  <si>
    <t>Aprovado (O.S.: 39293)</t>
  </si>
  <si>
    <t xml:space="preserve">MAIS DISTRIBUIDORA DE BEBIDAS E PRODUTOS ALIMENTICIOS </t>
  </si>
  <si>
    <t>Carolaine Almeida</t>
  </si>
  <si>
    <t xml:space="preserve">+55 (11) 3616-5545 </t>
  </si>
  <si>
    <t>Aprovado (O.S.: 39292)</t>
  </si>
  <si>
    <t xml:space="preserve">MORUMBI IMPLEMENTOS RODOVIÁRIOS </t>
  </si>
  <si>
    <t>Carlos Henrique</t>
  </si>
  <si>
    <t xml:space="preserve">+55 (22) 2737-7350 </t>
  </si>
  <si>
    <t>Aprovado (O.S.: 39557)</t>
  </si>
  <si>
    <t xml:space="preserve">CALLEVE </t>
  </si>
  <si>
    <t>Filipe - Compras Cal Leve</t>
  </si>
  <si>
    <t xml:space="preserve">+55 (12) 3934-3967 </t>
  </si>
  <si>
    <t xml:space="preserve">UNITHAL </t>
  </si>
  <si>
    <t>Migotto, JR</t>
  </si>
  <si>
    <t xml:space="preserve">+55 (19) 99601-0590 </t>
  </si>
  <si>
    <t>Aprovado (O.S.: 39323)</t>
  </si>
  <si>
    <t>7 dias</t>
  </si>
  <si>
    <t xml:space="preserve">CONDOMINIO EDIFICIO MY WAY PETROPOLIS </t>
  </si>
  <si>
    <t>Aline- 4 Minds</t>
  </si>
  <si>
    <t xml:space="preserve">+55 (51) 8903-5716 </t>
  </si>
  <si>
    <t>Aprovado (O.S.: 39385)</t>
  </si>
  <si>
    <t xml:space="preserve">CONDOMINIO LA SIERRA JUNDIAI </t>
  </si>
  <si>
    <t>Aprovado (O.S.: 39329)</t>
  </si>
  <si>
    <t>Aprovado (O.S.: 39327)</t>
  </si>
  <si>
    <t>Aprovado (O.S.: 39331)</t>
  </si>
  <si>
    <t xml:space="preserve">MICROBIAL </t>
  </si>
  <si>
    <t>Renata</t>
  </si>
  <si>
    <t xml:space="preserve">+55 (19) 97119-6690 </t>
  </si>
  <si>
    <t>Aprovado (O.S.: 39299)</t>
  </si>
  <si>
    <t xml:space="preserve">TR EMPREENDIMENTOS IMOBILIARIOS LTDA </t>
  </si>
  <si>
    <t>Tr Adm1</t>
  </si>
  <si>
    <t xml:space="preserve">+55 (19) 3808-5108 </t>
  </si>
  <si>
    <t>Aprovado (O.S.: 39346)</t>
  </si>
  <si>
    <t xml:space="preserve">Associação DVR Business Park Embu </t>
  </si>
  <si>
    <t>Operacional DVR Embu</t>
  </si>
  <si>
    <t xml:space="preserve">PET CENTER COMERCIO E PARTICIPACOES S.A. </t>
  </si>
  <si>
    <t>Rennã Soeiro</t>
  </si>
  <si>
    <t xml:space="preserve">+55 (11) 91653-7062 </t>
  </si>
  <si>
    <t>Aprovado (O.S.: 39309)</t>
  </si>
  <si>
    <t xml:space="preserve">POSTO VILA NOVA LTDA </t>
  </si>
  <si>
    <t>Paulo Mendes</t>
  </si>
  <si>
    <t xml:space="preserve">+55 (11) 97657-1627 </t>
  </si>
  <si>
    <t>Aprovado (O.S.: 39325)</t>
  </si>
  <si>
    <t xml:space="preserve">LOCAL CONSULTORIA DE IMOVEIS LTDA </t>
  </si>
  <si>
    <t>Norecy Meneses</t>
  </si>
  <si>
    <t xml:space="preserve">+55 (11) 3065-0555 </t>
  </si>
  <si>
    <t>Aprovado (O.S.: 39545)</t>
  </si>
  <si>
    <t xml:space="preserve">B B C INDUSTRIA E COMERCIO LTDA </t>
  </si>
  <si>
    <t>Jean Salca</t>
  </si>
  <si>
    <t xml:space="preserve">+55 (11) 4591-0807 </t>
  </si>
  <si>
    <t>Aprovado (O.S.: 39307)</t>
  </si>
  <si>
    <t xml:space="preserve">VIBE ENERGIA FOTOVOLTAICA </t>
  </si>
  <si>
    <t>Breno Yuri</t>
  </si>
  <si>
    <t xml:space="preserve">+55 (11) 99542-2911 </t>
  </si>
  <si>
    <t>Aprovado (O.S.: 39301)</t>
  </si>
  <si>
    <t xml:space="preserve">CRISTINA PREFEITURA - GABINETE </t>
  </si>
  <si>
    <t>Jeyson Ferreira</t>
  </si>
  <si>
    <t xml:space="preserve">+55 (35) 8414-0575 </t>
  </si>
  <si>
    <t>Aço Galvanizado 1,2mm - Com aplicação adesivo refletivo grau</t>
  </si>
  <si>
    <t>Aprovado (O.S.: 39349)</t>
  </si>
  <si>
    <t xml:space="preserve">GESLA ISOLAMENTOS </t>
  </si>
  <si>
    <t>José Manoel da Rocha</t>
  </si>
  <si>
    <t xml:space="preserve">+55 (42) 9931-5727 </t>
  </si>
  <si>
    <t>Aprovado (O.S.: 39627)</t>
  </si>
  <si>
    <t xml:space="preserve">CONDOMINIO RESIDENCIAL ATHENAS </t>
  </si>
  <si>
    <t>Condominio Residencial Athenas</t>
  </si>
  <si>
    <t xml:space="preserve">+55 (19) 99369-3431 </t>
  </si>
  <si>
    <t>Aprovado (O.S.: 39311)</t>
  </si>
  <si>
    <t xml:space="preserve">SEPARI SEPARATORS </t>
  </si>
  <si>
    <t>SEPARI EQUIPAMENTOS INDUSTRIAIS LTDA</t>
  </si>
  <si>
    <t xml:space="preserve">+55 (19) 9984-8571 </t>
  </si>
  <si>
    <t>Aprovado (O.S.: 39312)</t>
  </si>
  <si>
    <t xml:space="preserve">CALDEIRARIA CALDLASER LTDA </t>
  </si>
  <si>
    <t>Caldeiraria Caldlaser LTDA</t>
  </si>
  <si>
    <t xml:space="preserve">+55 (11) 9866-1044 </t>
  </si>
  <si>
    <t>Aprovado (O.S.: 39313)</t>
  </si>
  <si>
    <t xml:space="preserve">Lygia Maria Barros Nascimento </t>
  </si>
  <si>
    <t xml:space="preserve">+55 (21) 98157-7226 </t>
  </si>
  <si>
    <t>Aprovado (O.S.: 39314)</t>
  </si>
  <si>
    <t xml:space="preserve">CONDOMINIO MANSAO PRINCIPADO DE MONACO </t>
  </si>
  <si>
    <t xml:space="preserve">+55 (71) 9884-5105 </t>
  </si>
  <si>
    <t>Aprovado (O.S.: 39315)</t>
  </si>
  <si>
    <t xml:space="preserve">Carlos Eduardo Da Silva Coelho </t>
  </si>
  <si>
    <t xml:space="preserve">+55 (21) 9835-6734 </t>
  </si>
  <si>
    <t>Aprovado (O.S.: 39316)</t>
  </si>
  <si>
    <t xml:space="preserve">Graziella Bonfim </t>
  </si>
  <si>
    <t xml:space="preserve">+55 (11) 9714-6439 </t>
  </si>
  <si>
    <t>Aprovado (O.S.: 39317)</t>
  </si>
  <si>
    <t>Samuel Cardoso</t>
  </si>
  <si>
    <t xml:space="preserve">Raphael Horn </t>
  </si>
  <si>
    <t>Raphael Hor</t>
  </si>
  <si>
    <t xml:space="preserve">+55 (11) 95530-4086 </t>
  </si>
  <si>
    <t>Aprovado (O.S.: 39318)</t>
  </si>
  <si>
    <t>Aprovado (O.S.: 39430)</t>
  </si>
  <si>
    <t xml:space="preserve">BRR RECICLAGEM E COLETA LTDA </t>
  </si>
  <si>
    <t>Douglas Fialho</t>
  </si>
  <si>
    <t xml:space="preserve">+55 (21) 99730-5145 </t>
  </si>
  <si>
    <t>VINIL LAMINADO</t>
  </si>
  <si>
    <t>Aprovado (O.S.: 39320)</t>
  </si>
  <si>
    <t xml:space="preserve">CONDOMINIO MYRIAD PARQUE RESIDENCIAL CLUBE </t>
  </si>
  <si>
    <t>Aprovado (O.S.: 39336)</t>
  </si>
  <si>
    <t xml:space="preserve">CONDOMINIO LIBER VILA PRUDENTE </t>
  </si>
  <si>
    <t xml:space="preserve">+55 (11) 94600-7736 </t>
  </si>
  <si>
    <t>Aprovado (O.S.: 39334)</t>
  </si>
  <si>
    <t>Spot Administrativo</t>
  </si>
  <si>
    <t>Aprovado (O.S.: 39640)</t>
  </si>
  <si>
    <t>Aprovado (O.S.: 39326)</t>
  </si>
  <si>
    <t xml:space="preserve">HE ENGENHARIA </t>
  </si>
  <si>
    <t>Contas a pagar</t>
  </si>
  <si>
    <t xml:space="preserve">+55 (11) 3263-1300 </t>
  </si>
  <si>
    <t>Aprovado (O.S.: 39352)</t>
  </si>
  <si>
    <t>Aprovado (O.S.: 39423)</t>
  </si>
  <si>
    <t>Aprovado (O.S.: 39345)</t>
  </si>
  <si>
    <t xml:space="preserve">GERAES ARQUITETURA E ENGENHARIA </t>
  </si>
  <si>
    <t>Luiz Silva</t>
  </si>
  <si>
    <t xml:space="preserve">+55 (31) 3298-5048 </t>
  </si>
  <si>
    <t xml:space="preserve">COOPERATIVA FRISIA </t>
  </si>
  <si>
    <t>Fernando Almeida Silva</t>
  </si>
  <si>
    <t xml:space="preserve">(42)3231-9359/(42)3231-901 </t>
  </si>
  <si>
    <t xml:space="preserve">ANHANGUERA COMERCIO DE FERRAMENTAS LTDA </t>
  </si>
  <si>
    <t>Maria</t>
  </si>
  <si>
    <t>Sinalização / IPLACAS - Filme Policarbonato</t>
  </si>
  <si>
    <t>Aprovado (O.S.: 39519)</t>
  </si>
  <si>
    <t xml:space="preserve">BUSCARIOLI COMERCIO E OFICINA DE MOTORES ELETRICOS LTDA. </t>
  </si>
  <si>
    <t>Segurança do trabalho</t>
  </si>
  <si>
    <t>Aprovado (O.S.: 39366)</t>
  </si>
  <si>
    <t xml:space="preserve">PADRE HAROLDO </t>
  </si>
  <si>
    <t>Myrian Maldonado Martins</t>
  </si>
  <si>
    <t xml:space="preserve">+55 (19) 3794-2538 </t>
  </si>
  <si>
    <t>Aprovado (O.S.: 39337)</t>
  </si>
  <si>
    <t xml:space="preserve">Jhonny Stevan Silva </t>
  </si>
  <si>
    <t xml:space="preserve">+55 (14) 9973-5384 </t>
  </si>
  <si>
    <t>Aprovado (O.S.: 39338)</t>
  </si>
  <si>
    <t xml:space="preserve">CONDOMINIO RESIDENCIAL VENETO </t>
  </si>
  <si>
    <t>Aprovado (O.S.: 39341)</t>
  </si>
  <si>
    <t xml:space="preserve">CONDOMINIO RESIDENCIAL OPERA HOUSE </t>
  </si>
  <si>
    <t>Silvia Almeida</t>
  </si>
  <si>
    <t xml:space="preserve">+55 (19) 98733-2325 </t>
  </si>
  <si>
    <t>Aprovado (O.S.: 39389)</t>
  </si>
  <si>
    <t xml:space="preserve">RESORT PRIME SANTA ANGELA </t>
  </si>
  <si>
    <t>Aprovado (O.S.: 39340)</t>
  </si>
  <si>
    <t xml:space="preserve">DIPAR FERRAGENS </t>
  </si>
  <si>
    <t>Daniel Arcari</t>
  </si>
  <si>
    <t xml:space="preserve">+55 (54) 9174-6779 </t>
  </si>
  <si>
    <t xml:space="preserve">AGROPECUARIA OURO VERDE LTDA </t>
  </si>
  <si>
    <t>Agropecuária Ouro Verde Ltda</t>
  </si>
  <si>
    <t xml:space="preserve">+55 (49) 9991-5658 </t>
  </si>
  <si>
    <t>Aprovado (O.S.: 39339)</t>
  </si>
  <si>
    <t>Sinalização - Senna</t>
  </si>
  <si>
    <t xml:space="preserve">Carla Cristina Rocha de Oliveira Cardoso </t>
  </si>
  <si>
    <t>Escritório Carla Rocha</t>
  </si>
  <si>
    <t xml:space="preserve">+55 (12) 3354-6694 </t>
  </si>
  <si>
    <t>Aprovado (O.S.: 39347)</t>
  </si>
  <si>
    <t xml:space="preserve">Patricia Puccini Peres Garcia </t>
  </si>
  <si>
    <t xml:space="preserve">+55 (11) 99126-0336 </t>
  </si>
  <si>
    <t>Aprovado (O.S.: 39342)</t>
  </si>
  <si>
    <t xml:space="preserve">Ines Possari </t>
  </si>
  <si>
    <t xml:space="preserve">+55 (69) 9922-3500 </t>
  </si>
  <si>
    <t>Aprovado (O.S.: 39348)</t>
  </si>
  <si>
    <t xml:space="preserve">BEST-X ENGENHARIA LTDA </t>
  </si>
  <si>
    <t>Adair Oliveira</t>
  </si>
  <si>
    <t xml:space="preserve">+55 (11) 94286-5121 </t>
  </si>
  <si>
    <t>Aprovado (O.S.: 39353)</t>
  </si>
  <si>
    <t xml:space="preserve">Kauam arlan da Silva </t>
  </si>
  <si>
    <t>Kauam arlan da Silv</t>
  </si>
  <si>
    <t xml:space="preserve">+55 (19) 98328-6518 </t>
  </si>
  <si>
    <t>Aprovado (O.S.: 39350)</t>
  </si>
  <si>
    <t xml:space="preserve">AAMHOR </t>
  </si>
  <si>
    <t>Filipe Augusto Pereira</t>
  </si>
  <si>
    <t xml:space="preserve">+55 (48) 8412-2288 </t>
  </si>
  <si>
    <t>Aprovado (O.S.: 39371)</t>
  </si>
  <si>
    <t xml:space="preserve">CONDOMINIO NETUNO </t>
  </si>
  <si>
    <t>Maria Luisa</t>
  </si>
  <si>
    <t xml:space="preserve">+55 (19) 97428-9171 </t>
  </si>
  <si>
    <t>Aprovado (O.S.: 39361)</t>
  </si>
  <si>
    <t>Aprovado (O.S.: 39474)</t>
  </si>
  <si>
    <t>Aprovado (O.S.: 39403)</t>
  </si>
  <si>
    <t xml:space="preserve">ADRIMAR ELETRICA LTDA </t>
  </si>
  <si>
    <t>Marcio Alquati</t>
  </si>
  <si>
    <t xml:space="preserve">+55 (11) 99624-8913 </t>
  </si>
  <si>
    <t>Aprovado (O.S.: 39358)</t>
  </si>
  <si>
    <t>Aprovado (O.S.: 39365)</t>
  </si>
  <si>
    <t>Aprovado (O.S.: 39410)</t>
  </si>
  <si>
    <t>Aprovado (O.S.: 39605)</t>
  </si>
  <si>
    <t xml:space="preserve">Prefeitura Itatiba </t>
  </si>
  <si>
    <t>Setor de Compras - Sec. de Saúde - PM Itatiba</t>
  </si>
  <si>
    <t xml:space="preserve">+55 (11) 4524-0333 </t>
  </si>
  <si>
    <t>AÇO</t>
  </si>
  <si>
    <t xml:space="preserve">CONDOMINIO CASAS DA TOSCANA </t>
  </si>
  <si>
    <t>Condomínio Casas Da Toscana</t>
  </si>
  <si>
    <t xml:space="preserve">+55 (11) 9523-6525 </t>
  </si>
  <si>
    <t>Aprovado (O.S.: 39367)</t>
  </si>
  <si>
    <t xml:space="preserve">Tiago Brito Dias </t>
  </si>
  <si>
    <t xml:space="preserve">+55 (19) 99813-5306 </t>
  </si>
  <si>
    <t>Aprovado (O.S.: 39369)</t>
  </si>
  <si>
    <t>Aprovado (O.S.: 40071)</t>
  </si>
  <si>
    <t xml:space="preserve">COMERCIAL PIRALCOOL LTDA </t>
  </si>
  <si>
    <t>Wilson Apparecido Goncalves</t>
  </si>
  <si>
    <t xml:space="preserve">+55 (19) 9998-3654 </t>
  </si>
  <si>
    <t>Aprovado (O.S.: 39372)</t>
  </si>
  <si>
    <t xml:space="preserve">GRUPO SP CONSULTORIA E SERVICOS </t>
  </si>
  <si>
    <t>iload.net</t>
  </si>
  <si>
    <t xml:space="preserve">+55 (11) 99854-1497 </t>
  </si>
  <si>
    <t>Aprovado (O.S.: 39374)</t>
  </si>
  <si>
    <t xml:space="preserve">Celso Haeitmann </t>
  </si>
  <si>
    <t xml:space="preserve">+55 (19) 99781-1382 </t>
  </si>
  <si>
    <t>Aprovado (O.S.: 39468)</t>
  </si>
  <si>
    <t>Aprovado (O.S.: 39382)</t>
  </si>
  <si>
    <t xml:space="preserve">ANDRE HUMMEL - PERICIAS E ADMINISTRACAO JUDICIAL </t>
  </si>
  <si>
    <t>Beatriz Hummel</t>
  </si>
  <si>
    <t xml:space="preserve">+55 (41) 8805-8779 </t>
  </si>
  <si>
    <t>Aprovado (O.S.: 39404)</t>
  </si>
  <si>
    <t xml:space="preserve">SUPLEY LABORATORIO </t>
  </si>
  <si>
    <t>Supley Laboratorio</t>
  </si>
  <si>
    <t xml:space="preserve">+55 (16) 99629-5314 </t>
  </si>
  <si>
    <t>Aprovado (O.S.: 39378)</t>
  </si>
  <si>
    <t xml:space="preserve">Jonathan willian Pestana de Jesus </t>
  </si>
  <si>
    <t>Jonathan</t>
  </si>
  <si>
    <t xml:space="preserve">+55 (21) 99866-3653 </t>
  </si>
  <si>
    <t xml:space="preserve">SOC BRAS DE AUTORES COMPOSITORES E ESCRITORES DE MUSICA </t>
  </si>
  <si>
    <t>Comunicação e Marketing Sbacem</t>
  </si>
  <si>
    <t xml:space="preserve">+55 (21) 97478-2694 </t>
  </si>
  <si>
    <t>Aprovado (O.S.: 39398)</t>
  </si>
  <si>
    <t xml:space="preserve">HUZZO HOSPITAL </t>
  </si>
  <si>
    <t>Ana Luiza Gomes</t>
  </si>
  <si>
    <t xml:space="preserve">+55 (11) 9167-6845 </t>
  </si>
  <si>
    <t>Aprovado (O.S.: 39380)</t>
  </si>
  <si>
    <t>Arlete Avelar</t>
  </si>
  <si>
    <t>Adesivo - Sinalização de solo para extintores e Hidrantes</t>
  </si>
  <si>
    <t xml:space="preserve">EUROCUCCINA ELETRODOMESTICOS </t>
  </si>
  <si>
    <t>Ass Comercial EuroCuccina</t>
  </si>
  <si>
    <t xml:space="preserve">+55 (13) 99708-6166 </t>
  </si>
  <si>
    <t xml:space="preserve">CONDOMINIO COMERCIAL SWISS PARK - OFFICE </t>
  </si>
  <si>
    <t>Condomínio Comercial Swiss Park Office - Ataise</t>
  </si>
  <si>
    <t xml:space="preserve">+55 (19) 99762-1465 </t>
  </si>
  <si>
    <t>ACM + ESTACA</t>
  </si>
  <si>
    <t xml:space="preserve">PLANETA PSF </t>
  </si>
  <si>
    <t>Planeta Psf Rodrigues</t>
  </si>
  <si>
    <t xml:space="preserve">+55 (11) 2022-4627 </t>
  </si>
  <si>
    <t>Aprovado (O.S.: 39727)</t>
  </si>
  <si>
    <t>Aprovado (O.S.: 39420)</t>
  </si>
  <si>
    <t xml:space="preserve">ASSOCIACAO DO RESIDENCIAL OKINAWA </t>
  </si>
  <si>
    <t>Ana</t>
  </si>
  <si>
    <t xml:space="preserve">+55 (11) 99963-4616 </t>
  </si>
  <si>
    <t xml:space="preserve">DAMARFE PRODUTOS QUIMICOS LTDA (11) 97627-9807 </t>
  </si>
  <si>
    <t>ketleen Compras</t>
  </si>
  <si>
    <t xml:space="preserve">+55 (11) 97627-9807 </t>
  </si>
  <si>
    <t>Aprovado (O.S.: 39381)</t>
  </si>
  <si>
    <t>PS 2mm + DISPLAY A4</t>
  </si>
  <si>
    <t xml:space="preserve">CONDOMINIO RESIDENCIAL PARQUE RIO DAS PEDRAS </t>
  </si>
  <si>
    <t xml:space="preserve">+55 (19) 99221-5852 </t>
  </si>
  <si>
    <t>Aprovado (O.S.: 39384)</t>
  </si>
  <si>
    <t xml:space="preserve">METALURGICA RIGITEC LTDA </t>
  </si>
  <si>
    <t xml:space="preserve">+55 (19) 99605-7624 </t>
  </si>
  <si>
    <t>Aprovado (O.S.: 39477)</t>
  </si>
  <si>
    <t>Aprovado (O.S.: 39395)</t>
  </si>
  <si>
    <t xml:space="preserve">PARISOTTI ENGENHARIA E MONTAGENS </t>
  </si>
  <si>
    <t>Finaneiro</t>
  </si>
  <si>
    <t xml:space="preserve">+55 (19) 2042-2940 </t>
  </si>
  <si>
    <t>Aprovado (O.S.: 39416)</t>
  </si>
  <si>
    <t>Aprovado (O.S.: 39558)</t>
  </si>
  <si>
    <t xml:space="preserve">CONDOMINIO EDIFICIO GUANABARA </t>
  </si>
  <si>
    <t>CONDOMINIO EDIFICIO GUANABARA - Renato</t>
  </si>
  <si>
    <t xml:space="preserve">+55 (19) 99821-8116 </t>
  </si>
  <si>
    <t>Aprovado (O.S.: 39467)</t>
  </si>
  <si>
    <t xml:space="preserve">Luana Ferrari Dos Santos </t>
  </si>
  <si>
    <t xml:space="preserve">+55 (11) 9944-5069 </t>
  </si>
  <si>
    <t>Aprovado (O.S.: 39390)</t>
  </si>
  <si>
    <t xml:space="preserve">FOX TINTAS </t>
  </si>
  <si>
    <t>Júlia Grizoste de Paula</t>
  </si>
  <si>
    <t xml:space="preserve">+55 (11) 98157-5726 </t>
  </si>
  <si>
    <t>Aprovado (O.S.: 39391)</t>
  </si>
  <si>
    <t xml:space="preserve">ACQUA EMBALAGENS MG </t>
  </si>
  <si>
    <t>Acqua Embalagens Ltda</t>
  </si>
  <si>
    <t xml:space="preserve">+55 (31) 99871-7313 </t>
  </si>
  <si>
    <t>Aprovado (O.S.: 39392)</t>
  </si>
  <si>
    <t xml:space="preserve">Ricardo F Serafim </t>
  </si>
  <si>
    <t xml:space="preserve">+55 (19) 99175-7707 </t>
  </si>
  <si>
    <t>Aprovado (O.S.: 39393)</t>
  </si>
  <si>
    <t xml:space="preserve">CONDOMINIO MORADA MORUMBI </t>
  </si>
  <si>
    <t>Roberto Leal</t>
  </si>
  <si>
    <t xml:space="preserve">+55 (19) 98812-4536 </t>
  </si>
  <si>
    <t>Aprovado (O.S.: 39421)</t>
  </si>
  <si>
    <t xml:space="preserve">FRANCISCO TAPAJOS PROJETO RESIDENCIAL LTDA. </t>
  </si>
  <si>
    <t>Cida - Tibério</t>
  </si>
  <si>
    <t xml:space="preserve">+55 (11) 99968-7999 </t>
  </si>
  <si>
    <t>Aprovado (O.S.: 39504)</t>
  </si>
  <si>
    <t xml:space="preserve">MARANATA JC EXTINTORES LTDA </t>
  </si>
  <si>
    <t xml:space="preserve">+55 (44) 3042-0442 </t>
  </si>
  <si>
    <t xml:space="preserve">JULLIANNY SCARPARO </t>
  </si>
  <si>
    <t xml:space="preserve">+55 (11) 98179-8890 </t>
  </si>
  <si>
    <t>Aprovado (O.S.: 39399)</t>
  </si>
  <si>
    <t xml:space="preserve">CONDOMINIO FLAMBOAYNT </t>
  </si>
  <si>
    <t xml:space="preserve">+55 (11) 99331-4484 </t>
  </si>
  <si>
    <t>Aprovado (O.S.: 39400)</t>
  </si>
  <si>
    <t xml:space="preserve">DO REI 2000 ALIMENTOS </t>
  </si>
  <si>
    <t>Claudio Penna</t>
  </si>
  <si>
    <t xml:space="preserve">+55 (21) 9806-2618 </t>
  </si>
  <si>
    <t>Aprovado (O.S.: 39396)</t>
  </si>
  <si>
    <t>ALUMINIO OU ACRILICO</t>
  </si>
  <si>
    <t xml:space="preserve">Silvani Luiz </t>
  </si>
  <si>
    <t xml:space="preserve">+55 (19) 9923-1606 </t>
  </si>
  <si>
    <t>Aprovado (O.S.: 39405)</t>
  </si>
  <si>
    <t xml:space="preserve">Silvio Cesar Barros </t>
  </si>
  <si>
    <t xml:space="preserve">+55 (11) 9851-1958 </t>
  </si>
  <si>
    <t>Aprovado (O.S.: 39406)</t>
  </si>
  <si>
    <t xml:space="preserve">EZCOMP COMPONENTES ELETRICOS </t>
  </si>
  <si>
    <t>Elizeu</t>
  </si>
  <si>
    <t xml:space="preserve">+55 (11) 95374-3034 </t>
  </si>
  <si>
    <t>Aprovado (O.S.: 39408)</t>
  </si>
  <si>
    <t>Mari</t>
  </si>
  <si>
    <t>Aprovado (O.S.: 39464)</t>
  </si>
  <si>
    <t xml:space="preserve">Fabiana Santos </t>
  </si>
  <si>
    <t xml:space="preserve">+55 (11) 9964-0366 </t>
  </si>
  <si>
    <t>Aprovado (O.S.: 39407)</t>
  </si>
  <si>
    <t>Nercia</t>
  </si>
  <si>
    <t>Aprovado (O.S.: 39422)</t>
  </si>
  <si>
    <t xml:space="preserve">BRG EMPREENDIMENTOS IMOBILIARIOS SPE LTDA </t>
  </si>
  <si>
    <t>Condomínio Edifício Zero 11</t>
  </si>
  <si>
    <t xml:space="preserve">+55 (11) 9747-1914 </t>
  </si>
  <si>
    <t>Aprovado (O.S.: 39414)</t>
  </si>
  <si>
    <t xml:space="preserve">Douglas Rose </t>
  </si>
  <si>
    <t xml:space="preserve">+55 (11) 9678-5677 </t>
  </si>
  <si>
    <t>Aprovado (O.S.: 39415)</t>
  </si>
  <si>
    <t xml:space="preserve">João Henrique De Miranda </t>
  </si>
  <si>
    <t xml:space="preserve">+55 (11) 9782-1637 </t>
  </si>
  <si>
    <t>Aprovado (O.S.: 39417)</t>
  </si>
  <si>
    <t xml:space="preserve">Tomás Lima </t>
  </si>
  <si>
    <t xml:space="preserve">+55 (51) 99323-1671 </t>
  </si>
  <si>
    <t>Aprovado (O.S.: 39418)</t>
  </si>
  <si>
    <t xml:space="preserve">MEIWA INDUSTRIA E COMERCIO LTDA </t>
  </si>
  <si>
    <t>Luana Reis</t>
  </si>
  <si>
    <t xml:space="preserve">+55 (11) 99847-1422 </t>
  </si>
  <si>
    <t>Aprovado (O.S.: 39425)</t>
  </si>
  <si>
    <t xml:space="preserve">IF CATARINENSE CAMPUS CONCORDIA </t>
  </si>
  <si>
    <t>Andréia</t>
  </si>
  <si>
    <t xml:space="preserve">+55 (49) 8889-0194 </t>
  </si>
  <si>
    <t>Aprovado (O.S.: 39885)</t>
  </si>
  <si>
    <t>Aprovado (O.S.: 39437)</t>
  </si>
  <si>
    <t xml:space="preserve">CONDOMINIO EDIFICIO ANA KAROLINA </t>
  </si>
  <si>
    <t>Julio Sproesser</t>
  </si>
  <si>
    <t xml:space="preserve">+55 (19) 99179-2820 </t>
  </si>
  <si>
    <t>Aprovado (O.S.: 39428)</t>
  </si>
  <si>
    <t xml:space="preserve">ENERGIA TOTALE </t>
  </si>
  <si>
    <t>Bruno Biondi</t>
  </si>
  <si>
    <t xml:space="preserve">+55 (11) 91401-7632 </t>
  </si>
  <si>
    <t>Aprovado (O.S.: 39624)</t>
  </si>
  <si>
    <t xml:space="preserve">JL DISTRIBUIDORA </t>
  </si>
  <si>
    <t>Sílvia Bolani</t>
  </si>
  <si>
    <t xml:space="preserve">+55 (11) 4498-3373 </t>
  </si>
  <si>
    <t>Aprovado (O.S.: 39429)</t>
  </si>
  <si>
    <t xml:space="preserve">Wonders galleria </t>
  </si>
  <si>
    <t xml:space="preserve">+55 (19) 99436-0986 </t>
  </si>
  <si>
    <t>Aprovado (O.S.: 39458)</t>
  </si>
  <si>
    <t xml:space="preserve">BIANCA ST MARTIN </t>
  </si>
  <si>
    <t>Bibist</t>
  </si>
  <si>
    <t xml:space="preserve">+55 (11) 99951-8455 </t>
  </si>
  <si>
    <t>Aprovado (O.S.: 39431)</t>
  </si>
  <si>
    <t xml:space="preserve">MUNDIVOX CLOUD </t>
  </si>
  <si>
    <t>CLDS CLOUD LTDA</t>
  </si>
  <si>
    <t xml:space="preserve">+55 (21) 99135-4069 </t>
  </si>
  <si>
    <t>Aprovado (O.S.: 39432)</t>
  </si>
  <si>
    <t xml:space="preserve">CONDOMINIO MIRANTE BONSUCESSO </t>
  </si>
  <si>
    <t>Condomínios Mirante Bonsucesso</t>
  </si>
  <si>
    <t xml:space="preserve">+55 (11) 2797-7600 </t>
  </si>
  <si>
    <t>Aprovado (O.S.: 39434)</t>
  </si>
  <si>
    <t>New Bs Brasil Import Ltda</t>
  </si>
  <si>
    <t>PS 2mm +PEDESTAL</t>
  </si>
  <si>
    <t xml:space="preserve">PAROQUIA SANTA GENEROSA </t>
  </si>
  <si>
    <t>Paróquia Santa Generosa</t>
  </si>
  <si>
    <t xml:space="preserve">+55 (11) 98072-8076 </t>
  </si>
  <si>
    <t>Aprovado (O.S.: 39435)</t>
  </si>
  <si>
    <t xml:space="preserve">CENTRO UNIVERSITARIO UNIFATECIE </t>
  </si>
  <si>
    <t>Centro Universitário Unifatecie</t>
  </si>
  <si>
    <t xml:space="preserve">+55 (44) 3045-9898 </t>
  </si>
  <si>
    <t>Aprovado (O.S.: 39436)</t>
  </si>
  <si>
    <t xml:space="preserve">+55 (11) 3257-2692 </t>
  </si>
  <si>
    <t>Aprovado (O.S.: 39456)</t>
  </si>
  <si>
    <t xml:space="preserve">LAPIENDRIUS INDUSTRIA E COMERCIO LTDA </t>
  </si>
  <si>
    <t>Carlos Andrade Lapique</t>
  </si>
  <si>
    <t xml:space="preserve">+55 (11) 4646-6400 </t>
  </si>
  <si>
    <t>Aprovado (O.S.: 39438)</t>
  </si>
  <si>
    <t xml:space="preserve">METAS CEREAIS </t>
  </si>
  <si>
    <t>Eduardo Adami</t>
  </si>
  <si>
    <t xml:space="preserve">+55 (16) 98100-0976 </t>
  </si>
  <si>
    <t>Aprovado (O.S.: 39463)</t>
  </si>
  <si>
    <t xml:space="preserve">FRANCISCO NEGRAO </t>
  </si>
  <si>
    <t>FRANCISCO NEGRA</t>
  </si>
  <si>
    <t xml:space="preserve">+55 (11) 99138-7846 </t>
  </si>
  <si>
    <t>Aprovado (O.S.: 39439)</t>
  </si>
  <si>
    <t xml:space="preserve">OUROLUX COMERCIAL LTDA </t>
  </si>
  <si>
    <t>Solange Santos</t>
  </si>
  <si>
    <t xml:space="preserve">+55 (11) 94930-0232 </t>
  </si>
  <si>
    <t>Sinalização/ IPLACAS - PLACAS DE OBRA</t>
  </si>
  <si>
    <t xml:space="preserve">Zoroastro José de Souza Vasconcelos Neto </t>
  </si>
  <si>
    <t xml:space="preserve">+55 (61) 98481-1111 </t>
  </si>
  <si>
    <t>Aprovado (O.S.: 39440)</t>
  </si>
  <si>
    <t xml:space="preserve">Carlos Alberto Perez </t>
  </si>
  <si>
    <t xml:space="preserve">+55 (21) 98113-4256 </t>
  </si>
  <si>
    <t>Aprovado (O.S.: 39441)</t>
  </si>
  <si>
    <t>OBRA</t>
  </si>
  <si>
    <t xml:space="preserve">Lucas Cesar Reis </t>
  </si>
  <si>
    <t xml:space="preserve">+55 (19) 98960-7214 </t>
  </si>
  <si>
    <t>Aprovado (O.S.: 39452)</t>
  </si>
  <si>
    <t xml:space="preserve">CONDOMINIO MAIS ALTOS MORUMBI </t>
  </si>
  <si>
    <t>Leandro Jovino</t>
  </si>
  <si>
    <t xml:space="preserve">+55 (11) 99896-5005 </t>
  </si>
  <si>
    <t>Aprovado (O.S.: 39460)</t>
  </si>
  <si>
    <t xml:space="preserve">ROVALI INDUSTRIA DE AUTO PECAS LTDA </t>
  </si>
  <si>
    <t>Leonardo Ballardin</t>
  </si>
  <si>
    <t xml:space="preserve">+55 (54) 9244-5440 </t>
  </si>
  <si>
    <t>Aprovado (O.S.: 39461)</t>
  </si>
  <si>
    <t xml:space="preserve">PONTIFICIA UNIVERSIDADE CATOLICA DE CAMPINAS-CAMPUS II </t>
  </si>
  <si>
    <t>Josivaldo</t>
  </si>
  <si>
    <t>Aprovado (O.S.: 39505)</t>
  </si>
  <si>
    <t xml:space="preserve">SUDELETRO </t>
  </si>
  <si>
    <t>Jesus</t>
  </si>
  <si>
    <t xml:space="preserve">+55 (19) 99152-1706 </t>
  </si>
  <si>
    <t>Aprovado (O.S.: 39533)</t>
  </si>
  <si>
    <t>Aprovado (O.S.: 39967)</t>
  </si>
  <si>
    <t>Aprovado (O.S.: 39469)</t>
  </si>
  <si>
    <t xml:space="preserve">C4 grafica e sign </t>
  </si>
  <si>
    <t>C4 grafica e sign</t>
  </si>
  <si>
    <t xml:space="preserve">+55 (21) 96696-7194 </t>
  </si>
  <si>
    <t xml:space="preserve">NATUREZA CONSTRUCOES </t>
  </si>
  <si>
    <t>Natureza E Mudar</t>
  </si>
  <si>
    <t xml:space="preserve">+55 (49) 2020-0452 </t>
  </si>
  <si>
    <t>Aprovado (O.S.: 39481)</t>
  </si>
  <si>
    <t xml:space="preserve">RESINGEO SOLUCOES EM POLIMEROS LTDA. </t>
  </si>
  <si>
    <t xml:space="preserve">+55 (19) 99316-2716 </t>
  </si>
  <si>
    <t>Aprovado (O.S.: 39692)</t>
  </si>
  <si>
    <t xml:space="preserve">CONDOMINIO BIENVILLE </t>
  </si>
  <si>
    <t xml:space="preserve">+55 (55) 11980-5004 </t>
  </si>
  <si>
    <t>Aprovado (O.S.: 39471)</t>
  </si>
  <si>
    <t xml:space="preserve">CONDOMINIO EDIFICIO RESIDENCIAL ESPACO PAULISTA </t>
  </si>
  <si>
    <t>COND. EDIF. RESIDENCIAL ESPAÇO PAULISTA</t>
  </si>
  <si>
    <t xml:space="preserve">+55 (11) 99881-3138 </t>
  </si>
  <si>
    <t>Aprovado (O.S.: 39470)</t>
  </si>
  <si>
    <t xml:space="preserve">DIMEBRAS </t>
  </si>
  <si>
    <t>Dimebras Distribuidora De Medicamentos Brasil Ltda</t>
  </si>
  <si>
    <t xml:space="preserve">+55 (45) 3224-1834 </t>
  </si>
  <si>
    <t>Aprovado (O.S.: 39472)</t>
  </si>
  <si>
    <t xml:space="preserve">Maria lucia pereira </t>
  </si>
  <si>
    <t xml:space="preserve">+55 (21) 99982-2148 </t>
  </si>
  <si>
    <t>Aprovado (O.S.: 39473)</t>
  </si>
  <si>
    <t xml:space="preserve">RICARDO M RIBEIRO </t>
  </si>
  <si>
    <t xml:space="preserve">+55 (11) 99315-1162 </t>
  </si>
  <si>
    <t>Aprovado (O.S.: 39475)</t>
  </si>
  <si>
    <t>Aprovado (O.S.: 39476)</t>
  </si>
  <si>
    <t xml:space="preserve">Jivago Luz Rome </t>
  </si>
  <si>
    <t>Jivago Luz Romero</t>
  </si>
  <si>
    <t xml:space="preserve">+55 (19) 99200-1251 </t>
  </si>
  <si>
    <t>Aprovado (O.S.: 39478)</t>
  </si>
  <si>
    <t xml:space="preserve">PATRICK JOANATAN GONCALVES QUEIROZ </t>
  </si>
  <si>
    <t xml:space="preserve">+55 (18) 98131-2965 </t>
  </si>
  <si>
    <t>Aprovado (O.S.: 39479)</t>
  </si>
  <si>
    <t xml:space="preserve">Rodrigo Silva Porto </t>
  </si>
  <si>
    <t xml:space="preserve">+55 (11) 98276-1402 </t>
  </si>
  <si>
    <t>Aprovado (O.S.: 39480)</t>
  </si>
  <si>
    <t xml:space="preserve">FIX PARK ESTACIONAMENTOS LTDA </t>
  </si>
  <si>
    <t>Eduardo</t>
  </si>
  <si>
    <t xml:space="preserve">+55 (11) 99857-9337 </t>
  </si>
  <si>
    <t>Aprovado (O.S.: 39484)</t>
  </si>
  <si>
    <t xml:space="preserve">LAVCLIN </t>
  </si>
  <si>
    <t>MV João Pedro Gomes</t>
  </si>
  <si>
    <t xml:space="preserve">+55 (67) 9281-2640 </t>
  </si>
  <si>
    <t>Aprovado (O.S.: 39483)</t>
  </si>
  <si>
    <t xml:space="preserve">TECNOELETRO </t>
  </si>
  <si>
    <t>Tecnoeletro Cotações</t>
  </si>
  <si>
    <t xml:space="preserve">+55 (48) 8818-9659 </t>
  </si>
  <si>
    <t xml:space="preserve">CONDOMINIO DO EDIFICIO JOSIAS </t>
  </si>
  <si>
    <t>Kárim Medeiros</t>
  </si>
  <si>
    <t xml:space="preserve">+55 (21) 99192-0509 </t>
  </si>
  <si>
    <t>Aprovado (O.S.: 39492)</t>
  </si>
  <si>
    <t>Aprovado (O.S.: 39494)</t>
  </si>
  <si>
    <t xml:space="preserve">PULSO HOTEL FARIA LIMA </t>
  </si>
  <si>
    <t>Marcio Cavalcante</t>
  </si>
  <si>
    <t xml:space="preserve">+55 (11) 99650-3211 </t>
  </si>
  <si>
    <t xml:space="preserve">TRANSPORTES RODOVIARIOS TEIXEIRA VARAJAO LTDA </t>
  </si>
  <si>
    <t>Josiane</t>
  </si>
  <si>
    <t xml:space="preserve">+55 (12) 99149-0433 </t>
  </si>
  <si>
    <t>Aprovado (O.S.: 39516)</t>
  </si>
  <si>
    <t xml:space="preserve">GRACIOSA COUNTRY CLUB </t>
  </si>
  <si>
    <t>Suprimentos Graciosa</t>
  </si>
  <si>
    <t xml:space="preserve">+55 (41) 99991-0295 </t>
  </si>
  <si>
    <t>Aprovado (O.S.: 39486)</t>
  </si>
  <si>
    <t xml:space="preserve">CONDOMINIO RESIDENCIAL YUCATAN </t>
  </si>
  <si>
    <t xml:space="preserve">+55 (67) 3029-8030 </t>
  </si>
  <si>
    <t>Aprovado (O.S.: 39487)</t>
  </si>
  <si>
    <t>Aprovado (O.S.: 39488)</t>
  </si>
  <si>
    <t xml:space="preserve">MASTERSOL INDUSTRIA E COMERCIO DE AQUECEDORES SOLAR LTDA </t>
  </si>
  <si>
    <t>ROBERTA DUTRA</t>
  </si>
  <si>
    <t>Aprovado (O.S.: 39489)</t>
  </si>
  <si>
    <t xml:space="preserve">Edson Dias da Silveira Junior </t>
  </si>
  <si>
    <t xml:space="preserve">+55 (11) 96134-9623 </t>
  </si>
  <si>
    <t>Aprovado (O.S.: 39490)</t>
  </si>
  <si>
    <t xml:space="preserve">Claudio Dos Santos Rosa </t>
  </si>
  <si>
    <t xml:space="preserve">+55 (77) 99916-3003 </t>
  </si>
  <si>
    <t>Aprovado (O.S.: 39491)</t>
  </si>
  <si>
    <t>Aprovado (O.S.: 39493)</t>
  </si>
  <si>
    <t xml:space="preserve">CLINICA DE VACINAS SANTA CLARA </t>
  </si>
  <si>
    <t xml:space="preserve">+55 (16) 09865-8766 </t>
  </si>
  <si>
    <t>Aprovado (O.S.: 39690)</t>
  </si>
  <si>
    <t>Administração Family Santana</t>
  </si>
  <si>
    <t xml:space="preserve">+55 (11) 99918-8034 </t>
  </si>
  <si>
    <t>Aprovado (O.S.: 39508)</t>
  </si>
  <si>
    <t xml:space="preserve">BRN - RESIDENCIAL 07 EMPREENDIMENTOS IMOBILIARIOS SPE LTDA </t>
  </si>
  <si>
    <t>BRN - ADM Comercial</t>
  </si>
  <si>
    <t xml:space="preserve">+55 (19) 98192-1286 </t>
  </si>
  <si>
    <t>Aprovado (O.S.: 39517)</t>
  </si>
  <si>
    <t xml:space="preserve">Andre Vitor Faria Ribeiro </t>
  </si>
  <si>
    <t>André Vitor</t>
  </si>
  <si>
    <t xml:space="preserve">+55 (19) 99367-5739 </t>
  </si>
  <si>
    <t>Aprovado (O.S.: 39502)</t>
  </si>
  <si>
    <t xml:space="preserve">GELPRIME INDUSTRIA E COMERCIO DE PRODUTOS ALIMENTICIOS </t>
  </si>
  <si>
    <t>Maria Clara - Compras Gelprime</t>
  </si>
  <si>
    <t xml:space="preserve">+55 (43) 3178-1858 </t>
  </si>
  <si>
    <t>Aprovado (O.S.: 39807)</t>
  </si>
  <si>
    <t xml:space="preserve">Andrey Lobo de Farias </t>
  </si>
  <si>
    <t>Andrey Lobo de Farias</t>
  </si>
  <si>
    <t xml:space="preserve">+55 (11) 99494-2216 </t>
  </si>
  <si>
    <t xml:space="preserve">A.C.I INFORMATICA LTDA </t>
  </si>
  <si>
    <t xml:space="preserve">+55 (11) 97692-6990 </t>
  </si>
  <si>
    <t xml:space="preserve">MATHIAS SERVICOS DE PINTURAS E REFORMAS LTDA </t>
  </si>
  <si>
    <t>paulo</t>
  </si>
  <si>
    <t xml:space="preserve">+55 (11) 94242-4646 </t>
  </si>
  <si>
    <t>Aprovado (O.S.: 39503)</t>
  </si>
  <si>
    <t xml:space="preserve">PROCONNECT INSTALACOES LTDA </t>
  </si>
  <si>
    <t>Larissa Guedes</t>
  </si>
  <si>
    <t xml:space="preserve">+55 (11) 2296-6605 </t>
  </si>
  <si>
    <t>Aprovado (O.S.: 39506)</t>
  </si>
  <si>
    <t xml:space="preserve">GATE GOURMET LTDA </t>
  </si>
  <si>
    <t>Aprovado (O.S.: 39668)</t>
  </si>
  <si>
    <t xml:space="preserve">KARIMEX COMPONENTES ELETRONICOS LTDA </t>
  </si>
  <si>
    <t>Osvaldo Norberto Santos</t>
  </si>
  <si>
    <t>Aprovado (O.S.: 39534)</t>
  </si>
  <si>
    <t xml:space="preserve">ER ANALITICA </t>
  </si>
  <si>
    <t>Aprovado (O.S.: 39507)</t>
  </si>
  <si>
    <t>Aprovado (O.S.: 39514)</t>
  </si>
  <si>
    <t xml:space="preserve">Elizabeth Gouvea </t>
  </si>
  <si>
    <t xml:space="preserve">+55 (21) 97168-8188 </t>
  </si>
  <si>
    <t>Aprovado (O.S.: 39510)</t>
  </si>
  <si>
    <t>Aprovado (O.S.: 39512)</t>
  </si>
  <si>
    <t xml:space="preserve">Dennis Gallo </t>
  </si>
  <si>
    <t xml:space="preserve">+55 (11) 99687-1915 </t>
  </si>
  <si>
    <t>Aprovado (O.S.: 39513)</t>
  </si>
  <si>
    <t xml:space="preserve">ROGERIO RODRIGUES GELATO GROUP LTDA </t>
  </si>
  <si>
    <t xml:space="preserve">+55 (11) 94750-1144 </t>
  </si>
  <si>
    <t>Aprovado (O.S.: 39532)</t>
  </si>
  <si>
    <t xml:space="preserve">Alécio Gonçalves </t>
  </si>
  <si>
    <t xml:space="preserve">+55 (19) 99787-0579 </t>
  </si>
  <si>
    <t>Aprovado (O.S.: 39521)</t>
  </si>
  <si>
    <t xml:space="preserve">Lizandro de Andrade Teles </t>
  </si>
  <si>
    <t xml:space="preserve">+55 (88) 98112-4488 </t>
  </si>
  <si>
    <t>Aprovado (O.S.: 39515)</t>
  </si>
  <si>
    <t xml:space="preserve">LPQBR RESTAURANTES E PADARIAS LTDA. </t>
  </si>
  <si>
    <t>Lpqbr Restaurantes e Padarias Ltda.</t>
  </si>
  <si>
    <t xml:space="preserve">+55 (11) 3564-0503 </t>
  </si>
  <si>
    <t>Aprovado (O.S.: 39518)</t>
  </si>
  <si>
    <t xml:space="preserve">FUNDACAO EDUCACIONAL DE BRUSQUE - FEBE </t>
  </si>
  <si>
    <t>Fundação Educacional de Brusque FEBE</t>
  </si>
  <si>
    <t>Aprovado (O.S.: 39520)</t>
  </si>
  <si>
    <t xml:space="preserve">YUDO </t>
  </si>
  <si>
    <t>Andrieli - Compras Yudo</t>
  </si>
  <si>
    <t xml:space="preserve">+55 (47) 8815-2639 </t>
  </si>
  <si>
    <t>Aprovado (O.S.: 39538)</t>
  </si>
  <si>
    <t xml:space="preserve">MOTA E NASCIMENTO LTDA </t>
  </si>
  <si>
    <t>Beatriz - Analista de Marketing</t>
  </si>
  <si>
    <t xml:space="preserve">+55 (19) 97811-9949 </t>
  </si>
  <si>
    <t>Aprovado (O.S.: 39537)</t>
  </si>
  <si>
    <t>Aprovado (O.S.: 39536)</t>
  </si>
  <si>
    <t>Gustavo Guga</t>
  </si>
  <si>
    <t>Aprovado (O.S.: 39554)</t>
  </si>
  <si>
    <t xml:space="preserve">CONDOMINIO VILLANOVA GRANJA VIANNA </t>
  </si>
  <si>
    <t>VILLANOVA</t>
  </si>
  <si>
    <t xml:space="preserve">+55 (11) 94476-4406 </t>
  </si>
  <si>
    <t>Aprovado (O.S.: 39539)</t>
  </si>
  <si>
    <t xml:space="preserve">CONDOMINIO RESIDENCIAL AGUA MARINHA </t>
  </si>
  <si>
    <t>sandra</t>
  </si>
  <si>
    <t xml:space="preserve">+55 (19) 3037-9690 </t>
  </si>
  <si>
    <t>Aprovado (O.S.: 39540)</t>
  </si>
  <si>
    <t>Aprovado (O.S.: 39541)</t>
  </si>
  <si>
    <t xml:space="preserve">Audrey Moreira </t>
  </si>
  <si>
    <t>Ricardo Gonçalves</t>
  </si>
  <si>
    <t xml:space="preserve">+55 (17) 99135-1499 </t>
  </si>
  <si>
    <t>Aprovado (O.S.: 39546)</t>
  </si>
  <si>
    <t xml:space="preserve">Anderson Tadeu Dorta Munhoz </t>
  </si>
  <si>
    <t>Anderson Munhoz</t>
  </si>
  <si>
    <t xml:space="preserve">+55 (11) 97103-1920 </t>
  </si>
  <si>
    <t>Aprovado (O.S.: 39543)</t>
  </si>
  <si>
    <t>Aprovado (O.S.: 39542)</t>
  </si>
  <si>
    <t>Aprovado (O.S.: 39544)</t>
  </si>
  <si>
    <t xml:space="preserve">Luciana de Souza Pereira </t>
  </si>
  <si>
    <t xml:space="preserve">+55 199 711 548 </t>
  </si>
  <si>
    <t>Aprovado (O.S.: 39548)</t>
  </si>
  <si>
    <t xml:space="preserve">CONDOMINIO VERSOS IPIRANGA </t>
  </si>
  <si>
    <t xml:space="preserve">+55 (11) 93265-3795 </t>
  </si>
  <si>
    <t>Aprovado (O.S.: 39670)</t>
  </si>
  <si>
    <t>Aprovado (O.S.: 39547)</t>
  </si>
  <si>
    <t xml:space="preserve">SETRA PRESTACAO DE SERVICOS RADIOLOGICOS LTDA </t>
  </si>
  <si>
    <t>TST Bruno Moraes</t>
  </si>
  <si>
    <t xml:space="preserve">+55 (11) 93006-3154 </t>
  </si>
  <si>
    <t xml:space="preserve">RETIN INDUSTRIA E COMERCIO LTDA </t>
  </si>
  <si>
    <t>FABIO HEITOR BAETA</t>
  </si>
  <si>
    <t xml:space="preserve">+55 (12) 3905-5100 </t>
  </si>
  <si>
    <t>Aprovado (O.S.: 39550)</t>
  </si>
  <si>
    <t>Aprovado (O.S.: 39620)</t>
  </si>
  <si>
    <t xml:space="preserve">SINERGIA COMERCIO E SERVICOS LTDA </t>
  </si>
  <si>
    <t>Eliane Vendas Trindade ( Claudia)</t>
  </si>
  <si>
    <t xml:space="preserve">+55 (31) 7567-0158 </t>
  </si>
  <si>
    <t xml:space="preserve">CONDOMINIO RESIDENCIAL PARQUE CANTO DOS CANARIOS </t>
  </si>
  <si>
    <t>Condominio Parque Cantos dos Canários</t>
  </si>
  <si>
    <t xml:space="preserve">+55 (19) 3511-1800 </t>
  </si>
  <si>
    <t>Aprovado (O.S.: 39551)</t>
  </si>
  <si>
    <t xml:space="preserve">GRUPO TAIZ CAMPBELL </t>
  </si>
  <si>
    <t xml:space="preserve">+55 (11) 8338-4921 </t>
  </si>
  <si>
    <t>Aprovado (O.S.: 39552)</t>
  </si>
  <si>
    <t xml:space="preserve">ELE E EU FILTROS E VEDACOES </t>
  </si>
  <si>
    <t>Katia Faria de Souza</t>
  </si>
  <si>
    <t xml:space="preserve">+55 (21) 2617-6663 </t>
  </si>
  <si>
    <t xml:space="preserve">Mariana Vargas Carvalho Pitangui </t>
  </si>
  <si>
    <t xml:space="preserve">+55 (31) 99279-1343 </t>
  </si>
  <si>
    <t>Aprovado (O.S.: 39553)</t>
  </si>
  <si>
    <t xml:space="preserve">FAV GREEN BARBOZA LTDA </t>
  </si>
  <si>
    <t>Malibu Compras</t>
  </si>
  <si>
    <t xml:space="preserve">+55 (19) 97417-0834 </t>
  </si>
  <si>
    <t xml:space="preserve">PADARIA E ROTISSERIA LAGOA TAQUARAL </t>
  </si>
  <si>
    <t>Aprovado (O.S.: 39565)</t>
  </si>
  <si>
    <t>Aprovado (O.S.: 39566)</t>
  </si>
  <si>
    <t xml:space="preserve">L. C. MATTOS COMERCIO CPFL </t>
  </si>
  <si>
    <t>Aprovado (O.S.: 39567)</t>
  </si>
  <si>
    <t>Aprovado (O.S.: 39568)</t>
  </si>
  <si>
    <t xml:space="preserve">VALORIZE COMUNICACAO VISUAL </t>
  </si>
  <si>
    <t>Jacson Fabianoj</t>
  </si>
  <si>
    <t xml:space="preserve">+55 (41) 8808-4668 </t>
  </si>
  <si>
    <t xml:space="preserve">BELACCI DO BRASIL </t>
  </si>
  <si>
    <t xml:space="preserve">+55 (12) 99700-5703 </t>
  </si>
  <si>
    <t xml:space="preserve">V.S.M. COMERCIAL </t>
  </si>
  <si>
    <t>Adson Fernandes</t>
  </si>
  <si>
    <t xml:space="preserve">+55 (11) 97880-8484 </t>
  </si>
  <si>
    <t xml:space="preserve">CIM AUTOMACAO LTDA </t>
  </si>
  <si>
    <t xml:space="preserve">+55 (11) 98266-5912 </t>
  </si>
  <si>
    <t>Aprovado (O.S.: 39559)</t>
  </si>
  <si>
    <t xml:space="preserve">CONDOMINIO RESIDENCIAL MONTE CARLO </t>
  </si>
  <si>
    <t xml:space="preserve">+55 (19) 98922-0276 </t>
  </si>
  <si>
    <t>Aprovado (O.S.: 39560)</t>
  </si>
  <si>
    <t xml:space="preserve">CONDOMINIO ESSENZIALE DUE </t>
  </si>
  <si>
    <t xml:space="preserve">+55 (19) 99933-5253 </t>
  </si>
  <si>
    <t>Aprovado (O.S.: 39630)</t>
  </si>
  <si>
    <t xml:space="preserve">MATEUS LINCOLN CONSTRUCOES </t>
  </si>
  <si>
    <t>Wellington Batista</t>
  </si>
  <si>
    <t xml:space="preserve">+55 (11) 98783-0662 </t>
  </si>
  <si>
    <t>Aprovado (O.S.: 39562)</t>
  </si>
  <si>
    <t xml:space="preserve">MASA DOZE EMPREENDIMENTOS IMOBILIARIOS LTDA </t>
  </si>
  <si>
    <t>Simone Alves</t>
  </si>
  <si>
    <t xml:space="preserve">+55 (11) 4193-8180 </t>
  </si>
  <si>
    <t>Aprovado (O.S.: 39564)</t>
  </si>
  <si>
    <t>Sinalização/IPLACAS - VINIL REFLETIVO - VEICULO LONGO</t>
  </si>
  <si>
    <t>Aprovado (O.S.: 39569)</t>
  </si>
  <si>
    <t xml:space="preserve">Rodrigo Giorno Mele </t>
  </si>
  <si>
    <t>Rodrigo Giorno</t>
  </si>
  <si>
    <t xml:space="preserve">+55 (11) 94979-8656 </t>
  </si>
  <si>
    <t>Aprovado (O.S.: 39576)</t>
  </si>
  <si>
    <t xml:space="preserve">CONDOMINIO DO EDIFICIO PROMENADE GEMINIANO GOIS </t>
  </si>
  <si>
    <t xml:space="preserve">+55 (21) 3042-5450 </t>
  </si>
  <si>
    <t>Aprovado (O.S.: 39570)</t>
  </si>
  <si>
    <t xml:space="preserve">DRANFI </t>
  </si>
  <si>
    <t>Financeiro (Dranfi)</t>
  </si>
  <si>
    <t xml:space="preserve">+55 (11) 98909-0212 </t>
  </si>
  <si>
    <t>Aprovado (O.S.: 39575)</t>
  </si>
  <si>
    <t xml:space="preserve">PEDRASIL COMERCIO E LOGISTICA INTEGRADA LTDA. </t>
  </si>
  <si>
    <t>Glaucia Jorge</t>
  </si>
  <si>
    <t xml:space="preserve">+55 (11) 3612-5353 </t>
  </si>
  <si>
    <t>Aprovado (O.S.: 39571)</t>
  </si>
  <si>
    <t xml:space="preserve">MASTER CIENTIFICA </t>
  </si>
  <si>
    <t>Pedro Pinheiro</t>
  </si>
  <si>
    <t xml:space="preserve">+55 (19) 2660-5530 </t>
  </si>
  <si>
    <t>Aprovado (O.S.: 39572)</t>
  </si>
  <si>
    <t xml:space="preserve">ULTRA COMPONENTES AUTOMOTIVO </t>
  </si>
  <si>
    <t>Valter Jose de Alcântara Junior</t>
  </si>
  <si>
    <t>Aprovado (O.S.: 39573)</t>
  </si>
  <si>
    <t xml:space="preserve">Valter Rossette </t>
  </si>
  <si>
    <t xml:space="preserve">+55 (11) 96198-2121 </t>
  </si>
  <si>
    <t>Aprovado (O.S.: 39577)</t>
  </si>
  <si>
    <t xml:space="preserve">ROCKTEC </t>
  </si>
  <si>
    <t>Arq. Jessica Belarmino</t>
  </si>
  <si>
    <t xml:space="preserve">+55 (11) 94469-4272 </t>
  </si>
  <si>
    <t>Aprovado (O.S.: 39626)</t>
  </si>
  <si>
    <t xml:space="preserve">Alessandra Alves Silva </t>
  </si>
  <si>
    <t xml:space="preserve">+55 (61) 9660-1890 </t>
  </si>
  <si>
    <t>Aprovado (O.S.: 39617)</t>
  </si>
  <si>
    <t xml:space="preserve">PARQUE PIAZZA SAN PIETRO </t>
  </si>
  <si>
    <t>Administração SAN PIETRO</t>
  </si>
  <si>
    <t xml:space="preserve">+55 (19) 97401-7203 </t>
  </si>
  <si>
    <t>Aprovado (O.S.: 39615)</t>
  </si>
  <si>
    <t xml:space="preserve">GAVEA ENGENHARIA E CONSTRUCOES </t>
  </si>
  <si>
    <t>Dayane Porto - Gávea</t>
  </si>
  <si>
    <t xml:space="preserve">+55 (13) 99615-9494 </t>
  </si>
  <si>
    <t>Obra</t>
  </si>
  <si>
    <t xml:space="preserve">ROCHACK ENGENHARIA </t>
  </si>
  <si>
    <t>Ana Carulina</t>
  </si>
  <si>
    <t xml:space="preserve">+55 (11) 98285-7223 </t>
  </si>
  <si>
    <t>Aprovado (O.S.: 39580)</t>
  </si>
  <si>
    <t xml:space="preserve">ROSOSUL EXPRESS LTDA </t>
  </si>
  <si>
    <t>Susana Larissa</t>
  </si>
  <si>
    <t xml:space="preserve">+55 (98) 8827-4612 </t>
  </si>
  <si>
    <t>Aprovado (O.S.: 39579)</t>
  </si>
  <si>
    <t>Aprovado (O.S.: 39622)</t>
  </si>
  <si>
    <t xml:space="preserve">CONCREFER INDUSTRIA E COMERCIO DE POSTES E ARTEFATOS DE CIMENTO LTDA </t>
  </si>
  <si>
    <t>RH Concrefer-Gabriela</t>
  </si>
  <si>
    <t xml:space="preserve">+55 (19) 99500-6044 </t>
  </si>
  <si>
    <t>Aprovado (O.S.: 39593)</t>
  </si>
  <si>
    <t xml:space="preserve">RESIDENCIAL PITAGORAS </t>
  </si>
  <si>
    <t>Caroline Morello</t>
  </si>
  <si>
    <t xml:space="preserve">+55 (44) 9960-0504 </t>
  </si>
  <si>
    <t>Aprovado (O.S.: 39589)</t>
  </si>
  <si>
    <t xml:space="preserve">Edson Roberto Leite </t>
  </si>
  <si>
    <t>Edson Roberto Leite</t>
  </si>
  <si>
    <t xml:space="preserve">+55 (19) 3512-3528 </t>
  </si>
  <si>
    <t xml:space="preserve">FRANCINY SANTOS </t>
  </si>
  <si>
    <t xml:space="preserve">+55 (15) 99809-0388 </t>
  </si>
  <si>
    <t>Aprovado (O.S.: 39592)</t>
  </si>
  <si>
    <t xml:space="preserve">Heloiza Biazotti Vieira </t>
  </si>
  <si>
    <t xml:space="preserve">+55 (16) 99717-2304 </t>
  </si>
  <si>
    <t>Aprovado (O.S.: 39594)</t>
  </si>
  <si>
    <t xml:space="preserve">RESIDENCIAL VILA REAL </t>
  </si>
  <si>
    <t>Fabio Santos</t>
  </si>
  <si>
    <t xml:space="preserve">+55 (19) 98186-7757 </t>
  </si>
  <si>
    <t>Aprovado (O.S.: 39637)</t>
  </si>
  <si>
    <t xml:space="preserve">TODAY MOEMA </t>
  </si>
  <si>
    <t xml:space="preserve">+55 (11) 5090-3400 </t>
  </si>
  <si>
    <t>Aprovado (O.S.: 39595)</t>
  </si>
  <si>
    <t>Aprovado (O.S.: 39596)</t>
  </si>
  <si>
    <t xml:space="preserve">Carla de Abreu Medeiros Bezerra </t>
  </si>
  <si>
    <t xml:space="preserve">+55 (55) 99652-0482 </t>
  </si>
  <si>
    <t>Aprovado (O.S.: 39598)</t>
  </si>
  <si>
    <t>Aprovado (O.S.: 39600)</t>
  </si>
  <si>
    <t>Aprovado (O.S.: 39601)</t>
  </si>
  <si>
    <t xml:space="preserve">SERVICE ACESSORIOS </t>
  </si>
  <si>
    <t xml:space="preserve">+55 (19) 9220-1500 </t>
  </si>
  <si>
    <t>Aprovado (O.S.: 39602)</t>
  </si>
  <si>
    <t xml:space="preserve">URB RECIFE </t>
  </si>
  <si>
    <t>Sandrely</t>
  </si>
  <si>
    <t xml:space="preserve">+55 (81) 8146-2655 </t>
  </si>
  <si>
    <t xml:space="preserve">Jeferson Degaspari </t>
  </si>
  <si>
    <t xml:space="preserve">+55 (34) 99950-5119 </t>
  </si>
  <si>
    <t>Aprovado (O.S.: 39604)</t>
  </si>
  <si>
    <t xml:space="preserve">Márcio William Souto Viana </t>
  </si>
  <si>
    <t xml:space="preserve">+55 (11) 98119-5775 </t>
  </si>
  <si>
    <t>Aprovado (O.S.: 39606)</t>
  </si>
  <si>
    <t xml:space="preserve">CG ADMINISTRACAO DE BENS LTDA </t>
  </si>
  <si>
    <t>Erik Manzaro - Crosslam</t>
  </si>
  <si>
    <t xml:space="preserve">+55 (11) 93361-3788 </t>
  </si>
  <si>
    <t xml:space="preserve">ACQUA PARK </t>
  </si>
  <si>
    <t>AcquaPark - ADM INTERNA</t>
  </si>
  <si>
    <t xml:space="preserve">+55 (11) 94541-7856 </t>
  </si>
  <si>
    <t>Aprovado (O.S.: 39633)</t>
  </si>
  <si>
    <t xml:space="preserve">COMPONENT INDUSTRIA E COMERCIO LTDA </t>
  </si>
  <si>
    <t>Component Segurança do Trabalho</t>
  </si>
  <si>
    <t xml:space="preserve">+55 (11) 4061-8418 </t>
  </si>
  <si>
    <t>Aprovado (O.S.: 39821)</t>
  </si>
  <si>
    <t xml:space="preserve">VIMASTER INDUSTRIA E COMERCIO DE COMPONENTES DE VIDRO LTDA. </t>
  </si>
  <si>
    <t>Vimaster Administração</t>
  </si>
  <si>
    <t xml:space="preserve">+55 (83) 9118-5611 </t>
  </si>
  <si>
    <t>Aprovado (O.S.: 39665)</t>
  </si>
  <si>
    <t>Aprovado (O.S.: 39625)</t>
  </si>
  <si>
    <t xml:space="preserve">COVESI PARTICIPACOES E NEGOCIOS EMPRESARIAIS LTDA </t>
  </si>
  <si>
    <t>Helen, Jussara e Naila</t>
  </si>
  <si>
    <t xml:space="preserve">+55 (11) 99991-2454 </t>
  </si>
  <si>
    <t>Aprovado (O.S.: 39631)</t>
  </si>
  <si>
    <t xml:space="preserve">IGREJA VIVA </t>
  </si>
  <si>
    <t>Ary Medeiros</t>
  </si>
  <si>
    <t xml:space="preserve">+55 (19) 99975-3020 </t>
  </si>
  <si>
    <t xml:space="preserve">CONDOMINIO EDIFICIO THE WALDORF </t>
  </si>
  <si>
    <t xml:space="preserve">+55 (11) 94513-2972 </t>
  </si>
  <si>
    <t>Aprovado (O.S.: 39636)</t>
  </si>
  <si>
    <t>Aprovado (O.S.: 39675)</t>
  </si>
  <si>
    <t xml:space="preserve">RM SOLUCOES </t>
  </si>
  <si>
    <t>RM Soluções</t>
  </si>
  <si>
    <t xml:space="preserve">+55 (22) 99977-2036 </t>
  </si>
  <si>
    <t>PS 2mm - MAÇANETA</t>
  </si>
  <si>
    <t>GABARITO -NUMEROS</t>
  </si>
  <si>
    <t>Aprovado (O.S.: 39649)</t>
  </si>
  <si>
    <t xml:space="preserve">PWS EMBALAGENS E MALETAS LTDA </t>
  </si>
  <si>
    <t>Will Cases</t>
  </si>
  <si>
    <t xml:space="preserve">+55 (16) 9159-3823 </t>
  </si>
  <si>
    <t>Aprovado (O.S.: 39635)</t>
  </si>
  <si>
    <t xml:space="preserve">Lifetrek Medical Devices Ltda </t>
  </si>
  <si>
    <t>Rafael Bianchini</t>
  </si>
  <si>
    <t xml:space="preserve">+55 (19) 99600-8111 </t>
  </si>
  <si>
    <t>Aprovado (O.S.: 39639)</t>
  </si>
  <si>
    <t xml:space="preserve">EMDEC S/A </t>
  </si>
  <si>
    <t>Larissa Aparecida Pereira de Oliveira</t>
  </si>
  <si>
    <t xml:space="preserve">+55 (19) 99839-5625 </t>
  </si>
  <si>
    <t>Aprovado (O.S.: 39816)</t>
  </si>
  <si>
    <t xml:space="preserve">UMILK INDUSTRIA E COMERCIO DE LATICINIOS S/A </t>
  </si>
  <si>
    <t>Myllane Lima</t>
  </si>
  <si>
    <t xml:space="preserve">+55 (16) 99399-3970 </t>
  </si>
  <si>
    <t>ACM - CIPA</t>
  </si>
  <si>
    <t xml:space="preserve">BOMBARDA &amp; BOMBARDA COMERCIO LTDA </t>
  </si>
  <si>
    <t>Adalberto</t>
  </si>
  <si>
    <t xml:space="preserve">+55 (18) 99782-8483 </t>
  </si>
  <si>
    <t>POSTES + ABRAÇADEIRAS TIPO D</t>
  </si>
  <si>
    <t xml:space="preserve">CONDOMINIO BENEVENTO II </t>
  </si>
  <si>
    <t>Eliseu Oliveira</t>
  </si>
  <si>
    <t xml:space="preserve">+55 (11) 98644-9872 </t>
  </si>
  <si>
    <t>Aprovado (O.S.: 39837)</t>
  </si>
  <si>
    <t xml:space="preserve">FORMAGGIO DISTRIBUICAO DE ALIMENTOS LTDA </t>
  </si>
  <si>
    <t xml:space="preserve">+55 (81) 8598-3359 </t>
  </si>
  <si>
    <t>Aprovado (O.S.: 39652)</t>
  </si>
  <si>
    <t>MANTA MAGNETICA</t>
  </si>
  <si>
    <t>2 dias</t>
  </si>
  <si>
    <t>Aprovado (O.S.: 39645)</t>
  </si>
  <si>
    <t>Aprovado (O.S.: 39672)</t>
  </si>
  <si>
    <t xml:space="preserve">EDIFICIO ROYAL GARDEN I </t>
  </si>
  <si>
    <t>Aprovado (O.S.: 39648)</t>
  </si>
  <si>
    <t xml:space="preserve">Euma Santana Maia </t>
  </si>
  <si>
    <t xml:space="preserve">+55 (63) 98444-0312 </t>
  </si>
  <si>
    <t>Aprovado (O.S.: 39650)</t>
  </si>
  <si>
    <t xml:space="preserve">Camila Castiñeiras </t>
  </si>
  <si>
    <t xml:space="preserve">+55 (11) 99634-5928 </t>
  </si>
  <si>
    <t>Aprovado (O.S.: 39651)</t>
  </si>
  <si>
    <t xml:space="preserve">SERAFIM SOLUCOES </t>
  </si>
  <si>
    <t>Serafim Soluções</t>
  </si>
  <si>
    <t xml:space="preserve">+55 (11) 4817-7121 </t>
  </si>
  <si>
    <t>Aprovado (O.S.: 39770)</t>
  </si>
  <si>
    <t xml:space="preserve">R.V. IMOLA TRANSPORTES E LOGISTICA LTDA </t>
  </si>
  <si>
    <t>EndoMarketing</t>
  </si>
  <si>
    <t xml:space="preserve">+55 (11) 99913-9267 </t>
  </si>
  <si>
    <t xml:space="preserve">SCANDALLO RESTAURANTE LTDA </t>
  </si>
  <si>
    <t>Envio nfe e boleto</t>
  </si>
  <si>
    <t xml:space="preserve">+55 (11) 5335-0456 </t>
  </si>
  <si>
    <t>Aprovado (O.S.: 39667)</t>
  </si>
  <si>
    <t>Wagner</t>
  </si>
  <si>
    <t>Jaderson Teles</t>
  </si>
  <si>
    <t>Aprovado (O.S.: 39673)</t>
  </si>
  <si>
    <t xml:space="preserve">ONE ALIMENTOS DO BRASIL LTDA </t>
  </si>
  <si>
    <t>Thiago</t>
  </si>
  <si>
    <t xml:space="preserve">+55 (19) 99609-5306 </t>
  </si>
  <si>
    <t>Aprovado (O.S.: 39839)</t>
  </si>
  <si>
    <t xml:space="preserve">ITAGI AGRO </t>
  </si>
  <si>
    <t>Lalleska Ferreira</t>
  </si>
  <si>
    <t xml:space="preserve">+55 (62) 9211-1751 </t>
  </si>
  <si>
    <t>Painel Hipnótico</t>
  </si>
  <si>
    <t xml:space="preserve">CONDOMINIO CIVIL VOLUNTARIO DO OUTLET PREMIUM SAO PAULO </t>
  </si>
  <si>
    <t>Alex Bezerra</t>
  </si>
  <si>
    <t xml:space="preserve">+55 (11) 3159-5100 </t>
  </si>
  <si>
    <t xml:space="preserve">D'LOHN EMPREENDIMENTOS </t>
  </si>
  <si>
    <t>Maindra Suprimentos Dlohn</t>
  </si>
  <si>
    <t xml:space="preserve">+55 (48) 9943-1292 </t>
  </si>
  <si>
    <t xml:space="preserve">HOSPITAL PACINI </t>
  </si>
  <si>
    <t>Jhonatan de Oliveira</t>
  </si>
  <si>
    <t xml:space="preserve">+55 (61) 3214-4777 </t>
  </si>
  <si>
    <t>Aprovado (O.S.: 39678)</t>
  </si>
  <si>
    <t xml:space="preserve">CONDOMINIO DO EDIFICIO LEBLON BUSINESS CENTER </t>
  </si>
  <si>
    <t>Alvaro Lima - Síndico</t>
  </si>
  <si>
    <t xml:space="preserve">+55 (21) 98552-1969 </t>
  </si>
  <si>
    <t>Aprovado (O.S.: 39679)</t>
  </si>
  <si>
    <t xml:space="preserve">KARINA REIS FAVORETO </t>
  </si>
  <si>
    <t xml:space="preserve">+55 (43) 99139-1717 </t>
  </si>
  <si>
    <t>Aprovado (O.S.: 39681)</t>
  </si>
  <si>
    <t xml:space="preserve">Strauss Penedo </t>
  </si>
  <si>
    <t xml:space="preserve">+55 (41) 98809-4246 </t>
  </si>
  <si>
    <t>Aprovado (O.S.: 39683)</t>
  </si>
  <si>
    <t xml:space="preserve">Manuella Bighetti Sampieri </t>
  </si>
  <si>
    <t xml:space="preserve">+55 (14) 98808-3699 </t>
  </si>
  <si>
    <t>Aprovado (O.S.: 39684)</t>
  </si>
  <si>
    <t>Aprovado (O.S.: 39685)</t>
  </si>
  <si>
    <t xml:space="preserve">INDUSTRIA MARILIA DE AUTO PECAS S/A </t>
  </si>
  <si>
    <t>NATALIA GOMES</t>
  </si>
  <si>
    <t>Aprovado (O.S.: 39686)</t>
  </si>
  <si>
    <t xml:space="preserve">CONDOMINIO TORRE DEL GRECO </t>
  </si>
  <si>
    <t xml:space="preserve">+55 (55) 9658-3131 </t>
  </si>
  <si>
    <t xml:space="preserve">Nozomu Tamura </t>
  </si>
  <si>
    <t xml:space="preserve">+55 (11) 98207-8301 </t>
  </si>
  <si>
    <t>Aprovado (O.S.: 39705)</t>
  </si>
  <si>
    <t xml:space="preserve">VILA PARAISO RESTAURANTE LTDA </t>
  </si>
  <si>
    <t xml:space="preserve">+55 (19) 98100-6006 </t>
  </si>
  <si>
    <t>Aprovado (O.S.: 39756)</t>
  </si>
  <si>
    <t xml:space="preserve">João Vitor dos Santos </t>
  </si>
  <si>
    <t xml:space="preserve">+55 (12) 9910-7926 </t>
  </si>
  <si>
    <t>Aprovado (O.S.: 39706)</t>
  </si>
  <si>
    <t xml:space="preserve">Paulo Cesar Ferreira </t>
  </si>
  <si>
    <t xml:space="preserve">+55 (11) 9966-6940 </t>
  </si>
  <si>
    <t>Aprovado (O.S.: 39707)</t>
  </si>
  <si>
    <t xml:space="preserve">CRESTAN &amp; CIA LTDA </t>
  </si>
  <si>
    <t>Ludmila Ramão</t>
  </si>
  <si>
    <t xml:space="preserve">+55 (44) 9835-4773 </t>
  </si>
  <si>
    <t xml:space="preserve">Everaldo Arguelho Flores </t>
  </si>
  <si>
    <t xml:space="preserve">+55 (67) 9999-7817 </t>
  </si>
  <si>
    <t>Aprovado (O.S.: 39708)</t>
  </si>
  <si>
    <t xml:space="preserve">CONDOMINIO EDIFICIO MANSAO TINTORETTO </t>
  </si>
  <si>
    <t xml:space="preserve">+55 (11) 2182-8282 </t>
  </si>
  <si>
    <t>Aprovado (O.S.: 39709)</t>
  </si>
  <si>
    <t xml:space="preserve">BLU ELECTRIC S.A. </t>
  </si>
  <si>
    <t>envio de nota e boleto</t>
  </si>
  <si>
    <t xml:space="preserve">+55 (11) 2364-6892 </t>
  </si>
  <si>
    <t>Aprovado (O.S.: 39710)</t>
  </si>
  <si>
    <t xml:space="preserve">HOLDING DO SISTEMA RODOVIARIO RIO - SAO PAULO S.A. </t>
  </si>
  <si>
    <t xml:space="preserve">+55 (15) 99823-4614 </t>
  </si>
  <si>
    <t xml:space="preserve">Caetano Del Pozzo </t>
  </si>
  <si>
    <t xml:space="preserve">+55 (11) 9995-6259 </t>
  </si>
  <si>
    <t>Aprovado (O.S.: 39711)</t>
  </si>
  <si>
    <t xml:space="preserve">EDIFICIO ANSARAH </t>
  </si>
  <si>
    <t>Edificio Ansarah</t>
  </si>
  <si>
    <t xml:space="preserve">+55 (11) 4220-8810 </t>
  </si>
  <si>
    <t>Aprovado (O.S.: 39712)</t>
  </si>
  <si>
    <t xml:space="preserve">João Victor Nardo Marques </t>
  </si>
  <si>
    <t xml:space="preserve">+55 (11) 9759-3162 </t>
  </si>
  <si>
    <t>Aprovado (O.S.: 39713)</t>
  </si>
  <si>
    <t xml:space="preserve">CONDOMINIO EDIFICIO ANTURIUS </t>
  </si>
  <si>
    <t>Condominio Edificio Anturius</t>
  </si>
  <si>
    <t xml:space="preserve">+55 (11) 98737-4381 </t>
  </si>
  <si>
    <t>Aprovado (O.S.: 39714)</t>
  </si>
  <si>
    <t xml:space="preserve">Mariane Luci Barbosa Silva </t>
  </si>
  <si>
    <t xml:space="preserve">+55 (11) 99247-6779 </t>
  </si>
  <si>
    <t>Aprovado (O.S.: 39723)</t>
  </si>
  <si>
    <t xml:space="preserve">RUBENS MARQUES DE PAIVA JUNIOR </t>
  </si>
  <si>
    <t xml:space="preserve">+55 (19) 99201-0274 </t>
  </si>
  <si>
    <t>Aprovado (O.S.: 39716)</t>
  </si>
  <si>
    <t>Aprovado (O.S.: 39724)</t>
  </si>
  <si>
    <t>Aprovado (O.S.: 39720)</t>
  </si>
  <si>
    <t xml:space="preserve">CONDOMINIO RESIDENCIAL HAROLDO PEDERNEIRAS </t>
  </si>
  <si>
    <t>Aprovado (O.S.: 39738)</t>
  </si>
  <si>
    <t xml:space="preserve">Marcelo Souza </t>
  </si>
  <si>
    <t xml:space="preserve">+55 (48) 3045-6152 </t>
  </si>
  <si>
    <t>Aprovado (O.S.: 39725)</t>
  </si>
  <si>
    <t xml:space="preserve">HD TOOLS </t>
  </si>
  <si>
    <t>Carolina</t>
  </si>
  <si>
    <t xml:space="preserve">+55 (11) 2639-8126 </t>
  </si>
  <si>
    <t>Aprovado (O.S.: 39726)</t>
  </si>
  <si>
    <t xml:space="preserve">CONDOMINIO DO EDIFICIO PARQUE GAIVOTAS </t>
  </si>
  <si>
    <t>Isamara Campos</t>
  </si>
  <si>
    <t xml:space="preserve">+55 (21) 98272-5739 </t>
  </si>
  <si>
    <t>Aprovado (O.S.: 39763)</t>
  </si>
  <si>
    <t xml:space="preserve">KMOVE TRANSPORTES </t>
  </si>
  <si>
    <t xml:space="preserve">+55 (83) 9387-2477 </t>
  </si>
  <si>
    <t>Aprovado (O.S.: 39745)</t>
  </si>
  <si>
    <t xml:space="preserve">VALUL SERVICE </t>
  </si>
  <si>
    <t xml:space="preserve">+55 (15) 98116-2160 </t>
  </si>
  <si>
    <t>Aprovado (O.S.: 39751)</t>
  </si>
  <si>
    <t xml:space="preserve">José Freitas de Almeida </t>
  </si>
  <si>
    <t xml:space="preserve">+55 (11) 97334-8753 </t>
  </si>
  <si>
    <t>Aprovado (O.S.: 39728)</t>
  </si>
  <si>
    <t xml:space="preserve">Denyse de Sousa Silva Araújo </t>
  </si>
  <si>
    <t xml:space="preserve">+55 (98) 9889-8578 </t>
  </si>
  <si>
    <t>Aprovado (O.S.: 39730)</t>
  </si>
  <si>
    <t xml:space="preserve">LATINA SEMENTES LTDA </t>
  </si>
  <si>
    <t>Isabella Sawa</t>
  </si>
  <si>
    <t xml:space="preserve">+55 (45) 3031-4267 </t>
  </si>
  <si>
    <t xml:space="preserve">César Augusto Cyriaco </t>
  </si>
  <si>
    <t xml:space="preserve">+55 (11) 98689-4310 </t>
  </si>
  <si>
    <t>Aprovado (O.S.: 39968)</t>
  </si>
  <si>
    <t>Aprovado (O.S.: 39734)</t>
  </si>
  <si>
    <t xml:space="preserve">Lucimara Aparecida Oliveira </t>
  </si>
  <si>
    <t xml:space="preserve">+55 (19) 99418-5218 </t>
  </si>
  <si>
    <t>Aprovado (O.S.: 39733)</t>
  </si>
  <si>
    <t xml:space="preserve">AUTOGERACAO SOLAR COMPARTILHADA SUDESTE S.A </t>
  </si>
  <si>
    <t>Gabriel Borges</t>
  </si>
  <si>
    <t>Aprovado (O.S.: 39906)</t>
  </si>
  <si>
    <t xml:space="preserve">+55 (21) 4063-5085 </t>
  </si>
  <si>
    <t>Aprovado (O.S.: 39905)</t>
  </si>
  <si>
    <t xml:space="preserve">CONDOMINIO ENGENHEIRO ARMANDO DE ARRUDA PEREIRA II </t>
  </si>
  <si>
    <t>Jorge Evandro Demarchi</t>
  </si>
  <si>
    <t xml:space="preserve">+55 (11) 99227-5701 </t>
  </si>
  <si>
    <t>Aprovado (O.S.: 39819)</t>
  </si>
  <si>
    <t xml:space="preserve">COL. 44 - OCEAN SIDE - CONT. DE CUSTOS </t>
  </si>
  <si>
    <t>Celma Alfa de Almeida</t>
  </si>
  <si>
    <t xml:space="preserve">+55 (31) 3526-1234 </t>
  </si>
  <si>
    <t xml:space="preserve">BAVIERA COMERCIO E TRANSPORTE LTDA </t>
  </si>
  <si>
    <t xml:space="preserve">+55 799 148 836 </t>
  </si>
  <si>
    <t>Aprovado (O.S.: 39814)</t>
  </si>
  <si>
    <t>Aprovado (O.S.: 39823)</t>
  </si>
  <si>
    <t xml:space="preserve">SES - SOLUCOES ESTRATEGICAS EM SAUDE </t>
  </si>
  <si>
    <t>Michelle Carvalho</t>
  </si>
  <si>
    <t xml:space="preserve">+55 (11) 5242-9273 </t>
  </si>
  <si>
    <t>Aprovado (O.S.: 39746)</t>
  </si>
  <si>
    <t>Aprovado (O.S.: 39813)</t>
  </si>
  <si>
    <t xml:space="preserve">Celso Mendes Amaro </t>
  </si>
  <si>
    <t xml:space="preserve">+55 (19) 97406-6311 </t>
  </si>
  <si>
    <t>Aprovado (O.S.: 39737)</t>
  </si>
  <si>
    <t xml:space="preserve">CONDOMINIO DO EDIFICIO VOLPI </t>
  </si>
  <si>
    <t>Simone Simplicio</t>
  </si>
  <si>
    <t xml:space="preserve">+55 (21) 98871-5840 </t>
  </si>
  <si>
    <t>Aprovado (O.S.: 39752)</t>
  </si>
  <si>
    <t xml:space="preserve">CONDOMINIO EDIFICIO BEVERLY HILLS </t>
  </si>
  <si>
    <t xml:space="preserve">CONDOMINIO LIBERTY VILA PRUDENTE </t>
  </si>
  <si>
    <t xml:space="preserve">(11)3171-2299/(11)3284-760 </t>
  </si>
  <si>
    <t xml:space="preserve">PORTSOL ESTRUTURAS METALICAS E INSTALACOES LTDA </t>
  </si>
  <si>
    <t xml:space="preserve">+55 (19) 97416-9788 </t>
  </si>
  <si>
    <t>Aprovado (O.S.: 39789)</t>
  </si>
  <si>
    <t xml:space="preserve">William Artur gabryel pussi </t>
  </si>
  <si>
    <t xml:space="preserve">+55 (44) 99125-5975 </t>
  </si>
  <si>
    <t>Aprovado (O.S.: 39743)</t>
  </si>
  <si>
    <t xml:space="preserve">TAKASAGO FRAGRANCIAS E AROMAS LTDA </t>
  </si>
  <si>
    <t>Sara</t>
  </si>
  <si>
    <t xml:space="preserve">+55 (19) 98927-9647 </t>
  </si>
  <si>
    <t xml:space="preserve">CONDOMINIO EDIFICIO SOLAR DA BAIA NORTE </t>
  </si>
  <si>
    <t>Giovanni Santoro</t>
  </si>
  <si>
    <t xml:space="preserve">+55 (48) 9911-9516 </t>
  </si>
  <si>
    <t>Aprovado (O.S.: 39754)</t>
  </si>
  <si>
    <t>Aprovado (O.S.: 39744)</t>
  </si>
  <si>
    <t>Aprovado (O.S.: 39757)</t>
  </si>
  <si>
    <t xml:space="preserve">GARDEN CLUB CONDOMINIO </t>
  </si>
  <si>
    <t>Luciano</t>
  </si>
  <si>
    <t xml:space="preserve">+55 (19) 3307-8666 </t>
  </si>
  <si>
    <t>Aprovado (O.S.: 39749)</t>
  </si>
  <si>
    <t>Aprovado (O.S.: 39755)</t>
  </si>
  <si>
    <t xml:space="preserve">RZR DISTRIBUIDORA DE EPI LTDA </t>
  </si>
  <si>
    <t>Ligia</t>
  </si>
  <si>
    <t xml:space="preserve">+55 (19) 99902-9880 </t>
  </si>
  <si>
    <t>Aprovado (O.S.: 40257)</t>
  </si>
  <si>
    <t xml:space="preserve">Giovanna Cândido da Silveira </t>
  </si>
  <si>
    <t xml:space="preserve">+55 (81) 8887-9712 </t>
  </si>
  <si>
    <t>Aprovado (O.S.: 39753)</t>
  </si>
  <si>
    <t xml:space="preserve">46 INDUSTRIA GRAFICA LTDA </t>
  </si>
  <si>
    <t xml:space="preserve">+55 (11) 97617-8747 </t>
  </si>
  <si>
    <t>Aprovado (O.S.: 39923)</t>
  </si>
  <si>
    <t>Aprovado (O.S.: 39891)</t>
  </si>
  <si>
    <t xml:space="preserve">MARCELO GALVAO </t>
  </si>
  <si>
    <t xml:space="preserve">+55 (12) 9811-8208 </t>
  </si>
  <si>
    <t>Aprovado (O.S.: 39759)</t>
  </si>
  <si>
    <t>Aprovado (O.S.: 39764)</t>
  </si>
  <si>
    <t xml:space="preserve">Graziela Foregato Cavalcante Luciano </t>
  </si>
  <si>
    <t xml:space="preserve">+55 (19) 9998-7149 </t>
  </si>
  <si>
    <t>Aprovado (O.S.: 39761)</t>
  </si>
  <si>
    <t xml:space="preserve">WOODMAXX MADEIRAS </t>
  </si>
  <si>
    <t xml:space="preserve">+55 (15) 99888-8209 </t>
  </si>
  <si>
    <t>Paulo Matos</t>
  </si>
  <si>
    <t>Aprovado (O.S.: 39762)</t>
  </si>
  <si>
    <t xml:space="preserve">CONDOMINIO VIVA SMART FREGUESIA DO O </t>
  </si>
  <si>
    <t>Willian Silveira</t>
  </si>
  <si>
    <t xml:space="preserve">+55 (11) 93901-5764 </t>
  </si>
  <si>
    <t xml:space="preserve">CONDOMINIO EDIFICIO SMART CLUB RESIDENCE </t>
  </si>
  <si>
    <t>SMART CLUB RESIDENCE SAMAMBAIA</t>
  </si>
  <si>
    <t xml:space="preserve">+55 (61) 3026-0709 </t>
  </si>
  <si>
    <t>Aprovado (O.S.: 39765)</t>
  </si>
  <si>
    <t xml:space="preserve">ALPHA CLICHERIA E SOLUCOES GRAFICAS LTDA </t>
  </si>
  <si>
    <t>Suprimentos - Alpha Clicheria</t>
  </si>
  <si>
    <t xml:space="preserve">+55 (19) 3869-5943 </t>
  </si>
  <si>
    <t>Aprovado (O.S.: 39916)</t>
  </si>
  <si>
    <t xml:space="preserve">M M ASSESSORIA A EVENTOS CONGRESSOS E PROMOCOES LTDA </t>
  </si>
  <si>
    <t>Grupo MM</t>
  </si>
  <si>
    <t xml:space="preserve">+55 (11) 2175-2450 </t>
  </si>
  <si>
    <t>Aprovado (O.S.: 39766)</t>
  </si>
  <si>
    <t xml:space="preserve">Maria Cristina Costa Ferreira </t>
  </si>
  <si>
    <t xml:space="preserve">+55 (31) 9995-9204 </t>
  </si>
  <si>
    <t>Aprovado (O.S.: 39768)</t>
  </si>
  <si>
    <t xml:space="preserve">REAL ALIMENTOS LTDA . </t>
  </si>
  <si>
    <t>Juliano Silva</t>
  </si>
  <si>
    <t xml:space="preserve">+55 (16) 3630-1866 </t>
  </si>
  <si>
    <t>Aprovado (O.S.: 39769)</t>
  </si>
  <si>
    <t xml:space="preserve">CONDOMINIO EDIFICIO REQUENA </t>
  </si>
  <si>
    <t>Edifício Requena</t>
  </si>
  <si>
    <t xml:space="preserve">+55 (19) 9992-9052 </t>
  </si>
  <si>
    <t>Aprovado (O.S.: 39771)</t>
  </si>
  <si>
    <t xml:space="preserve">Renato Trevisani </t>
  </si>
  <si>
    <t xml:space="preserve">+55 (15) 9971-8125 </t>
  </si>
  <si>
    <t>Aprovado (O.S.: 39772)</t>
  </si>
  <si>
    <t xml:space="preserve">CAMPSONDAS COM, PERFURACOES E MAN EM P ART LTDA </t>
  </si>
  <si>
    <t>Campsondas - Manutenção</t>
  </si>
  <si>
    <t xml:space="preserve">+55 (19) 99235-6354 </t>
  </si>
  <si>
    <t>Aprovado (O.S.: 39790)</t>
  </si>
  <si>
    <t xml:space="preserve">Rodrigo Diogo Rebouças de Holanda </t>
  </si>
  <si>
    <t xml:space="preserve">+55 (11) 94793-2963 </t>
  </si>
  <si>
    <t>Aprovado (O.S.: 39773)</t>
  </si>
  <si>
    <t xml:space="preserve">RGA BOMBAS LTDA </t>
  </si>
  <si>
    <t>Giovanni Regiani</t>
  </si>
  <si>
    <t xml:space="preserve">+55 (27) 3318-1000 </t>
  </si>
  <si>
    <t>Aprovado (O.S.: 39774)</t>
  </si>
  <si>
    <t xml:space="preserve">André Arruda </t>
  </si>
  <si>
    <t xml:space="preserve">+55 (19) 99141-6646 </t>
  </si>
  <si>
    <t>Aprovado (O.S.: 39864)</t>
  </si>
  <si>
    <t xml:space="preserve">MSE ENGENHARIA LTDA </t>
  </si>
  <si>
    <t>Brenno Abra</t>
  </si>
  <si>
    <t xml:space="preserve">+55 (43) 99862-1111 </t>
  </si>
  <si>
    <t>Aprovado (O.S.: 39777)</t>
  </si>
  <si>
    <t>Aprovado (O.S.: 39780)</t>
  </si>
  <si>
    <t>Aprovado (O.S.: 39782)</t>
  </si>
  <si>
    <t xml:space="preserve">Iuri de Oliveira Barouche </t>
  </si>
  <si>
    <t xml:space="preserve">+55 (11) 9772-9792 </t>
  </si>
  <si>
    <t>Aprovado (O.S.: 39781)</t>
  </si>
  <si>
    <t>DEFLETOR PARA AR CONDICIONADO -</t>
  </si>
  <si>
    <t>Aprovado (O.S.: 39964)</t>
  </si>
  <si>
    <t xml:space="preserve">Paulo Gustavo Zanese </t>
  </si>
  <si>
    <t xml:space="preserve">+55 (41) 9968-2177 </t>
  </si>
  <si>
    <t>Aprovado (O.S.: 39786)</t>
  </si>
  <si>
    <t xml:space="preserve">TELECAM INDUSTRIA E COMERCIO DE FIOS E CABOS LTDA </t>
  </si>
  <si>
    <t>Telecam Fios e Cabos LTDA</t>
  </si>
  <si>
    <t xml:space="preserve">+55 (19) 3325-9211 </t>
  </si>
  <si>
    <t>Aprovado (O.S.: 39787)</t>
  </si>
  <si>
    <t xml:space="preserve">INOVA TREINAMENTOS </t>
  </si>
  <si>
    <t xml:space="preserve">+55 (51) 9762-3176 </t>
  </si>
  <si>
    <t xml:space="preserve">SCAN BRASIL </t>
  </si>
  <si>
    <t xml:space="preserve">+55 (11) 99974-7796 </t>
  </si>
  <si>
    <t xml:space="preserve">CONDOMINIO EDIFICIO RESIDENCIAL VILLAGE LOUSIANA </t>
  </si>
  <si>
    <t>Viviane Akemi Suzuki</t>
  </si>
  <si>
    <t xml:space="preserve">+55 (19) 99744-0430 </t>
  </si>
  <si>
    <t>Aprovado (O.S.: 39793)</t>
  </si>
  <si>
    <t xml:space="preserve">IBVET INSTITUTO BRASILEIRO DE VETERINARIA </t>
  </si>
  <si>
    <t xml:space="preserve">+55 (19) 99522-1040 </t>
  </si>
  <si>
    <t>Aprovado (O.S.: 39805)</t>
  </si>
  <si>
    <t xml:space="preserve">CONDOMINIO EDIFICIO NOSSA SENHORA APARECIDA </t>
  </si>
  <si>
    <t>Hugo Gaudio</t>
  </si>
  <si>
    <t xml:space="preserve">+55 (11) 98920-4144 </t>
  </si>
  <si>
    <t>Aprovado (O.S.: 39878)</t>
  </si>
  <si>
    <t>Aprovado (O.S.: 39809)</t>
  </si>
  <si>
    <t>Aprovado (O.S.: 39796)</t>
  </si>
  <si>
    <t xml:space="preserve">ENDEAL </t>
  </si>
  <si>
    <t xml:space="preserve">+55 (41) 9987-6737 </t>
  </si>
  <si>
    <t>Aprovado (O.S.: 39935)</t>
  </si>
  <si>
    <t>Aprovado (O.S.: 39806)</t>
  </si>
  <si>
    <t xml:space="preserve">CONDOMINIO COMERCIAL DO BCS </t>
  </si>
  <si>
    <t>Juliane</t>
  </si>
  <si>
    <t xml:space="preserve">+55 (47) 8815-3203 </t>
  </si>
  <si>
    <t>Aprovado (O.S.: 40006)</t>
  </si>
  <si>
    <t xml:space="preserve">REGIONAL BELO HORIZONTE-MG </t>
  </si>
  <si>
    <t>Lara</t>
  </si>
  <si>
    <t xml:space="preserve">+55 (31) 9180-7495 </t>
  </si>
  <si>
    <t>Aprovado (O.S.: 39801)</t>
  </si>
  <si>
    <t xml:space="preserve">CONDOMINIO ARTIS JARDIM PRUDENCIA </t>
  </si>
  <si>
    <t>COND ARTIS JARDIM PRUDENCIA</t>
  </si>
  <si>
    <t>Aprovado (O.S.: 39791)</t>
  </si>
  <si>
    <t xml:space="preserve">SBA GIRASSOL </t>
  </si>
  <si>
    <t>SOCIEDADE ENEFIENTE ALEMA</t>
  </si>
  <si>
    <t xml:space="preserve">+55 (11) 9862-2999 </t>
  </si>
  <si>
    <t>Aprovado (O.S.: 39792)</t>
  </si>
  <si>
    <t xml:space="preserve">CONDOMINIO VN FREI CANECA </t>
  </si>
  <si>
    <t>Janaina - Gerente Predial</t>
  </si>
  <si>
    <t xml:space="preserve">+55 (11) 91595-8986 </t>
  </si>
  <si>
    <t>Aprovado (O.S.: 39803)</t>
  </si>
  <si>
    <t xml:space="preserve">Vitor Fernandes Pinheiro Silva </t>
  </si>
  <si>
    <t xml:space="preserve">+55 (11) 9669-3254 </t>
  </si>
  <si>
    <t>Aprovado (O.S.: 39795)</t>
  </si>
  <si>
    <t xml:space="preserve">EMBRIOLOGICA </t>
  </si>
  <si>
    <t>EMBRIOLOGICA ASSESSORIA EM REPRODUCAO ASSISTIDA</t>
  </si>
  <si>
    <t xml:space="preserve">+55 (11) 9915-5575 </t>
  </si>
  <si>
    <t>Aprovado (O.S.: 39797)</t>
  </si>
  <si>
    <t xml:space="preserve">MARCIO ALEXANDRE DECRESCENZO GROTA </t>
  </si>
  <si>
    <t xml:space="preserve">+55 (19) 98164-2753 </t>
  </si>
  <si>
    <t>Aprovado (O.S.: 39798)</t>
  </si>
  <si>
    <t xml:space="preserve">IMEDIATO </t>
  </si>
  <si>
    <t>Gráfica Imediatos</t>
  </si>
  <si>
    <t xml:space="preserve">+55 (28) 3542-2923 </t>
  </si>
  <si>
    <t>Aprovado (O.S.: 39799)</t>
  </si>
  <si>
    <t xml:space="preserve">ALMOFARIZ </t>
  </si>
  <si>
    <t>Rosana Oliveira</t>
  </si>
  <si>
    <t>Aprovado (O.S.: 39800)</t>
  </si>
  <si>
    <t xml:space="preserve">WKR PRIME REPRESENTACAO COMERCIAL LTDA </t>
  </si>
  <si>
    <t>Juliana Martins</t>
  </si>
  <si>
    <t xml:space="preserve">+55 (11) 93735-5652 </t>
  </si>
  <si>
    <t>Aprovado (O.S.: 40155)</t>
  </si>
  <si>
    <t>Aprovado (O.S.: 39802)</t>
  </si>
  <si>
    <t>Aprovado (O.S.: 39812)</t>
  </si>
  <si>
    <t xml:space="preserve">CONDOMINIO PLATINA 220 </t>
  </si>
  <si>
    <t>Ana Caroline De Alencar Beltrão</t>
  </si>
  <si>
    <t xml:space="preserve">+55 (11) 91151-6068 </t>
  </si>
  <si>
    <t xml:space="preserve">PIAYA SOLUCOES HOSPITALARES </t>
  </si>
  <si>
    <t xml:space="preserve">+55 (15) 99108-2572 </t>
  </si>
  <si>
    <t xml:space="preserve">CAMINHO DA HORTA </t>
  </si>
  <si>
    <t xml:space="preserve">+55 (17) 99679-1319 </t>
  </si>
  <si>
    <t>Aprovado (O.S.: 39857)</t>
  </si>
  <si>
    <t xml:space="preserve">TECHNOSERVICE BRASIL MONTAGENS LTDA </t>
  </si>
  <si>
    <t xml:space="preserve">+55 (19) 8156-0339 </t>
  </si>
  <si>
    <t>Aprovado (O.S.: 40100)</t>
  </si>
  <si>
    <t xml:space="preserve">NEW POWER PRODUTOS ELETRICOS LTDA. </t>
  </si>
  <si>
    <t>Envio nfe</t>
  </si>
  <si>
    <t xml:space="preserve">+55 (11) 4804-6800 </t>
  </si>
  <si>
    <t xml:space="preserve">CHRIS CINTOS DE SEGURANCA LTDA </t>
  </si>
  <si>
    <t>Dayane Dias</t>
  </si>
  <si>
    <t xml:space="preserve">+55 (11) 95986-6102 </t>
  </si>
  <si>
    <t xml:space="preserve">VBL INDUSTRIA DE PRODUTOS PLASTICOS LTDA </t>
  </si>
  <si>
    <t>Fernando Santos</t>
  </si>
  <si>
    <t xml:space="preserve">+55 (11) 93009-4962 </t>
  </si>
  <si>
    <t>ALUMINIO OU ACM</t>
  </si>
  <si>
    <t xml:space="preserve">ADPESP </t>
  </si>
  <si>
    <t>Cardoso</t>
  </si>
  <si>
    <t xml:space="preserve">+55 (11) 97047-4612 </t>
  </si>
  <si>
    <t>Aprovado (O.S.: 39822)</t>
  </si>
  <si>
    <t>Aprovado (O.S.: 39836)</t>
  </si>
  <si>
    <t>Aprovado (O.S.: 39815)</t>
  </si>
  <si>
    <t xml:space="preserve">POOLTHERM AQUECEDORES LTDA </t>
  </si>
  <si>
    <t>Anderson Luis dos santos</t>
  </si>
  <si>
    <t xml:space="preserve">+55 (19) 3854-2233 </t>
  </si>
  <si>
    <t>Aprovado (O.S.: 39817)</t>
  </si>
  <si>
    <t xml:space="preserve">ERNESTO GIOVANONI JUNIOR </t>
  </si>
  <si>
    <t xml:space="preserve">+55 (19) 9962-3517 </t>
  </si>
  <si>
    <t>Aprovado (O.S.: 39818)</t>
  </si>
  <si>
    <t xml:space="preserve">COND EDIF IMPERIO BLOCO A </t>
  </si>
  <si>
    <t>Mariele Drews Persch</t>
  </si>
  <si>
    <t xml:space="preserve">+55 (51) 99969-8184 </t>
  </si>
  <si>
    <t>Aprovado (O.S.: 39907)</t>
  </si>
  <si>
    <t xml:space="preserve">CONDOMINIO RESIDENCIAL FIRENZI </t>
  </si>
  <si>
    <t>ROBERTA CRISTINA SIMOES DA SILVA</t>
  </si>
  <si>
    <t xml:space="preserve">+55 (19) 9179-4219 </t>
  </si>
  <si>
    <t>Aprovado (O.S.: 39820)</t>
  </si>
  <si>
    <t>Geovana Nascimento</t>
  </si>
  <si>
    <t>Aprovado (O.S.: 39824)</t>
  </si>
  <si>
    <t>Aprovado (O.S.: 39825)</t>
  </si>
  <si>
    <t>Aprovado (O.S.: 39828)</t>
  </si>
  <si>
    <t>Aprovado (O.S.: 39826)</t>
  </si>
  <si>
    <t xml:space="preserve">CONDOMINIO RESIDENCIAL ILHAS INDONESIAS </t>
  </si>
  <si>
    <t>Magali Rodrigues</t>
  </si>
  <si>
    <t xml:space="preserve">+55 (19) 99305-0301 </t>
  </si>
  <si>
    <t>Aprovado (O.S.: 39829)</t>
  </si>
  <si>
    <t xml:space="preserve">Fernando Diniz </t>
  </si>
  <si>
    <t xml:space="preserve">+55 (11) 99905-4116 </t>
  </si>
  <si>
    <t>Aprovado (O.S.: 39831)</t>
  </si>
  <si>
    <t xml:space="preserve">IGNES CLELISBEL SODRÉ </t>
  </si>
  <si>
    <t xml:space="preserve">+55 (19) 9741-5778 </t>
  </si>
  <si>
    <t>Aprovado (O.S.: 39830)</t>
  </si>
  <si>
    <t xml:space="preserve">Isaque Guanabara </t>
  </si>
  <si>
    <t xml:space="preserve">+55 (11) 98247-4141 </t>
  </si>
  <si>
    <t>Aprovado (O.S.: 39833)</t>
  </si>
  <si>
    <t xml:space="preserve">Flavio Baranyi Famula </t>
  </si>
  <si>
    <t xml:space="preserve">+55 (11) 9337-3020 </t>
  </si>
  <si>
    <t>Aprovado (O.S.: 39832)</t>
  </si>
  <si>
    <t xml:space="preserve">Juvenal Francisco da Silva Neto </t>
  </si>
  <si>
    <t xml:space="preserve">+55 (11) 9803-6427 </t>
  </si>
  <si>
    <t>Aprovado (O.S.: 39834)</t>
  </si>
  <si>
    <t xml:space="preserve">MRV LXXXV INCORPORACOES LTDA </t>
  </si>
  <si>
    <t xml:space="preserve">+55 (14) 99781-7704 </t>
  </si>
  <si>
    <t>Aprovado (O.S.: 39851)</t>
  </si>
  <si>
    <t>Aprovado (O.S.: 39852)</t>
  </si>
  <si>
    <t xml:space="preserve">BTU - BRASPRESS - TFD </t>
  </si>
  <si>
    <t>Vanessa Menten</t>
  </si>
  <si>
    <t xml:space="preserve">+55 (11) 95281-5577 </t>
  </si>
  <si>
    <t xml:space="preserve">Katia Cristina Guimarães Aranha </t>
  </si>
  <si>
    <t>Katia Cristina Guimarães Aranha</t>
  </si>
  <si>
    <t xml:space="preserve">+55 (11) 5200-0461 </t>
  </si>
  <si>
    <t xml:space="preserve">KRISOLL RESINAS PLASTICAS LTDA </t>
  </si>
  <si>
    <t>Karine</t>
  </si>
  <si>
    <t xml:space="preserve">+55 (11) 91314-0487 </t>
  </si>
  <si>
    <t>Aprovado (O.S.: 39848)</t>
  </si>
  <si>
    <t xml:space="preserve">EDIFICIO ORIENTE SQUARE </t>
  </si>
  <si>
    <t xml:space="preserve">+55 (19) 3116-1142 </t>
  </si>
  <si>
    <t>Aprovado (O.S.: 39882)</t>
  </si>
  <si>
    <t xml:space="preserve">PONTO FORTE </t>
  </si>
  <si>
    <t>Envio NFE</t>
  </si>
  <si>
    <t xml:space="preserve">+55 (11) 4433-7777 </t>
  </si>
  <si>
    <t xml:space="preserve">LAHUMAN INDUSTRIA E COMERCIO DE PLASTICOS LIMITADA </t>
  </si>
  <si>
    <t xml:space="preserve">+55 (19) 98717-5074 </t>
  </si>
  <si>
    <t>Aprovado (O.S.: 39841)</t>
  </si>
  <si>
    <t xml:space="preserve">FLUORTECH INDUSTRIA E COMERCIO S/A </t>
  </si>
  <si>
    <t>FLUORTECH INSDUSTRIA E COMERCIO SA</t>
  </si>
  <si>
    <t xml:space="preserve">+55 (11) 4148-9177 </t>
  </si>
  <si>
    <t>Aprovado (O.S.: 39840)</t>
  </si>
  <si>
    <t xml:space="preserve">BEATRIZ DUARTE TRENTIN </t>
  </si>
  <si>
    <t xml:space="preserve">+55 (19) 9920-8719 </t>
  </si>
  <si>
    <t>Aprovado (O.S.: 39842)</t>
  </si>
  <si>
    <t xml:space="preserve">ASSOCIACAO DO PARQUE LOGISTICO GRU IV </t>
  </si>
  <si>
    <t>Beatriz Roza</t>
  </si>
  <si>
    <t xml:space="preserve">+55 (11) 92019-2966 </t>
  </si>
  <si>
    <t xml:space="preserve">CONDOMINIO MEDITERRANEO </t>
  </si>
  <si>
    <t>JOSÉ MARTUSEWICZ NETO</t>
  </si>
  <si>
    <t>Aprovado (O.S.: 39843)</t>
  </si>
  <si>
    <t xml:space="preserve">TRANSPORTADORA CAPIVARI LIMITADA </t>
  </si>
  <si>
    <t>Loraine Camargo - Compras Tranp. Capivari</t>
  </si>
  <si>
    <t xml:space="preserve">+55 (19) 98343-1600 </t>
  </si>
  <si>
    <t>Aprovado (O.S.: 40001)</t>
  </si>
  <si>
    <t xml:space="preserve">Michel Bergamini Covielo </t>
  </si>
  <si>
    <t>Michel Covielo</t>
  </si>
  <si>
    <t xml:space="preserve">+55 (17) 99745-2113 </t>
  </si>
  <si>
    <t xml:space="preserve">3 RAMOS CONSTRUCOES LTDA </t>
  </si>
  <si>
    <t>Herverson Rodrigues -Giga</t>
  </si>
  <si>
    <t xml:space="preserve">+55 (71) 9158-2756 </t>
  </si>
  <si>
    <t>Aprovado (O.S.: 39855)</t>
  </si>
  <si>
    <t xml:space="preserve">RAMPS PROJECT </t>
  </si>
  <si>
    <t>Catharina Rampani</t>
  </si>
  <si>
    <t xml:space="preserve">+55 (11) 99690-3168 </t>
  </si>
  <si>
    <t>Aprovado (O.S.: 39860)</t>
  </si>
  <si>
    <t xml:space="preserve">CONDOMINIO DO EDIFICIO VARANDAS DO FORTE </t>
  </si>
  <si>
    <t>Marco Rocha</t>
  </si>
  <si>
    <t xml:space="preserve">+55 (22) 99228-1296 </t>
  </si>
  <si>
    <t>Aprovado (O.S.: 39846)</t>
  </si>
  <si>
    <t xml:space="preserve">Kauê Richter pereira </t>
  </si>
  <si>
    <t xml:space="preserve">+55 (22) 9978-6024 </t>
  </si>
  <si>
    <t>Aprovado (O.S.: 39849)</t>
  </si>
  <si>
    <t xml:space="preserve">Andrea Cristina Ladeira </t>
  </si>
  <si>
    <t xml:space="preserve">+55 (11) 9919-4635 </t>
  </si>
  <si>
    <t>Aprovado (O.S.: 39850)</t>
  </si>
  <si>
    <t xml:space="preserve">Ana Flávia Cappellano </t>
  </si>
  <si>
    <t xml:space="preserve">+55 (11) 9950-0944 </t>
  </si>
  <si>
    <t>Aprovado (O.S.: 39853)</t>
  </si>
  <si>
    <t xml:space="preserve">Mauro Etsuo Sasamoto </t>
  </si>
  <si>
    <t xml:space="preserve">+55 (19) 99604-5664 </t>
  </si>
  <si>
    <t>Aprovado (O.S.: 39858)</t>
  </si>
  <si>
    <t>Aprovado (O.S.: 39900)</t>
  </si>
  <si>
    <t xml:space="preserve">GANNA IMPORTACAO </t>
  </si>
  <si>
    <t xml:space="preserve">+55 (11) 99713-3518 </t>
  </si>
  <si>
    <t>Aprovado (O.S.: 39861)</t>
  </si>
  <si>
    <t xml:space="preserve">LTV ENGENHARIA MECANICA E SEGURANCA DO TRABALHO </t>
  </si>
  <si>
    <t>Luciene Theodoro</t>
  </si>
  <si>
    <t xml:space="preserve">+55 (11) 99530-6697 </t>
  </si>
  <si>
    <t>Aprovado (O.S.: 39863)</t>
  </si>
  <si>
    <t xml:space="preserve">STEFANINI MG LTDA </t>
  </si>
  <si>
    <t>Edvaldo</t>
  </si>
  <si>
    <t xml:space="preserve">+55 (19) 99673-9558 </t>
  </si>
  <si>
    <t>Aprovado (O.S.: 39865)</t>
  </si>
  <si>
    <t xml:space="preserve">Alexandre F. Domingues </t>
  </si>
  <si>
    <t xml:space="preserve">+55 (17) 9973-4706 </t>
  </si>
  <si>
    <t>Aprovado (O.S.: 39862)</t>
  </si>
  <si>
    <t xml:space="preserve">UNIMED OS BANDEIRANTES - UNIDADE BRAGANCA PAULISTA </t>
  </si>
  <si>
    <t>Aprovado (O.S.: 40153)</t>
  </si>
  <si>
    <t xml:space="preserve">71 ASPICUELTA </t>
  </si>
  <si>
    <t>Grupo Strutura Imóveis</t>
  </si>
  <si>
    <t xml:space="preserve">+55 (11) 98661-7308 </t>
  </si>
  <si>
    <t>Aprovado (O.S.: 39880)</t>
  </si>
  <si>
    <t xml:space="preserve">CONDOMINIO EDIFICIO NOSSA SENHORA DO CARMO </t>
  </si>
  <si>
    <t>Aprovado (O.S.: 39881)</t>
  </si>
  <si>
    <t xml:space="preserve">SILVA CONSTRUCOES E REFORMAS LTDA </t>
  </si>
  <si>
    <t xml:space="preserve">+55 (21) 97258-3863 </t>
  </si>
  <si>
    <t>Aprovado (O.S.: 39879)</t>
  </si>
  <si>
    <t>Aprovado (O.S.: 39870)</t>
  </si>
  <si>
    <t xml:space="preserve">FRIGODIL </t>
  </si>
  <si>
    <t xml:space="preserve">+55 (19) 98767-7756 </t>
  </si>
  <si>
    <t xml:space="preserve">RESIDENCIAL VILLA NOVA </t>
  </si>
  <si>
    <t>Pablo Ramos</t>
  </si>
  <si>
    <t xml:space="preserve">+55 (41) 8859-5497 </t>
  </si>
  <si>
    <t>Aprovado (O.S.: 39883)</t>
  </si>
  <si>
    <t>Aprovado (O.S.: 39866)</t>
  </si>
  <si>
    <t xml:space="preserve">HT CONSTRUCAO </t>
  </si>
  <si>
    <t>RAPHAEL ALBONETI | SUPRIMENTOS</t>
  </si>
  <si>
    <t xml:space="preserve">+55 (11) 2613-2473 </t>
  </si>
  <si>
    <t xml:space="preserve">M G M CONSTRUTORA LT </t>
  </si>
  <si>
    <t>Jean</t>
  </si>
  <si>
    <t xml:space="preserve">+55 (19) 99777-0731 </t>
  </si>
  <si>
    <t>Aprovado (O.S.: 39868)</t>
  </si>
  <si>
    <t xml:space="preserve">CONDOMINIO ESPANHA </t>
  </si>
  <si>
    <t>CONDOMÍNIO ESPANHA</t>
  </si>
  <si>
    <t xml:space="preserve">+55 (11) 4524-3320 </t>
  </si>
  <si>
    <t>Aprovado (O.S.: 39871)</t>
  </si>
  <si>
    <t xml:space="preserve">CONDOMINIO CHACARA ANALIA FRANCO </t>
  </si>
  <si>
    <t>Gisele</t>
  </si>
  <si>
    <t xml:space="preserve">+55 (11) 92229-0002 </t>
  </si>
  <si>
    <t>Aprovado (O.S.: 39887)</t>
  </si>
  <si>
    <t xml:space="preserve">FAF TEXTIL </t>
  </si>
  <si>
    <t>Fio a Fio Enxovais</t>
  </si>
  <si>
    <t>Aprovado (O.S.: 39927)</t>
  </si>
  <si>
    <t xml:space="preserve">PEG FACA SANTA CRUZ </t>
  </si>
  <si>
    <t>Marcio Ribeiro</t>
  </si>
  <si>
    <t xml:space="preserve">+55 (11) 4214-7852 </t>
  </si>
  <si>
    <t>Aprovado (O.S.: 39872)</t>
  </si>
  <si>
    <t xml:space="preserve">BEACON SCHOOL ENSINO INTEGRADO LTDA. </t>
  </si>
  <si>
    <t>Alex L. Oliveira</t>
  </si>
  <si>
    <t xml:space="preserve">+55 (11) 97571-6275 </t>
  </si>
  <si>
    <t>Sinalização/ IPLACAS - O/C 021517</t>
  </si>
  <si>
    <t>Aprovado (O.S.: 40146)</t>
  </si>
  <si>
    <t xml:space="preserve">José Gustavo Feltz </t>
  </si>
  <si>
    <t xml:space="preserve">+55 489 846 765 </t>
  </si>
  <si>
    <t>Aprovado (O.S.: 39874)</t>
  </si>
  <si>
    <t xml:space="preserve">Condomínio do Edifício Residencial Havilah </t>
  </si>
  <si>
    <t>Luiza Iolanda Cortez</t>
  </si>
  <si>
    <t xml:space="preserve">+55 (83) 9968-0909 </t>
  </si>
  <si>
    <t>Aprovado (O.S.: 39875)</t>
  </si>
  <si>
    <t xml:space="preserve">Ana Paula Boni </t>
  </si>
  <si>
    <t xml:space="preserve">+55 (11) 9754-6720 </t>
  </si>
  <si>
    <t>Aprovado (O.S.: 39876)</t>
  </si>
  <si>
    <t xml:space="preserve">RESTAURANTE INTERNACIONAL ORIENTAL BRASIL LTDA </t>
  </si>
  <si>
    <t xml:space="preserve">+55 (11) 93918-1786 </t>
  </si>
  <si>
    <t>Aprovado (O.S.: 39889)</t>
  </si>
  <si>
    <t>Aprovado (O.S.: 39902)</t>
  </si>
  <si>
    <t>Aprovado (O.S.: 39922)</t>
  </si>
  <si>
    <t xml:space="preserve">SOTIN SOLUCOES TECNICAS, INDUSTRIA E COMERCIO LTDA </t>
  </si>
  <si>
    <t>Isabelle Santos</t>
  </si>
  <si>
    <t xml:space="preserve">+55 (11) 99324-0862 </t>
  </si>
  <si>
    <t>Aprovado (O.S.: 39917)</t>
  </si>
  <si>
    <t xml:space="preserve">CONJUNTO RESIDENCIAL PARQUE DOS EUCALIPTOS </t>
  </si>
  <si>
    <t>Gestão Pq Dos Eucaliptos</t>
  </si>
  <si>
    <t xml:space="preserve">+55 (19) 97418-1844 </t>
  </si>
  <si>
    <t>Aprovado (O.S.: 39886)</t>
  </si>
  <si>
    <t xml:space="preserve">CONDOMINIO RESIDENCIAL PORTAL DO LAGO II </t>
  </si>
  <si>
    <t>Carmem Gallo</t>
  </si>
  <si>
    <t xml:space="preserve">+55 (19) 99615-4610 </t>
  </si>
  <si>
    <t>Aprovado (O.S.: 39912)</t>
  </si>
  <si>
    <t xml:space="preserve">GRUPO D8 DOOR SOLUTIONS </t>
  </si>
  <si>
    <t>Marilia Marques Rodrigues</t>
  </si>
  <si>
    <t xml:space="preserve">+55 (47) 8464-9765 </t>
  </si>
  <si>
    <t>PS 2mm + BRAILE</t>
  </si>
  <si>
    <t xml:space="preserve">THERMO SERVICE SERVICOS TECNICOS LTDA </t>
  </si>
  <si>
    <t>Renan Medina</t>
  </si>
  <si>
    <t xml:space="preserve">+55 (11) 95312-2558 </t>
  </si>
  <si>
    <t>Aprovado (O.S.: 39915)</t>
  </si>
  <si>
    <t>Aprovado (O.S.: 39888)</t>
  </si>
  <si>
    <t xml:space="preserve">UTGARD OBRAS E SERVICOS LTDA </t>
  </si>
  <si>
    <t>Marcello Freittas Hipnoterapeuta | Palestrante | Treinador</t>
  </si>
  <si>
    <t xml:space="preserve">+55 (53) 32672-8000 </t>
  </si>
  <si>
    <t>Aprovado (O.S.: 40136)</t>
  </si>
  <si>
    <t xml:space="preserve">CAOBELEIREIRO BY LIGA DOS BICHOS COMERCIO E SERVICOS LTDA </t>
  </si>
  <si>
    <t xml:space="preserve">+55 (15) 98804-0286 </t>
  </si>
  <si>
    <t>Aprovado (O.S.: 40116)</t>
  </si>
  <si>
    <t xml:space="preserve">Katia Maria Marcondes Vilar </t>
  </si>
  <si>
    <t xml:space="preserve">+55 (19) 99166-3431 </t>
  </si>
  <si>
    <t>Aprovado (O.S.: 39896)</t>
  </si>
  <si>
    <t xml:space="preserve">José Carlos Peixoto de Campos </t>
  </si>
  <si>
    <t xml:space="preserve">+55 (21) 99676-1928 </t>
  </si>
  <si>
    <t>Aprovado (O.S.: 39970)</t>
  </si>
  <si>
    <t xml:space="preserve">EDIFICIO ORION </t>
  </si>
  <si>
    <t xml:space="preserve">+55 (11) 9725-0304 </t>
  </si>
  <si>
    <t>Aprovado (O.S.: 39890)</t>
  </si>
  <si>
    <t xml:space="preserve">TAPPI SEAL INDUSTRIA E COMERCIO LTDA. </t>
  </si>
  <si>
    <t>Silvania Lima</t>
  </si>
  <si>
    <t xml:space="preserve">+55 (11) 96476-3875 </t>
  </si>
  <si>
    <t xml:space="preserve">Mauro Alves Ramos Batista </t>
  </si>
  <si>
    <t xml:space="preserve">+55 (11) 95430-4790 </t>
  </si>
  <si>
    <t>Aprovado (O.S.: 39892)</t>
  </si>
  <si>
    <t xml:space="preserve">Albérioo Amorim Silva </t>
  </si>
  <si>
    <t xml:space="preserve">+55 (21) 9891-5098 </t>
  </si>
  <si>
    <t>Aprovado (O.S.: 39893)</t>
  </si>
  <si>
    <t xml:space="preserve">André Damião </t>
  </si>
  <si>
    <t xml:space="preserve">+55 (21) 9994-6119 </t>
  </si>
  <si>
    <t>Aprovado (O.S.: 39894)</t>
  </si>
  <si>
    <t xml:space="preserve">Eliane Fernandes </t>
  </si>
  <si>
    <t xml:space="preserve">+55 (51) 9846-9805 </t>
  </si>
  <si>
    <t>Aprovado (O.S.: 39895)</t>
  </si>
  <si>
    <t xml:space="preserve">HAYEK CONSTRUTORA LTDA EPP </t>
  </si>
  <si>
    <t>Thiago Almeida</t>
  </si>
  <si>
    <t xml:space="preserve">+55 (71) 9676-9331 </t>
  </si>
  <si>
    <t>Aprovado (O.S.: 39897)</t>
  </si>
  <si>
    <t>Aprovado (O.S.: 39898)</t>
  </si>
  <si>
    <t xml:space="preserve">Fabio Silvestre Ronzani </t>
  </si>
  <si>
    <t xml:space="preserve">+55 (11) 9478-1951 </t>
  </si>
  <si>
    <t>Aprovado (O.S.: 39899)</t>
  </si>
  <si>
    <t xml:space="preserve">STAR FARMA </t>
  </si>
  <si>
    <t>Renan Alves | Compras</t>
  </si>
  <si>
    <t xml:space="preserve">+55 (11) 96363-5682 </t>
  </si>
  <si>
    <t>Aprovado (O.S.: 39901)</t>
  </si>
  <si>
    <t xml:space="preserve">KAZA CONDOMINIO CLUBE </t>
  </si>
  <si>
    <t>Luciano Hideki De Faria Endo</t>
  </si>
  <si>
    <t xml:space="preserve">+55 (11) 99300-4224 </t>
  </si>
  <si>
    <t>Aprovado (O.S.: 39904)</t>
  </si>
  <si>
    <t xml:space="preserve">SLEEVER INTERNATIONAL LTDA </t>
  </si>
  <si>
    <t xml:space="preserve">+55 (11) 97617-4563 </t>
  </si>
  <si>
    <t>Aprovado (O.S.: 39903)</t>
  </si>
  <si>
    <t xml:space="preserve">Marcelo Pizzotti Maldi </t>
  </si>
  <si>
    <t xml:space="preserve">+55 (11) 98122-5400 </t>
  </si>
  <si>
    <t>Aprovado (O.S.: 39954)</t>
  </si>
  <si>
    <t xml:space="preserve">CONDOMINIO PONTOES DA BARRA </t>
  </si>
  <si>
    <t>Adm Geral Cond Pontoes da Barra</t>
  </si>
  <si>
    <t xml:space="preserve">+55 (21) 2498-2505 </t>
  </si>
  <si>
    <t xml:space="preserve">CONDOMINIO EDIFICIO JANDIRA </t>
  </si>
  <si>
    <t xml:space="preserve">+55 (11) 5081-3124 </t>
  </si>
  <si>
    <t>Aprovado (O.S.: 40046)</t>
  </si>
  <si>
    <t xml:space="preserve">A. DE S. AMARAL EMBALAGENS </t>
  </si>
  <si>
    <t>Alexandre Amaral</t>
  </si>
  <si>
    <t xml:space="preserve">+55 (19) 99813-2002 </t>
  </si>
  <si>
    <t>Aprovado (O.S.: 39911)</t>
  </si>
  <si>
    <t xml:space="preserve">DIAS ALVES CONSTRUCOES &amp; REFORMAS </t>
  </si>
  <si>
    <t>Compras Dias Alves</t>
  </si>
  <si>
    <t xml:space="preserve">+55 (11) 99936-8863 </t>
  </si>
  <si>
    <t>Aprovado (O.S.: 40021)</t>
  </si>
  <si>
    <t>Aprovado (O.S.: 39913)</t>
  </si>
  <si>
    <t xml:space="preserve">COND. CENTRO LOGISTICA IND. BANDEIRANTES ANHANGUERA </t>
  </si>
  <si>
    <t xml:space="preserve">+55 (19) 99180-0057 </t>
  </si>
  <si>
    <t xml:space="preserve">NATALIA VIEL COMERCIO DE ARTIGOS </t>
  </si>
  <si>
    <t>My Shop Store</t>
  </si>
  <si>
    <t xml:space="preserve">+55 (11) 91973-3221 </t>
  </si>
  <si>
    <t>Aprovado (O.S.: 39983)</t>
  </si>
  <si>
    <t xml:space="preserve">ALTOS DA AVENIDA </t>
  </si>
  <si>
    <t>Aprovado (O.S.: 39966)</t>
  </si>
  <si>
    <t>Aprovado (O.S.: 39919)</t>
  </si>
  <si>
    <t>Aprovado (O.S.: 39914)</t>
  </si>
  <si>
    <t xml:space="preserve">ARTES FÊNIX </t>
  </si>
  <si>
    <t>Fernando Lamas</t>
  </si>
  <si>
    <t xml:space="preserve">+55 (19) 7403-0013 </t>
  </si>
  <si>
    <t>Aprovado (O.S.: 39943)</t>
  </si>
  <si>
    <t xml:space="preserve">CONDOMINIO NOVA MOOCA </t>
  </si>
  <si>
    <t>Thiago Bocchi</t>
  </si>
  <si>
    <t xml:space="preserve">+55 (11) 98224-1612 </t>
  </si>
  <si>
    <t xml:space="preserve">FATD CONSULTORIA </t>
  </si>
  <si>
    <t>Jamily</t>
  </si>
  <si>
    <t xml:space="preserve">+55 (19) 99162-5244 </t>
  </si>
  <si>
    <t>Aprovado (O.S.: 39947)</t>
  </si>
  <si>
    <t xml:space="preserve">SEMAX ENGENHARIA </t>
  </si>
  <si>
    <t>Victoria</t>
  </si>
  <si>
    <t xml:space="preserve">+55 (51) 19690-7888 </t>
  </si>
  <si>
    <t>Aprovado (O.S.: 39973)</t>
  </si>
  <si>
    <t>Aprovado (O.S.: 40030)</t>
  </si>
  <si>
    <t xml:space="preserve">PONTAL ESPORTES </t>
  </si>
  <si>
    <t>Marilia Beatriz</t>
  </si>
  <si>
    <t xml:space="preserve">+55 (21) 97417-8932 </t>
  </si>
  <si>
    <t>Aprovado (O.S.: 40019)</t>
  </si>
  <si>
    <t>Aprovado (O.S.: 39918)</t>
  </si>
  <si>
    <t>Aprovado (O.S.: 39931)</t>
  </si>
  <si>
    <t xml:space="preserve">Marcelo de Aguiar Coimbra </t>
  </si>
  <si>
    <t xml:space="preserve">+55 (11) 99494-7187 </t>
  </si>
  <si>
    <t>Aprovado (O.S.: 39920)</t>
  </si>
  <si>
    <t xml:space="preserve">Nislene Bruno de Castro Loures </t>
  </si>
  <si>
    <t xml:space="preserve">+55 (31) 99987-1147 </t>
  </si>
  <si>
    <t>Aprovado (O.S.: 39921)</t>
  </si>
  <si>
    <t xml:space="preserve">PRISCILA CINTRA SOCOLOWSKI </t>
  </si>
  <si>
    <t xml:space="preserve">+55 (19) 99777-5293 </t>
  </si>
  <si>
    <t>Aprovado (O.S.: 39924)</t>
  </si>
  <si>
    <t xml:space="preserve">VANESSA PEREIRA FARINHA </t>
  </si>
  <si>
    <t xml:space="preserve">+55 (16) 99284-8814 </t>
  </si>
  <si>
    <t>Aprovado (O.S.: 39925)</t>
  </si>
  <si>
    <t>Aprovado (O.S.: 39926)</t>
  </si>
  <si>
    <t xml:space="preserve">Titanx Refrigeração de Motores LTDA </t>
  </si>
  <si>
    <t>Bárbara Paiva - RH TitanX</t>
  </si>
  <si>
    <t xml:space="preserve">+55 (19) 99682-2204 </t>
  </si>
  <si>
    <t>Aprovado (O.S.: 39950)</t>
  </si>
  <si>
    <t xml:space="preserve">CURSO DE ENSINO FERNAO DIAS PAIS LTDA </t>
  </si>
  <si>
    <t>Kevin</t>
  </si>
  <si>
    <t xml:space="preserve">+55 (11) 94803-0036 </t>
  </si>
  <si>
    <t>Aprovado (O.S.: 40066)</t>
  </si>
  <si>
    <t>Aprovado (O.S.: 39932)</t>
  </si>
  <si>
    <t xml:space="preserve">CONDOMINIO EDIFICIO SAN DIEGO </t>
  </si>
  <si>
    <t>San Diego</t>
  </si>
  <si>
    <t xml:space="preserve">+55 (19) 99504-7634 </t>
  </si>
  <si>
    <t>Aprovado (O.S.: 39933)</t>
  </si>
  <si>
    <t xml:space="preserve">ARANATECH </t>
  </si>
  <si>
    <t>Edgar Arana</t>
  </si>
  <si>
    <t xml:space="preserve">+55 (16) 99787-0151 </t>
  </si>
  <si>
    <t xml:space="preserve">EMPRESA MUNICIPAL PARQUE TECNOLGICO DE SOROCABA - EMPTS </t>
  </si>
  <si>
    <t xml:space="preserve">+55 (15) 99707-0748 </t>
  </si>
  <si>
    <t xml:space="preserve">CONDOMINIO EDIFICIO ITABORAI </t>
  </si>
  <si>
    <t>Renato Jamil</t>
  </si>
  <si>
    <t xml:space="preserve">+55 (11) 94517-0383 </t>
  </si>
  <si>
    <t>Aprovado (O.S.: 39974)</t>
  </si>
  <si>
    <t>Aprovado (O.S.: 39934)</t>
  </si>
  <si>
    <t>Aprovado (O.S.: 39956)</t>
  </si>
  <si>
    <t xml:space="preserve">Tulio Christian Mendes </t>
  </si>
  <si>
    <t>Túlio Mendes</t>
  </si>
  <si>
    <t xml:space="preserve">+55 (31) 9645-7717 </t>
  </si>
  <si>
    <t>Aprovado (O.S.: 39939)</t>
  </si>
  <si>
    <t xml:space="preserve">MEVO FARMA </t>
  </si>
  <si>
    <t xml:space="preserve">+55 (11) 7286-2047 </t>
  </si>
  <si>
    <t xml:space="preserve">EMBATEK TECNOLOGIA EM COSMETICOS LTDA </t>
  </si>
  <si>
    <t>Ideli Priori</t>
  </si>
  <si>
    <t xml:space="preserve">+55 (11) 98588-7872 </t>
  </si>
  <si>
    <t>Aprovado (O.S.: 39960)</t>
  </si>
  <si>
    <t>Aprovado (O.S.: 39937)</t>
  </si>
  <si>
    <t>Aprovado (O.S.: 39984)</t>
  </si>
  <si>
    <t xml:space="preserve">DORMETAL </t>
  </si>
  <si>
    <t>DORMETAL FERRAGENS LTDA</t>
  </si>
  <si>
    <t xml:space="preserve">+55 (11) 3974-9464 </t>
  </si>
  <si>
    <t>Aprovado (O.S.: 39938)</t>
  </si>
  <si>
    <t xml:space="preserve">MANSUR EQUIPAMENTOS </t>
  </si>
  <si>
    <t>Claudia Cavalari Claudia</t>
  </si>
  <si>
    <t xml:space="preserve">+55 (11) 6353-3492 </t>
  </si>
  <si>
    <t>Aprovado (O.S.: 39951)</t>
  </si>
  <si>
    <t xml:space="preserve">otávio lacerda de paula silva </t>
  </si>
  <si>
    <t>Otávio lacerda de paula silva</t>
  </si>
  <si>
    <t xml:space="preserve">+55 (61) 9961-3904 </t>
  </si>
  <si>
    <t>Aprovado (O.S.: 39941)</t>
  </si>
  <si>
    <t xml:space="preserve">Vera Lúcia N Rodriguez </t>
  </si>
  <si>
    <t xml:space="preserve">+55 (13) 9811-5921 </t>
  </si>
  <si>
    <t>Aprovado (O.S.: 39942)</t>
  </si>
  <si>
    <t xml:space="preserve">SIRLENE ANTONIA MOREIRA </t>
  </si>
  <si>
    <t xml:space="preserve">+55 (11) 9949-4995 </t>
  </si>
  <si>
    <t>Aprovado (O.S.: 39944)</t>
  </si>
  <si>
    <t xml:space="preserve">Rodrigo de Azevedo Campello </t>
  </si>
  <si>
    <t xml:space="preserve">+55 (31) 9927-7673 </t>
  </si>
  <si>
    <t>Aprovado (O.S.: 39946)</t>
  </si>
  <si>
    <t xml:space="preserve">Fabiano Pires </t>
  </si>
  <si>
    <t xml:space="preserve">+55 (62) 9820-1861 </t>
  </si>
  <si>
    <t>Aprovado (O.S.: 39948)</t>
  </si>
  <si>
    <t xml:space="preserve">CONDOMINIO PARQUE RESIDENCIAL NOSSA SENHORA DO SABARA </t>
  </si>
  <si>
    <t>Condomínio ADM</t>
  </si>
  <si>
    <t xml:space="preserve">+55 (11) 95571-5620 </t>
  </si>
  <si>
    <t>ALUMINIO + FOTOL 0,8mm + PS 1mm</t>
  </si>
  <si>
    <t xml:space="preserve">Heloísa Pierro </t>
  </si>
  <si>
    <t xml:space="preserve">+55 (19) 9838-6889 </t>
  </si>
  <si>
    <t>Aprovado (O.S.: 39949)</t>
  </si>
  <si>
    <t xml:space="preserve">ANISIO COSTA CASTELO BRANCO </t>
  </si>
  <si>
    <t xml:space="preserve">+55 (11) 9403-0302 </t>
  </si>
  <si>
    <t>Aprovado (O.S.: 39952)</t>
  </si>
  <si>
    <t xml:space="preserve">CONSULTORIA EDUFOR LTDA </t>
  </si>
  <si>
    <t>Adm e Financeiro - EDUFOR</t>
  </si>
  <si>
    <t xml:space="preserve">+55 (98) 8438-3641 </t>
  </si>
  <si>
    <t xml:space="preserve">GUANABARA CENTRO DE DIVERSOES </t>
  </si>
  <si>
    <t>Edson Tomaz Barbosa</t>
  </si>
  <si>
    <t xml:space="preserve">+55 (31) 3439-7300 </t>
  </si>
  <si>
    <t>Aprovado (O.S.: 39955)</t>
  </si>
  <si>
    <t xml:space="preserve">juliana silleman </t>
  </si>
  <si>
    <t xml:space="preserve">+55 (21) 9814-2848 </t>
  </si>
  <si>
    <t>Aprovado (O.S.: 39957)</t>
  </si>
  <si>
    <t>Aprovado (O.S.: 40145)</t>
  </si>
  <si>
    <t>Aprovado (O.S.: 39958)</t>
  </si>
  <si>
    <t xml:space="preserve">ESCOLA SENAI LUIZ VARGA - CFP 5.05 </t>
  </si>
  <si>
    <t>Jair de Souza Lima</t>
  </si>
  <si>
    <t xml:space="preserve">+55 (19) 97605-0093 </t>
  </si>
  <si>
    <t>Aprovado (O.S.: 39978)</t>
  </si>
  <si>
    <t xml:space="preserve">Ismael Antônio Berns </t>
  </si>
  <si>
    <t xml:space="preserve">+55 (47) 8824-9433 </t>
  </si>
  <si>
    <t>Aprovado (O.S.: 39972)</t>
  </si>
  <si>
    <t>Aprovado (O.S.: 39982)</t>
  </si>
  <si>
    <t xml:space="preserve">INSTITUTO ANCARE LTDA </t>
  </si>
  <si>
    <t>Marcos lalau</t>
  </si>
  <si>
    <t xml:space="preserve">+55 (43) 8868-9430 </t>
  </si>
  <si>
    <t>Aprovado (O.S.: 39963)</t>
  </si>
  <si>
    <t xml:space="preserve">JALD INDUSTRIA E COMERCIO </t>
  </si>
  <si>
    <t>Fabiano Zotti</t>
  </si>
  <si>
    <t xml:space="preserve">+55 (15) 99700-5709 </t>
  </si>
  <si>
    <t>Aprovado (O.S.: 39959)</t>
  </si>
  <si>
    <t xml:space="preserve">ECOPOL INDUSTRIA E COMERCIO LTDA </t>
  </si>
  <si>
    <t xml:space="preserve">+55 (19) 98701-8669 </t>
  </si>
  <si>
    <t>Aprovado (O.S.: 40205)</t>
  </si>
  <si>
    <t xml:space="preserve">Alethea Ruckert de Araujo </t>
  </si>
  <si>
    <t xml:space="preserve">+55 (98) 4068-1630 </t>
  </si>
  <si>
    <t>Aprovado (O.S.: 39961)</t>
  </si>
  <si>
    <t xml:space="preserve">CONDOMINIO EDIFICIO RAGUEB ISSA </t>
  </si>
  <si>
    <t>Soraia Issa</t>
  </si>
  <si>
    <t>Aprovado (O.S.: 39962)</t>
  </si>
  <si>
    <t>Daniela Compras PMFC</t>
  </si>
  <si>
    <t>Aprovado (O.S.: 40015)</t>
  </si>
  <si>
    <t xml:space="preserve">SAPI </t>
  </si>
  <si>
    <t>Administração Sociedade Amigos do Park Imperial</t>
  </si>
  <si>
    <t xml:space="preserve">+55 (12) 99711-0244 </t>
  </si>
  <si>
    <t>Aprovado (O.S.: 39965)</t>
  </si>
  <si>
    <t xml:space="preserve">CONDOMINIO EDIFICIO RESIDENCIAL ENCOSTA DO SOL </t>
  </si>
  <si>
    <t>Valmir Ferron Fratéi</t>
  </si>
  <si>
    <t xml:space="preserve">+55 (11) 98350-7557 </t>
  </si>
  <si>
    <t>Aprovado (O.S.: 40083)</t>
  </si>
  <si>
    <t xml:space="preserve">ATRHOL - AGENCIA E TRANSPORTES HORIZONTINA LTDA </t>
  </si>
  <si>
    <t>Rodrigo Frota Indaiatuba</t>
  </si>
  <si>
    <t xml:space="preserve">+55 (19) 99390-0171 </t>
  </si>
  <si>
    <t>Aprovado (O.S.: 39969)</t>
  </si>
  <si>
    <t xml:space="preserve">MULTI MAXI CONVENIENCIA DIGITAL </t>
  </si>
  <si>
    <t>Mult Maxi</t>
  </si>
  <si>
    <t xml:space="preserve">+55 (27) 99999-3713 </t>
  </si>
  <si>
    <t>Aprovado (O.S.: 39981)</t>
  </si>
  <si>
    <t xml:space="preserve">TEKNO SISTEMAS DE ENGENHARIA LTDA </t>
  </si>
  <si>
    <t>Alexandra - Administrativo Tekno HU-UFSCAR</t>
  </si>
  <si>
    <t xml:space="preserve">+55 (16) 99629-0263 </t>
  </si>
  <si>
    <t>Aprovado (O.S.: 39985)</t>
  </si>
  <si>
    <t xml:space="preserve">USCS </t>
  </si>
  <si>
    <t>Antônio Alves de Brito Junior</t>
  </si>
  <si>
    <t xml:space="preserve">+55 (11) 9691-1348 </t>
  </si>
  <si>
    <t>Aprovado (O.S.: 39975)</t>
  </si>
  <si>
    <t xml:space="preserve">Rafael Silva </t>
  </si>
  <si>
    <t xml:space="preserve">+55 (51) 9843-9959 </t>
  </si>
  <si>
    <t>Aprovado (O.S.: 39976)</t>
  </si>
  <si>
    <t>Aprovado (O.S.: 40069)</t>
  </si>
  <si>
    <t>Aprovado (O.S.: 39979)</t>
  </si>
  <si>
    <t xml:space="preserve">CONDOMINIO ELIS REGINA </t>
  </si>
  <si>
    <t>Aprovado (O.S.: 39987)</t>
  </si>
  <si>
    <t xml:space="preserve">Ivan Carlos Frizollo </t>
  </si>
  <si>
    <t>Ivan Frizollo</t>
  </si>
  <si>
    <t xml:space="preserve">+55 (19) 99742-8098 </t>
  </si>
  <si>
    <t>Aprovado (O.S.: 39986)</t>
  </si>
  <si>
    <t>Suprimentos A4 Gabriel</t>
  </si>
  <si>
    <t>Aprovado (O.S.: 39988)</t>
  </si>
  <si>
    <t>Aprovado (O.S.: 40318)</t>
  </si>
  <si>
    <t xml:space="preserve">20.686.683 THARLYS EDUARDO SAO PEDRO </t>
  </si>
  <si>
    <t>The Stickers</t>
  </si>
  <si>
    <t xml:space="preserve">+55 (19) 99224-7003 </t>
  </si>
  <si>
    <t>Aprovado (O.S.: 39989)</t>
  </si>
  <si>
    <t>Aprovado (O.S.: 39990)</t>
  </si>
  <si>
    <t xml:space="preserve">IEMMA GERENCIADORA DE RESIDUOS LTDA </t>
  </si>
  <si>
    <t>Coutinho</t>
  </si>
  <si>
    <t xml:space="preserve">+55 (21) 96860-3122 </t>
  </si>
  <si>
    <t>Aprovado (O.S.: 40064)</t>
  </si>
  <si>
    <t>Aprovado (O.S.: 40007)</t>
  </si>
  <si>
    <t xml:space="preserve">MED ANCHIETA CENTRO MEDICO LTDA </t>
  </si>
  <si>
    <t xml:space="preserve">+55 (19) 3397-0643 </t>
  </si>
  <si>
    <t>Aprovado (O.S.: 40033)</t>
  </si>
  <si>
    <t>?Ricardo?</t>
  </si>
  <si>
    <t>Aprovado (O.S.: 40023)</t>
  </si>
  <si>
    <t xml:space="preserve">NEXT MEDICAL </t>
  </si>
  <si>
    <t>Paty</t>
  </si>
  <si>
    <t xml:space="preserve">+55 (11) 99500-0955 </t>
  </si>
  <si>
    <t>Aprovado (O.S.: 40009)</t>
  </si>
  <si>
    <t xml:space="preserve">Luiz Fernando Da Costa Dias </t>
  </si>
  <si>
    <t xml:space="preserve">+55 (11) 9530-3212 </t>
  </si>
  <si>
    <t>Aprovado (O.S.: 40008)</t>
  </si>
  <si>
    <t>Aprovado (O.S.: 40022)</t>
  </si>
  <si>
    <t xml:space="preserve">RP CASES EMBALAGENS E MALETAS LTDA </t>
  </si>
  <si>
    <t xml:space="preserve">+55 (16) 99239-4549 </t>
  </si>
  <si>
    <t>Aprovado (O.S.: 40010)</t>
  </si>
  <si>
    <t xml:space="preserve">Compras Maoli </t>
  </si>
  <si>
    <t xml:space="preserve">+55 (11) 9933-3303 </t>
  </si>
  <si>
    <t>Aprovado (O.S.: 40011)</t>
  </si>
  <si>
    <t xml:space="preserve">CONDOMINIO RESIDENCIAL EDIFICIO MONACO </t>
  </si>
  <si>
    <t>SANDRA PERRONI PRIETO</t>
  </si>
  <si>
    <t xml:space="preserve">+55 (11) 9968-2991 </t>
  </si>
  <si>
    <t>Aprovado (O.S.: 40013)</t>
  </si>
  <si>
    <t>Compras - Aeon</t>
  </si>
  <si>
    <t xml:space="preserve">+55 (21) 2705-3139 </t>
  </si>
  <si>
    <t>Aprovado (O.S.: 40068)</t>
  </si>
  <si>
    <t xml:space="preserve">CONDOMINIO EDIFICIO CONDE DE LINHARES </t>
  </si>
  <si>
    <t>Capuano</t>
  </si>
  <si>
    <t xml:space="preserve">+55 (11) 99885-1883 </t>
  </si>
  <si>
    <t>PVC EXP. FOTOL. 2mm + VINIL</t>
  </si>
  <si>
    <t xml:space="preserve">FENIX GESTAO DE PATRIMONIO </t>
  </si>
  <si>
    <t>SILVIA DEQUECH MACHADO</t>
  </si>
  <si>
    <t xml:space="preserve">+55 (48) 9989-1571 </t>
  </si>
  <si>
    <t>Aprovado (O.S.: 40014)</t>
  </si>
  <si>
    <t xml:space="preserve">PEDRO CATALANO NETO </t>
  </si>
  <si>
    <t xml:space="preserve">+55 (14) 9963-1638 </t>
  </si>
  <si>
    <t>Aprovado (O.S.: 40017)</t>
  </si>
  <si>
    <t xml:space="preserve">LUVATA SAO PAULO - COMERCIO E INDUSTRIA LTDA </t>
  </si>
  <si>
    <t xml:space="preserve">+55 (11) 3514-1006 </t>
  </si>
  <si>
    <t>Aprovado (O.S.: 40042)</t>
  </si>
  <si>
    <t xml:space="preserve">MASTERDATA INFORMATICA LTDA </t>
  </si>
  <si>
    <t>Bianca Selymes</t>
  </si>
  <si>
    <t xml:space="preserve">+55 (11) 4396-7555 </t>
  </si>
  <si>
    <t xml:space="preserve">CENTRO UNIVERSITARIO SAO CAMILO - CAMPUS POMPEIA </t>
  </si>
  <si>
    <t>Charles Freiras</t>
  </si>
  <si>
    <t xml:space="preserve">+55 (11) 3465-2600 </t>
  </si>
  <si>
    <t xml:space="preserve">LOCABENS </t>
  </si>
  <si>
    <t>Lenice Brito</t>
  </si>
  <si>
    <t xml:space="preserve">+55 (11) 94024-7257 </t>
  </si>
  <si>
    <t>Aprovado (O.S.: 40041)</t>
  </si>
  <si>
    <t xml:space="preserve">ADV ADMINISTRACAO </t>
  </si>
  <si>
    <t>Caroline Vitola</t>
  </si>
  <si>
    <t xml:space="preserve">+55 (19) 99245-6906 </t>
  </si>
  <si>
    <t>Aprovado (O.S.: 40026)</t>
  </si>
  <si>
    <t xml:space="preserve">CONDOMINIO CENTENARIO PLAZA </t>
  </si>
  <si>
    <t xml:space="preserve">+55 (11) 5505-5778 </t>
  </si>
  <si>
    <t>Aprovado (O.S.: 40115)</t>
  </si>
  <si>
    <t xml:space="preserve">VMAX SUPRIMENTOS INDUSTRIAIS LTDA </t>
  </si>
  <si>
    <t>Vmax Suprimentos</t>
  </si>
  <si>
    <t xml:space="preserve">+55 (11) 95476-9289 </t>
  </si>
  <si>
    <t xml:space="preserve">LABORATORIO DE ANALISES CLINICAS RAMOS DE SOUZA LTDA. </t>
  </si>
  <si>
    <t>Edimario</t>
  </si>
  <si>
    <t xml:space="preserve">+55 (19) 99431-3426 </t>
  </si>
  <si>
    <t xml:space="preserve">ARENA ELETRICA E HIDRAULICA LTDA </t>
  </si>
  <si>
    <t>ARENA ELETRICA HIDRAULICA</t>
  </si>
  <si>
    <t xml:space="preserve">+55 (11) 2897-2004 </t>
  </si>
  <si>
    <t>Display Porta Folha em PS Cristal acrilico + filete espaçado</t>
  </si>
  <si>
    <t>Aprovado (O.S.: 40028)</t>
  </si>
  <si>
    <t>Aprovado (O.S.: 40029)</t>
  </si>
  <si>
    <t xml:space="preserve">ML ODONTO SERVICE </t>
  </si>
  <si>
    <t xml:space="preserve">+55 (19) 9889-1539 </t>
  </si>
  <si>
    <t>Aprovado (O.S.: 40048)</t>
  </si>
  <si>
    <t>Julia Caroline</t>
  </si>
  <si>
    <t>Aprovado (O.S.: 40032)</t>
  </si>
  <si>
    <t xml:space="preserve">Flaviane Jesus Gonçalves </t>
  </si>
  <si>
    <t xml:space="preserve">+55 (11) 9920-8179 </t>
  </si>
  <si>
    <t>Aprovado (O.S.: 40034)</t>
  </si>
  <si>
    <t>Aprovado (O.S.: 40035)</t>
  </si>
  <si>
    <t>Aprovado (O.S.: 40038)</t>
  </si>
  <si>
    <t>Aprovado (O.S.: 40132)</t>
  </si>
  <si>
    <t>Sinalização/ IPLACAS - O/C 122.041</t>
  </si>
  <si>
    <t>Aprovado (O.S.: 40161)</t>
  </si>
  <si>
    <t xml:space="preserve">M S L DO BRASIL AGENCIAMENTOS E TRANSPORTES LTDA. </t>
  </si>
  <si>
    <t>Eraldo</t>
  </si>
  <si>
    <t xml:space="preserve">+55 (11) 96064-4032 </t>
  </si>
  <si>
    <t>Aprovado (O.S.: 40045)</t>
  </si>
  <si>
    <t xml:space="preserve">HENI TRANSPORTES </t>
  </si>
  <si>
    <t>Griselda</t>
  </si>
  <si>
    <t xml:space="preserve">+55 (19) 99732-1225 </t>
  </si>
  <si>
    <t>Aprovado (O.S.: 40039)</t>
  </si>
  <si>
    <t>Aprovado (O.S.: 40072)</t>
  </si>
  <si>
    <t>Aprovado (O.S.: 40044)</t>
  </si>
  <si>
    <t xml:space="preserve">ALMEIDA SAPATA ENGENHARIA E CONSTRUCOES LTDA </t>
  </si>
  <si>
    <t>Lucas Moreira</t>
  </si>
  <si>
    <t xml:space="preserve">+55 (11) 97865-8866 </t>
  </si>
  <si>
    <t xml:space="preserve">SUPERINTENDENCIA REGIONAL DE ADMINISTRACAO DA 3A REGIAO </t>
  </si>
  <si>
    <t xml:space="preserve">+55 (11) 96502-4788 </t>
  </si>
  <si>
    <t>Aprovado (O.S.: 40062)</t>
  </si>
  <si>
    <t xml:space="preserve">EDIFICIO JARDINS DA VILA </t>
  </si>
  <si>
    <t xml:space="preserve">+55 (11) 94022-3151 </t>
  </si>
  <si>
    <t>Aprovado (O.S.: 40056)</t>
  </si>
  <si>
    <t xml:space="preserve">44.056.389 DANIELLE CEZARINO LOPES </t>
  </si>
  <si>
    <t>Irene Lopes</t>
  </si>
  <si>
    <t xml:space="preserve">+55 (11) 99848-7011 </t>
  </si>
  <si>
    <t>Aprovado (O.S.: 40055)</t>
  </si>
  <si>
    <t xml:space="preserve">CENTRO EDUCACIONAL JOAO PAULO I S/S LTDA. </t>
  </si>
  <si>
    <t>Felipe De Sousa</t>
  </si>
  <si>
    <t xml:space="preserve">+55 (11) 98200-5566 </t>
  </si>
  <si>
    <t>Aprovado (O.S.: 40043)</t>
  </si>
  <si>
    <t xml:space="preserve">OSSEA TECHNOLOGY INDUSTRIA E COMERCIO LTDA </t>
  </si>
  <si>
    <t>Everson Santos</t>
  </si>
  <si>
    <t xml:space="preserve">+55 (19) 99245-2212 </t>
  </si>
  <si>
    <t>Aprovado (O.S.: 40169)</t>
  </si>
  <si>
    <t xml:space="preserve">SUPER HOST BRASIL LTDA. </t>
  </si>
  <si>
    <t>Felipe Fabian</t>
  </si>
  <si>
    <t xml:space="preserve">+55 (18) 98184-8740 </t>
  </si>
  <si>
    <t>Aprovado (O.S.: 40049)</t>
  </si>
  <si>
    <t xml:space="preserve">GRAPHIMAR IMPRESSOS </t>
  </si>
  <si>
    <t>GRAPHIMAR</t>
  </si>
  <si>
    <t xml:space="preserve">+55 (13) 3491-6711 </t>
  </si>
  <si>
    <t>Aprovado (O.S.: 40053)</t>
  </si>
  <si>
    <t xml:space="preserve">CONDOMINIO EDIFICIO PESCARA </t>
  </si>
  <si>
    <t>José Antonio Pereira</t>
  </si>
  <si>
    <t xml:space="preserve">+55 (11) 98145-4297 </t>
  </si>
  <si>
    <t xml:space="preserve">Vitor Tamotsu Tavares Akamine </t>
  </si>
  <si>
    <t>Vitor Tamotsu Tavares Akamine</t>
  </si>
  <si>
    <t xml:space="preserve">+55 (11) 99865-1777 </t>
  </si>
  <si>
    <t xml:space="preserve">Wanderley Coelho Baptista </t>
  </si>
  <si>
    <t xml:space="preserve">+55 (61) 9848-5375 </t>
  </si>
  <si>
    <t>Aprovado (O.S.: 40047)</t>
  </si>
  <si>
    <t xml:space="preserve">WAM </t>
  </si>
  <si>
    <t>Juliana Vieira</t>
  </si>
  <si>
    <t xml:space="preserve">+55 (12) 3202-0515 </t>
  </si>
  <si>
    <t>Aprovado (O.S.: 40184)</t>
  </si>
  <si>
    <t>Aprovado (O.S.: 40050)</t>
  </si>
  <si>
    <t xml:space="preserve">SOLECON ENERGIA - CONSULTORIA &amp; NEGOCIOS </t>
  </si>
  <si>
    <t xml:space="preserve">+55 (19) 9699-6355 </t>
  </si>
  <si>
    <t>Aprovado (O.S.: 40051)</t>
  </si>
  <si>
    <t>Aprovado (O.S.: 40052)</t>
  </si>
  <si>
    <t xml:space="preserve">BS DISTRIBUIDORA DE DESCARTAVEIS LTDA </t>
  </si>
  <si>
    <t>Bruna Pires</t>
  </si>
  <si>
    <t xml:space="preserve">+55 (11) 94742-4122 </t>
  </si>
  <si>
    <t xml:space="preserve">filipi casas </t>
  </si>
  <si>
    <t xml:space="preserve">+55 (47) 9965-4592 </t>
  </si>
  <si>
    <t>Aprovado (O.S.: 40054)</t>
  </si>
  <si>
    <t xml:space="preserve">PLAYPISO PISOS ESPORTIVOS LTDA </t>
  </si>
  <si>
    <t>Marcos Alencar</t>
  </si>
  <si>
    <t xml:space="preserve">+55 (11) 99886-7728 </t>
  </si>
  <si>
    <t>Obra - Aço Galvanizado 0,8mm</t>
  </si>
  <si>
    <t>Aprovado (O.S.: 40057)</t>
  </si>
  <si>
    <t xml:space="preserve">Monica Nicodemos de Mendonça Moreira </t>
  </si>
  <si>
    <t xml:space="preserve">+55 (11) 9992-3460 </t>
  </si>
  <si>
    <t>Aprovado (O.S.: 40058)</t>
  </si>
  <si>
    <t xml:space="preserve">TAYARA GILLO DA SILVA </t>
  </si>
  <si>
    <t xml:space="preserve">+55 (16) 9936-0497 </t>
  </si>
  <si>
    <t>Aprovado (O.S.: 40059)</t>
  </si>
  <si>
    <t xml:space="preserve">RIO PARANAPANEMA ENERGIA S.A. </t>
  </si>
  <si>
    <t>Angelica Silva Sesca</t>
  </si>
  <si>
    <t xml:space="preserve">+55 (14) 3342-9148 </t>
  </si>
  <si>
    <t>Sinalização/ IPLACAS - UNIDADE: UHE JURUMIRIM</t>
  </si>
  <si>
    <t>Davi Firmo</t>
  </si>
  <si>
    <t>Aprovado (O.S.: 40060)</t>
  </si>
  <si>
    <t>Angelica</t>
  </si>
  <si>
    <t xml:space="preserve">(41)3514-1800/(014)3421-01 </t>
  </si>
  <si>
    <t>Sinalização/ IPLACAS - UNIDADE: UHE CHAVANTES</t>
  </si>
  <si>
    <t>Sinalização/ IPLACAS - UNIDADE: UHE SALTO GRANDE</t>
  </si>
  <si>
    <t xml:space="preserve">CONSORCIO SOLAR CAMPO GRANDE </t>
  </si>
  <si>
    <t>Fátima Sudário</t>
  </si>
  <si>
    <t xml:space="preserve">+55 (85) 8967-7395 </t>
  </si>
  <si>
    <t>PS 2mm + FOTOL. 0,8mm + PVC EXP. FOTOL. 2mm* O/C 003874</t>
  </si>
  <si>
    <t>Aprovado (O.S.: 40185)</t>
  </si>
  <si>
    <t xml:space="preserve">CHENANDOA BARBOZA DA SILVA </t>
  </si>
  <si>
    <t>Chenandoa Silva</t>
  </si>
  <si>
    <t xml:space="preserve">+55 (17) 3288-9935 </t>
  </si>
  <si>
    <t>Aprovado (O.S.: 40088)</t>
  </si>
  <si>
    <t>Aprovado (O.S.: 40067)</t>
  </si>
  <si>
    <t xml:space="preserve">CONDOMINIO ABAETE 11 </t>
  </si>
  <si>
    <t>Roberta De Andrade</t>
  </si>
  <si>
    <t xml:space="preserve">+55 (19) 99191-6455 </t>
  </si>
  <si>
    <t>Aprovado (O.S.: 40063)</t>
  </si>
  <si>
    <t xml:space="preserve">AIRELA INDUSTRIA FARMACEUTICA LTDA </t>
  </si>
  <si>
    <t>Nascibem, Roger</t>
  </si>
  <si>
    <t xml:space="preserve">+55 (48) 9111-6172 </t>
  </si>
  <si>
    <t xml:space="preserve">ACOS PRIME LTDA </t>
  </si>
  <si>
    <t>Aprovado (O.S.: 40103)</t>
  </si>
  <si>
    <t xml:space="preserve">NMC DECO INDUSTRIA LTDA </t>
  </si>
  <si>
    <t>Gart - Compras</t>
  </si>
  <si>
    <t xml:space="preserve">+55 (11) 98302-0065 </t>
  </si>
  <si>
    <t xml:space="preserve">GERARDUS JOHANNES MARIA BARENDSE E OUTROS </t>
  </si>
  <si>
    <t>Kátia Symphony</t>
  </si>
  <si>
    <t xml:space="preserve">+55 (19) 99874-5375 </t>
  </si>
  <si>
    <t>Aprovado (O.S.: 40077)</t>
  </si>
  <si>
    <t>Aprovado (O.S.: 40070)</t>
  </si>
  <si>
    <t xml:space="preserve">JANUARIO DE NAPOLI GERACAO DE ENERGIA S/A </t>
  </si>
  <si>
    <t>Leandro Ribeiro Coelho</t>
  </si>
  <si>
    <t xml:space="preserve">(41)3310-6800/(41)3512-006 </t>
  </si>
  <si>
    <t xml:space="preserve">4TAKES </t>
  </si>
  <si>
    <t>Ana Peinado</t>
  </si>
  <si>
    <t xml:space="preserve">+55 (11) 5070-1915 </t>
  </si>
  <si>
    <t>Lais Helena - FINANCEIRO</t>
  </si>
  <si>
    <t>PS 2mm +Pedestal c/ bandeja</t>
  </si>
  <si>
    <t xml:space="preserve">EDIFICIO VISTA NACOES UNIDAS </t>
  </si>
  <si>
    <t>MC Prime - Operacional</t>
  </si>
  <si>
    <t xml:space="preserve">+55 (11) 97755-0200 </t>
  </si>
  <si>
    <t xml:space="preserve">EDIFICIO TOULON OFFICE CENTER </t>
  </si>
  <si>
    <t xml:space="preserve">+55 (19) 97401-0295 </t>
  </si>
  <si>
    <t>ALUMINIO + PVC EXP. FOTOL 2mm</t>
  </si>
  <si>
    <t>Kaká Machado ★彡</t>
  </si>
  <si>
    <t>Aprovado (O.S.: 40109)</t>
  </si>
  <si>
    <t>Aprovado (O.S.: 40073)</t>
  </si>
  <si>
    <t>Aprovado (O.S.: 40075)</t>
  </si>
  <si>
    <t>Aprovado (O.S.: 40074)</t>
  </si>
  <si>
    <t xml:space="preserve">Jaqueline Perlotti Baptista </t>
  </si>
  <si>
    <t xml:space="preserve">+55 (16) 9971-1455 </t>
  </si>
  <si>
    <t>Aprovado (O.S.: 40076)</t>
  </si>
  <si>
    <t xml:space="preserve">(41)3514-1800/(41)3514-185 </t>
  </si>
  <si>
    <t>Sinalização/ IPLACAS - UNIDADE: UHE CANOAS II</t>
  </si>
  <si>
    <t xml:space="preserve">BIAPANIDOCES </t>
  </si>
  <si>
    <t>PAULA REGINA PRICOLO</t>
  </si>
  <si>
    <t xml:space="preserve">+55 (19) 9340-4595 </t>
  </si>
  <si>
    <t>Aprovado (O.S.: 40078)</t>
  </si>
  <si>
    <t>Sinalização/ IPLACAS - UNIDADE: UHE CANOAS I</t>
  </si>
  <si>
    <t xml:space="preserve">(41)3514-1800/(41)3514-1855 </t>
  </si>
  <si>
    <t>Sinalização/ IPLACAS - UNIDADE: UHE TAQUARUÇU</t>
  </si>
  <si>
    <t xml:space="preserve">Daniel Lopes Nakashima Santos </t>
  </si>
  <si>
    <t xml:space="preserve">+55 (11) 9763-8383 </t>
  </si>
  <si>
    <t>Aprovado (O.S.: 40079)</t>
  </si>
  <si>
    <t>Sinalização/ IPLACAS - UNIDADE: UHE ROSANA</t>
  </si>
  <si>
    <t xml:space="preserve">ASSOCIACAO DOS AMIGOS DA CASA DO BANDEIRANTE - AACB </t>
  </si>
  <si>
    <t>Edu</t>
  </si>
  <si>
    <t>Aprovado (O.S.: 40089)</t>
  </si>
  <si>
    <t xml:space="preserve">+55 (41) 3514-1800 </t>
  </si>
  <si>
    <t>Sinalização/ IPLACAS - UNIDADE: PCH PALMEIRAS</t>
  </si>
  <si>
    <t>Sinalização/ IPLACAS - UNIDADE: PCH RETIRO</t>
  </si>
  <si>
    <t xml:space="preserve">RIO PARANA ENERGIA S.A. </t>
  </si>
  <si>
    <t>Sinalização/ IPLACAS - UNIDADE: UHE ILHA SOLTEIRA</t>
  </si>
  <si>
    <t xml:space="preserve">GLOBO BRASIL - INDUSTRIA DE PAINEIS SOLARES LTDA </t>
  </si>
  <si>
    <t>Jacqueline Qualidade</t>
  </si>
  <si>
    <t xml:space="preserve">+55 (19) 98231-1332 </t>
  </si>
  <si>
    <t>Aprovado (O.S.: 40129)</t>
  </si>
  <si>
    <t xml:space="preserve">AUGUSTO LOPES </t>
  </si>
  <si>
    <t xml:space="preserve">+55 (71) 9998-9807 </t>
  </si>
  <si>
    <t>Aprovado (O.S.: 40081)</t>
  </si>
  <si>
    <t>Aprovado (O.S.: 40082)</t>
  </si>
  <si>
    <t xml:space="preserve">ENGMOTION PROJETOS MECANICOS AUTOMACAO E USINAGEM LTDA </t>
  </si>
  <si>
    <t xml:space="preserve">+55 (19) 3794-1201 </t>
  </si>
  <si>
    <t>Aprovado (O.S.: 40158)</t>
  </si>
  <si>
    <t>Aprovado (O.S.: 40113)</t>
  </si>
  <si>
    <t xml:space="preserve">ILIOS SOLUCOES </t>
  </si>
  <si>
    <t>Kessiley</t>
  </si>
  <si>
    <t xml:space="preserve">+55 (35) 9719-1297 </t>
  </si>
  <si>
    <t>Aprovado (O.S.: 40090)</t>
  </si>
  <si>
    <t xml:space="preserve">ASSOCIACAO DOS AMIGOS DO RESIDENCIAL VILA VERDE </t>
  </si>
  <si>
    <t>Residencial Vila Verde</t>
  </si>
  <si>
    <t xml:space="preserve">+55 (19) 97143-3180 </t>
  </si>
  <si>
    <t>Aprovado (O.S.: 40117)</t>
  </si>
  <si>
    <t xml:space="preserve">SUPERBOM </t>
  </si>
  <si>
    <t>Compras Superbom</t>
  </si>
  <si>
    <t xml:space="preserve">+55 (11) 95144-0136 </t>
  </si>
  <si>
    <t xml:space="preserve">MBL PARK </t>
  </si>
  <si>
    <t>Camila Prado</t>
  </si>
  <si>
    <t xml:space="preserve">+55 (19) 99934-6158 </t>
  </si>
  <si>
    <t>Aprovado (O.S.: 40110)</t>
  </si>
  <si>
    <t>Aprovado (O.S.: 40091)</t>
  </si>
  <si>
    <t xml:space="preserve">MENDES VIANNA ADVOGADOS ASSOCIADOS </t>
  </si>
  <si>
    <t>Igor</t>
  </si>
  <si>
    <t xml:space="preserve">+55 (21) 97604-8408 </t>
  </si>
  <si>
    <t>VINIL FUNDO TRANSPARENTE</t>
  </si>
  <si>
    <t xml:space="preserve">ZARA CAFE LTDA </t>
  </si>
  <si>
    <t>Abymael Germano</t>
  </si>
  <si>
    <t xml:space="preserve">+55 (11) 95276-6194 </t>
  </si>
  <si>
    <t>Aprovado (O.S.: 40094)</t>
  </si>
  <si>
    <t>Sinalização/ IPLACAS - O/C 122.254</t>
  </si>
  <si>
    <t>Aprovado (O.S.: 40211)</t>
  </si>
  <si>
    <t xml:space="preserve">consumidor final </t>
  </si>
  <si>
    <t xml:space="preserve">+55 322 685 88 </t>
  </si>
  <si>
    <t>Aprovado (O.S.: 40092)</t>
  </si>
  <si>
    <t xml:space="preserve">SINDICATO DOS TRABALHADORES EM RESTAURANTES </t>
  </si>
  <si>
    <t xml:space="preserve">+55 (19) 99299-1853 </t>
  </si>
  <si>
    <t>Aprovado (O.S.: 40093)</t>
  </si>
  <si>
    <t>Sinalização/ IPLACAS - MEDALHA ACRILICO - O/C 122.389</t>
  </si>
  <si>
    <t>Aprovado (O.S.: 40230)</t>
  </si>
  <si>
    <t xml:space="preserve">CONDOMINIO 2000 </t>
  </si>
  <si>
    <t>CONDOMÍNIO CONJUNTO RESIDENCIAL ALTO DE PINHEIROS 2000</t>
  </si>
  <si>
    <t xml:space="preserve">+55 (11) 9666-2345 </t>
  </si>
  <si>
    <t>Aprovado (O.S.: 40095)</t>
  </si>
  <si>
    <t xml:space="preserve">Giuliana Castelano </t>
  </si>
  <si>
    <t xml:space="preserve">+55 (11) 99960-8812 </t>
  </si>
  <si>
    <t>Aprovado (O.S.: 40099)</t>
  </si>
  <si>
    <t xml:space="preserve">ASSOCIACAO PARA CRIANCAS E ADOLESCENTES COM CANCER - TUCCA </t>
  </si>
  <si>
    <t>Robério Silva Guimarães</t>
  </si>
  <si>
    <t xml:space="preserve">+55 (11) 3014-9366 </t>
  </si>
  <si>
    <t>Aprovado (O.S.: 40102)</t>
  </si>
  <si>
    <t>Centro Kennedy Cooporativ</t>
  </si>
  <si>
    <t>Aprovado (O.S.: 40105)</t>
  </si>
  <si>
    <t xml:space="preserve">ATLANTIS CONTABILIDADE DIGITAL </t>
  </si>
  <si>
    <t>Jéssyca Talita da Silva</t>
  </si>
  <si>
    <t xml:space="preserve">+55 (12) 3961-2907 </t>
  </si>
  <si>
    <t>Aprovado (O.S.: 40104)</t>
  </si>
  <si>
    <t xml:space="preserve">Simone de Fátima Cavallaro </t>
  </si>
  <si>
    <t xml:space="preserve">+55 (11) 9738-9144 </t>
  </si>
  <si>
    <t>Aprovado (O.S.: 40108)</t>
  </si>
  <si>
    <t xml:space="preserve">SILKSTAR </t>
  </si>
  <si>
    <t>LAURA SILKSTAR</t>
  </si>
  <si>
    <t xml:space="preserve">+55 (19) 99999-8836 </t>
  </si>
  <si>
    <t>Aprovado (O.S.: 40127)</t>
  </si>
  <si>
    <t xml:space="preserve">AVM SOLUCOES COMERCIAIS LTDA </t>
  </si>
  <si>
    <t>Carlos Augusto</t>
  </si>
  <si>
    <t xml:space="preserve">+55 (11) 96168-1504 </t>
  </si>
  <si>
    <t>Aprovado (O.S.: 40194)</t>
  </si>
  <si>
    <t xml:space="preserve">CLINICAL SEGG ACESSIBILIDADE &amp; SEGURANCA </t>
  </si>
  <si>
    <t>ELAINE - CLINICAL SEGG</t>
  </si>
  <si>
    <t xml:space="preserve">+55 (16) 99961-8776 </t>
  </si>
  <si>
    <t>Aprovado (O.S.: 40122)</t>
  </si>
  <si>
    <t>Cond. Netuno</t>
  </si>
  <si>
    <t>Aprovado (O.S.: 40143)</t>
  </si>
  <si>
    <t>MARIANA - SACRES ALPHAVILLE</t>
  </si>
  <si>
    <t>Aprovado (O.S.: 40160)</t>
  </si>
  <si>
    <t xml:space="preserve">RESET METALURGICA LTDA </t>
  </si>
  <si>
    <t>Guilherme Pelissari</t>
  </si>
  <si>
    <t xml:space="preserve">+55 (43) 9191-8833 </t>
  </si>
  <si>
    <t>Aprovado (O.S.: 40131)</t>
  </si>
  <si>
    <t xml:space="preserve">ESCOLA DE EDUCACAO BASICA FUNDACAO BRADESCO </t>
  </si>
  <si>
    <t>Gislene Aparecida Miranda Sonoda</t>
  </si>
  <si>
    <t xml:space="preserve">+55 (11) 3694-0496 </t>
  </si>
  <si>
    <t xml:space="preserve">CONDOMINIO EDIFICIO NEW LIFE </t>
  </si>
  <si>
    <t>CONDOMINIO NEW LIFE</t>
  </si>
  <si>
    <t xml:space="preserve">+55 (11) 9961-7218 </t>
  </si>
  <si>
    <t>Aprovado (O.S.: 40123)</t>
  </si>
  <si>
    <t xml:space="preserve">RGT ELETRONICA LTDA </t>
  </si>
  <si>
    <t>Daniel Cortez</t>
  </si>
  <si>
    <t xml:space="preserve">+55 (11) 2147-3000 </t>
  </si>
  <si>
    <t xml:space="preserve">ELAINE ALVES DE OLIVEIRA CARNEIRO </t>
  </si>
  <si>
    <t xml:space="preserve">+55 (16) 9971-0197 </t>
  </si>
  <si>
    <t>Aprovado (O.S.: 40125)</t>
  </si>
  <si>
    <t>ABQM Dep Compras</t>
  </si>
  <si>
    <t>Aprovado (O.S.: 40199)</t>
  </si>
  <si>
    <t>Sinalização/ IPLACAS - O/C 122.670</t>
  </si>
  <si>
    <t>Aprovado (O.S.: 40284)</t>
  </si>
  <si>
    <t xml:space="preserve">ESTACAO EXPERIMENTAL TAKII </t>
  </si>
  <si>
    <t>Edison Mome</t>
  </si>
  <si>
    <t xml:space="preserve">+55 (11) 97275-7137 </t>
  </si>
  <si>
    <t>Aprovado (O.S.: 40156)</t>
  </si>
  <si>
    <t xml:space="preserve">BLOCO C DA SQN 116 </t>
  </si>
  <si>
    <t>ASSOCIACAO DO BLOCO C DA SQN 116</t>
  </si>
  <si>
    <t xml:space="preserve">+55 (21) 7500-4446 </t>
  </si>
  <si>
    <t>Aprovado (O.S.: 40126)</t>
  </si>
  <si>
    <t xml:space="preserve">CONSULADO GERAL DE PORTUGAL EM SAO PAULO </t>
  </si>
  <si>
    <t>Deise Bertho</t>
  </si>
  <si>
    <t xml:space="preserve">+55 (11) 97456-9204 </t>
  </si>
  <si>
    <t>Aprovado (O.S.: 40130)</t>
  </si>
  <si>
    <t xml:space="preserve">SCOTT FERRAMENTAS EM GERAL </t>
  </si>
  <si>
    <t>Scott Ferramentas /Vendas</t>
  </si>
  <si>
    <t xml:space="preserve">+55 (35) 91018-4934 </t>
  </si>
  <si>
    <t>ALUMINIO +VINIL</t>
  </si>
  <si>
    <t xml:space="preserve">AMS INSTALACOES E CONSTRUCOES </t>
  </si>
  <si>
    <t>Mirian Martinez Sachez</t>
  </si>
  <si>
    <t xml:space="preserve">+55 (11) 4556-0756 </t>
  </si>
  <si>
    <t>JULLIANA RENATA QUINTILIANO</t>
  </si>
  <si>
    <t>Aprovado (O.S.: 40134)</t>
  </si>
  <si>
    <t xml:space="preserve">EBLG EMBALAGENS </t>
  </si>
  <si>
    <t xml:space="preserve">+55 (27) 9223-0284 </t>
  </si>
  <si>
    <t>Aprovado (O.S.: 40135)</t>
  </si>
  <si>
    <t xml:space="preserve">BECKER STUDIOS RENTALS </t>
  </si>
  <si>
    <t>Becker Studios for Contatos</t>
  </si>
  <si>
    <t xml:space="preserve">+55 (11) 91983-4895 </t>
  </si>
  <si>
    <t>Aprovado (O.S.: 40142)</t>
  </si>
  <si>
    <t xml:space="preserve">IBCC </t>
  </si>
  <si>
    <t>Ewerton Maia</t>
  </si>
  <si>
    <t xml:space="preserve">+55 (11) 93216-5848 </t>
  </si>
  <si>
    <t>ALUMINIO *O/C 155672</t>
  </si>
  <si>
    <t>Aprovado (O.S.: 40167)</t>
  </si>
  <si>
    <t xml:space="preserve">SAG AMBIENTAL SA </t>
  </si>
  <si>
    <t>SAG Ambiental</t>
  </si>
  <si>
    <t xml:space="preserve">+55 (11) 4208-4011 </t>
  </si>
  <si>
    <t xml:space="preserve">Igor Salatti Ferrari </t>
  </si>
  <si>
    <t>Igor Salatti Ferrari</t>
  </si>
  <si>
    <t xml:space="preserve">+55 (51) 9843-0477 </t>
  </si>
  <si>
    <t xml:space="preserve">PEDREIRA PRONTA ENTREGA LTDA </t>
  </si>
  <si>
    <t>Paulo Fernando</t>
  </si>
  <si>
    <t xml:space="preserve">+55 (22) 99994-6200 </t>
  </si>
  <si>
    <t>Aprovado (O.S.: 40137)</t>
  </si>
  <si>
    <t xml:space="preserve">BRR ASSESSORIA DE COBRANCA E ADM DE CREDIARIO LTDA </t>
  </si>
  <si>
    <t xml:space="preserve">+55 (21) 3824-8888 </t>
  </si>
  <si>
    <t>Aprovado (O.S.: 40138)</t>
  </si>
  <si>
    <t xml:space="preserve">ANEAS </t>
  </si>
  <si>
    <t>Larissa Santos/BRA</t>
  </si>
  <si>
    <t>FOTOL. 0,8mm + PVC EXP. FOTOL. 2mm + PS 2mm</t>
  </si>
  <si>
    <t xml:space="preserve">Cleria Maria Barcelos da Costa </t>
  </si>
  <si>
    <t xml:space="preserve">+55 (51) 9985-0063 </t>
  </si>
  <si>
    <t>Aprovado (O.S.: 40139)</t>
  </si>
  <si>
    <t xml:space="preserve">ELETRICA HIGHER LTDA </t>
  </si>
  <si>
    <t>Higher Compras</t>
  </si>
  <si>
    <t xml:space="preserve">+55 (12) 3931-3858 </t>
  </si>
  <si>
    <t xml:space="preserve">SANTO ROCK BAR </t>
  </si>
  <si>
    <t xml:space="preserve">+55 (11) 94734-2688 </t>
  </si>
  <si>
    <t>Aprovado (O.S.: 40151)</t>
  </si>
  <si>
    <t xml:space="preserve">Sidnei Fábio Murgo </t>
  </si>
  <si>
    <t xml:space="preserve">+55 (18) 9978-1587 </t>
  </si>
  <si>
    <t>Aprovado (O.S.: 40140)</t>
  </si>
  <si>
    <t>Produto</t>
  </si>
  <si>
    <t>Placa de Sinalização em ACM3mm</t>
  </si>
  <si>
    <t>Placa de Sinalização em PS2mm</t>
  </si>
  <si>
    <t>Placa de Sinalização em PS 1mm</t>
  </si>
  <si>
    <t>Placa de Sinalização em Alumínio 0,5mm</t>
  </si>
  <si>
    <t>Vinil Branco Fosco 0.10</t>
  </si>
  <si>
    <t>Acrílico Transparente 2mm</t>
  </si>
  <si>
    <t>Vinil Refletivo</t>
  </si>
  <si>
    <t>Pet Cali</t>
  </si>
  <si>
    <t>Placa Rota de Fuga</t>
  </si>
  <si>
    <t>Molde Gabarito para Pintura</t>
  </si>
  <si>
    <t>Serviço de impressão UV</t>
  </si>
  <si>
    <t>Adesivos IC</t>
  </si>
  <si>
    <t>Lona Frontlight Fosca 380g</t>
  </si>
  <si>
    <t>Placa Emergência Combate Incêndio</t>
  </si>
  <si>
    <t>Poste para placa de trânsito</t>
  </si>
  <si>
    <t>Placa em PVC Expandido Branco 2mm</t>
  </si>
  <si>
    <t>Vinil Branco Brilho 0.10</t>
  </si>
  <si>
    <t>Cavalete Plástico Amarelo</t>
  </si>
  <si>
    <t>Placa de Transito</t>
  </si>
  <si>
    <t>Placas em Polionda</t>
  </si>
  <si>
    <t>Placa de Sinalização em Aluminio 0,5mm</t>
  </si>
  <si>
    <t>Placa de Sinalização em PVC Expandido Fotoluminescente 2mm</t>
  </si>
  <si>
    <t>Acrílico Preto 2mm</t>
  </si>
  <si>
    <t>Vinil Recorte Eletrônico</t>
  </si>
  <si>
    <t>Vinil Recorte Eletrônico Oracal Colorido</t>
  </si>
  <si>
    <t>Placa em PVC Expandido</t>
  </si>
  <si>
    <t>Placa Aço Galvanizado</t>
  </si>
  <si>
    <t>Placa de Sinalização em PS 3mm</t>
  </si>
  <si>
    <t>PETG</t>
  </si>
  <si>
    <t>Vinil Transparente 0.10</t>
  </si>
  <si>
    <t>Placa de Sinalização em Alumínio 1mm</t>
  </si>
  <si>
    <t>Prestação de Serviços</t>
  </si>
  <si>
    <t>Placa de Sinalização em ACM MACFIT 2mm</t>
  </si>
  <si>
    <t>Kit abraçadeira para placa de trânsito</t>
  </si>
  <si>
    <t>PVC Semi Rígido 0,3mm Branco</t>
  </si>
  <si>
    <t>Vinil Recorte Vermelho</t>
  </si>
  <si>
    <t>Acrílico Transparente 3mm</t>
  </si>
  <si>
    <t>Acrílico Branco 2mm</t>
  </si>
  <si>
    <t>Placa de Sinalização em PS1mm</t>
  </si>
  <si>
    <t>Lona Frontlight Brilho 380g</t>
  </si>
  <si>
    <t>Acrílico Transparente 10mm 2,00x1,00</t>
  </si>
  <si>
    <t>Placa Pavimento</t>
  </si>
  <si>
    <t>Placa de Sinalização em PVC Expandido 2mm</t>
  </si>
  <si>
    <t>Placa de Sinalização em Acrilico 2mm</t>
  </si>
  <si>
    <t>Letras Caixas</t>
  </si>
  <si>
    <t>Fita Demarcação Solo</t>
  </si>
  <si>
    <t>Acrílico Transparente 5mm</t>
  </si>
  <si>
    <t>Sinalização Veículo Longo</t>
  </si>
  <si>
    <t>Placa de Sinalização em ACM 3mm</t>
  </si>
  <si>
    <t>Placa de Sinalização em PS 0,5mm</t>
  </si>
  <si>
    <t>Display Porta Preço Gôndola</t>
  </si>
  <si>
    <t>Troféu em acrílico</t>
  </si>
  <si>
    <t>Vinil Jateado</t>
  </si>
  <si>
    <t>Wobbler Promocional</t>
  </si>
  <si>
    <t>vinil black out</t>
  </si>
  <si>
    <t>Manta Magnética</t>
  </si>
  <si>
    <t>Placa de Sinalização em PS Cristal 2mm</t>
  </si>
  <si>
    <t>Papel kraft 80gr</t>
  </si>
  <si>
    <t>Porta Banner Rollup</t>
  </si>
  <si>
    <t>Placa Atendimento Preferencial - Braile 30 x 42 cm</t>
  </si>
  <si>
    <t>Suporte em alumínio 10mm</t>
  </si>
  <si>
    <t>Vinil Recorte Branco</t>
  </si>
  <si>
    <t>Vinil Oracal</t>
  </si>
  <si>
    <t>Prolongador Aluminio</t>
  </si>
  <si>
    <t>Vinil Recorte Preto</t>
  </si>
  <si>
    <t>Placa Fotoluminescente M2 - Lotação Máxima</t>
  </si>
  <si>
    <t>Aço Inox escovado 22</t>
  </si>
  <si>
    <t>Placa M1 - Fotoluminescente</t>
  </si>
  <si>
    <t>Vinil Transparente Fosco 0.10</t>
  </si>
  <si>
    <t>vinil black out brilho 0,10</t>
  </si>
  <si>
    <t>Modelo</t>
  </si>
  <si>
    <t>Variação</t>
  </si>
  <si>
    <t>Equipamentos</t>
  </si>
  <si>
    <t>Acabamentos</t>
  </si>
  <si>
    <t>Quantidade</t>
  </si>
  <si>
    <t>Unid</t>
  </si>
  <si>
    <t>Valor</t>
  </si>
  <si>
    <t>Valor Médio por produto</t>
  </si>
  <si>
    <t>m²</t>
  </si>
  <si>
    <t>Epson V7000 Fletbed</t>
  </si>
  <si>
    <t>Fixação por dupla face</t>
  </si>
  <si>
    <t>S/M</t>
  </si>
  <si>
    <t>un</t>
  </si>
  <si>
    <t>10mm</t>
  </si>
  <si>
    <t>Sem Acabamento</t>
  </si>
  <si>
    <t>--</t>
  </si>
  <si>
    <t>4 furos</t>
  </si>
  <si>
    <t>EPSON S40 160cm</t>
  </si>
  <si>
    <t>Router CNC Corte</t>
  </si>
  <si>
    <t>Outros (especifique)</t>
  </si>
  <si>
    <t>branco brilho 0.10</t>
  </si>
  <si>
    <t>Personalizado</t>
  </si>
  <si>
    <t>2,00x0,080m</t>
  </si>
  <si>
    <t>PVC Expandido 10mm</t>
  </si>
  <si>
    <t>Epson V7000 Fletbed , Router CNC Corte</t>
  </si>
  <si>
    <t>Mimaki 135cm</t>
  </si>
  <si>
    <t>Mascara de Papel</t>
  </si>
  <si>
    <t>ml</t>
  </si>
  <si>
    <t>Autismo</t>
  </si>
  <si>
    <t>PARE 170x70cm</t>
  </si>
  <si>
    <t>Letras 20x15cm Kit com 26 (A a Z)</t>
  </si>
  <si>
    <t>2 Furos</t>
  </si>
  <si>
    <t>4 furos, Outros (especifique)</t>
  </si>
  <si>
    <t>Cristal</t>
  </si>
  <si>
    <t>2 polegadas x 1,25mm</t>
  </si>
  <si>
    <t>Carga E Descarga 385x32,8cm</t>
  </si>
  <si>
    <t>Laminado Brilho</t>
  </si>
  <si>
    <t>Numeros 40x30cm Kit com 10 (0 a 9)</t>
  </si>
  <si>
    <t>Numeros 20x15cm Kit com 10 (0 a 9)</t>
  </si>
  <si>
    <t>Vinil Reflletivo</t>
  </si>
  <si>
    <t>Faixa Zebrada 130x130cm</t>
  </si>
  <si>
    <t>Octagonal 60x60cm (25cm lado)</t>
  </si>
  <si>
    <t>Reforço e Ilhós</t>
  </si>
  <si>
    <t>Adesivo Lateral Carreta 2,00x0,53m</t>
  </si>
  <si>
    <t>PNE 120x120cm</t>
  </si>
  <si>
    <t>IDOSO 175x40cm</t>
  </si>
  <si>
    <t>Ambulancia 60x60cm</t>
  </si>
  <si>
    <t>EPSON S40 160cm , Mimaki 135cm</t>
  </si>
  <si>
    <t>Laminação Fosca</t>
  </si>
  <si>
    <t>Laminado Brilho, Sem Acabamento</t>
  </si>
  <si>
    <t>Faixa Zebrada 100x100cm</t>
  </si>
  <si>
    <t>PNE 100x100cm</t>
  </si>
  <si>
    <t>IDOSO 100x100cm</t>
  </si>
  <si>
    <t>GESTANTE 100x100cm</t>
  </si>
  <si>
    <t>brilho 0,10</t>
  </si>
  <si>
    <t>Ciclofaixa 110x110cm</t>
  </si>
  <si>
    <t>IDOSO 120cmx120cm</t>
  </si>
  <si>
    <t>Rolo de Faixa Refletiva 5cm x 50m</t>
  </si>
  <si>
    <t>Regulamentação 50cm diâm.</t>
  </si>
  <si>
    <t>Refilado</t>
  </si>
  <si>
    <t>PNE 60x60cm</t>
  </si>
  <si>
    <t>Pedestre Ciclofaixa 90x50</t>
  </si>
  <si>
    <t>Numero 20x15cm (UNITARIO)</t>
  </si>
  <si>
    <t>Aplicado</t>
  </si>
  <si>
    <t>IDOSO 60x60cm</t>
  </si>
  <si>
    <t>Ilhós nas pontas</t>
  </si>
  <si>
    <t>8mm</t>
  </si>
  <si>
    <t>Bastão perfil C</t>
  </si>
  <si>
    <t>Bastão Grosso</t>
  </si>
  <si>
    <t>Abraçadeira Logradouro</t>
  </si>
  <si>
    <t>Modelo JULHO/2019</t>
  </si>
  <si>
    <t>Pedestre Ciclofaixa 50x30</t>
  </si>
  <si>
    <t>24x33cm</t>
  </si>
  <si>
    <t>Linha Vaga de Estacionamento 100X20cm</t>
  </si>
  <si>
    <t>Cuidado - limpeza de andamento</t>
  </si>
  <si>
    <t>Atenção - Banheiro em manutenção</t>
  </si>
  <si>
    <t>Use máscara - piso molhado</t>
  </si>
  <si>
    <t>Atenção - Piscina em manutenção</t>
  </si>
  <si>
    <t>Atenção - Elevador em manutenção</t>
  </si>
  <si>
    <t>Chão Úmido - Risco de Queda</t>
  </si>
  <si>
    <t>Use máscara - pela proteção de todos</t>
  </si>
  <si>
    <t>S18-40x15 - Aperte e Empurre</t>
  </si>
  <si>
    <t>Galv. a fogo 40cm - tipo régua</t>
  </si>
  <si>
    <t>120x62cm</t>
  </si>
  <si>
    <t>1º 18x18</t>
  </si>
  <si>
    <t>S121-40x15 - Saída de Emergência</t>
  </si>
  <si>
    <t>S12-40x15 - Saída</t>
  </si>
  <si>
    <t>S13-40x15 - Saida a Direita</t>
  </si>
  <si>
    <t>S131-40x15 - Saida a Esquerda</t>
  </si>
  <si>
    <t>S132-40x15 - Saida de Emergencia Esqueda</t>
  </si>
  <si>
    <t>25x5cm</t>
  </si>
  <si>
    <t>E5C-20X10 - Extintor de Incêndio PQ ABC</t>
  </si>
  <si>
    <t>E5B-30X15 - Extintor de Incêndio Água</t>
  </si>
  <si>
    <t>S1-30x15 - Rota de Fuga Reta Direita</t>
  </si>
  <si>
    <t>S2-30X15 - Rota de Fuga Reta Esquerda</t>
  </si>
  <si>
    <t>E5-30X15 - Extintor de Incêndio Sem Descrição</t>
  </si>
  <si>
    <t>E5A-30X15 - Extintor de Incêndio PQ</t>
  </si>
  <si>
    <t>E5H-20X20 -Extintor De Incêndio Água</t>
  </si>
  <si>
    <t>25x10</t>
  </si>
  <si>
    <t>S3-30X15 - Saida Adiante</t>
  </si>
  <si>
    <t>S9-30X15 - Desde Escada Esquerda</t>
  </si>
  <si>
    <t>S11-30X15 - Sobe Escada Direita</t>
  </si>
  <si>
    <t>S8-30X15 - Desde Escada Direita</t>
  </si>
  <si>
    <t>Tipo D</t>
  </si>
  <si>
    <t>E5D-30X15 - Extintor de Incêndio PQ BC</t>
  </si>
  <si>
    <t>E5C-30X15 - Extintor de Incêndio PQ ABC</t>
  </si>
  <si>
    <t>E5E-30X15 - Extintor de Incêndio CO2</t>
  </si>
  <si>
    <t>E5F-30X15 - Extintor de Incêndio Espuma Mecânica</t>
  </si>
  <si>
    <t>E8-30X15 - Hidrante</t>
  </si>
  <si>
    <t>E8-20X10 - Hidrante</t>
  </si>
  <si>
    <t>Adesivo Veículo Rastreado Refletivo Vermelho</t>
  </si>
  <si>
    <t>Adesivo A Serviço de IC Transportes</t>
  </si>
  <si>
    <t>E5E-20X10 - Extintor de Incêndio CO2</t>
  </si>
  <si>
    <t>30X20cm</t>
  </si>
  <si>
    <t>Cromado 25mm</t>
  </si>
  <si>
    <t>Placa Vende/Aluga Personalizada - Polionda 60x40cm</t>
  </si>
  <si>
    <t>S121-25x10 - Saída de Emergência</t>
  </si>
  <si>
    <t>13º 18x18</t>
  </si>
  <si>
    <t>M4M-25X10 - Porta Corta Fogo Mantenha Fechada</t>
  </si>
  <si>
    <t>Adesivo Refletivo Veloc. 60km/h Redondo</t>
  </si>
  <si>
    <t>S12-25x10 - Saida</t>
  </si>
  <si>
    <t>Tº 18x18</t>
  </si>
  <si>
    <t>3º 18x18</t>
  </si>
  <si>
    <t>4º 18x18</t>
  </si>
  <si>
    <t>2º 18x18</t>
  </si>
  <si>
    <t>E5D-20X10 - Extintor de Incêndio PQ BC</t>
  </si>
  <si>
    <t>E1-20X10 - Alarme de Incendio LI</t>
  </si>
  <si>
    <t>E5H-16X16 -Extintor De Incêndio Água</t>
  </si>
  <si>
    <t>S131-25x10 - Saida a Esquerda</t>
  </si>
  <si>
    <t>EM-25X10 - Em Caso de Incêndio não use o elevador</t>
  </si>
  <si>
    <t>Adesivo Refletivo Veloc. 75km/h Redondo</t>
  </si>
  <si>
    <t>Adesivo Refletivo Veloc. 80km/h Redondo</t>
  </si>
  <si>
    <t>S18-25x10 - Aperte e Empurre</t>
  </si>
  <si>
    <t>S13-25x10 - Saida a Direita</t>
  </si>
  <si>
    <t>S133-25x10 - Saida de Emergencia Direita</t>
  </si>
  <si>
    <t>E5-20X10 - Extintor de Incêndio Sem Descrição</t>
  </si>
  <si>
    <t>5º 18x18</t>
  </si>
  <si>
    <t>6º 18x18</t>
  </si>
  <si>
    <t>7º 18x18</t>
  </si>
  <si>
    <t>8º 18x18</t>
  </si>
  <si>
    <t>9º 18x18</t>
  </si>
  <si>
    <t>SSº 18x18</t>
  </si>
  <si>
    <t>S132-25x10 - Saida de Emergencia Esqueda</t>
  </si>
  <si>
    <t>10º 18x18</t>
  </si>
  <si>
    <t>11º 18x18</t>
  </si>
  <si>
    <t>12º 18x18</t>
  </si>
  <si>
    <t>E5-16X16 - Extintor de Incendio Espuma Mecanica</t>
  </si>
  <si>
    <t>Placa Propriedade Particular Polionda 60x40cm</t>
  </si>
  <si>
    <t>Placa Proibido Jogar Lixo e Entulho Polionda 60x40cm</t>
  </si>
  <si>
    <t>E7-20X10 - Mangueira</t>
  </si>
  <si>
    <t>Placa Proibida Bebida Alcoólica -18 Anos Aluminio 25x20cm</t>
  </si>
  <si>
    <t>E2-20X10 - Alarme de Incendio PA</t>
  </si>
  <si>
    <t>E5A-20X10 - Extintor de Incêndio PQ</t>
  </si>
  <si>
    <t>30x20cm</t>
  </si>
  <si>
    <t>E3-20X10 - Bomba de Incendio</t>
  </si>
  <si>
    <t>E5B-20X10 - Extintor de Incêndio Água</t>
  </si>
  <si>
    <t>S8-20X10 - Desde Escada Direita</t>
  </si>
  <si>
    <t>E3A-20X10 - Bomba de Incendio Quebre o vidro</t>
  </si>
  <si>
    <t>S2-20X10 - Rota de Fuga Reta Esquerda</t>
  </si>
  <si>
    <t>S3-20X10 - Saida Adiante</t>
  </si>
  <si>
    <t>S1-20x10 - Rota de Fuga Reta Direita</t>
  </si>
  <si>
    <t>S9-20X10 - Desde Escada Esquerda</t>
  </si>
  <si>
    <t>S10-20X10 - Sobe Escada Esquerda</t>
  </si>
  <si>
    <t>E5F-20X10 - Extintor de Incêndio Espuma Mecânica</t>
  </si>
  <si>
    <t>S11-20X10 - Sobe Escada Direita</t>
  </si>
  <si>
    <t>Placa Vende/Aluga Personalizada - Polionda 50x40cm</t>
  </si>
  <si>
    <t>Placa Proibido Fumar Lei Anti-fumo Estado Sp Aluminio 25x20cm</t>
  </si>
  <si>
    <t>Placa Aviso O Ambiente Está Sendo Filmado Aluminio 25x20cm</t>
  </si>
  <si>
    <t>Placa Sinalização Proibido Fumar Lei Federal Aluminio 25x20 cm</t>
  </si>
  <si>
    <t>Placa Padrão Geração Propria Risco De Choque Aluminio 25X18cm</t>
  </si>
  <si>
    <t>13x13cm</t>
  </si>
  <si>
    <t>Amarela</t>
  </si>
  <si>
    <t>Adesivo IC+Fone</t>
  </si>
  <si>
    <t>Placa Estaciona Vaga Exclusiva Idoso Obrigatório PS1mm 35X25cm</t>
  </si>
  <si>
    <t>Placa Estaciona Vaga Exclusiva Pne Obrigatório PS1mm 35x25cm</t>
  </si>
  <si>
    <t>13x13m</t>
  </si>
  <si>
    <t>Placa Sinalização Proibido Fumar Lei Federa Aluminio l 20x15cm</t>
  </si>
  <si>
    <t>Placa Gás Inflamável 32x23cm em PS 1mm</t>
  </si>
  <si>
    <t>Placa Vende/Aluga Personalizada - Polionda 40x30cm</t>
  </si>
  <si>
    <t>Placa Ambiente Monitorado Por Câmeras De Segurança Aluminio 0,5mm 20X15cm</t>
  </si>
  <si>
    <t>Placa Central de Gás GLP 32x23cm em PS 1mm</t>
  </si>
  <si>
    <t>Placa Aviso O Ambiente Está Sendo Filmado PS1mm 30x20cm</t>
  </si>
  <si>
    <t>Placa Advertência Aviso Cuidado Cão Bravo Pitbull PS1mm 30x20cm</t>
  </si>
  <si>
    <t>PS 0,5mm</t>
  </si>
  <si>
    <t>Placa Risco Choq Elétrico Enel Gerador Energia Aluminio 15x15</t>
  </si>
  <si>
    <t>Placa Sorria Você Está Sendo Filmado Câmera Alumínio 15x15cm</t>
  </si>
  <si>
    <t>Placa Aviso Proibido Uso De Celular Nesta Área PS1mm 30x20cm</t>
  </si>
  <si>
    <t>Placa Advertência Aviso Cuidado Cão Bravo Rottweiler PS1mm 30x20cm</t>
  </si>
  <si>
    <t>Placas Proibido Estacionar Nem Por 1 Min Vaga Garagem PS1mm 30x20cm</t>
  </si>
  <si>
    <t>Placa Indicativa Gas Inflamável/ Proibido Fumar/ Não Provoque Chamas PS1mm 30x20cm</t>
  </si>
  <si>
    <t>Placa Proibido Estacionar Reservado P/ Carga E Descarga PS1mm 30x20cm</t>
  </si>
  <si>
    <t>Placa Indicativa Segurança Aviso Uso Obrigatório Epi PS1mm 30x20cm</t>
  </si>
  <si>
    <t>Placa Atenção Acesso Restrito Somente Pessoal Autorizado PS1mm 30x20cm</t>
  </si>
  <si>
    <t>Placa Proibido Estacionar Garagem Dia E Noite PS1mm 30x20cm</t>
  </si>
  <si>
    <t>Placa Advertência Aviso Cuidado Cão Bravo Pastor Alemão PS1mm 30x20cm</t>
  </si>
  <si>
    <t>Placa em Alumini0 0,5mm Cuidado Geração Distribuída Copel</t>
  </si>
  <si>
    <t>C1-20X7 - Seta de Rodapé</t>
  </si>
  <si>
    <t>Placa Padrão Geração Propria Risco De Choque PS1mm 25X18cm</t>
  </si>
  <si>
    <t>Adesivo Proibido Parar e Estacionar GARAGEM DIA E NOITE 35x25cm</t>
  </si>
  <si>
    <t>Placa Sinalização Proibido A Entrada De Animais PS1mm 25X20cm</t>
  </si>
  <si>
    <t>Placa Sinalização Proibido Fumar Lei Estadual PS1mm 25X20cm</t>
  </si>
  <si>
    <t>Placa Proibida Bebida Alcoólica -18 Anos PS1mm 25X20cm</t>
  </si>
  <si>
    <t>PVC Cristal 0,5mm</t>
  </si>
  <si>
    <t>Placa Padrão Geração Propria Risco De Choque Aluminio 13x13cm</t>
  </si>
  <si>
    <t>Placa Sinalização Proibido Fumar Lei Federal PS1mm 20X15cm</t>
  </si>
  <si>
    <t>Placa Quadro de Força PS1mm 20X15cm</t>
  </si>
  <si>
    <t>Placa Ambiente Monitorado Por Câmera de Segurança 20x15cm PS</t>
  </si>
  <si>
    <t>Placa Aviso Sinalização Proibido Uso De Celular PS1mm 20X15cm</t>
  </si>
  <si>
    <t>Adesivo Nº de Frota Carreta 15x7,5cm</t>
  </si>
  <si>
    <t>Placa ENEL Risco de Choque Eletrico PS 1mm 15x15cm</t>
  </si>
  <si>
    <t>Placa Sinalização Wi-Fi Senha 15x15cm PS1mm</t>
  </si>
  <si>
    <t>Placa Padrão Geração Propria Risco De Choque 13x13cm PS1mm</t>
  </si>
  <si>
    <t>Placa de Porta Maçaneta Vermelha em PS 1mm18x8cm</t>
  </si>
  <si>
    <t>Placa de Porta Maçaneta Amarela em PS 1mm18x8cm</t>
  </si>
  <si>
    <t>Placa de Porta Maçaneta Branca Flork em PS 1mm18x8cm</t>
  </si>
  <si>
    <t>Adesivos Coleta Seletiva Vinil 15x15cm - Dvs Modelos</t>
  </si>
  <si>
    <t>Adesivos Lixo Comum Vinil 15x15cm</t>
  </si>
  <si>
    <t>Adesivos Para Carro/ Van Bebê A Bordo Menino Menina Vinil 10x10cm Refletivo</t>
  </si>
  <si>
    <t>Adesivos Lixo Reciclável Vinil 15x15cm</t>
  </si>
  <si>
    <t>Adesivos Risco Biológico Vinil 15x15cm</t>
  </si>
  <si>
    <t>Adesivos Lixo Infectante Vinil 15x15cm</t>
  </si>
  <si>
    <t>Adesivos Refletivo Para Carro/ Van Bebê A Bordo Menino Menina 15x15cm</t>
  </si>
  <si>
    <t>Adesivos Para Carro/ Van Bebê A Bordo Menino Menina Vinil 15x15cm</t>
  </si>
  <si>
    <t>Adesivos Lixo Orgânico Vinil 15x15cm</t>
  </si>
  <si>
    <t>Adesivos Lixo Não Reciclável Vinil 15x15cm</t>
  </si>
  <si>
    <t>Placa Botão de Emergencia 60mm</t>
  </si>
  <si>
    <t>Placa Aviso Advertência Apague A Luz Ao Sair 10x5cm</t>
  </si>
  <si>
    <t>Placa Aviso Advertência Apague A Luz Ao Sair 8x4cm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</si>
</sst>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wrapText="1"/>
    </xf>
    <xf numFmtId="8" fontId="0" fillId="0" borderId="0" xfId="0" applyNumberFormat="1"/>
    <xf numFmtId="8" fontId="18" fillId="0" borderId="0" xfId="0" applyNumberFormat="1" applyFont="1" applyAlignment="1">
      <alignment wrapText="1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22" fontId="18" fillId="0" borderId="0" xfId="0" applyNumberFormat="1" applyFont="1"/>
    <xf numFmtId="14" fontId="18" fillId="0" borderId="0" xfId="0" applyNumberFormat="1" applyFont="1"/>
    <xf numFmtId="8" fontId="18" fillId="0" borderId="0" xfId="0" applyNumberFormat="1" applyFont="1"/>
    <xf numFmtId="8" fontId="18" fillId="0" borderId="10" xfId="0" applyNumberFormat="1" applyFont="1" applyBorder="1"/>
    <xf numFmtId="4" fontId="18" fillId="0" borderId="0" xfId="0" applyNumberFormat="1" applyFont="1" applyAlignment="1">
      <alignment wrapText="1"/>
    </xf>
    <xf numFmtId="0" fontId="16" fillId="0" borderId="0" xfId="0" applyFont="1"/>
    <xf numFmtId="43" fontId="0" fillId="0" borderId="0" xfId="1" applyFont="1"/>
    <xf numFmtId="0" fontId="16" fillId="0" borderId="0" xfId="0" applyFont="1" applyAlignment="1">
      <alignment horizontal="center"/>
    </xf>
    <xf numFmtId="43" fontId="0" fillId="0" borderId="0" xfId="0" applyNumberFormat="1"/>
    <xf numFmtId="43" fontId="16" fillId="0" borderId="0" xfId="0" applyNumberFormat="1" applyFont="1"/>
    <xf numFmtId="164" fontId="0" fillId="0" borderId="0" xfId="3" applyNumberFormat="1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/>
    <xf numFmtId="0" fontId="16" fillId="33" borderId="0" xfId="0" applyFont="1" applyFill="1"/>
    <xf numFmtId="0" fontId="0" fillId="0" borderId="0" xfId="0" applyAlignment="1">
      <alignment horizontal="center"/>
    </xf>
    <xf numFmtId="44" fontId="0" fillId="0" borderId="0" xfId="2" applyFont="1"/>
  </cellXfs>
  <cellStyles count="45">
    <cellStyle name="20% - Ênfase1" xfId="22" builtinId="30" customBuiltin="1"/>
    <cellStyle name="20% - Ênfase2" xfId="26" builtinId="34" customBuiltin="1"/>
    <cellStyle name="20% - Ênfase3" xfId="30" builtinId="38" customBuiltin="1"/>
    <cellStyle name="20% - Ênfase4" xfId="34" builtinId="42" customBuiltin="1"/>
    <cellStyle name="20% - Ênfase5" xfId="38" builtinId="46" customBuiltin="1"/>
    <cellStyle name="20% - Ênfase6" xfId="42" builtinId="50" customBuiltin="1"/>
    <cellStyle name="40% - Ênfase1" xfId="23" builtinId="31" customBuiltin="1"/>
    <cellStyle name="40% - Ênfase2" xfId="27" builtinId="35" customBuiltin="1"/>
    <cellStyle name="40% - Ênfase3" xfId="31" builtinId="39" customBuiltin="1"/>
    <cellStyle name="40% - Ênfase4" xfId="35" builtinId="43" customBuiltin="1"/>
    <cellStyle name="40% - Ênfase5" xfId="39" builtinId="47" customBuiltin="1"/>
    <cellStyle name="40% - Ênfase6" xfId="43" builtinId="51" customBuiltin="1"/>
    <cellStyle name="60% - Ênfase1" xfId="24" builtinId="32" customBuiltin="1"/>
    <cellStyle name="60% - Ênfase2" xfId="28" builtinId="36" customBuiltin="1"/>
    <cellStyle name="60% - Ênfase3" xfId="32" builtinId="40" customBuiltin="1"/>
    <cellStyle name="60% - Ênfase4" xfId="36" builtinId="44" customBuiltin="1"/>
    <cellStyle name="60% - Ênfase5" xfId="40" builtinId="48" customBuiltin="1"/>
    <cellStyle name="60% - Ênfase6" xfId="44" builtinId="52" customBuiltin="1"/>
    <cellStyle name="Bom" xfId="9" builtinId="26" customBuiltin="1"/>
    <cellStyle name="Cálculo" xfId="14" builtinId="22" customBuiltin="1"/>
    <cellStyle name="Célula de Verificação" xfId="16" builtinId="23" customBuiltin="1"/>
    <cellStyle name="Célula Vinculada" xfId="15" builtinId="24" customBuiltin="1"/>
    <cellStyle name="Ênfase1" xfId="21" builtinId="29" customBuiltin="1"/>
    <cellStyle name="Ênfase2" xfId="25" builtinId="33" customBuiltin="1"/>
    <cellStyle name="Ênfase3" xfId="29" builtinId="37" customBuiltin="1"/>
    <cellStyle name="Ênfase4" xfId="33" builtinId="41" customBuiltin="1"/>
    <cellStyle name="Ênfase5" xfId="37" builtinId="45" customBuiltin="1"/>
    <cellStyle name="Ênfase6" xfId="41" builtinId="49" customBuiltin="1"/>
    <cellStyle name="Entrada" xfId="12" builtinId="20" customBuiltin="1"/>
    <cellStyle name="Moeda" xfId="2" builtinId="4"/>
    <cellStyle name="Neutro" xfId="11" builtinId="28" customBuiltin="1"/>
    <cellStyle name="Normal" xfId="0" builtinId="0"/>
    <cellStyle name="Nota" xfId="18" builtinId="10" customBuiltin="1"/>
    <cellStyle name="Porcentagem" xfId="3" builtinId="5"/>
    <cellStyle name="Ruim" xfId="10" builtinId="27" customBuiltin="1"/>
    <cellStyle name="Saída" xfId="13" builtinId="21" customBuiltin="1"/>
    <cellStyle name="Texto de Aviso" xfId="17" builtinId="11" customBuiltin="1"/>
    <cellStyle name="Texto Explicativo" xfId="19" builtinId="53" customBuiltin="1"/>
    <cellStyle name="Título" xfId="4" builtinId="15" customBuiltin="1"/>
    <cellStyle name="Título 1" xfId="5" builtinId="16" customBuiltin="1"/>
    <cellStyle name="Título 2" xfId="6" builtinId="17" customBuiltin="1"/>
    <cellStyle name="Título 3" xfId="7" builtinId="18" customBuiltin="1"/>
    <cellStyle name="Título 4" xfId="8" builtinId="19" customBuiltin="1"/>
    <cellStyle name="Total" xfId="20" builtinId="25" customBuiltin="1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152400</xdr:colOff>
      <xdr:row>10</xdr:row>
      <xdr:rowOff>47625</xdr:rowOff>
    </xdr:from>
    <xdr:ext cx="5885842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2E4E185-245C-570D-CA58-152A02CA78FD}"/>
            </a:ext>
          </a:extLst>
        </xdr:cNvPr>
        <xdr:cNvSpPr txBox="1"/>
      </xdr:nvSpPr>
      <xdr:spPr>
        <a:xfrm>
          <a:off x="2200275" y="1952625"/>
          <a:ext cx="58858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 b="1">
              <a:solidFill>
                <a:srgbClr val="FF0000"/>
              </a:solidFill>
            </a:rPr>
            <a:t>Necessarios fazer a formula para saber</a:t>
          </a:r>
          <a:r>
            <a:rPr lang="pt-BR" sz="1100" b="1" baseline="0">
              <a:solidFill>
                <a:srgbClr val="FF0000"/>
              </a:solidFill>
            </a:rPr>
            <a:t> quantos  clientes novos teve para assim poder saber o CAC</a:t>
          </a:r>
          <a:endParaRPr lang="pt-BR" sz="1100" b="1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676275</xdr:colOff>
      <xdr:row>8</xdr:row>
      <xdr:rowOff>0</xdr:rowOff>
    </xdr:from>
    <xdr:to>
      <xdr:col>7</xdr:col>
      <xdr:colOff>390525</xdr:colOff>
      <xdr:row>10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315C505-39DC-73C7-7AE0-F3D9610E1881}"/>
            </a:ext>
          </a:extLst>
        </xdr:cNvPr>
        <xdr:cNvSpPr txBox="1"/>
      </xdr:nvSpPr>
      <xdr:spPr>
        <a:xfrm>
          <a:off x="1895475" y="1524000"/>
          <a:ext cx="4276725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rgbClr val="FF0000"/>
              </a:solidFill>
            </a:rPr>
            <a:t>PROCESSO NÃO MEDIDO DADOS DE EXEMPO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58C7-AE60-4D89-922E-A09984DD0556}">
  <sheetPr filterMode="1"/>
  <dimension ref="A1:P2310"/>
  <sheetViews>
    <sheetView showGridLines="0" zoomScale="70" zoomScaleNormal="70" workbookViewId="0">
      <selection activeCell="P4" sqref="P4"/>
    </sheetView>
  </sheetViews>
  <sheetFormatPr defaultRowHeight="15" x14ac:dyDescent="0.25"/>
  <cols>
    <col min="2" max="2" width="12.42578125" bestFit="1" customWidth="1"/>
    <col min="3" max="3" width="4.28515625" bestFit="1" customWidth="1"/>
    <col min="4" max="4" width="92.7109375" customWidth="1"/>
    <col min="5" max="6" width="36.5703125" bestFit="1" customWidth="1"/>
    <col min="7" max="7" width="15.7109375" bestFit="1" customWidth="1"/>
    <col min="8" max="8" width="11" bestFit="1" customWidth="1"/>
    <col min="9" max="9" width="30.7109375" bestFit="1" customWidth="1"/>
    <col min="10" max="10" width="10.7109375" bestFit="1" customWidth="1"/>
    <col min="11" max="11" width="11" bestFit="1" customWidth="1"/>
    <col min="12" max="12" width="15.42578125" bestFit="1" customWidth="1"/>
    <col min="13" max="13" width="12.140625" bestFit="1" customWidth="1"/>
    <col min="14" max="14" width="14.28515625" bestFit="1" customWidth="1"/>
    <col min="15" max="15" width="12.7109375" bestFit="1" customWidth="1"/>
    <col min="16" max="16" width="14.7109375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1511</v>
      </c>
      <c r="F1" s="4" t="s">
        <v>1512</v>
      </c>
      <c r="G1" s="4" t="s">
        <v>1513</v>
      </c>
      <c r="H1" s="4" t="s">
        <v>1514</v>
      </c>
      <c r="I1" s="4" t="s">
        <v>1515</v>
      </c>
      <c r="J1" s="4" t="s">
        <v>1516</v>
      </c>
      <c r="K1" s="4" t="s">
        <v>1517</v>
      </c>
      <c r="L1" s="4" t="s">
        <v>1518</v>
      </c>
      <c r="M1" s="4" t="s">
        <v>1519</v>
      </c>
      <c r="N1" s="4" t="s">
        <v>1520</v>
      </c>
      <c r="O1" s="4" t="s">
        <v>1521</v>
      </c>
    </row>
    <row r="2" spans="1:16" hidden="1" x14ac:dyDescent="0.25">
      <c r="A2" s="5" t="s">
        <v>1522</v>
      </c>
      <c r="B2" s="5" t="s">
        <v>1523</v>
      </c>
      <c r="D2" s="5" t="s">
        <v>1480</v>
      </c>
      <c r="E2" s="5" t="s">
        <v>1524</v>
      </c>
      <c r="F2" s="5" t="s">
        <v>1525</v>
      </c>
      <c r="G2" s="6">
        <v>46084.407638888886</v>
      </c>
      <c r="H2" s="7">
        <v>46101</v>
      </c>
      <c r="I2" s="5" t="s">
        <v>1526</v>
      </c>
      <c r="J2" s="7">
        <v>46107</v>
      </c>
      <c r="K2" s="5" t="s">
        <v>1527</v>
      </c>
      <c r="L2" s="5" t="s">
        <v>1528</v>
      </c>
      <c r="M2" s="8">
        <v>35534.400000000001</v>
      </c>
      <c r="N2" s="5" t="s">
        <v>1529</v>
      </c>
      <c r="O2" s="7">
        <v>46107</v>
      </c>
      <c r="P2" t="e" cm="1">
        <f t="array" ref="P2">MONTH(A2:P)</f>
        <v>#NAME?</v>
      </c>
    </row>
    <row r="3" spans="1:16" x14ac:dyDescent="0.25">
      <c r="A3" s="5" t="s">
        <v>4</v>
      </c>
      <c r="B3" s="5" t="s">
        <v>1530</v>
      </c>
      <c r="D3" s="5" t="s">
        <v>1306</v>
      </c>
      <c r="E3" s="5" t="s">
        <v>1531</v>
      </c>
      <c r="F3" s="5" t="s">
        <v>1532</v>
      </c>
      <c r="G3" s="6">
        <v>46161.668749999997</v>
      </c>
      <c r="H3" s="7">
        <v>46170</v>
      </c>
      <c r="I3" s="5" t="s">
        <v>1533</v>
      </c>
      <c r="J3" s="7">
        <v>46170</v>
      </c>
      <c r="K3" s="5" t="s">
        <v>1534</v>
      </c>
      <c r="L3" s="5" t="s">
        <v>1535</v>
      </c>
      <c r="M3" s="8">
        <v>18526</v>
      </c>
      <c r="N3" s="5" t="s">
        <v>1536</v>
      </c>
      <c r="O3" s="7">
        <v>46170</v>
      </c>
      <c r="P3">
        <f>742934/1665</f>
        <v>446.20660660660661</v>
      </c>
    </row>
    <row r="4" spans="1:16" x14ac:dyDescent="0.25">
      <c r="A4" s="5" t="s">
        <v>4</v>
      </c>
      <c r="B4" s="5" t="s">
        <v>1537</v>
      </c>
      <c r="D4" s="5" t="s">
        <v>1509</v>
      </c>
      <c r="E4" s="5" t="s">
        <v>1538</v>
      </c>
      <c r="F4" s="5" t="s">
        <v>1539</v>
      </c>
      <c r="G4" s="6">
        <v>46162.45</v>
      </c>
      <c r="H4" s="7">
        <v>46174</v>
      </c>
      <c r="I4" s="5" t="s">
        <v>1533</v>
      </c>
      <c r="J4" s="5" t="s">
        <v>1533</v>
      </c>
      <c r="K4" s="5" t="s">
        <v>1540</v>
      </c>
      <c r="L4" s="5" t="s">
        <v>1535</v>
      </c>
      <c r="M4" s="8">
        <v>14260</v>
      </c>
      <c r="N4" s="5" t="s">
        <v>1541</v>
      </c>
      <c r="O4" s="5" t="s">
        <v>1533</v>
      </c>
      <c r="P4" s="2"/>
    </row>
    <row r="5" spans="1:16" x14ac:dyDescent="0.25">
      <c r="A5" s="5" t="s">
        <v>4</v>
      </c>
      <c r="B5" s="5" t="s">
        <v>1542</v>
      </c>
      <c r="D5" s="5" t="s">
        <v>1509</v>
      </c>
      <c r="E5" s="5" t="s">
        <v>1543</v>
      </c>
      <c r="F5" s="5" t="s">
        <v>1544</v>
      </c>
      <c r="G5" s="6">
        <v>46059.390972222223</v>
      </c>
      <c r="H5" s="7">
        <v>46073</v>
      </c>
      <c r="I5" s="5" t="s">
        <v>1545</v>
      </c>
      <c r="J5" s="7">
        <v>46112</v>
      </c>
      <c r="K5" s="5" t="s">
        <v>1527</v>
      </c>
      <c r="L5" s="5" t="s">
        <v>1535</v>
      </c>
      <c r="M5" s="8">
        <v>9840</v>
      </c>
      <c r="N5" s="5" t="s">
        <v>1529</v>
      </c>
      <c r="O5" s="7">
        <v>46112</v>
      </c>
    </row>
    <row r="6" spans="1:16" x14ac:dyDescent="0.25">
      <c r="A6" s="5" t="s">
        <v>4</v>
      </c>
      <c r="B6" s="5" t="s">
        <v>1546</v>
      </c>
      <c r="D6" s="5" t="s">
        <v>618</v>
      </c>
      <c r="E6" s="5" t="s">
        <v>1547</v>
      </c>
      <c r="F6" s="5" t="s">
        <v>1548</v>
      </c>
      <c r="G6" s="6">
        <v>46071.589583333334</v>
      </c>
      <c r="H6" s="7">
        <v>46080</v>
      </c>
      <c r="I6" s="5" t="s">
        <v>1549</v>
      </c>
      <c r="J6" s="7">
        <v>46122</v>
      </c>
      <c r="K6" s="5" t="s">
        <v>1527</v>
      </c>
      <c r="L6" s="5" t="s">
        <v>1535</v>
      </c>
      <c r="M6" s="8">
        <v>9780</v>
      </c>
      <c r="N6" s="5" t="s">
        <v>1536</v>
      </c>
      <c r="O6" s="7">
        <v>46122</v>
      </c>
    </row>
    <row r="7" spans="1:16" hidden="1" x14ac:dyDescent="0.25">
      <c r="A7" s="5" t="s">
        <v>1522</v>
      </c>
      <c r="B7" s="5" t="s">
        <v>1550</v>
      </c>
      <c r="D7" s="5" t="s">
        <v>901</v>
      </c>
      <c r="E7" s="5" t="s">
        <v>1551</v>
      </c>
      <c r="F7" s="5" t="s">
        <v>1552</v>
      </c>
      <c r="G7" s="6">
        <v>46078.633333333331</v>
      </c>
      <c r="H7" s="7">
        <v>46080</v>
      </c>
      <c r="I7" s="5" t="s">
        <v>1553</v>
      </c>
      <c r="J7" s="7">
        <v>46085</v>
      </c>
      <c r="K7" s="5" t="s">
        <v>1527</v>
      </c>
      <c r="L7" s="5" t="s">
        <v>1554</v>
      </c>
      <c r="M7" s="8">
        <v>8125</v>
      </c>
      <c r="N7" s="5" t="s">
        <v>1536</v>
      </c>
      <c r="O7" s="7">
        <v>46085</v>
      </c>
    </row>
    <row r="8" spans="1:16" hidden="1" x14ac:dyDescent="0.25">
      <c r="A8" s="5" t="s">
        <v>1522</v>
      </c>
      <c r="B8" s="5" t="s">
        <v>1555</v>
      </c>
      <c r="D8" s="5" t="s">
        <v>1491</v>
      </c>
      <c r="E8" s="5" t="s">
        <v>1556</v>
      </c>
      <c r="F8" s="5" t="s">
        <v>1557</v>
      </c>
      <c r="G8" s="6">
        <v>46072.46597222222</v>
      </c>
      <c r="H8" s="7">
        <v>46080</v>
      </c>
      <c r="I8" s="5" t="s">
        <v>1533</v>
      </c>
      <c r="J8" s="7">
        <v>46079</v>
      </c>
      <c r="K8" s="5" t="s">
        <v>1534</v>
      </c>
      <c r="L8" s="5" t="s">
        <v>1528</v>
      </c>
      <c r="M8" s="8">
        <v>8061.4</v>
      </c>
      <c r="N8" s="5" t="s">
        <v>1536</v>
      </c>
      <c r="O8" s="7">
        <v>46079</v>
      </c>
    </row>
    <row r="9" spans="1:16" hidden="1" x14ac:dyDescent="0.25">
      <c r="A9" s="5" t="s">
        <v>1522</v>
      </c>
      <c r="B9" s="5" t="s">
        <v>1558</v>
      </c>
      <c r="D9" s="5" t="s">
        <v>1500</v>
      </c>
      <c r="E9" s="5" t="s">
        <v>1559</v>
      </c>
      <c r="F9" s="5" t="s">
        <v>1560</v>
      </c>
      <c r="G9" s="6">
        <v>46092.362500000003</v>
      </c>
      <c r="H9" s="7">
        <v>46098</v>
      </c>
      <c r="I9" s="5" t="s">
        <v>1533</v>
      </c>
      <c r="J9" s="7">
        <v>46099</v>
      </c>
      <c r="K9" s="5" t="s">
        <v>1534</v>
      </c>
      <c r="L9" s="5" t="s">
        <v>1528</v>
      </c>
      <c r="M9" s="8">
        <v>8025.61</v>
      </c>
      <c r="N9" s="5" t="s">
        <v>1536</v>
      </c>
      <c r="O9" s="7">
        <v>46099</v>
      </c>
    </row>
    <row r="10" spans="1:16" x14ac:dyDescent="0.25">
      <c r="A10" s="5" t="s">
        <v>4</v>
      </c>
      <c r="B10" s="5" t="s">
        <v>1561</v>
      </c>
      <c r="D10" s="5" t="s">
        <v>1465</v>
      </c>
      <c r="E10" s="5" t="s">
        <v>1562</v>
      </c>
      <c r="F10" s="5" t="s">
        <v>1563</v>
      </c>
      <c r="G10" s="6">
        <v>46063.39166666667</v>
      </c>
      <c r="H10" s="7">
        <v>46076</v>
      </c>
      <c r="I10" s="6">
        <v>46072.594444444447</v>
      </c>
      <c r="J10" s="7">
        <v>46072</v>
      </c>
      <c r="K10" s="5" t="s">
        <v>1527</v>
      </c>
      <c r="L10" s="5" t="s">
        <v>1564</v>
      </c>
      <c r="M10" s="8">
        <v>7420</v>
      </c>
      <c r="N10" s="5" t="s">
        <v>1536</v>
      </c>
      <c r="O10" s="7">
        <v>46072</v>
      </c>
    </row>
    <row r="11" spans="1:16" x14ac:dyDescent="0.25">
      <c r="A11" s="5" t="s">
        <v>4</v>
      </c>
      <c r="B11" s="5" t="s">
        <v>1565</v>
      </c>
      <c r="D11" s="5" t="s">
        <v>1069</v>
      </c>
      <c r="E11" s="5" t="s">
        <v>1566</v>
      </c>
      <c r="F11" s="5" t="s">
        <v>1567</v>
      </c>
      <c r="G11" s="6">
        <v>46071.588194444441</v>
      </c>
      <c r="H11" s="7">
        <v>46084</v>
      </c>
      <c r="I11" s="6">
        <v>46078.692361111112</v>
      </c>
      <c r="J11" s="7">
        <v>46078</v>
      </c>
      <c r="K11" s="5" t="s">
        <v>1527</v>
      </c>
      <c r="L11" s="5" t="s">
        <v>1564</v>
      </c>
      <c r="M11" s="8">
        <v>7391</v>
      </c>
      <c r="N11" s="5" t="s">
        <v>1536</v>
      </c>
      <c r="O11" s="7">
        <v>46078</v>
      </c>
    </row>
    <row r="12" spans="1:16" x14ac:dyDescent="0.25">
      <c r="A12" s="5" t="s">
        <v>4</v>
      </c>
      <c r="B12" s="5" t="s">
        <v>1568</v>
      </c>
      <c r="D12" s="5" t="s">
        <v>691</v>
      </c>
      <c r="E12" s="5" t="s">
        <v>1569</v>
      </c>
      <c r="F12" s="5" t="s">
        <v>1570</v>
      </c>
      <c r="G12" s="6">
        <v>46162.48333333333</v>
      </c>
      <c r="H12" s="7">
        <v>46170</v>
      </c>
      <c r="I12" s="5" t="s">
        <v>1571</v>
      </c>
      <c r="J12" s="7">
        <v>46171</v>
      </c>
      <c r="K12" s="5" t="s">
        <v>1527</v>
      </c>
      <c r="L12" s="5" t="s">
        <v>1535</v>
      </c>
      <c r="M12" s="8">
        <v>6750</v>
      </c>
      <c r="N12" s="5" t="s">
        <v>1529</v>
      </c>
      <c r="O12" s="7">
        <v>46171</v>
      </c>
    </row>
    <row r="13" spans="1:16" x14ac:dyDescent="0.25">
      <c r="A13" s="5" t="s">
        <v>4</v>
      </c>
      <c r="B13" s="5" t="s">
        <v>1572</v>
      </c>
      <c r="D13" s="5" t="s">
        <v>1509</v>
      </c>
      <c r="E13" s="5" t="s">
        <v>1543</v>
      </c>
      <c r="F13" s="5" t="s">
        <v>1573</v>
      </c>
      <c r="G13" s="6">
        <v>46140.39166666667</v>
      </c>
      <c r="H13" s="7">
        <v>46154</v>
      </c>
      <c r="I13" s="5" t="s">
        <v>1574</v>
      </c>
      <c r="J13" s="7">
        <v>46161</v>
      </c>
      <c r="K13" s="5" t="s">
        <v>1527</v>
      </c>
      <c r="L13" s="5" t="s">
        <v>1535</v>
      </c>
      <c r="M13" s="8">
        <v>6480</v>
      </c>
      <c r="N13" s="5" t="s">
        <v>1529</v>
      </c>
      <c r="O13" s="7">
        <v>46161</v>
      </c>
    </row>
    <row r="14" spans="1:16" hidden="1" x14ac:dyDescent="0.25">
      <c r="A14" s="5" t="s">
        <v>1522</v>
      </c>
      <c r="B14" s="5" t="s">
        <v>1575</v>
      </c>
      <c r="D14" s="5" t="s">
        <v>1491</v>
      </c>
      <c r="E14" s="5" t="s">
        <v>1576</v>
      </c>
      <c r="F14" s="5" t="s">
        <v>1577</v>
      </c>
      <c r="G14" s="6">
        <v>46101.695138888892</v>
      </c>
      <c r="H14" s="7">
        <v>46111</v>
      </c>
      <c r="I14" s="5" t="s">
        <v>1578</v>
      </c>
      <c r="J14" s="7">
        <v>46111</v>
      </c>
      <c r="K14" s="5" t="s">
        <v>1527</v>
      </c>
      <c r="L14" s="5" t="s">
        <v>1528</v>
      </c>
      <c r="M14" s="8">
        <v>6111.3</v>
      </c>
      <c r="N14" s="5" t="s">
        <v>1536</v>
      </c>
      <c r="O14" s="7">
        <v>46111</v>
      </c>
    </row>
    <row r="15" spans="1:16" x14ac:dyDescent="0.25">
      <c r="A15" s="5" t="s">
        <v>4</v>
      </c>
      <c r="B15" s="5" t="s">
        <v>1579</v>
      </c>
      <c r="D15" s="5" t="s">
        <v>695</v>
      </c>
      <c r="E15" s="5" t="s">
        <v>1580</v>
      </c>
      <c r="F15" s="5" t="s">
        <v>1581</v>
      </c>
      <c r="G15" s="6">
        <v>46063.663194444445</v>
      </c>
      <c r="H15" s="7">
        <v>46073</v>
      </c>
      <c r="I15" s="6">
        <v>46073.625</v>
      </c>
      <c r="J15" s="7">
        <v>46076</v>
      </c>
      <c r="K15" s="5" t="s">
        <v>1527</v>
      </c>
      <c r="L15" s="5" t="s">
        <v>1535</v>
      </c>
      <c r="M15" s="8">
        <v>6108</v>
      </c>
      <c r="N15" s="5" t="s">
        <v>1536</v>
      </c>
      <c r="O15" s="7">
        <v>46076</v>
      </c>
    </row>
    <row r="16" spans="1:16" x14ac:dyDescent="0.25">
      <c r="A16" s="5" t="s">
        <v>4</v>
      </c>
      <c r="B16" s="5" t="s">
        <v>1582</v>
      </c>
      <c r="D16" s="5" t="s">
        <v>886</v>
      </c>
      <c r="E16" s="5" t="s">
        <v>1583</v>
      </c>
      <c r="F16" s="5" t="s">
        <v>1584</v>
      </c>
      <c r="G16" s="6">
        <v>46129.388194444444</v>
      </c>
      <c r="H16" s="7">
        <v>46136</v>
      </c>
      <c r="I16" s="5" t="s">
        <v>1585</v>
      </c>
      <c r="J16" s="7">
        <v>46139</v>
      </c>
      <c r="K16" s="5" t="s">
        <v>1527</v>
      </c>
      <c r="L16" s="5" t="s">
        <v>1564</v>
      </c>
      <c r="M16" s="8">
        <v>5900</v>
      </c>
      <c r="N16" s="5" t="s">
        <v>1536</v>
      </c>
      <c r="O16" s="7">
        <v>46139</v>
      </c>
    </row>
    <row r="17" spans="1:15" x14ac:dyDescent="0.25">
      <c r="A17" s="5" t="s">
        <v>4</v>
      </c>
      <c r="B17" s="5" t="s">
        <v>1586</v>
      </c>
      <c r="D17" s="5" t="s">
        <v>258</v>
      </c>
      <c r="E17" s="5" t="s">
        <v>1587</v>
      </c>
      <c r="F17" s="5" t="s">
        <v>1588</v>
      </c>
      <c r="G17" s="6">
        <v>46063.65902777778</v>
      </c>
      <c r="H17" s="7">
        <v>46071</v>
      </c>
      <c r="I17" s="5" t="s">
        <v>1589</v>
      </c>
      <c r="J17" s="7">
        <v>46091</v>
      </c>
      <c r="K17" s="5" t="s">
        <v>1527</v>
      </c>
      <c r="L17" s="5" t="s">
        <v>1535</v>
      </c>
      <c r="M17" s="8">
        <v>5636.95</v>
      </c>
      <c r="N17" s="5" t="s">
        <v>1536</v>
      </c>
      <c r="O17" s="7">
        <v>46091</v>
      </c>
    </row>
    <row r="18" spans="1:15" x14ac:dyDescent="0.25">
      <c r="A18" s="5" t="s">
        <v>4</v>
      </c>
      <c r="B18" s="5" t="s">
        <v>1590</v>
      </c>
      <c r="D18" s="5" t="s">
        <v>522</v>
      </c>
      <c r="E18" s="5" t="s">
        <v>1591</v>
      </c>
      <c r="F18" s="5" t="s">
        <v>1592</v>
      </c>
      <c r="G18" s="6">
        <v>46136.408333333333</v>
      </c>
      <c r="H18" s="7">
        <v>46146</v>
      </c>
      <c r="I18" s="6">
        <v>46140.69027777778</v>
      </c>
      <c r="J18" s="7">
        <v>46139</v>
      </c>
      <c r="K18" s="5" t="s">
        <v>1527</v>
      </c>
      <c r="L18" s="5" t="s">
        <v>1564</v>
      </c>
      <c r="M18" s="8">
        <v>5599.85</v>
      </c>
      <c r="N18" s="5" t="s">
        <v>1536</v>
      </c>
      <c r="O18" s="7">
        <v>46139</v>
      </c>
    </row>
    <row r="19" spans="1:15" hidden="1" x14ac:dyDescent="0.25">
      <c r="A19" s="5" t="s">
        <v>1522</v>
      </c>
      <c r="B19" s="5" t="s">
        <v>1593</v>
      </c>
      <c r="D19" s="5" t="s">
        <v>1491</v>
      </c>
      <c r="E19" s="5" t="s">
        <v>1594</v>
      </c>
      <c r="F19" s="5" t="s">
        <v>1548</v>
      </c>
      <c r="G19" s="6">
        <v>46066.443055555559</v>
      </c>
      <c r="H19" s="7">
        <v>46076</v>
      </c>
      <c r="I19" s="5" t="s">
        <v>1595</v>
      </c>
      <c r="J19" s="7">
        <v>46078</v>
      </c>
      <c r="K19" s="5" t="s">
        <v>1527</v>
      </c>
      <c r="L19" s="5" t="s">
        <v>1528</v>
      </c>
      <c r="M19" s="8">
        <v>5400</v>
      </c>
      <c r="N19" s="5" t="s">
        <v>1536</v>
      </c>
      <c r="O19" s="7">
        <v>46078</v>
      </c>
    </row>
    <row r="20" spans="1:15" x14ac:dyDescent="0.25">
      <c r="A20" s="5" t="s">
        <v>4</v>
      </c>
      <c r="B20" s="5" t="s">
        <v>1596</v>
      </c>
      <c r="D20" s="5" t="s">
        <v>157</v>
      </c>
      <c r="E20" s="5" t="s">
        <v>1597</v>
      </c>
      <c r="F20" s="5" t="s">
        <v>1548</v>
      </c>
      <c r="G20" s="6">
        <v>46042.604861111111</v>
      </c>
      <c r="H20" s="7">
        <v>46055</v>
      </c>
      <c r="I20" s="5" t="s">
        <v>1598</v>
      </c>
      <c r="J20" s="7">
        <v>46071</v>
      </c>
      <c r="K20" s="5" t="s">
        <v>1527</v>
      </c>
      <c r="L20" s="5" t="s">
        <v>1564</v>
      </c>
      <c r="M20" s="8">
        <v>5200</v>
      </c>
      <c r="N20" s="5" t="s">
        <v>1536</v>
      </c>
      <c r="O20" s="7">
        <v>46071</v>
      </c>
    </row>
    <row r="21" spans="1:15" x14ac:dyDescent="0.25">
      <c r="A21" s="5" t="s">
        <v>4</v>
      </c>
      <c r="B21" s="5" t="s">
        <v>1599</v>
      </c>
      <c r="D21" s="5" t="s">
        <v>1497</v>
      </c>
      <c r="E21" s="5" t="s">
        <v>1600</v>
      </c>
      <c r="F21" s="5" t="s">
        <v>1548</v>
      </c>
      <c r="G21" s="6">
        <v>46072.551388888889</v>
      </c>
      <c r="H21" s="7">
        <v>46080</v>
      </c>
      <c r="I21" s="5" t="s">
        <v>1601</v>
      </c>
      <c r="J21" s="7">
        <v>46080</v>
      </c>
      <c r="K21" s="5" t="s">
        <v>1527</v>
      </c>
      <c r="L21" s="5" t="s">
        <v>1535</v>
      </c>
      <c r="M21" s="8">
        <v>5200</v>
      </c>
      <c r="N21" s="5" t="s">
        <v>1536</v>
      </c>
      <c r="O21" s="7">
        <v>46080</v>
      </c>
    </row>
    <row r="22" spans="1:15" x14ac:dyDescent="0.25">
      <c r="A22" s="5" t="s">
        <v>4</v>
      </c>
      <c r="B22" s="5" t="s">
        <v>1602</v>
      </c>
      <c r="D22" s="5" t="s">
        <v>1274</v>
      </c>
      <c r="E22" s="5" t="s">
        <v>1603</v>
      </c>
      <c r="F22" s="5" t="s">
        <v>1604</v>
      </c>
      <c r="G22" s="6">
        <v>46073.600694444445</v>
      </c>
      <c r="H22" s="7">
        <v>46086</v>
      </c>
      <c r="I22" s="5" t="s">
        <v>1605</v>
      </c>
      <c r="J22" s="7">
        <v>46087</v>
      </c>
      <c r="K22" s="5" t="s">
        <v>1527</v>
      </c>
      <c r="L22" s="5" t="s">
        <v>1564</v>
      </c>
      <c r="M22" s="8">
        <v>4788</v>
      </c>
      <c r="N22" s="5" t="s">
        <v>1536</v>
      </c>
      <c r="O22" s="7">
        <v>46087</v>
      </c>
    </row>
    <row r="23" spans="1:15" x14ac:dyDescent="0.25">
      <c r="A23" s="5" t="s">
        <v>4</v>
      </c>
      <c r="B23" s="5" t="s">
        <v>1606</v>
      </c>
      <c r="D23" s="5" t="s">
        <v>1097</v>
      </c>
      <c r="E23" s="5" t="s">
        <v>1607</v>
      </c>
      <c r="F23" s="5" t="s">
        <v>1548</v>
      </c>
      <c r="G23" s="6">
        <v>46041.454861111109</v>
      </c>
      <c r="H23" s="7">
        <v>46052</v>
      </c>
      <c r="I23" s="5" t="s">
        <v>1608</v>
      </c>
      <c r="J23" s="7">
        <v>46052</v>
      </c>
      <c r="K23" s="5" t="s">
        <v>1527</v>
      </c>
      <c r="L23" s="5" t="s">
        <v>1564</v>
      </c>
      <c r="M23" s="8">
        <v>4692.5</v>
      </c>
      <c r="N23" s="5" t="s">
        <v>1536</v>
      </c>
      <c r="O23" s="7">
        <v>46052</v>
      </c>
    </row>
    <row r="24" spans="1:15" x14ac:dyDescent="0.25">
      <c r="A24" s="5" t="s">
        <v>4</v>
      </c>
      <c r="B24" s="5" t="s">
        <v>1609</v>
      </c>
      <c r="D24" s="5" t="s">
        <v>1464</v>
      </c>
      <c r="E24" s="5" t="s">
        <v>1610</v>
      </c>
      <c r="F24" s="5" t="s">
        <v>1611</v>
      </c>
      <c r="G24" s="6">
        <v>46065.629861111112</v>
      </c>
      <c r="H24" s="7">
        <v>46078</v>
      </c>
      <c r="I24" s="5" t="s">
        <v>1612</v>
      </c>
      <c r="J24" s="7">
        <v>46080</v>
      </c>
      <c r="K24" s="5" t="s">
        <v>1527</v>
      </c>
      <c r="L24" s="5" t="s">
        <v>1535</v>
      </c>
      <c r="M24" s="8">
        <v>4529.2</v>
      </c>
      <c r="N24" s="5" t="s">
        <v>1536</v>
      </c>
      <c r="O24" s="7">
        <v>46080</v>
      </c>
    </row>
    <row r="25" spans="1:15" x14ac:dyDescent="0.25">
      <c r="A25" s="5" t="s">
        <v>4</v>
      </c>
      <c r="B25" s="5" t="s">
        <v>1613</v>
      </c>
      <c r="D25" s="5" t="s">
        <v>1509</v>
      </c>
      <c r="E25" s="5" t="s">
        <v>1614</v>
      </c>
      <c r="F25" s="5" t="s">
        <v>1615</v>
      </c>
      <c r="G25" s="6">
        <v>46155.625694444447</v>
      </c>
      <c r="H25" s="7">
        <v>46164</v>
      </c>
      <c r="I25" s="5" t="s">
        <v>1616</v>
      </c>
      <c r="J25" s="7">
        <v>46164</v>
      </c>
      <c r="K25" s="5" t="s">
        <v>1527</v>
      </c>
      <c r="L25" s="5" t="s">
        <v>1535</v>
      </c>
      <c r="M25" s="8">
        <v>4500</v>
      </c>
      <c r="N25" s="5" t="s">
        <v>1529</v>
      </c>
      <c r="O25" s="7">
        <v>46164</v>
      </c>
    </row>
    <row r="26" spans="1:15" x14ac:dyDescent="0.25">
      <c r="A26" s="5" t="s">
        <v>4</v>
      </c>
      <c r="B26" s="5" t="s">
        <v>1617</v>
      </c>
      <c r="D26" s="5" t="s">
        <v>353</v>
      </c>
      <c r="E26" s="5" t="s">
        <v>1618</v>
      </c>
      <c r="F26" s="5" t="s">
        <v>1619</v>
      </c>
      <c r="G26" s="6">
        <v>46035.704861111109</v>
      </c>
      <c r="H26" s="7">
        <v>46042</v>
      </c>
      <c r="I26" s="5" t="s">
        <v>1620</v>
      </c>
      <c r="J26" s="7">
        <v>46052</v>
      </c>
      <c r="K26" s="5" t="s">
        <v>1527</v>
      </c>
      <c r="L26" s="5" t="s">
        <v>1621</v>
      </c>
      <c r="M26" s="8">
        <v>4299.92</v>
      </c>
      <c r="N26" s="5" t="s">
        <v>1536</v>
      </c>
      <c r="O26" s="7">
        <v>46052</v>
      </c>
    </row>
    <row r="27" spans="1:15" hidden="1" x14ac:dyDescent="0.25">
      <c r="A27" s="5" t="s">
        <v>1522</v>
      </c>
      <c r="B27" s="5" t="s">
        <v>1622</v>
      </c>
      <c r="D27" s="5" t="s">
        <v>74</v>
      </c>
      <c r="E27" s="5" t="s">
        <v>1623</v>
      </c>
      <c r="F27" s="5" t="s">
        <v>1624</v>
      </c>
      <c r="G27" s="6">
        <v>46057.59097222222</v>
      </c>
      <c r="H27" s="7">
        <v>46064</v>
      </c>
      <c r="I27" s="6">
        <v>46064.647916666669</v>
      </c>
      <c r="J27" s="7">
        <v>46064</v>
      </c>
      <c r="K27" s="5" t="s">
        <v>1527</v>
      </c>
      <c r="L27" s="5" t="s">
        <v>1528</v>
      </c>
      <c r="M27" s="8">
        <v>4250</v>
      </c>
      <c r="N27" s="5" t="s">
        <v>1536</v>
      </c>
      <c r="O27" s="7">
        <v>46064</v>
      </c>
    </row>
    <row r="28" spans="1:15" x14ac:dyDescent="0.25">
      <c r="A28" s="5" t="s">
        <v>4</v>
      </c>
      <c r="B28" s="5" t="s">
        <v>1625</v>
      </c>
      <c r="D28" s="5" t="s">
        <v>498</v>
      </c>
      <c r="E28" s="5" t="s">
        <v>1626</v>
      </c>
      <c r="F28" s="5" t="s">
        <v>1627</v>
      </c>
      <c r="G28" s="6">
        <v>46129.638194444444</v>
      </c>
      <c r="H28" s="7">
        <v>46136</v>
      </c>
      <c r="I28" s="5" t="s">
        <v>1628</v>
      </c>
      <c r="J28" s="7">
        <v>46140</v>
      </c>
      <c r="K28" s="5" t="s">
        <v>1527</v>
      </c>
      <c r="L28" s="5" t="s">
        <v>1535</v>
      </c>
      <c r="M28" s="8">
        <v>4056.5</v>
      </c>
      <c r="N28" s="5" t="s">
        <v>1536</v>
      </c>
      <c r="O28" s="7">
        <v>46140</v>
      </c>
    </row>
    <row r="29" spans="1:15" x14ac:dyDescent="0.25">
      <c r="A29" s="5" t="s">
        <v>4</v>
      </c>
      <c r="B29" s="5" t="s">
        <v>1629</v>
      </c>
      <c r="D29" s="5" t="s">
        <v>1182</v>
      </c>
      <c r="E29" s="5" t="s">
        <v>1630</v>
      </c>
      <c r="F29" s="5" t="s">
        <v>1548</v>
      </c>
      <c r="G29" s="6">
        <v>46044.723611111112</v>
      </c>
      <c r="H29" s="7">
        <v>46057</v>
      </c>
      <c r="I29" s="5" t="s">
        <v>1631</v>
      </c>
      <c r="J29" s="7">
        <v>46063</v>
      </c>
      <c r="K29" s="5" t="s">
        <v>1527</v>
      </c>
      <c r="L29" s="5" t="s">
        <v>1564</v>
      </c>
      <c r="M29" s="8">
        <v>3983.09</v>
      </c>
      <c r="N29" s="5" t="s">
        <v>1536</v>
      </c>
      <c r="O29" s="7">
        <v>46063</v>
      </c>
    </row>
    <row r="30" spans="1:15" hidden="1" x14ac:dyDescent="0.25">
      <c r="A30" s="5" t="s">
        <v>1522</v>
      </c>
      <c r="B30" s="5" t="s">
        <v>1632</v>
      </c>
      <c r="D30" s="5" t="s">
        <v>1486</v>
      </c>
      <c r="E30" s="5" t="s">
        <v>1633</v>
      </c>
      <c r="F30" s="5" t="s">
        <v>1634</v>
      </c>
      <c r="G30" s="6">
        <v>46119.35833333333</v>
      </c>
      <c r="H30" s="7">
        <v>46127</v>
      </c>
      <c r="I30" s="5" t="s">
        <v>1635</v>
      </c>
      <c r="J30" s="7">
        <v>46126</v>
      </c>
      <c r="K30" s="5" t="s">
        <v>1527</v>
      </c>
      <c r="L30" s="5" t="s">
        <v>1528</v>
      </c>
      <c r="M30" s="8">
        <v>3965</v>
      </c>
      <c r="N30" s="5" t="s">
        <v>1536</v>
      </c>
      <c r="O30" s="7">
        <v>46126</v>
      </c>
    </row>
    <row r="31" spans="1:15" hidden="1" x14ac:dyDescent="0.25">
      <c r="A31" s="5" t="s">
        <v>1522</v>
      </c>
      <c r="B31" s="5" t="s">
        <v>1636</v>
      </c>
      <c r="D31" s="5" t="s">
        <v>1311</v>
      </c>
      <c r="E31" s="5" t="s">
        <v>1637</v>
      </c>
      <c r="F31" s="5" t="s">
        <v>1638</v>
      </c>
      <c r="G31" s="6">
        <v>46044.491666666669</v>
      </c>
      <c r="H31" s="7">
        <v>46052</v>
      </c>
      <c r="I31" s="5" t="s">
        <v>1533</v>
      </c>
      <c r="J31" s="7">
        <v>46052</v>
      </c>
      <c r="K31" s="5" t="s">
        <v>1534</v>
      </c>
      <c r="L31" s="5" t="s">
        <v>1554</v>
      </c>
      <c r="M31" s="9">
        <v>3822.5</v>
      </c>
      <c r="N31" s="5" t="s">
        <v>1536</v>
      </c>
      <c r="O31" s="7">
        <v>46052</v>
      </c>
    </row>
    <row r="32" spans="1:15" x14ac:dyDescent="0.25">
      <c r="A32" s="5" t="s">
        <v>4</v>
      </c>
      <c r="B32" s="5" t="s">
        <v>1639</v>
      </c>
      <c r="D32" s="5" t="s">
        <v>245</v>
      </c>
      <c r="E32" s="5" t="s">
        <v>1640</v>
      </c>
      <c r="F32" s="5" t="s">
        <v>1641</v>
      </c>
      <c r="G32" s="6">
        <v>46099.75277777778</v>
      </c>
      <c r="H32" s="7">
        <v>46112</v>
      </c>
      <c r="I32" s="5" t="s">
        <v>1642</v>
      </c>
      <c r="J32" s="7">
        <v>46112</v>
      </c>
      <c r="K32" s="5" t="s">
        <v>1527</v>
      </c>
      <c r="L32" s="5" t="s">
        <v>1564</v>
      </c>
      <c r="M32" s="8">
        <v>3523.6</v>
      </c>
      <c r="N32" s="5" t="s">
        <v>1536</v>
      </c>
      <c r="O32" s="7">
        <v>46112</v>
      </c>
    </row>
    <row r="33" spans="1:15" hidden="1" x14ac:dyDescent="0.25">
      <c r="A33" s="5" t="s">
        <v>1522</v>
      </c>
      <c r="B33" s="5" t="s">
        <v>1643</v>
      </c>
      <c r="D33" s="5" t="s">
        <v>1455</v>
      </c>
      <c r="E33" s="5" t="s">
        <v>1644</v>
      </c>
      <c r="F33" s="5" t="s">
        <v>1645</v>
      </c>
      <c r="G33" s="6">
        <v>46062.678472222222</v>
      </c>
      <c r="H33" s="7">
        <v>46071</v>
      </c>
      <c r="I33" s="5" t="s">
        <v>1533</v>
      </c>
      <c r="J33" s="7">
        <v>46077</v>
      </c>
      <c r="K33" s="5" t="s">
        <v>1534</v>
      </c>
      <c r="L33" s="5" t="s">
        <v>1528</v>
      </c>
      <c r="M33" s="8">
        <v>3500</v>
      </c>
      <c r="N33" s="5" t="s">
        <v>1536</v>
      </c>
      <c r="O33" s="7">
        <v>46077</v>
      </c>
    </row>
    <row r="34" spans="1:15" hidden="1" x14ac:dyDescent="0.25">
      <c r="A34" s="5" t="s">
        <v>1522</v>
      </c>
      <c r="B34" s="5" t="s">
        <v>1646</v>
      </c>
      <c r="D34" s="5" t="s">
        <v>1486</v>
      </c>
      <c r="E34" s="5" t="s">
        <v>1647</v>
      </c>
      <c r="F34" s="5" t="s">
        <v>1648</v>
      </c>
      <c r="G34" s="6">
        <v>46051.388888888891</v>
      </c>
      <c r="H34" s="7">
        <v>46059</v>
      </c>
      <c r="I34" s="5" t="s">
        <v>1649</v>
      </c>
      <c r="J34" s="7">
        <v>46077</v>
      </c>
      <c r="K34" s="5" t="s">
        <v>1527</v>
      </c>
      <c r="L34" s="5" t="s">
        <v>1528</v>
      </c>
      <c r="M34" s="8">
        <v>3366</v>
      </c>
      <c r="N34" s="5" t="s">
        <v>1536</v>
      </c>
      <c r="O34" s="7">
        <v>46077</v>
      </c>
    </row>
    <row r="35" spans="1:15" hidden="1" x14ac:dyDescent="0.25">
      <c r="A35" s="5" t="s">
        <v>1522</v>
      </c>
      <c r="B35" s="5" t="s">
        <v>1650</v>
      </c>
      <c r="D35" s="5" t="s">
        <v>1503</v>
      </c>
      <c r="E35" s="5" t="s">
        <v>1651</v>
      </c>
      <c r="F35" s="5" t="s">
        <v>1652</v>
      </c>
      <c r="G35" s="6">
        <v>46154.416666666664</v>
      </c>
      <c r="H35" s="7">
        <v>46161</v>
      </c>
      <c r="I35" s="5" t="s">
        <v>1653</v>
      </c>
      <c r="J35" s="7">
        <v>46163</v>
      </c>
      <c r="K35" s="5" t="s">
        <v>1527</v>
      </c>
      <c r="L35" s="5" t="s">
        <v>1528</v>
      </c>
      <c r="M35" s="8">
        <v>3322</v>
      </c>
      <c r="N35" s="5" t="s">
        <v>1536</v>
      </c>
      <c r="O35" s="7">
        <v>46163</v>
      </c>
    </row>
    <row r="36" spans="1:15" x14ac:dyDescent="0.25">
      <c r="A36" s="5" t="s">
        <v>4</v>
      </c>
      <c r="B36" s="5" t="s">
        <v>1654</v>
      </c>
      <c r="D36" s="5" t="s">
        <v>1450</v>
      </c>
      <c r="E36" s="5" t="s">
        <v>1655</v>
      </c>
      <c r="F36" s="5" t="s">
        <v>1656</v>
      </c>
      <c r="G36" s="6">
        <v>46098.479861111111</v>
      </c>
      <c r="H36" s="7">
        <v>46108</v>
      </c>
      <c r="I36" s="5" t="s">
        <v>1657</v>
      </c>
      <c r="J36" s="7">
        <v>46112</v>
      </c>
      <c r="K36" s="5" t="s">
        <v>1527</v>
      </c>
      <c r="L36" s="5" t="s">
        <v>1535</v>
      </c>
      <c r="M36" s="8">
        <v>3255.4</v>
      </c>
      <c r="N36" s="5" t="s">
        <v>1536</v>
      </c>
      <c r="O36" s="7">
        <v>46112</v>
      </c>
    </row>
    <row r="37" spans="1:15" x14ac:dyDescent="0.25">
      <c r="A37" s="5" t="s">
        <v>4</v>
      </c>
      <c r="B37" s="5" t="s">
        <v>1658</v>
      </c>
      <c r="D37" s="5" t="s">
        <v>1509</v>
      </c>
      <c r="E37" s="5" t="s">
        <v>1538</v>
      </c>
      <c r="F37" s="5" t="s">
        <v>1659</v>
      </c>
      <c r="G37" s="6">
        <v>46122.422222222223</v>
      </c>
      <c r="H37" s="7">
        <v>46134</v>
      </c>
      <c r="I37" s="5" t="s">
        <v>1660</v>
      </c>
      <c r="J37" s="7">
        <v>46164</v>
      </c>
      <c r="K37" s="5" t="s">
        <v>1527</v>
      </c>
      <c r="L37" s="5" t="s">
        <v>1535</v>
      </c>
      <c r="M37" s="8">
        <v>3237</v>
      </c>
      <c r="N37" s="5" t="s">
        <v>1529</v>
      </c>
      <c r="O37" s="7">
        <v>46164</v>
      </c>
    </row>
    <row r="38" spans="1:15" x14ac:dyDescent="0.25">
      <c r="A38" s="5" t="s">
        <v>4</v>
      </c>
      <c r="B38" s="5" t="s">
        <v>1661</v>
      </c>
      <c r="D38" s="5" t="s">
        <v>1434</v>
      </c>
      <c r="E38" s="5" t="s">
        <v>1662</v>
      </c>
      <c r="F38" s="5" t="s">
        <v>1663</v>
      </c>
      <c r="G38" s="6">
        <v>46161.382638888892</v>
      </c>
      <c r="H38" s="7">
        <v>46174</v>
      </c>
      <c r="I38" s="5" t="s">
        <v>1533</v>
      </c>
      <c r="J38" s="7">
        <v>46171</v>
      </c>
      <c r="K38" s="5" t="s">
        <v>1534</v>
      </c>
      <c r="L38" s="5" t="s">
        <v>1564</v>
      </c>
      <c r="M38" s="8">
        <v>3123.62</v>
      </c>
      <c r="N38" s="5" t="s">
        <v>1529</v>
      </c>
      <c r="O38" s="7">
        <v>46171</v>
      </c>
    </row>
    <row r="39" spans="1:15" hidden="1" x14ac:dyDescent="0.25">
      <c r="A39" s="5" t="s">
        <v>1522</v>
      </c>
      <c r="B39" s="5" t="s">
        <v>1664</v>
      </c>
      <c r="D39" s="5" t="s">
        <v>1289</v>
      </c>
      <c r="E39" s="5" t="s">
        <v>1665</v>
      </c>
      <c r="F39" s="5" t="s">
        <v>1666</v>
      </c>
      <c r="G39" s="6">
        <v>46086.388888888891</v>
      </c>
      <c r="H39" s="7">
        <v>46094</v>
      </c>
      <c r="I39" s="5" t="s">
        <v>1667</v>
      </c>
      <c r="J39" s="7">
        <v>46098</v>
      </c>
      <c r="K39" s="5" t="s">
        <v>1527</v>
      </c>
      <c r="L39" s="5" t="s">
        <v>1528</v>
      </c>
      <c r="M39" s="8">
        <v>3109.6</v>
      </c>
      <c r="N39" s="5" t="s">
        <v>1536</v>
      </c>
      <c r="O39" s="7">
        <v>46098</v>
      </c>
    </row>
    <row r="40" spans="1:15" x14ac:dyDescent="0.25">
      <c r="A40" s="5" t="s">
        <v>4</v>
      </c>
      <c r="B40" s="5" t="s">
        <v>1668</v>
      </c>
      <c r="D40" s="5" t="s">
        <v>1509</v>
      </c>
      <c r="E40" s="5" t="s">
        <v>1669</v>
      </c>
      <c r="F40" s="5" t="s">
        <v>1670</v>
      </c>
      <c r="G40" s="6">
        <v>46167.470833333333</v>
      </c>
      <c r="H40" s="7">
        <v>46176</v>
      </c>
      <c r="I40" s="5" t="s">
        <v>1533</v>
      </c>
      <c r="J40" s="5" t="s">
        <v>1533</v>
      </c>
      <c r="K40" s="5" t="s">
        <v>1540</v>
      </c>
      <c r="L40" s="5" t="s">
        <v>1535</v>
      </c>
      <c r="M40" s="8">
        <v>3099</v>
      </c>
      <c r="N40" s="5" t="s">
        <v>1541</v>
      </c>
      <c r="O40" s="5" t="s">
        <v>1533</v>
      </c>
    </row>
    <row r="41" spans="1:15" x14ac:dyDescent="0.25">
      <c r="A41" s="5" t="s">
        <v>4</v>
      </c>
      <c r="B41" s="5" t="s">
        <v>1671</v>
      </c>
      <c r="D41" s="5" t="s">
        <v>1438</v>
      </c>
      <c r="E41" s="5" t="s">
        <v>1672</v>
      </c>
      <c r="F41" s="5" t="s">
        <v>1673</v>
      </c>
      <c r="G41" s="6">
        <v>46167.548611111109</v>
      </c>
      <c r="H41" s="7">
        <v>46170</v>
      </c>
      <c r="I41" s="5" t="s">
        <v>1674</v>
      </c>
      <c r="J41" s="7">
        <v>46170</v>
      </c>
      <c r="K41" s="5" t="s">
        <v>1527</v>
      </c>
      <c r="L41" s="5" t="s">
        <v>1564</v>
      </c>
      <c r="M41" s="8">
        <v>3072</v>
      </c>
      <c r="N41" s="5" t="s">
        <v>1536</v>
      </c>
      <c r="O41" s="7">
        <v>46170</v>
      </c>
    </row>
    <row r="42" spans="1:15" x14ac:dyDescent="0.25">
      <c r="A42" s="5" t="s">
        <v>4</v>
      </c>
      <c r="B42" s="5" t="s">
        <v>1675</v>
      </c>
      <c r="D42" s="5" t="s">
        <v>1483</v>
      </c>
      <c r="E42" s="5" t="s">
        <v>1676</v>
      </c>
      <c r="F42" s="5" t="s">
        <v>1677</v>
      </c>
      <c r="G42" s="6">
        <v>46072.711111111108</v>
      </c>
      <c r="H42" s="7">
        <v>46084</v>
      </c>
      <c r="I42" s="6">
        <v>46078.69027777778</v>
      </c>
      <c r="J42" s="7">
        <v>46078</v>
      </c>
      <c r="K42" s="5" t="s">
        <v>1527</v>
      </c>
      <c r="L42" s="5" t="s">
        <v>1535</v>
      </c>
      <c r="M42" s="8">
        <v>3042</v>
      </c>
      <c r="N42" s="5" t="s">
        <v>1536</v>
      </c>
      <c r="O42" s="7">
        <v>46078</v>
      </c>
    </row>
    <row r="43" spans="1:15" x14ac:dyDescent="0.25">
      <c r="A43" s="5" t="s">
        <v>4</v>
      </c>
      <c r="B43" s="5" t="s">
        <v>1678</v>
      </c>
      <c r="D43" s="5" t="s">
        <v>1483</v>
      </c>
      <c r="E43" s="5" t="s">
        <v>1676</v>
      </c>
      <c r="F43" s="5" t="s">
        <v>1677</v>
      </c>
      <c r="G43" s="6">
        <v>46154.477083333331</v>
      </c>
      <c r="H43" s="7">
        <v>46167</v>
      </c>
      <c r="I43" s="6">
        <v>46163.788194444445</v>
      </c>
      <c r="J43" s="7">
        <v>46162</v>
      </c>
      <c r="K43" s="5" t="s">
        <v>1527</v>
      </c>
      <c r="L43" s="5" t="s">
        <v>1535</v>
      </c>
      <c r="M43" s="8">
        <v>3042</v>
      </c>
      <c r="N43" s="5" t="s">
        <v>1536</v>
      </c>
      <c r="O43" s="7">
        <v>46162</v>
      </c>
    </row>
    <row r="44" spans="1:15" x14ac:dyDescent="0.25">
      <c r="A44" s="5" t="s">
        <v>4</v>
      </c>
      <c r="B44" s="5" t="s">
        <v>1679</v>
      </c>
      <c r="D44" s="5" t="s">
        <v>648</v>
      </c>
      <c r="E44" s="5" t="s">
        <v>1680</v>
      </c>
      <c r="F44" s="5" t="s">
        <v>1681</v>
      </c>
      <c r="G44" s="6">
        <v>46127.70208333333</v>
      </c>
      <c r="H44" s="7">
        <v>46134</v>
      </c>
      <c r="I44" s="5" t="s">
        <v>1682</v>
      </c>
      <c r="J44" s="7">
        <v>46142</v>
      </c>
      <c r="K44" s="5" t="s">
        <v>1527</v>
      </c>
      <c r="L44" s="5" t="s">
        <v>1535</v>
      </c>
      <c r="M44" s="8">
        <v>3040</v>
      </c>
      <c r="N44" s="5" t="s">
        <v>1536</v>
      </c>
      <c r="O44" s="7">
        <v>46142</v>
      </c>
    </row>
    <row r="45" spans="1:15" x14ac:dyDescent="0.25">
      <c r="A45" s="5" t="s">
        <v>4</v>
      </c>
      <c r="B45" s="5" t="s">
        <v>1683</v>
      </c>
      <c r="D45" s="5" t="s">
        <v>1509</v>
      </c>
      <c r="E45" s="5" t="s">
        <v>1614</v>
      </c>
      <c r="F45" s="5" t="s">
        <v>1684</v>
      </c>
      <c r="G45" s="6">
        <v>46048.679166666669</v>
      </c>
      <c r="H45" s="7">
        <v>46057</v>
      </c>
      <c r="I45" s="5" t="s">
        <v>1685</v>
      </c>
      <c r="J45" s="7">
        <v>46085</v>
      </c>
      <c r="K45" s="5" t="s">
        <v>1527</v>
      </c>
      <c r="L45" s="5" t="s">
        <v>1535</v>
      </c>
      <c r="M45" s="8">
        <v>3000</v>
      </c>
      <c r="N45" s="5" t="s">
        <v>1536</v>
      </c>
      <c r="O45" s="7">
        <v>46085</v>
      </c>
    </row>
    <row r="46" spans="1:15" x14ac:dyDescent="0.25">
      <c r="A46" s="5" t="s">
        <v>4</v>
      </c>
      <c r="B46" s="5" t="s">
        <v>1686</v>
      </c>
      <c r="D46" s="5" t="s">
        <v>534</v>
      </c>
      <c r="E46" s="5" t="s">
        <v>1687</v>
      </c>
      <c r="F46" s="5" t="s">
        <v>1663</v>
      </c>
      <c r="G46" s="6">
        <v>46162.697222222225</v>
      </c>
      <c r="H46" s="7">
        <v>46171</v>
      </c>
      <c r="I46" s="5" t="s">
        <v>1688</v>
      </c>
      <c r="J46" s="7">
        <v>46171</v>
      </c>
      <c r="K46" s="5" t="s">
        <v>1527</v>
      </c>
      <c r="L46" s="5" t="s">
        <v>1564</v>
      </c>
      <c r="M46" s="8">
        <v>2994.6</v>
      </c>
      <c r="N46" s="5" t="s">
        <v>1536</v>
      </c>
      <c r="O46" s="7">
        <v>46171</v>
      </c>
    </row>
    <row r="47" spans="1:15" x14ac:dyDescent="0.25">
      <c r="A47" s="5" t="s">
        <v>4</v>
      </c>
      <c r="B47" s="5" t="s">
        <v>1689</v>
      </c>
      <c r="D47" s="5" t="s">
        <v>455</v>
      </c>
      <c r="E47" s="5" t="s">
        <v>1690</v>
      </c>
      <c r="F47" s="5" t="s">
        <v>1691</v>
      </c>
      <c r="G47" s="6">
        <v>46128.376388888886</v>
      </c>
      <c r="H47" s="7">
        <v>46141</v>
      </c>
      <c r="I47" s="5" t="s">
        <v>1692</v>
      </c>
      <c r="J47" s="7">
        <v>46141</v>
      </c>
      <c r="K47" s="5" t="s">
        <v>1527</v>
      </c>
      <c r="L47" s="5" t="s">
        <v>1535</v>
      </c>
      <c r="M47" s="8">
        <v>2919.45</v>
      </c>
      <c r="N47" s="5" t="s">
        <v>1536</v>
      </c>
      <c r="O47" s="7">
        <v>46141</v>
      </c>
    </row>
    <row r="48" spans="1:15" hidden="1" x14ac:dyDescent="0.25">
      <c r="A48" s="5" t="s">
        <v>1522</v>
      </c>
      <c r="B48" s="5" t="s">
        <v>1693</v>
      </c>
      <c r="D48" s="5" t="s">
        <v>1454</v>
      </c>
      <c r="E48" s="5" t="s">
        <v>1694</v>
      </c>
      <c r="F48" s="5" t="s">
        <v>1548</v>
      </c>
      <c r="G48" s="6">
        <v>46125.743055555555</v>
      </c>
      <c r="H48" s="7">
        <v>46134</v>
      </c>
      <c r="I48" s="5" t="s">
        <v>1695</v>
      </c>
      <c r="J48" s="7">
        <v>46136</v>
      </c>
      <c r="K48" s="5" t="s">
        <v>1527</v>
      </c>
      <c r="L48" s="5" t="s">
        <v>1528</v>
      </c>
      <c r="M48" s="8">
        <v>2885</v>
      </c>
      <c r="N48" s="5" t="s">
        <v>1536</v>
      </c>
      <c r="O48" s="7">
        <v>46136</v>
      </c>
    </row>
    <row r="49" spans="1:15" hidden="1" x14ac:dyDescent="0.25">
      <c r="A49" s="5" t="s">
        <v>1522</v>
      </c>
      <c r="B49" s="5" t="s">
        <v>1696</v>
      </c>
      <c r="D49" s="5" t="s">
        <v>243</v>
      </c>
      <c r="E49" s="5" t="s">
        <v>1697</v>
      </c>
      <c r="F49" s="5" t="s">
        <v>1698</v>
      </c>
      <c r="G49" s="6">
        <v>46146.404861111114</v>
      </c>
      <c r="H49" s="7">
        <v>46155</v>
      </c>
      <c r="I49" s="5" t="s">
        <v>1699</v>
      </c>
      <c r="J49" s="7">
        <v>46169</v>
      </c>
      <c r="K49" s="5" t="s">
        <v>1527</v>
      </c>
      <c r="L49" s="5" t="s">
        <v>1528</v>
      </c>
      <c r="M49" s="8">
        <v>2880.8</v>
      </c>
      <c r="N49" s="5" t="s">
        <v>1529</v>
      </c>
      <c r="O49" s="7">
        <v>46169</v>
      </c>
    </row>
    <row r="50" spans="1:15" x14ac:dyDescent="0.25">
      <c r="A50" s="5" t="s">
        <v>4</v>
      </c>
      <c r="B50" s="5" t="s">
        <v>1700</v>
      </c>
      <c r="D50" s="5" t="s">
        <v>88</v>
      </c>
      <c r="E50" s="5" t="s">
        <v>1701</v>
      </c>
      <c r="F50" s="5" t="s">
        <v>1702</v>
      </c>
      <c r="G50" s="6">
        <v>46157.457638888889</v>
      </c>
      <c r="H50" s="7">
        <v>46171</v>
      </c>
      <c r="I50" s="6">
        <v>46171.626388888886</v>
      </c>
      <c r="J50" s="7">
        <v>46163</v>
      </c>
      <c r="K50" s="5" t="s">
        <v>1527</v>
      </c>
      <c r="L50" s="5" t="s">
        <v>1564</v>
      </c>
      <c r="M50" s="8">
        <v>2846.54</v>
      </c>
      <c r="N50" s="5" t="s">
        <v>1536</v>
      </c>
      <c r="O50" s="7">
        <v>46163</v>
      </c>
    </row>
    <row r="51" spans="1:15" x14ac:dyDescent="0.25">
      <c r="A51" s="5" t="s">
        <v>4</v>
      </c>
      <c r="B51" s="5" t="s">
        <v>1703</v>
      </c>
      <c r="D51" s="5" t="s">
        <v>66</v>
      </c>
      <c r="E51" s="5" t="s">
        <v>1704</v>
      </c>
      <c r="F51" s="5" t="s">
        <v>1705</v>
      </c>
      <c r="G51" s="6">
        <v>46094.586805555555</v>
      </c>
      <c r="H51" s="7">
        <v>46106</v>
      </c>
      <c r="I51" s="5" t="s">
        <v>1706</v>
      </c>
      <c r="J51" s="7">
        <v>46107</v>
      </c>
      <c r="K51" s="5" t="s">
        <v>1527</v>
      </c>
      <c r="L51" s="5" t="s">
        <v>1535</v>
      </c>
      <c r="M51" s="8">
        <v>2838</v>
      </c>
      <c r="N51" s="5" t="s">
        <v>1536</v>
      </c>
      <c r="O51" s="7">
        <v>46107</v>
      </c>
    </row>
    <row r="52" spans="1:15" x14ac:dyDescent="0.25">
      <c r="A52" s="5" t="s">
        <v>4</v>
      </c>
      <c r="B52" s="5" t="s">
        <v>1707</v>
      </c>
      <c r="D52" s="5" t="s">
        <v>1405</v>
      </c>
      <c r="E52" s="5" t="s">
        <v>1708</v>
      </c>
      <c r="F52" s="5" t="s">
        <v>1709</v>
      </c>
      <c r="G52" s="6">
        <v>46080.560416666667</v>
      </c>
      <c r="H52" s="7">
        <v>46094</v>
      </c>
      <c r="I52" s="5" t="s">
        <v>1710</v>
      </c>
      <c r="J52" s="7">
        <v>46100</v>
      </c>
      <c r="K52" s="5" t="s">
        <v>1527</v>
      </c>
      <c r="L52" s="5" t="s">
        <v>1535</v>
      </c>
      <c r="M52" s="8">
        <v>2785.5</v>
      </c>
      <c r="N52" s="5" t="s">
        <v>1536</v>
      </c>
      <c r="O52" s="7">
        <v>46100</v>
      </c>
    </row>
    <row r="53" spans="1:15" hidden="1" x14ac:dyDescent="0.25">
      <c r="A53" s="5" t="s">
        <v>1522</v>
      </c>
      <c r="B53" s="5" t="s">
        <v>1711</v>
      </c>
      <c r="D53" s="5" t="s">
        <v>1499</v>
      </c>
      <c r="E53" s="5" t="s">
        <v>1712</v>
      </c>
      <c r="F53" s="5" t="s">
        <v>1713</v>
      </c>
      <c r="G53" s="6">
        <v>46101.451388888891</v>
      </c>
      <c r="H53" s="7">
        <v>46108</v>
      </c>
      <c r="I53" s="6">
        <v>46107.697222222225</v>
      </c>
      <c r="J53" s="7">
        <v>46107</v>
      </c>
      <c r="K53" s="5" t="s">
        <v>1527</v>
      </c>
      <c r="L53" s="5" t="s">
        <v>1528</v>
      </c>
      <c r="M53" s="8">
        <v>2720</v>
      </c>
      <c r="N53" s="5" t="s">
        <v>1536</v>
      </c>
      <c r="O53" s="7">
        <v>46107</v>
      </c>
    </row>
    <row r="54" spans="1:15" ht="15" customHeight="1" x14ac:dyDescent="0.25">
      <c r="A54" s="5" t="s">
        <v>4</v>
      </c>
      <c r="B54" s="5" t="s">
        <v>1714</v>
      </c>
      <c r="D54" s="5" t="s">
        <v>1173</v>
      </c>
      <c r="E54" s="5" t="s">
        <v>1715</v>
      </c>
      <c r="F54" s="5" t="s">
        <v>1532</v>
      </c>
      <c r="G54" s="6">
        <v>46162.680555555555</v>
      </c>
      <c r="H54" s="7">
        <v>46171</v>
      </c>
      <c r="I54" s="5" t="s">
        <v>1716</v>
      </c>
      <c r="J54" s="7">
        <v>46176</v>
      </c>
      <c r="K54" s="5" t="s">
        <v>1527</v>
      </c>
      <c r="L54" s="5" t="s">
        <v>1535</v>
      </c>
      <c r="M54" s="8">
        <v>2706.7</v>
      </c>
      <c r="N54" s="5" t="s">
        <v>1529</v>
      </c>
      <c r="O54" s="7">
        <v>46176</v>
      </c>
    </row>
    <row r="55" spans="1:15" hidden="1" x14ac:dyDescent="0.25">
      <c r="A55" s="5" t="s">
        <v>1522</v>
      </c>
      <c r="B55" s="5" t="s">
        <v>1717</v>
      </c>
      <c r="D55" s="5" t="s">
        <v>1500</v>
      </c>
      <c r="E55" s="5" t="s">
        <v>1559</v>
      </c>
      <c r="F55" s="5" t="s">
        <v>1560</v>
      </c>
      <c r="G55" s="6">
        <v>46048.724305555559</v>
      </c>
      <c r="H55" s="7">
        <v>46050</v>
      </c>
      <c r="I55" s="5" t="s">
        <v>1718</v>
      </c>
      <c r="J55" s="7">
        <v>46052</v>
      </c>
      <c r="K55" s="5" t="s">
        <v>1527</v>
      </c>
      <c r="L55" s="5" t="s">
        <v>1528</v>
      </c>
      <c r="M55" s="8">
        <v>2699.94</v>
      </c>
      <c r="N55" s="5" t="s">
        <v>1536</v>
      </c>
      <c r="O55" s="7">
        <v>46052</v>
      </c>
    </row>
    <row r="56" spans="1:15" x14ac:dyDescent="0.25">
      <c r="A56" s="5" t="s">
        <v>4</v>
      </c>
      <c r="B56" s="5" t="s">
        <v>1719</v>
      </c>
      <c r="D56" s="5" t="s">
        <v>372</v>
      </c>
      <c r="E56" s="5" t="s">
        <v>1720</v>
      </c>
      <c r="F56" s="5" t="s">
        <v>1548</v>
      </c>
      <c r="G56" s="6">
        <v>46034.561111111114</v>
      </c>
      <c r="H56" s="7">
        <v>46042</v>
      </c>
      <c r="I56" s="5" t="s">
        <v>1721</v>
      </c>
      <c r="J56" s="7">
        <v>46045</v>
      </c>
      <c r="K56" s="5" t="s">
        <v>1527</v>
      </c>
      <c r="L56" s="5" t="s">
        <v>1564</v>
      </c>
      <c r="M56" s="9">
        <v>2698.7</v>
      </c>
      <c r="N56" s="5" t="s">
        <v>1536</v>
      </c>
      <c r="O56" s="7">
        <v>46045</v>
      </c>
    </row>
    <row r="57" spans="1:15" x14ac:dyDescent="0.25">
      <c r="A57" s="5" t="s">
        <v>4</v>
      </c>
      <c r="B57" s="5" t="s">
        <v>1722</v>
      </c>
      <c r="D57" s="5" t="s">
        <v>1329</v>
      </c>
      <c r="E57" s="5" t="s">
        <v>1723</v>
      </c>
      <c r="F57" s="5" t="s">
        <v>1548</v>
      </c>
      <c r="G57" s="6">
        <v>46092.35833333333</v>
      </c>
      <c r="H57" s="7">
        <v>46129</v>
      </c>
      <c r="I57" s="6">
        <v>46129.486805555556</v>
      </c>
      <c r="J57" s="7">
        <v>46128</v>
      </c>
      <c r="K57" s="5" t="s">
        <v>1527</v>
      </c>
      <c r="L57" s="5" t="s">
        <v>1535</v>
      </c>
      <c r="M57" s="8">
        <v>2638.3</v>
      </c>
      <c r="N57" s="5" t="s">
        <v>1529</v>
      </c>
      <c r="O57" s="7">
        <v>46128</v>
      </c>
    </row>
    <row r="58" spans="1:15" x14ac:dyDescent="0.25">
      <c r="A58" s="5" t="s">
        <v>4</v>
      </c>
      <c r="B58" s="5" t="s">
        <v>1724</v>
      </c>
      <c r="D58" s="5" t="s">
        <v>1483</v>
      </c>
      <c r="E58" s="5" t="s">
        <v>1676</v>
      </c>
      <c r="F58" s="5" t="s">
        <v>1677</v>
      </c>
      <c r="G58" s="6">
        <v>46161.713194444441</v>
      </c>
      <c r="H58" s="7">
        <v>46171</v>
      </c>
      <c r="I58" s="6">
        <v>46171.411805555559</v>
      </c>
      <c r="J58" s="7">
        <v>46170</v>
      </c>
      <c r="K58" s="5" t="s">
        <v>1527</v>
      </c>
      <c r="L58" s="5" t="s">
        <v>1535</v>
      </c>
      <c r="M58" s="8">
        <v>2636.4</v>
      </c>
      <c r="N58" s="5" t="s">
        <v>1529</v>
      </c>
      <c r="O58" s="7">
        <v>46170</v>
      </c>
    </row>
    <row r="59" spans="1:15" x14ac:dyDescent="0.25">
      <c r="A59" s="5" t="s">
        <v>4</v>
      </c>
      <c r="B59" s="5" t="s">
        <v>1725</v>
      </c>
      <c r="D59" s="5" t="s">
        <v>919</v>
      </c>
      <c r="E59" s="5" t="s">
        <v>1726</v>
      </c>
      <c r="F59" s="5" t="s">
        <v>1727</v>
      </c>
      <c r="G59" s="6">
        <v>46043.686111111114</v>
      </c>
      <c r="H59" s="7">
        <v>46052</v>
      </c>
      <c r="I59" s="5" t="s">
        <v>1728</v>
      </c>
      <c r="J59" s="7">
        <v>46078</v>
      </c>
      <c r="K59" s="5" t="s">
        <v>1527</v>
      </c>
      <c r="L59" s="5" t="s">
        <v>1535</v>
      </c>
      <c r="M59" s="8">
        <v>2624</v>
      </c>
      <c r="N59" s="5" t="s">
        <v>1536</v>
      </c>
      <c r="O59" s="7">
        <v>46078</v>
      </c>
    </row>
    <row r="60" spans="1:15" x14ac:dyDescent="0.25">
      <c r="A60" s="5" t="s">
        <v>4</v>
      </c>
      <c r="B60" s="5" t="s">
        <v>1729</v>
      </c>
      <c r="D60" s="5" t="s">
        <v>1446</v>
      </c>
      <c r="E60" s="5" t="s">
        <v>1730</v>
      </c>
      <c r="F60" s="5" t="s">
        <v>1731</v>
      </c>
      <c r="G60" s="6">
        <v>46149.606249999997</v>
      </c>
      <c r="H60" s="7">
        <v>46161</v>
      </c>
      <c r="I60" s="6">
        <v>46156.652083333334</v>
      </c>
      <c r="J60" s="7">
        <v>46154</v>
      </c>
      <c r="K60" s="5" t="s">
        <v>1527</v>
      </c>
      <c r="L60" s="5" t="s">
        <v>1621</v>
      </c>
      <c r="M60" s="8">
        <v>2560</v>
      </c>
      <c r="N60" s="5" t="s">
        <v>1536</v>
      </c>
      <c r="O60" s="7">
        <v>46154</v>
      </c>
    </row>
    <row r="61" spans="1:15" x14ac:dyDescent="0.25">
      <c r="A61" s="5" t="s">
        <v>4</v>
      </c>
      <c r="B61" s="5" t="s">
        <v>1732</v>
      </c>
      <c r="D61" s="5" t="s">
        <v>1000</v>
      </c>
      <c r="E61" s="5" t="s">
        <v>1733</v>
      </c>
      <c r="F61" s="5" t="s">
        <v>1734</v>
      </c>
      <c r="G61" s="6">
        <v>46080.46597222222</v>
      </c>
      <c r="H61" s="7">
        <v>46093</v>
      </c>
      <c r="I61" s="5" t="s">
        <v>1735</v>
      </c>
      <c r="J61" s="7">
        <v>46094</v>
      </c>
      <c r="K61" s="5" t="s">
        <v>1527</v>
      </c>
      <c r="L61" s="5" t="s">
        <v>1564</v>
      </c>
      <c r="M61" s="8">
        <v>2548.6999999999998</v>
      </c>
      <c r="N61" s="5" t="s">
        <v>1536</v>
      </c>
      <c r="O61" s="7">
        <v>46094</v>
      </c>
    </row>
    <row r="62" spans="1:15" x14ac:dyDescent="0.25">
      <c r="A62" s="5" t="s">
        <v>4</v>
      </c>
      <c r="B62" s="5" t="s">
        <v>1736</v>
      </c>
      <c r="D62" s="5" t="s">
        <v>716</v>
      </c>
      <c r="E62" s="5" t="s">
        <v>1737</v>
      </c>
      <c r="F62" s="5" t="s">
        <v>1738</v>
      </c>
      <c r="G62" s="6">
        <v>46163.708333333336</v>
      </c>
      <c r="H62" s="7">
        <v>46175</v>
      </c>
      <c r="I62" s="5" t="s">
        <v>1739</v>
      </c>
      <c r="J62" s="7">
        <v>46183</v>
      </c>
      <c r="K62" s="5" t="s">
        <v>1527</v>
      </c>
      <c r="L62" s="5" t="s">
        <v>1564</v>
      </c>
      <c r="M62" s="8">
        <v>2510</v>
      </c>
      <c r="N62" s="5" t="s">
        <v>1529</v>
      </c>
      <c r="O62" s="7">
        <v>46183</v>
      </c>
    </row>
    <row r="63" spans="1:15" x14ac:dyDescent="0.25">
      <c r="A63" s="5" t="s">
        <v>4</v>
      </c>
      <c r="B63" s="5" t="s">
        <v>1740</v>
      </c>
      <c r="D63" s="5" t="s">
        <v>639</v>
      </c>
      <c r="E63" s="5" t="s">
        <v>1741</v>
      </c>
      <c r="F63" s="5" t="s">
        <v>1742</v>
      </c>
      <c r="G63" s="6">
        <v>46168.651388888888</v>
      </c>
      <c r="H63" s="7">
        <v>46182</v>
      </c>
      <c r="I63" s="5" t="s">
        <v>1743</v>
      </c>
      <c r="J63" s="7">
        <v>46184</v>
      </c>
      <c r="K63" s="5" t="s">
        <v>1527</v>
      </c>
      <c r="L63" s="5" t="s">
        <v>1535</v>
      </c>
      <c r="M63" s="8">
        <v>2504.9</v>
      </c>
      <c r="N63" s="5" t="s">
        <v>1529</v>
      </c>
      <c r="O63" s="7">
        <v>46184</v>
      </c>
    </row>
    <row r="64" spans="1:15" x14ac:dyDescent="0.25">
      <c r="A64" s="5" t="s">
        <v>4</v>
      </c>
      <c r="B64" s="5" t="s">
        <v>1744</v>
      </c>
      <c r="D64" s="5" t="s">
        <v>13</v>
      </c>
      <c r="E64" s="5" t="s">
        <v>1745</v>
      </c>
      <c r="F64" s="5" t="s">
        <v>1738</v>
      </c>
      <c r="G64" s="6">
        <v>46121.673611111109</v>
      </c>
      <c r="H64" s="7">
        <v>46134</v>
      </c>
      <c r="I64" s="6">
        <v>46128.763194444444</v>
      </c>
      <c r="J64" s="7">
        <v>46127</v>
      </c>
      <c r="K64" s="5" t="s">
        <v>1527</v>
      </c>
      <c r="L64" s="5" t="s">
        <v>1564</v>
      </c>
      <c r="M64" s="8">
        <v>2462</v>
      </c>
      <c r="N64" s="5" t="s">
        <v>1536</v>
      </c>
      <c r="O64" s="7">
        <v>46127</v>
      </c>
    </row>
    <row r="65" spans="1:15" x14ac:dyDescent="0.25">
      <c r="A65" s="5" t="s">
        <v>4</v>
      </c>
      <c r="B65" s="5" t="s">
        <v>1746</v>
      </c>
      <c r="D65" s="5" t="s">
        <v>963</v>
      </c>
      <c r="E65" s="5" t="s">
        <v>1747</v>
      </c>
      <c r="F65" s="5" t="s">
        <v>1532</v>
      </c>
      <c r="G65" s="6">
        <v>46162.464583333334</v>
      </c>
      <c r="H65" s="7">
        <v>46171</v>
      </c>
      <c r="I65" s="5" t="s">
        <v>1748</v>
      </c>
      <c r="J65" s="7">
        <v>46178</v>
      </c>
      <c r="K65" s="5" t="s">
        <v>1527</v>
      </c>
      <c r="L65" s="5" t="s">
        <v>1535</v>
      </c>
      <c r="M65" s="8">
        <v>2424.6</v>
      </c>
      <c r="N65" s="5" t="s">
        <v>1529</v>
      </c>
      <c r="O65" s="7">
        <v>46178</v>
      </c>
    </row>
    <row r="66" spans="1:15" x14ac:dyDescent="0.25">
      <c r="A66" s="5" t="s">
        <v>4</v>
      </c>
      <c r="B66" s="5" t="s">
        <v>1749</v>
      </c>
      <c r="D66" s="5" t="s">
        <v>1053</v>
      </c>
      <c r="E66" s="5" t="s">
        <v>1750</v>
      </c>
      <c r="F66" s="5" t="s">
        <v>1751</v>
      </c>
      <c r="G66" s="6">
        <v>46127.670138888891</v>
      </c>
      <c r="H66" s="7">
        <v>46147</v>
      </c>
      <c r="I66" s="5" t="s">
        <v>1752</v>
      </c>
      <c r="J66" s="7">
        <v>46142</v>
      </c>
      <c r="K66" s="5" t="s">
        <v>1527</v>
      </c>
      <c r="L66" s="5" t="s">
        <v>1564</v>
      </c>
      <c r="M66" s="8">
        <v>2424</v>
      </c>
      <c r="N66" s="5" t="s">
        <v>1536</v>
      </c>
      <c r="O66" s="7">
        <v>46142</v>
      </c>
    </row>
    <row r="67" spans="1:15" x14ac:dyDescent="0.25">
      <c r="A67" s="5" t="s">
        <v>4</v>
      </c>
      <c r="B67" s="5" t="s">
        <v>1753</v>
      </c>
      <c r="D67" s="5" t="s">
        <v>1254</v>
      </c>
      <c r="E67" s="5" t="s">
        <v>1754</v>
      </c>
      <c r="F67" s="5" t="s">
        <v>1755</v>
      </c>
      <c r="G67" s="6">
        <v>46129.428472222222</v>
      </c>
      <c r="H67" s="7">
        <v>46141</v>
      </c>
      <c r="I67" s="5" t="s">
        <v>1756</v>
      </c>
      <c r="J67" s="7">
        <v>46147</v>
      </c>
      <c r="K67" s="5" t="s">
        <v>1527</v>
      </c>
      <c r="L67" s="5" t="s">
        <v>1535</v>
      </c>
      <c r="M67" s="8">
        <v>2418</v>
      </c>
      <c r="N67" s="5" t="s">
        <v>1536</v>
      </c>
      <c r="O67" s="7">
        <v>46147</v>
      </c>
    </row>
    <row r="68" spans="1:15" x14ac:dyDescent="0.25">
      <c r="A68" s="5" t="s">
        <v>4</v>
      </c>
      <c r="B68" s="5" t="s">
        <v>1757</v>
      </c>
      <c r="D68" s="5" t="s">
        <v>114</v>
      </c>
      <c r="E68" s="5" t="s">
        <v>1758</v>
      </c>
      <c r="F68" s="5" t="s">
        <v>1759</v>
      </c>
      <c r="G68" s="6">
        <v>46087.520833333336</v>
      </c>
      <c r="H68" s="7">
        <v>46100</v>
      </c>
      <c r="I68" s="5" t="s">
        <v>1760</v>
      </c>
      <c r="J68" s="7">
        <v>46104</v>
      </c>
      <c r="K68" s="5" t="s">
        <v>1527</v>
      </c>
      <c r="L68" s="5" t="s">
        <v>1564</v>
      </c>
      <c r="M68" s="8">
        <v>2394.73</v>
      </c>
      <c r="N68" s="5" t="s">
        <v>1536</v>
      </c>
      <c r="O68" s="7">
        <v>46104</v>
      </c>
    </row>
    <row r="69" spans="1:15" x14ac:dyDescent="0.25">
      <c r="A69" s="5" t="s">
        <v>4</v>
      </c>
      <c r="B69" s="5" t="s">
        <v>1761</v>
      </c>
      <c r="D69" s="5" t="s">
        <v>775</v>
      </c>
      <c r="E69" s="5" t="s">
        <v>1762</v>
      </c>
      <c r="F69" s="5" t="s">
        <v>1763</v>
      </c>
      <c r="G69" s="6">
        <v>46136.65347222222</v>
      </c>
      <c r="H69" s="7">
        <v>46143</v>
      </c>
      <c r="I69" s="5" t="s">
        <v>1764</v>
      </c>
      <c r="J69" s="7">
        <v>46147</v>
      </c>
      <c r="K69" s="5" t="s">
        <v>1527</v>
      </c>
      <c r="L69" s="5" t="s">
        <v>1621</v>
      </c>
      <c r="M69" s="8">
        <v>2295.29</v>
      </c>
      <c r="N69" s="5" t="s">
        <v>1536</v>
      </c>
      <c r="O69" s="7">
        <v>46147</v>
      </c>
    </row>
    <row r="70" spans="1:15" hidden="1" x14ac:dyDescent="0.25">
      <c r="A70" s="5" t="s">
        <v>1522</v>
      </c>
      <c r="B70" s="5" t="s">
        <v>1765</v>
      </c>
      <c r="D70" s="5" t="s">
        <v>405</v>
      </c>
      <c r="E70" s="5" t="s">
        <v>1766</v>
      </c>
      <c r="F70" s="5" t="s">
        <v>1767</v>
      </c>
      <c r="G70" s="6">
        <v>46171.401388888888</v>
      </c>
      <c r="H70" s="7">
        <v>46183</v>
      </c>
      <c r="I70" s="5" t="s">
        <v>1533</v>
      </c>
      <c r="J70" s="7">
        <v>46171</v>
      </c>
      <c r="K70" s="5" t="s">
        <v>1534</v>
      </c>
      <c r="L70" s="5" t="s">
        <v>1528</v>
      </c>
      <c r="M70" s="8">
        <v>2270.4</v>
      </c>
      <c r="N70" s="5" t="s">
        <v>1529</v>
      </c>
      <c r="O70" s="7">
        <v>46171</v>
      </c>
    </row>
    <row r="71" spans="1:15" x14ac:dyDescent="0.25">
      <c r="A71" s="5" t="s">
        <v>4</v>
      </c>
      <c r="B71" s="5" t="s">
        <v>1768</v>
      </c>
      <c r="D71" s="5" t="s">
        <v>1118</v>
      </c>
      <c r="E71" s="5" t="s">
        <v>1769</v>
      </c>
      <c r="F71" s="5" t="s">
        <v>1770</v>
      </c>
      <c r="G71" s="6">
        <v>46112.499305555553</v>
      </c>
      <c r="H71" s="7">
        <v>46122</v>
      </c>
      <c r="I71" s="5" t="s">
        <v>1771</v>
      </c>
      <c r="J71" s="7">
        <v>46125</v>
      </c>
      <c r="K71" s="5" t="s">
        <v>1527</v>
      </c>
      <c r="L71" s="5" t="s">
        <v>1564</v>
      </c>
      <c r="M71" s="8">
        <v>2265</v>
      </c>
      <c r="N71" s="5" t="s">
        <v>1536</v>
      </c>
      <c r="O71" s="7">
        <v>46125</v>
      </c>
    </row>
    <row r="72" spans="1:15" hidden="1" x14ac:dyDescent="0.25">
      <c r="A72" s="5" t="s">
        <v>1522</v>
      </c>
      <c r="B72" s="5" t="s">
        <v>1772</v>
      </c>
      <c r="D72" s="5" t="s">
        <v>1454</v>
      </c>
      <c r="E72" s="5" t="s">
        <v>1694</v>
      </c>
      <c r="F72" s="5" t="s">
        <v>1548</v>
      </c>
      <c r="G72" s="6">
        <v>46093.71597222222</v>
      </c>
      <c r="H72" s="7">
        <v>46104</v>
      </c>
      <c r="I72" s="5" t="s">
        <v>1773</v>
      </c>
      <c r="J72" s="7">
        <v>46107</v>
      </c>
      <c r="K72" s="5" t="s">
        <v>1527</v>
      </c>
      <c r="L72" s="5" t="s">
        <v>1528</v>
      </c>
      <c r="M72" s="8">
        <v>2261</v>
      </c>
      <c r="N72" s="5" t="s">
        <v>1536</v>
      </c>
      <c r="O72" s="7">
        <v>46107</v>
      </c>
    </row>
    <row r="73" spans="1:15" hidden="1" x14ac:dyDescent="0.25">
      <c r="A73" s="5" t="s">
        <v>1522</v>
      </c>
      <c r="B73" s="5" t="s">
        <v>1774</v>
      </c>
      <c r="D73" s="5" t="s">
        <v>1186</v>
      </c>
      <c r="E73" s="5" t="s">
        <v>1775</v>
      </c>
      <c r="F73" s="5" t="s">
        <v>1776</v>
      </c>
      <c r="G73" s="6">
        <v>46164.402777777781</v>
      </c>
      <c r="H73" s="7">
        <v>46164</v>
      </c>
      <c r="I73" s="5" t="s">
        <v>1533</v>
      </c>
      <c r="J73" s="7">
        <v>46164</v>
      </c>
      <c r="K73" s="5" t="s">
        <v>1534</v>
      </c>
      <c r="L73" s="5" t="s">
        <v>1554</v>
      </c>
      <c r="M73" s="8">
        <v>2250</v>
      </c>
      <c r="N73" s="5" t="s">
        <v>1536</v>
      </c>
      <c r="O73" s="7">
        <v>46164</v>
      </c>
    </row>
    <row r="74" spans="1:15" x14ac:dyDescent="0.25">
      <c r="A74" s="5" t="s">
        <v>4</v>
      </c>
      <c r="B74" s="5" t="s">
        <v>1777</v>
      </c>
      <c r="D74" s="5" t="s">
        <v>1497</v>
      </c>
      <c r="E74" s="5" t="s">
        <v>1600</v>
      </c>
      <c r="F74" s="5" t="s">
        <v>1778</v>
      </c>
      <c r="G74" s="6">
        <v>46036.574305555558</v>
      </c>
      <c r="H74" s="7">
        <v>46048</v>
      </c>
      <c r="I74" s="5" t="s">
        <v>1779</v>
      </c>
      <c r="J74" s="7">
        <v>46051</v>
      </c>
      <c r="K74" s="5" t="s">
        <v>1527</v>
      </c>
      <c r="L74" s="5" t="s">
        <v>1535</v>
      </c>
      <c r="M74" s="8">
        <v>2235</v>
      </c>
      <c r="N74" s="5" t="s">
        <v>1536</v>
      </c>
      <c r="O74" s="7">
        <v>46051</v>
      </c>
    </row>
    <row r="75" spans="1:15" x14ac:dyDescent="0.25">
      <c r="A75" s="5" t="s">
        <v>4</v>
      </c>
      <c r="B75" s="5" t="s">
        <v>1780</v>
      </c>
      <c r="D75" s="5" t="s">
        <v>108</v>
      </c>
      <c r="E75" s="5" t="s">
        <v>1781</v>
      </c>
      <c r="F75" s="5" t="s">
        <v>1782</v>
      </c>
      <c r="G75" s="6">
        <v>46142.46875</v>
      </c>
      <c r="H75" s="7">
        <v>46155</v>
      </c>
      <c r="I75" s="5" t="s">
        <v>1783</v>
      </c>
      <c r="J75" s="7">
        <v>46161</v>
      </c>
      <c r="K75" s="5" t="s">
        <v>1527</v>
      </c>
      <c r="L75" s="5" t="s">
        <v>1535</v>
      </c>
      <c r="M75" s="8">
        <v>2174</v>
      </c>
      <c r="N75" s="5" t="s">
        <v>1529</v>
      </c>
      <c r="O75" s="7">
        <v>46161</v>
      </c>
    </row>
    <row r="76" spans="1:15" x14ac:dyDescent="0.25">
      <c r="A76" s="5" t="s">
        <v>4</v>
      </c>
      <c r="B76" s="5" t="s">
        <v>1784</v>
      </c>
      <c r="D76" s="5" t="s">
        <v>1383</v>
      </c>
      <c r="E76" s="5" t="s">
        <v>1785</v>
      </c>
      <c r="F76" s="5" t="s">
        <v>1786</v>
      </c>
      <c r="G76" s="6">
        <v>46041.590277777781</v>
      </c>
      <c r="H76" s="7">
        <v>46051</v>
      </c>
      <c r="I76" s="5" t="s">
        <v>1787</v>
      </c>
      <c r="J76" s="7">
        <v>46064</v>
      </c>
      <c r="K76" s="5" t="s">
        <v>1527</v>
      </c>
      <c r="L76" s="5" t="s">
        <v>1535</v>
      </c>
      <c r="M76" s="8">
        <v>2130</v>
      </c>
      <c r="N76" s="5" t="s">
        <v>1536</v>
      </c>
      <c r="O76" s="7">
        <v>46064</v>
      </c>
    </row>
    <row r="77" spans="1:15" x14ac:dyDescent="0.25">
      <c r="A77" s="5" t="s">
        <v>4</v>
      </c>
      <c r="B77" s="5" t="s">
        <v>1788</v>
      </c>
      <c r="D77" s="5" t="s">
        <v>494</v>
      </c>
      <c r="E77" s="5" t="s">
        <v>1789</v>
      </c>
      <c r="F77" s="5" t="s">
        <v>1790</v>
      </c>
      <c r="G77" s="6">
        <v>46128.397222222222</v>
      </c>
      <c r="H77" s="7">
        <v>46142</v>
      </c>
      <c r="I77" s="6">
        <v>46141.345833333333</v>
      </c>
      <c r="J77" s="7">
        <v>46140</v>
      </c>
      <c r="K77" s="5" t="s">
        <v>1527</v>
      </c>
      <c r="L77" s="5" t="s">
        <v>1564</v>
      </c>
      <c r="M77" s="8">
        <v>2129.46</v>
      </c>
      <c r="N77" s="5" t="s">
        <v>1536</v>
      </c>
      <c r="O77" s="7">
        <v>46140</v>
      </c>
    </row>
    <row r="78" spans="1:15" x14ac:dyDescent="0.25">
      <c r="A78" s="5" t="s">
        <v>4</v>
      </c>
      <c r="B78" s="5" t="s">
        <v>1791</v>
      </c>
      <c r="D78" s="5" t="s">
        <v>1417</v>
      </c>
      <c r="E78" s="5" t="s">
        <v>1792</v>
      </c>
      <c r="F78" s="5" t="s">
        <v>1770</v>
      </c>
      <c r="G78" s="6">
        <v>46157.664583333331</v>
      </c>
      <c r="H78" s="7">
        <v>46171</v>
      </c>
      <c r="I78" s="6">
        <v>46171.626388888886</v>
      </c>
      <c r="J78" s="7">
        <v>46171</v>
      </c>
      <c r="K78" s="5" t="s">
        <v>1527</v>
      </c>
      <c r="L78" s="5" t="s">
        <v>1564</v>
      </c>
      <c r="M78" s="8">
        <v>2105</v>
      </c>
      <c r="N78" s="5" t="s">
        <v>1536</v>
      </c>
      <c r="O78" s="7">
        <v>46171</v>
      </c>
    </row>
    <row r="79" spans="1:15" x14ac:dyDescent="0.25">
      <c r="A79" s="5" t="s">
        <v>4</v>
      </c>
      <c r="B79" s="5" t="s">
        <v>1793</v>
      </c>
      <c r="D79" s="5" t="s">
        <v>1417</v>
      </c>
      <c r="E79" s="5" t="s">
        <v>1792</v>
      </c>
      <c r="F79" s="5" t="s">
        <v>1770</v>
      </c>
      <c r="G79" s="6">
        <v>46087.397222222222</v>
      </c>
      <c r="H79" s="7">
        <v>46100</v>
      </c>
      <c r="I79" s="6">
        <v>46099.70208333333</v>
      </c>
      <c r="J79" s="7">
        <v>46099</v>
      </c>
      <c r="K79" s="5" t="s">
        <v>1527</v>
      </c>
      <c r="L79" s="5" t="s">
        <v>1564</v>
      </c>
      <c r="M79" s="8">
        <v>2100</v>
      </c>
      <c r="N79" s="5" t="s">
        <v>1536</v>
      </c>
      <c r="O79" s="7">
        <v>46099</v>
      </c>
    </row>
    <row r="80" spans="1:15" hidden="1" x14ac:dyDescent="0.25">
      <c r="A80" s="5" t="s">
        <v>1522</v>
      </c>
      <c r="B80" s="5" t="s">
        <v>1794</v>
      </c>
      <c r="D80" s="5" t="s">
        <v>1447</v>
      </c>
      <c r="E80" s="5" t="s">
        <v>1795</v>
      </c>
      <c r="F80" s="5" t="s">
        <v>1796</v>
      </c>
      <c r="G80" s="6">
        <v>46062.420138888891</v>
      </c>
      <c r="H80" s="7">
        <v>46065</v>
      </c>
      <c r="I80" s="5" t="s">
        <v>1797</v>
      </c>
      <c r="J80" s="7">
        <v>46066</v>
      </c>
      <c r="K80" s="5" t="s">
        <v>1527</v>
      </c>
      <c r="L80" s="5" t="s">
        <v>1528</v>
      </c>
      <c r="M80" s="8">
        <v>2097</v>
      </c>
      <c r="N80" s="5" t="s">
        <v>1536</v>
      </c>
      <c r="O80" s="7">
        <v>46066</v>
      </c>
    </row>
    <row r="81" spans="1:15" x14ac:dyDescent="0.25">
      <c r="A81" s="5" t="s">
        <v>4</v>
      </c>
      <c r="B81" s="5" t="s">
        <v>1798</v>
      </c>
      <c r="D81" s="5" t="s">
        <v>1007</v>
      </c>
      <c r="E81" s="5" t="s">
        <v>1799</v>
      </c>
      <c r="F81" s="5" t="s">
        <v>1800</v>
      </c>
      <c r="G81" s="6">
        <v>46098.693749999999</v>
      </c>
      <c r="H81" s="7">
        <v>46106</v>
      </c>
      <c r="I81" s="6">
        <v>46106.670138888891</v>
      </c>
      <c r="J81" s="7">
        <v>46106</v>
      </c>
      <c r="K81" s="5" t="s">
        <v>1527</v>
      </c>
      <c r="L81" s="5" t="s">
        <v>1564</v>
      </c>
      <c r="M81" s="8">
        <v>2089.88</v>
      </c>
      <c r="N81" s="5" t="s">
        <v>1536</v>
      </c>
      <c r="O81" s="7">
        <v>46106</v>
      </c>
    </row>
    <row r="82" spans="1:15" x14ac:dyDescent="0.25">
      <c r="A82" s="5" t="s">
        <v>4</v>
      </c>
      <c r="B82" s="5" t="s">
        <v>1801</v>
      </c>
      <c r="D82" s="5" t="s">
        <v>951</v>
      </c>
      <c r="E82" s="5" t="s">
        <v>1802</v>
      </c>
      <c r="F82" s="5" t="s">
        <v>1803</v>
      </c>
      <c r="G82" s="6">
        <v>46111.664583333331</v>
      </c>
      <c r="H82" s="7">
        <v>46125</v>
      </c>
      <c r="I82" s="5" t="s">
        <v>1804</v>
      </c>
      <c r="J82" s="7">
        <v>46127</v>
      </c>
      <c r="K82" s="5" t="s">
        <v>1527</v>
      </c>
      <c r="L82" s="5" t="s">
        <v>1564</v>
      </c>
      <c r="M82" s="8">
        <v>2076</v>
      </c>
      <c r="N82" s="5" t="s">
        <v>1536</v>
      </c>
      <c r="O82" s="7">
        <v>46127</v>
      </c>
    </row>
    <row r="83" spans="1:15" x14ac:dyDescent="0.25">
      <c r="A83" s="5" t="s">
        <v>4</v>
      </c>
      <c r="B83" s="5" t="s">
        <v>1805</v>
      </c>
      <c r="D83" s="5" t="s">
        <v>1345</v>
      </c>
      <c r="E83" s="5" t="s">
        <v>1806</v>
      </c>
      <c r="F83" s="5" t="s">
        <v>1532</v>
      </c>
      <c r="G83" s="6">
        <v>46057.447916666664</v>
      </c>
      <c r="H83" s="7">
        <v>46069</v>
      </c>
      <c r="I83" s="5" t="s">
        <v>1807</v>
      </c>
      <c r="J83" s="7">
        <v>46080</v>
      </c>
      <c r="K83" s="5" t="s">
        <v>1527</v>
      </c>
      <c r="L83" s="5" t="s">
        <v>1535</v>
      </c>
      <c r="M83" s="8">
        <v>2000</v>
      </c>
      <c r="N83" s="5" t="s">
        <v>1536</v>
      </c>
      <c r="O83" s="7">
        <v>46080</v>
      </c>
    </row>
    <row r="84" spans="1:15" x14ac:dyDescent="0.25">
      <c r="A84" s="5" t="s">
        <v>4</v>
      </c>
      <c r="B84" s="5" t="s">
        <v>1808</v>
      </c>
      <c r="D84" s="5" t="s">
        <v>1509</v>
      </c>
      <c r="E84" s="5" t="s">
        <v>1543</v>
      </c>
      <c r="F84" s="5" t="s">
        <v>1809</v>
      </c>
      <c r="G84" s="6">
        <v>46113.397916666669</v>
      </c>
      <c r="H84" s="7">
        <v>46125</v>
      </c>
      <c r="I84" s="5" t="s">
        <v>1810</v>
      </c>
      <c r="J84" s="7">
        <v>46160</v>
      </c>
      <c r="K84" s="5" t="s">
        <v>1527</v>
      </c>
      <c r="L84" s="5" t="s">
        <v>1535</v>
      </c>
      <c r="M84" s="8">
        <v>2000</v>
      </c>
      <c r="N84" s="5" t="s">
        <v>1529</v>
      </c>
      <c r="O84" s="7">
        <v>46160</v>
      </c>
    </row>
    <row r="85" spans="1:15" x14ac:dyDescent="0.25">
      <c r="A85" s="5" t="s">
        <v>4</v>
      </c>
      <c r="B85" s="5" t="s">
        <v>1811</v>
      </c>
      <c r="D85" s="5" t="s">
        <v>1278</v>
      </c>
      <c r="E85" s="5" t="s">
        <v>1812</v>
      </c>
      <c r="F85" s="5" t="s">
        <v>1813</v>
      </c>
      <c r="G85" s="6">
        <v>46105.645138888889</v>
      </c>
      <c r="H85" s="7">
        <v>46114</v>
      </c>
      <c r="I85" s="6">
        <v>46113.615972222222</v>
      </c>
      <c r="J85" s="7">
        <v>46112</v>
      </c>
      <c r="K85" s="5" t="s">
        <v>1527</v>
      </c>
      <c r="L85" s="5" t="s">
        <v>1535</v>
      </c>
      <c r="M85" s="8">
        <v>1992.7</v>
      </c>
      <c r="N85" s="5" t="s">
        <v>1536</v>
      </c>
      <c r="O85" s="7">
        <v>46112</v>
      </c>
    </row>
    <row r="86" spans="1:15" x14ac:dyDescent="0.25">
      <c r="A86" s="5" t="s">
        <v>4</v>
      </c>
      <c r="B86" s="5" t="s">
        <v>1814</v>
      </c>
      <c r="D86" s="5" t="s">
        <v>952</v>
      </c>
      <c r="E86" s="5" t="s">
        <v>1815</v>
      </c>
      <c r="F86" s="5" t="s">
        <v>1816</v>
      </c>
      <c r="G86" s="6">
        <v>46164.632638888892</v>
      </c>
      <c r="H86" s="7">
        <v>46177</v>
      </c>
      <c r="I86" s="5" t="s">
        <v>1533</v>
      </c>
      <c r="J86" s="5" t="s">
        <v>1533</v>
      </c>
      <c r="K86" s="5" t="s">
        <v>1534</v>
      </c>
      <c r="L86" s="5" t="s">
        <v>1564</v>
      </c>
      <c r="M86" s="8">
        <v>1978.4</v>
      </c>
      <c r="N86" s="5" t="s">
        <v>1541</v>
      </c>
      <c r="O86" s="5" t="s">
        <v>1533</v>
      </c>
    </row>
    <row r="87" spans="1:15" x14ac:dyDescent="0.25">
      <c r="A87" s="5" t="s">
        <v>4</v>
      </c>
      <c r="B87" s="5" t="s">
        <v>1817</v>
      </c>
      <c r="D87" s="5" t="s">
        <v>397</v>
      </c>
      <c r="E87" s="5" t="s">
        <v>1818</v>
      </c>
      <c r="F87" s="5" t="s">
        <v>1813</v>
      </c>
      <c r="G87" s="6">
        <v>46107.675694444442</v>
      </c>
      <c r="H87" s="7">
        <v>46119</v>
      </c>
      <c r="I87" s="5" t="s">
        <v>1819</v>
      </c>
      <c r="J87" s="7">
        <v>46127</v>
      </c>
      <c r="K87" s="5" t="s">
        <v>1527</v>
      </c>
      <c r="L87" s="5" t="s">
        <v>1535</v>
      </c>
      <c r="M87" s="8">
        <v>1928</v>
      </c>
      <c r="N87" s="5" t="s">
        <v>1536</v>
      </c>
      <c r="O87" s="7">
        <v>46127</v>
      </c>
    </row>
    <row r="88" spans="1:15" x14ac:dyDescent="0.25">
      <c r="A88" s="5" t="s">
        <v>4</v>
      </c>
      <c r="B88" s="5" t="s">
        <v>1820</v>
      </c>
      <c r="D88" s="5" t="s">
        <v>1448</v>
      </c>
      <c r="E88" s="5" t="s">
        <v>1821</v>
      </c>
      <c r="F88" s="5" t="s">
        <v>1548</v>
      </c>
      <c r="G88" s="6">
        <v>46051.749305555553</v>
      </c>
      <c r="H88" s="7">
        <v>46073</v>
      </c>
      <c r="I88" s="6">
        <v>46071.615972222222</v>
      </c>
      <c r="J88" s="7">
        <v>46071</v>
      </c>
      <c r="K88" s="5" t="s">
        <v>1527</v>
      </c>
      <c r="L88" s="5" t="s">
        <v>1564</v>
      </c>
      <c r="M88" s="8">
        <v>1927.2</v>
      </c>
      <c r="N88" s="5" t="s">
        <v>1536</v>
      </c>
      <c r="O88" s="7">
        <v>46071</v>
      </c>
    </row>
    <row r="89" spans="1:15" x14ac:dyDescent="0.25">
      <c r="A89" s="5" t="s">
        <v>4</v>
      </c>
      <c r="B89" s="5" t="s">
        <v>1822</v>
      </c>
      <c r="D89" s="5" t="s">
        <v>798</v>
      </c>
      <c r="E89" s="5" t="s">
        <v>1823</v>
      </c>
      <c r="F89" s="5" t="s">
        <v>1824</v>
      </c>
      <c r="G89" s="6">
        <v>46139.734027777777</v>
      </c>
      <c r="H89" s="7">
        <v>46153</v>
      </c>
      <c r="I89" s="5" t="s">
        <v>1825</v>
      </c>
      <c r="J89" s="7">
        <v>46170</v>
      </c>
      <c r="K89" s="5" t="s">
        <v>1527</v>
      </c>
      <c r="L89" s="5" t="s">
        <v>1564</v>
      </c>
      <c r="M89" s="8">
        <v>1926</v>
      </c>
      <c r="N89" s="5" t="s">
        <v>1536</v>
      </c>
      <c r="O89" s="7">
        <v>46170</v>
      </c>
    </row>
    <row r="90" spans="1:15" x14ac:dyDescent="0.25">
      <c r="A90" s="5" t="s">
        <v>4</v>
      </c>
      <c r="B90" s="5" t="s">
        <v>1826</v>
      </c>
      <c r="D90" s="5" t="s">
        <v>1049</v>
      </c>
      <c r="E90" s="5" t="s">
        <v>1827</v>
      </c>
      <c r="F90" s="5" t="s">
        <v>1828</v>
      </c>
      <c r="G90" s="6">
        <v>46065.532638888886</v>
      </c>
      <c r="H90" s="7">
        <v>46079</v>
      </c>
      <c r="I90" s="5" t="s">
        <v>1829</v>
      </c>
      <c r="J90" s="7">
        <v>46090</v>
      </c>
      <c r="K90" s="5" t="s">
        <v>1527</v>
      </c>
      <c r="L90" s="5" t="s">
        <v>1564</v>
      </c>
      <c r="M90" s="8">
        <v>1925</v>
      </c>
      <c r="N90" s="5" t="s">
        <v>1536</v>
      </c>
      <c r="O90" s="7">
        <v>46090</v>
      </c>
    </row>
    <row r="91" spans="1:15" x14ac:dyDescent="0.25">
      <c r="A91" s="5" t="s">
        <v>4</v>
      </c>
      <c r="B91" s="5" t="s">
        <v>1830</v>
      </c>
      <c r="D91" s="5" t="s">
        <v>409</v>
      </c>
      <c r="E91" s="5" t="s">
        <v>1831</v>
      </c>
      <c r="F91" s="5" t="s">
        <v>1532</v>
      </c>
      <c r="G91" s="6">
        <v>46160.465277777781</v>
      </c>
      <c r="H91" s="7">
        <v>46170</v>
      </c>
      <c r="I91" s="5" t="s">
        <v>1832</v>
      </c>
      <c r="J91" s="7">
        <v>46170</v>
      </c>
      <c r="K91" s="5" t="s">
        <v>1527</v>
      </c>
      <c r="L91" s="5" t="s">
        <v>1535</v>
      </c>
      <c r="M91" s="8">
        <v>1890</v>
      </c>
      <c r="N91" s="5" t="s">
        <v>1529</v>
      </c>
      <c r="O91" s="7">
        <v>46170</v>
      </c>
    </row>
    <row r="92" spans="1:15" hidden="1" x14ac:dyDescent="0.25">
      <c r="A92" s="5" t="s">
        <v>1522</v>
      </c>
      <c r="B92" s="5" t="s">
        <v>1833</v>
      </c>
      <c r="D92" s="5" t="s">
        <v>1396</v>
      </c>
      <c r="E92" s="5" t="s">
        <v>1834</v>
      </c>
      <c r="F92" s="5" t="s">
        <v>1835</v>
      </c>
      <c r="G92" s="6">
        <v>46076.60833333333</v>
      </c>
      <c r="H92" s="7">
        <v>46080</v>
      </c>
      <c r="I92" s="5" t="s">
        <v>1836</v>
      </c>
      <c r="J92" s="7">
        <v>46079</v>
      </c>
      <c r="K92" s="5" t="s">
        <v>1527</v>
      </c>
      <c r="L92" s="5" t="s">
        <v>1528</v>
      </c>
      <c r="M92" s="8">
        <v>1874.25</v>
      </c>
      <c r="N92" s="5" t="s">
        <v>1536</v>
      </c>
      <c r="O92" s="7">
        <v>46079</v>
      </c>
    </row>
    <row r="93" spans="1:15" x14ac:dyDescent="0.25">
      <c r="A93" s="5" t="s">
        <v>4</v>
      </c>
      <c r="B93" s="5" t="s">
        <v>1837</v>
      </c>
      <c r="D93" s="5" t="s">
        <v>1398</v>
      </c>
      <c r="E93" s="5" t="s">
        <v>1838</v>
      </c>
      <c r="F93" s="5" t="s">
        <v>1548</v>
      </c>
      <c r="G93" s="6">
        <v>46049.688194444447</v>
      </c>
      <c r="H93" s="7">
        <v>46057</v>
      </c>
      <c r="I93" s="5" t="s">
        <v>1839</v>
      </c>
      <c r="J93" s="7">
        <v>46058</v>
      </c>
      <c r="K93" s="5" t="s">
        <v>1527</v>
      </c>
      <c r="L93" s="5" t="s">
        <v>1564</v>
      </c>
      <c r="M93" s="8">
        <v>1872</v>
      </c>
      <c r="N93" s="5" t="s">
        <v>1536</v>
      </c>
      <c r="O93" s="7">
        <v>46058</v>
      </c>
    </row>
    <row r="94" spans="1:15" hidden="1" x14ac:dyDescent="0.25">
      <c r="A94" s="5" t="s">
        <v>1522</v>
      </c>
      <c r="B94" s="5" t="s">
        <v>1840</v>
      </c>
      <c r="D94" s="5" t="s">
        <v>1260</v>
      </c>
      <c r="E94" s="5" t="s">
        <v>1841</v>
      </c>
      <c r="F94" s="5" t="s">
        <v>1842</v>
      </c>
      <c r="G94" s="6">
        <v>46030.590277777781</v>
      </c>
      <c r="H94" s="7">
        <v>46038</v>
      </c>
      <c r="I94" s="5" t="s">
        <v>1843</v>
      </c>
      <c r="J94" s="7">
        <v>46066</v>
      </c>
      <c r="K94" s="5" t="s">
        <v>1527</v>
      </c>
      <c r="L94" s="5" t="s">
        <v>1528</v>
      </c>
      <c r="M94" s="8">
        <v>1860</v>
      </c>
      <c r="N94" s="5" t="s">
        <v>1536</v>
      </c>
      <c r="O94" s="7">
        <v>46066</v>
      </c>
    </row>
    <row r="95" spans="1:15" x14ac:dyDescent="0.25">
      <c r="A95" s="5" t="s">
        <v>4</v>
      </c>
      <c r="B95" s="5" t="s">
        <v>1844</v>
      </c>
      <c r="D95" s="5" t="s">
        <v>10</v>
      </c>
      <c r="E95" s="5" t="s">
        <v>1845</v>
      </c>
      <c r="F95" s="5" t="s">
        <v>1567</v>
      </c>
      <c r="G95" s="6">
        <v>46163.425694444442</v>
      </c>
      <c r="H95" s="7">
        <v>46169</v>
      </c>
      <c r="I95" s="5" t="s">
        <v>1846</v>
      </c>
      <c r="J95" s="7">
        <v>46164</v>
      </c>
      <c r="K95" s="5" t="s">
        <v>1527</v>
      </c>
      <c r="L95" s="5" t="s">
        <v>1564</v>
      </c>
      <c r="M95" s="8">
        <v>1849.9</v>
      </c>
      <c r="N95" s="5" t="s">
        <v>1536</v>
      </c>
      <c r="O95" s="7">
        <v>46164</v>
      </c>
    </row>
    <row r="96" spans="1:15" x14ac:dyDescent="0.25">
      <c r="A96" s="5" t="s">
        <v>4</v>
      </c>
      <c r="B96" s="5" t="s">
        <v>1847</v>
      </c>
      <c r="D96" s="5" t="s">
        <v>292</v>
      </c>
      <c r="E96" s="5" t="s">
        <v>1848</v>
      </c>
      <c r="F96" s="5" t="s">
        <v>1849</v>
      </c>
      <c r="G96" s="6">
        <v>46072.569444444445</v>
      </c>
      <c r="H96" s="7">
        <v>46084</v>
      </c>
      <c r="I96" s="5" t="s">
        <v>1850</v>
      </c>
      <c r="J96" s="7">
        <v>46087</v>
      </c>
      <c r="K96" s="5" t="s">
        <v>1527</v>
      </c>
      <c r="L96" s="5" t="s">
        <v>1535</v>
      </c>
      <c r="M96" s="8">
        <v>1825</v>
      </c>
      <c r="N96" s="5" t="s">
        <v>1536</v>
      </c>
      <c r="O96" s="7">
        <v>46087</v>
      </c>
    </row>
    <row r="97" spans="1:15" x14ac:dyDescent="0.25">
      <c r="A97" s="5" t="s">
        <v>4</v>
      </c>
      <c r="B97" s="5" t="s">
        <v>1851</v>
      </c>
      <c r="D97" s="5" t="s">
        <v>179</v>
      </c>
      <c r="E97" s="5" t="s">
        <v>1852</v>
      </c>
      <c r="F97" s="5" t="s">
        <v>1853</v>
      </c>
      <c r="G97" s="6">
        <v>46101.638194444444</v>
      </c>
      <c r="H97" s="7">
        <v>46113</v>
      </c>
      <c r="I97" s="5" t="s">
        <v>1854</v>
      </c>
      <c r="J97" s="7">
        <v>46119</v>
      </c>
      <c r="K97" s="5" t="s">
        <v>1527</v>
      </c>
      <c r="L97" s="5" t="s">
        <v>1564</v>
      </c>
      <c r="M97" s="8">
        <v>1817.7</v>
      </c>
      <c r="N97" s="5" t="s">
        <v>1536</v>
      </c>
      <c r="O97" s="7">
        <v>46119</v>
      </c>
    </row>
    <row r="98" spans="1:15" x14ac:dyDescent="0.25">
      <c r="A98" s="5" t="s">
        <v>4</v>
      </c>
      <c r="B98" s="5" t="s">
        <v>1855</v>
      </c>
      <c r="D98" s="5" t="s">
        <v>1373</v>
      </c>
      <c r="E98" s="5" t="s">
        <v>1856</v>
      </c>
      <c r="F98" s="5" t="s">
        <v>1813</v>
      </c>
      <c r="G98" s="6">
        <v>46073.692361111112</v>
      </c>
      <c r="H98" s="7">
        <v>46087</v>
      </c>
      <c r="I98" s="5" t="s">
        <v>1857</v>
      </c>
      <c r="J98" s="7">
        <v>46076</v>
      </c>
      <c r="K98" s="5" t="s">
        <v>1527</v>
      </c>
      <c r="L98" s="5" t="s">
        <v>1535</v>
      </c>
      <c r="M98" s="8">
        <v>1802</v>
      </c>
      <c r="N98" s="5" t="s">
        <v>1536</v>
      </c>
      <c r="O98" s="7">
        <v>46076</v>
      </c>
    </row>
    <row r="99" spans="1:15" x14ac:dyDescent="0.25">
      <c r="A99" s="5" t="s">
        <v>4</v>
      </c>
      <c r="B99" s="5" t="s">
        <v>1858</v>
      </c>
      <c r="D99" s="5" t="s">
        <v>753</v>
      </c>
      <c r="E99" s="5" t="s">
        <v>1859</v>
      </c>
      <c r="F99" s="5" t="s">
        <v>1813</v>
      </c>
      <c r="G99" s="6">
        <v>46065.59375</v>
      </c>
      <c r="H99" s="7">
        <v>46073</v>
      </c>
      <c r="I99" s="5" t="s">
        <v>1860</v>
      </c>
      <c r="J99" s="7">
        <v>46073</v>
      </c>
      <c r="K99" s="5" t="s">
        <v>1527</v>
      </c>
      <c r="L99" s="5" t="s">
        <v>1535</v>
      </c>
      <c r="M99" s="8">
        <v>1800</v>
      </c>
      <c r="N99" s="5" t="s">
        <v>1536</v>
      </c>
      <c r="O99" s="7">
        <v>46073</v>
      </c>
    </row>
    <row r="100" spans="1:15" x14ac:dyDescent="0.25">
      <c r="A100" s="5" t="s">
        <v>4</v>
      </c>
      <c r="B100" s="5" t="s">
        <v>1861</v>
      </c>
      <c r="D100" s="5" t="s">
        <v>1351</v>
      </c>
      <c r="E100" s="5" t="s">
        <v>1862</v>
      </c>
      <c r="F100" s="5" t="s">
        <v>1770</v>
      </c>
      <c r="G100" s="6">
        <v>46091.477777777778</v>
      </c>
      <c r="H100" s="7">
        <v>46104</v>
      </c>
      <c r="I100" s="5" t="s">
        <v>1863</v>
      </c>
      <c r="J100" s="7">
        <v>46106</v>
      </c>
      <c r="K100" s="5" t="s">
        <v>1527</v>
      </c>
      <c r="L100" s="5" t="s">
        <v>1564</v>
      </c>
      <c r="M100" s="8">
        <v>1792.4</v>
      </c>
      <c r="N100" s="5" t="s">
        <v>1536</v>
      </c>
      <c r="O100" s="7">
        <v>46106</v>
      </c>
    </row>
    <row r="101" spans="1:15" hidden="1" x14ac:dyDescent="0.25">
      <c r="A101" s="5" t="s">
        <v>1522</v>
      </c>
      <c r="B101" s="5" t="s">
        <v>1864</v>
      </c>
      <c r="D101" s="5" t="s">
        <v>1444</v>
      </c>
      <c r="E101" s="5" t="s">
        <v>1865</v>
      </c>
      <c r="F101" s="5" t="s">
        <v>1866</v>
      </c>
      <c r="G101" s="6">
        <v>46048.634722222225</v>
      </c>
      <c r="H101" s="7">
        <v>46051</v>
      </c>
      <c r="I101" s="6">
        <v>46050.648611111108</v>
      </c>
      <c r="J101" s="7">
        <v>46050</v>
      </c>
      <c r="K101" s="5" t="s">
        <v>1527</v>
      </c>
      <c r="L101" s="5" t="s">
        <v>1528</v>
      </c>
      <c r="M101" s="8">
        <v>1785</v>
      </c>
      <c r="N101" s="5" t="s">
        <v>1536</v>
      </c>
      <c r="O101" s="7">
        <v>46050</v>
      </c>
    </row>
    <row r="102" spans="1:15" x14ac:dyDescent="0.25">
      <c r="A102" s="5" t="s">
        <v>4</v>
      </c>
      <c r="B102" s="5" t="s">
        <v>1867</v>
      </c>
      <c r="D102" s="5" t="s">
        <v>1399</v>
      </c>
      <c r="E102" s="5" t="s">
        <v>1868</v>
      </c>
      <c r="F102" s="5" t="s">
        <v>1548</v>
      </c>
      <c r="G102" s="6">
        <v>46066.591666666667</v>
      </c>
      <c r="H102" s="7">
        <v>46080</v>
      </c>
      <c r="I102" s="6">
        <v>46077.64166666667</v>
      </c>
      <c r="J102" s="7">
        <v>46077</v>
      </c>
      <c r="K102" s="5" t="s">
        <v>1527</v>
      </c>
      <c r="L102" s="5" t="s">
        <v>1535</v>
      </c>
      <c r="M102" s="8">
        <v>1781</v>
      </c>
      <c r="N102" s="5" t="s">
        <v>1536</v>
      </c>
      <c r="O102" s="7">
        <v>46077</v>
      </c>
    </row>
    <row r="103" spans="1:15" x14ac:dyDescent="0.25">
      <c r="A103" s="5" t="s">
        <v>4</v>
      </c>
      <c r="B103" s="5" t="s">
        <v>1869</v>
      </c>
      <c r="D103" s="5" t="s">
        <v>1509</v>
      </c>
      <c r="E103" s="5" t="s">
        <v>1669</v>
      </c>
      <c r="F103" s="5" t="s">
        <v>1870</v>
      </c>
      <c r="G103" s="6">
        <v>46168.623611111114</v>
      </c>
      <c r="H103" s="7">
        <v>46181</v>
      </c>
      <c r="I103" s="5" t="s">
        <v>1533</v>
      </c>
      <c r="J103" s="5" t="s">
        <v>1533</v>
      </c>
      <c r="K103" s="5" t="s">
        <v>1540</v>
      </c>
      <c r="L103" s="5" t="s">
        <v>1535</v>
      </c>
      <c r="M103" s="8">
        <v>1776.6</v>
      </c>
      <c r="N103" s="5" t="s">
        <v>1541</v>
      </c>
      <c r="O103" s="5" t="s">
        <v>1533</v>
      </c>
    </row>
    <row r="104" spans="1:15" x14ac:dyDescent="0.25">
      <c r="A104" s="5" t="s">
        <v>4</v>
      </c>
      <c r="B104" s="5" t="s">
        <v>1871</v>
      </c>
      <c r="D104" s="5" t="s">
        <v>515</v>
      </c>
      <c r="E104" s="5" t="s">
        <v>1872</v>
      </c>
      <c r="F104" s="5" t="s">
        <v>1873</v>
      </c>
      <c r="G104" s="6">
        <v>46098.620138888888</v>
      </c>
      <c r="H104" s="7">
        <v>46108</v>
      </c>
      <c r="I104" s="5" t="s">
        <v>1874</v>
      </c>
      <c r="J104" s="7">
        <v>46111</v>
      </c>
      <c r="K104" s="5" t="s">
        <v>1527</v>
      </c>
      <c r="L104" s="5" t="s">
        <v>1535</v>
      </c>
      <c r="M104" s="8">
        <v>1770</v>
      </c>
      <c r="N104" s="5" t="s">
        <v>1536</v>
      </c>
      <c r="O104" s="7">
        <v>46111</v>
      </c>
    </row>
    <row r="105" spans="1:15" x14ac:dyDescent="0.25">
      <c r="A105" s="5" t="s">
        <v>4</v>
      </c>
      <c r="B105" s="5" t="s">
        <v>1875</v>
      </c>
      <c r="D105" s="5" t="s">
        <v>612</v>
      </c>
      <c r="E105" s="5" t="s">
        <v>1876</v>
      </c>
      <c r="F105" s="5" t="s">
        <v>1813</v>
      </c>
      <c r="G105" s="6">
        <v>46073.67291666667</v>
      </c>
      <c r="H105" s="7">
        <v>46080</v>
      </c>
      <c r="I105" s="6">
        <v>46079.745138888888</v>
      </c>
      <c r="J105" s="7">
        <v>46079</v>
      </c>
      <c r="K105" s="5" t="s">
        <v>1527</v>
      </c>
      <c r="L105" s="5" t="s">
        <v>1535</v>
      </c>
      <c r="M105" s="8">
        <v>1750</v>
      </c>
      <c r="N105" s="5" t="s">
        <v>1536</v>
      </c>
      <c r="O105" s="7">
        <v>46079</v>
      </c>
    </row>
    <row r="106" spans="1:15" hidden="1" x14ac:dyDescent="0.25">
      <c r="A106" s="5" t="s">
        <v>1522</v>
      </c>
      <c r="B106" s="5" t="s">
        <v>1877</v>
      </c>
      <c r="D106" s="5" t="s">
        <v>1440</v>
      </c>
      <c r="E106" s="5" t="s">
        <v>1878</v>
      </c>
      <c r="F106" s="5" t="s">
        <v>1879</v>
      </c>
      <c r="G106" s="6">
        <v>46071.378472222219</v>
      </c>
      <c r="H106" s="7">
        <v>46076</v>
      </c>
      <c r="I106" s="5" t="s">
        <v>1880</v>
      </c>
      <c r="J106" s="7">
        <v>46132</v>
      </c>
      <c r="K106" s="5" t="s">
        <v>1527</v>
      </c>
      <c r="L106" s="5" t="s">
        <v>1528</v>
      </c>
      <c r="M106" s="8">
        <v>1744</v>
      </c>
      <c r="N106" s="5" t="s">
        <v>1536</v>
      </c>
      <c r="O106" s="7">
        <v>46132</v>
      </c>
    </row>
    <row r="107" spans="1:15" hidden="1" x14ac:dyDescent="0.25">
      <c r="A107" s="5" t="s">
        <v>1522</v>
      </c>
      <c r="B107" s="5" t="s">
        <v>1881</v>
      </c>
      <c r="D107" s="5" t="s">
        <v>1447</v>
      </c>
      <c r="E107" s="5" t="s">
        <v>1882</v>
      </c>
      <c r="F107" s="5" t="s">
        <v>1883</v>
      </c>
      <c r="G107" s="6">
        <v>46065.690972222219</v>
      </c>
      <c r="H107" s="7">
        <v>46077</v>
      </c>
      <c r="I107" s="6">
        <v>46076.725694444445</v>
      </c>
      <c r="J107" s="7">
        <v>46073</v>
      </c>
      <c r="K107" s="5" t="s">
        <v>1527</v>
      </c>
      <c r="L107" s="5" t="s">
        <v>1528</v>
      </c>
      <c r="M107" s="8">
        <v>1713.5</v>
      </c>
      <c r="N107" s="5" t="s">
        <v>1536</v>
      </c>
      <c r="O107" s="7">
        <v>46073</v>
      </c>
    </row>
    <row r="108" spans="1:15" hidden="1" x14ac:dyDescent="0.25">
      <c r="A108" s="5" t="s">
        <v>1522</v>
      </c>
      <c r="B108" s="5" t="s">
        <v>1884</v>
      </c>
      <c r="D108" s="5" t="s">
        <v>1496</v>
      </c>
      <c r="E108" s="5" t="s">
        <v>1885</v>
      </c>
      <c r="F108" s="5" t="s">
        <v>1886</v>
      </c>
      <c r="G108" s="6">
        <v>46139.713888888888</v>
      </c>
      <c r="H108" s="7">
        <v>46148</v>
      </c>
      <c r="I108" s="6">
        <v>46147.683333333334</v>
      </c>
      <c r="J108" s="7">
        <v>46147</v>
      </c>
      <c r="K108" s="5" t="s">
        <v>1527</v>
      </c>
      <c r="L108" s="5" t="s">
        <v>1528</v>
      </c>
      <c r="M108" s="8">
        <v>1671</v>
      </c>
      <c r="N108" s="5" t="s">
        <v>1536</v>
      </c>
      <c r="O108" s="7">
        <v>46147</v>
      </c>
    </row>
    <row r="109" spans="1:15" hidden="1" x14ac:dyDescent="0.25">
      <c r="A109" s="5" t="s">
        <v>1522</v>
      </c>
      <c r="B109" s="5" t="s">
        <v>1887</v>
      </c>
      <c r="D109" s="5" t="s">
        <v>1504</v>
      </c>
      <c r="E109" s="5" t="s">
        <v>1888</v>
      </c>
      <c r="F109" s="5" t="s">
        <v>1548</v>
      </c>
      <c r="G109" s="6">
        <v>46058.728472222225</v>
      </c>
      <c r="H109" s="7">
        <v>46066</v>
      </c>
      <c r="I109" s="5" t="s">
        <v>1889</v>
      </c>
      <c r="J109" s="7">
        <v>46070</v>
      </c>
      <c r="K109" s="5" t="s">
        <v>1527</v>
      </c>
      <c r="L109" s="5" t="s">
        <v>1528</v>
      </c>
      <c r="M109" s="8">
        <v>1662</v>
      </c>
      <c r="N109" s="5" t="s">
        <v>1536</v>
      </c>
      <c r="O109" s="7">
        <v>46070</v>
      </c>
    </row>
    <row r="110" spans="1:15" x14ac:dyDescent="0.25">
      <c r="A110" s="5" t="s">
        <v>4</v>
      </c>
      <c r="B110" s="5" t="s">
        <v>1890</v>
      </c>
      <c r="D110" s="5" t="s">
        <v>1277</v>
      </c>
      <c r="E110" s="5" t="s">
        <v>1891</v>
      </c>
      <c r="F110" s="5" t="s">
        <v>1892</v>
      </c>
      <c r="G110" s="6">
        <v>46114.375694444447</v>
      </c>
      <c r="H110" s="7">
        <v>46139</v>
      </c>
      <c r="I110" s="6">
        <v>46134.732638888891</v>
      </c>
      <c r="J110" s="7">
        <v>46132</v>
      </c>
      <c r="K110" s="5" t="s">
        <v>1527</v>
      </c>
      <c r="L110" s="5" t="s">
        <v>1564</v>
      </c>
      <c r="M110" s="8">
        <v>1650</v>
      </c>
      <c r="N110" s="5" t="s">
        <v>1536</v>
      </c>
      <c r="O110" s="7">
        <v>46132</v>
      </c>
    </row>
    <row r="111" spans="1:15" hidden="1" x14ac:dyDescent="0.25">
      <c r="A111" s="5" t="s">
        <v>1522</v>
      </c>
      <c r="B111" s="5" t="s">
        <v>1893</v>
      </c>
      <c r="D111" s="5" t="s">
        <v>84</v>
      </c>
      <c r="E111" s="5" t="s">
        <v>1894</v>
      </c>
      <c r="F111" s="5" t="s">
        <v>1895</v>
      </c>
      <c r="G111" s="6">
        <v>46168.753472222219</v>
      </c>
      <c r="H111" s="7">
        <v>46175</v>
      </c>
      <c r="I111" s="5" t="s">
        <v>1896</v>
      </c>
      <c r="J111" s="7">
        <v>46171</v>
      </c>
      <c r="K111" s="5" t="s">
        <v>1527</v>
      </c>
      <c r="L111" s="5" t="s">
        <v>1528</v>
      </c>
      <c r="M111" s="8">
        <v>1620</v>
      </c>
      <c r="N111" s="5" t="s">
        <v>1529</v>
      </c>
      <c r="O111" s="7">
        <v>46171</v>
      </c>
    </row>
    <row r="112" spans="1:15" x14ac:dyDescent="0.25">
      <c r="A112" s="5" t="s">
        <v>4</v>
      </c>
      <c r="B112" s="5" t="s">
        <v>1897</v>
      </c>
      <c r="D112" s="5" t="s">
        <v>1380</v>
      </c>
      <c r="E112" s="5" t="s">
        <v>1898</v>
      </c>
      <c r="F112" s="5" t="s">
        <v>1899</v>
      </c>
      <c r="G112" s="6">
        <v>46162.470833333333</v>
      </c>
      <c r="H112" s="7">
        <v>46171</v>
      </c>
      <c r="I112" s="5" t="s">
        <v>1748</v>
      </c>
      <c r="J112" s="7">
        <v>46171</v>
      </c>
      <c r="K112" s="5" t="s">
        <v>1527</v>
      </c>
      <c r="L112" s="5" t="s">
        <v>1535</v>
      </c>
      <c r="M112" s="8">
        <v>1612</v>
      </c>
      <c r="N112" s="5" t="s">
        <v>1529</v>
      </c>
      <c r="O112" s="7">
        <v>46171</v>
      </c>
    </row>
    <row r="113" spans="1:15" x14ac:dyDescent="0.25">
      <c r="A113" s="5" t="s">
        <v>4</v>
      </c>
      <c r="B113" s="5" t="s">
        <v>1900</v>
      </c>
      <c r="D113" s="5" t="s">
        <v>690</v>
      </c>
      <c r="E113" s="5" t="s">
        <v>1901</v>
      </c>
      <c r="F113" s="5" t="s">
        <v>1800</v>
      </c>
      <c r="G113" s="6">
        <v>46121.715277777781</v>
      </c>
      <c r="H113" s="7">
        <v>46134</v>
      </c>
      <c r="I113" s="6">
        <v>46127.739583333336</v>
      </c>
      <c r="J113" s="7">
        <v>46127</v>
      </c>
      <c r="K113" s="5" t="s">
        <v>1527</v>
      </c>
      <c r="L113" s="5" t="s">
        <v>1564</v>
      </c>
      <c r="M113" s="8">
        <v>1599.5</v>
      </c>
      <c r="N113" s="5" t="s">
        <v>1536</v>
      </c>
      <c r="O113" s="7">
        <v>46127</v>
      </c>
    </row>
    <row r="114" spans="1:15" x14ac:dyDescent="0.25">
      <c r="A114" s="5" t="s">
        <v>4</v>
      </c>
      <c r="B114" s="5" t="s">
        <v>1902</v>
      </c>
      <c r="D114" s="5" t="s">
        <v>1432</v>
      </c>
      <c r="E114" s="5" t="s">
        <v>1903</v>
      </c>
      <c r="F114" s="5" t="s">
        <v>1904</v>
      </c>
      <c r="G114" s="6">
        <v>46077.417361111111</v>
      </c>
      <c r="H114" s="7">
        <v>46084</v>
      </c>
      <c r="I114" s="5" t="s">
        <v>1905</v>
      </c>
      <c r="J114" s="7">
        <v>46077</v>
      </c>
      <c r="K114" s="5" t="s">
        <v>1527</v>
      </c>
      <c r="L114" s="5" t="s">
        <v>1564</v>
      </c>
      <c r="M114" s="8">
        <v>1597.5</v>
      </c>
      <c r="N114" s="5" t="s">
        <v>1536</v>
      </c>
      <c r="O114" s="7">
        <v>46077</v>
      </c>
    </row>
    <row r="115" spans="1:15" x14ac:dyDescent="0.25">
      <c r="A115" s="5" t="s">
        <v>4</v>
      </c>
      <c r="B115" s="5" t="s">
        <v>1906</v>
      </c>
      <c r="D115" s="5" t="s">
        <v>1283</v>
      </c>
      <c r="E115" s="5" t="s">
        <v>1907</v>
      </c>
      <c r="F115" s="5" t="s">
        <v>1759</v>
      </c>
      <c r="G115" s="6">
        <v>46086.682638888888</v>
      </c>
      <c r="H115" s="7">
        <v>46101</v>
      </c>
      <c r="I115" s="5" t="s">
        <v>1908</v>
      </c>
      <c r="J115" s="7">
        <v>46086</v>
      </c>
      <c r="K115" s="5" t="s">
        <v>1527</v>
      </c>
      <c r="L115" s="5" t="s">
        <v>1564</v>
      </c>
      <c r="M115" s="8">
        <v>1595.2</v>
      </c>
      <c r="N115" s="5" t="s">
        <v>1536</v>
      </c>
      <c r="O115" s="7">
        <v>46086</v>
      </c>
    </row>
    <row r="116" spans="1:15" x14ac:dyDescent="0.25">
      <c r="A116" s="5" t="s">
        <v>4</v>
      </c>
      <c r="B116" s="5" t="s">
        <v>1909</v>
      </c>
      <c r="D116" s="5" t="s">
        <v>829</v>
      </c>
      <c r="E116" s="5" t="s">
        <v>1910</v>
      </c>
      <c r="F116" s="5" t="s">
        <v>1813</v>
      </c>
      <c r="G116" s="6">
        <v>46058.563888888886</v>
      </c>
      <c r="H116" s="7">
        <v>46070</v>
      </c>
      <c r="I116" s="5" t="s">
        <v>1911</v>
      </c>
      <c r="J116" s="7">
        <v>46079</v>
      </c>
      <c r="K116" s="5" t="s">
        <v>1527</v>
      </c>
      <c r="L116" s="5" t="s">
        <v>1535</v>
      </c>
      <c r="M116" s="8">
        <v>1592.37</v>
      </c>
      <c r="N116" s="5" t="s">
        <v>1536</v>
      </c>
      <c r="O116" s="7">
        <v>46079</v>
      </c>
    </row>
    <row r="117" spans="1:15" hidden="1" x14ac:dyDescent="0.25">
      <c r="A117" s="5" t="s">
        <v>1522</v>
      </c>
      <c r="B117" s="5" t="s">
        <v>1912</v>
      </c>
      <c r="D117" s="5" t="s">
        <v>1486</v>
      </c>
      <c r="E117" s="5" t="s">
        <v>1633</v>
      </c>
      <c r="F117" s="5" t="s">
        <v>1913</v>
      </c>
      <c r="G117" s="6">
        <v>46043.576388888891</v>
      </c>
      <c r="H117" s="7">
        <v>46050</v>
      </c>
      <c r="I117" s="5" t="s">
        <v>1914</v>
      </c>
      <c r="J117" s="7">
        <v>46051</v>
      </c>
      <c r="K117" s="5" t="s">
        <v>1527</v>
      </c>
      <c r="L117" s="5" t="s">
        <v>1528</v>
      </c>
      <c r="M117" s="8">
        <v>1586</v>
      </c>
      <c r="N117" s="5" t="s">
        <v>1536</v>
      </c>
      <c r="O117" s="7">
        <v>46051</v>
      </c>
    </row>
    <row r="118" spans="1:15" x14ac:dyDescent="0.25">
      <c r="A118" s="5" t="s">
        <v>4</v>
      </c>
      <c r="B118" s="5" t="s">
        <v>1915</v>
      </c>
      <c r="D118" s="5" t="s">
        <v>1059</v>
      </c>
      <c r="E118" s="5" t="s">
        <v>1916</v>
      </c>
      <c r="F118" s="5" t="s">
        <v>1548</v>
      </c>
      <c r="G118" s="6">
        <v>46029.675694444442</v>
      </c>
      <c r="H118" s="7">
        <v>46041</v>
      </c>
      <c r="I118" s="5" t="s">
        <v>1917</v>
      </c>
      <c r="J118" s="7">
        <v>46048</v>
      </c>
      <c r="K118" s="5" t="s">
        <v>1527</v>
      </c>
      <c r="L118" s="5" t="s">
        <v>1564</v>
      </c>
      <c r="M118" s="8">
        <v>1552.5</v>
      </c>
      <c r="N118" s="5" t="s">
        <v>1536</v>
      </c>
      <c r="O118" s="7">
        <v>46048</v>
      </c>
    </row>
    <row r="119" spans="1:15" x14ac:dyDescent="0.25">
      <c r="A119" s="5" t="s">
        <v>4</v>
      </c>
      <c r="B119" s="5" t="s">
        <v>1918</v>
      </c>
      <c r="D119" s="5" t="s">
        <v>246</v>
      </c>
      <c r="E119" s="5" t="s">
        <v>1919</v>
      </c>
      <c r="F119" s="5" t="s">
        <v>1532</v>
      </c>
      <c r="G119" s="6">
        <v>46135.385416666664</v>
      </c>
      <c r="H119" s="7">
        <v>46142</v>
      </c>
      <c r="I119" s="5" t="s">
        <v>1920</v>
      </c>
      <c r="J119" s="7">
        <v>46142</v>
      </c>
      <c r="K119" s="5" t="s">
        <v>1527</v>
      </c>
      <c r="L119" s="5" t="s">
        <v>1535</v>
      </c>
      <c r="M119" s="8">
        <v>1519.4</v>
      </c>
      <c r="N119" s="5" t="s">
        <v>1536</v>
      </c>
      <c r="O119" s="7">
        <v>46142</v>
      </c>
    </row>
    <row r="120" spans="1:15" hidden="1" x14ac:dyDescent="0.25">
      <c r="A120" s="5" t="s">
        <v>1522</v>
      </c>
      <c r="B120" s="5" t="s">
        <v>1921</v>
      </c>
      <c r="D120" s="5" t="s">
        <v>1499</v>
      </c>
      <c r="E120" s="5" t="s">
        <v>1712</v>
      </c>
      <c r="F120" s="5" t="s">
        <v>1922</v>
      </c>
      <c r="G120" s="6">
        <v>46057.640972222223</v>
      </c>
      <c r="H120" s="7">
        <v>46069</v>
      </c>
      <c r="I120" s="5" t="s">
        <v>1923</v>
      </c>
      <c r="J120" s="7">
        <v>46080</v>
      </c>
      <c r="K120" s="5" t="s">
        <v>1527</v>
      </c>
      <c r="L120" s="5" t="s">
        <v>1528</v>
      </c>
      <c r="M120" s="8">
        <v>1511</v>
      </c>
      <c r="N120" s="5" t="s">
        <v>1536</v>
      </c>
      <c r="O120" s="7">
        <v>46080</v>
      </c>
    </row>
    <row r="121" spans="1:15" hidden="1" x14ac:dyDescent="0.25">
      <c r="A121" s="5" t="s">
        <v>1522</v>
      </c>
      <c r="B121" s="5" t="s">
        <v>1924</v>
      </c>
      <c r="D121" s="5" t="s">
        <v>443</v>
      </c>
      <c r="E121" s="5" t="s">
        <v>1925</v>
      </c>
      <c r="F121" s="5" t="s">
        <v>1926</v>
      </c>
      <c r="G121" s="6">
        <v>46034.501388888886</v>
      </c>
      <c r="H121" s="7">
        <v>46042</v>
      </c>
      <c r="I121" s="5" t="s">
        <v>1927</v>
      </c>
      <c r="J121" s="7">
        <v>46078</v>
      </c>
      <c r="K121" s="5" t="s">
        <v>1527</v>
      </c>
      <c r="L121" s="5" t="s">
        <v>1528</v>
      </c>
      <c r="M121" s="8">
        <v>1497.95</v>
      </c>
      <c r="N121" s="5" t="s">
        <v>1536</v>
      </c>
      <c r="O121" s="7">
        <v>46078</v>
      </c>
    </row>
    <row r="122" spans="1:15" x14ac:dyDescent="0.25">
      <c r="A122" s="5" t="s">
        <v>4</v>
      </c>
      <c r="B122" s="5" t="s">
        <v>1928</v>
      </c>
      <c r="D122" s="5" t="s">
        <v>421</v>
      </c>
      <c r="E122" s="5" t="s">
        <v>1929</v>
      </c>
      <c r="F122" s="5" t="s">
        <v>1548</v>
      </c>
      <c r="G122" s="6">
        <v>46078.615277777775</v>
      </c>
      <c r="H122" s="7">
        <v>46086</v>
      </c>
      <c r="I122" s="5" t="s">
        <v>1930</v>
      </c>
      <c r="J122" s="7">
        <v>46107</v>
      </c>
      <c r="K122" s="5" t="s">
        <v>1527</v>
      </c>
      <c r="L122" s="5" t="s">
        <v>1535</v>
      </c>
      <c r="M122" s="8">
        <v>1493.6</v>
      </c>
      <c r="N122" s="5" t="s">
        <v>1536</v>
      </c>
      <c r="O122" s="7">
        <v>46107</v>
      </c>
    </row>
    <row r="123" spans="1:15" x14ac:dyDescent="0.25">
      <c r="A123" s="5" t="s">
        <v>4</v>
      </c>
      <c r="B123" s="5" t="s">
        <v>1931</v>
      </c>
      <c r="D123" s="5" t="s">
        <v>1479</v>
      </c>
      <c r="E123" s="5" t="s">
        <v>1932</v>
      </c>
      <c r="F123" s="5" t="s">
        <v>1933</v>
      </c>
      <c r="G123" s="6">
        <v>46142.477083333331</v>
      </c>
      <c r="H123" s="7">
        <v>46155</v>
      </c>
      <c r="I123" s="6">
        <v>46149.574305555558</v>
      </c>
      <c r="J123" s="7">
        <v>46149</v>
      </c>
      <c r="K123" s="5" t="s">
        <v>1527</v>
      </c>
      <c r="L123" s="5" t="s">
        <v>1535</v>
      </c>
      <c r="M123" s="8">
        <v>1484.75</v>
      </c>
      <c r="N123" s="5" t="s">
        <v>1536</v>
      </c>
      <c r="O123" s="7">
        <v>46149</v>
      </c>
    </row>
    <row r="124" spans="1:15" hidden="1" x14ac:dyDescent="0.25">
      <c r="A124" s="5" t="s">
        <v>1522</v>
      </c>
      <c r="B124" s="5" t="s">
        <v>1934</v>
      </c>
      <c r="D124" s="5" t="s">
        <v>1495</v>
      </c>
      <c r="E124" s="5" t="s">
        <v>1935</v>
      </c>
      <c r="F124" s="5" t="s">
        <v>1936</v>
      </c>
      <c r="G124" s="6">
        <v>46097.42083333333</v>
      </c>
      <c r="H124" s="7">
        <v>46101</v>
      </c>
      <c r="I124" s="5" t="s">
        <v>1937</v>
      </c>
      <c r="J124" s="7">
        <v>46112</v>
      </c>
      <c r="K124" s="5" t="s">
        <v>1527</v>
      </c>
      <c r="L124" s="5" t="s">
        <v>1528</v>
      </c>
      <c r="M124" s="8">
        <v>1474</v>
      </c>
      <c r="N124" s="5" t="s">
        <v>1536</v>
      </c>
      <c r="O124" s="7">
        <v>46112</v>
      </c>
    </row>
    <row r="125" spans="1:15" x14ac:dyDescent="0.25">
      <c r="A125" s="5" t="s">
        <v>4</v>
      </c>
      <c r="B125" s="5" t="s">
        <v>1938</v>
      </c>
      <c r="D125" s="5" t="s">
        <v>960</v>
      </c>
      <c r="E125" s="5" t="s">
        <v>1939</v>
      </c>
      <c r="F125" s="5" t="s">
        <v>1548</v>
      </c>
      <c r="G125" s="6">
        <v>46036.500694444447</v>
      </c>
      <c r="H125" s="7">
        <v>46049</v>
      </c>
      <c r="I125" s="5" t="s">
        <v>1940</v>
      </c>
      <c r="J125" s="7">
        <v>46052</v>
      </c>
      <c r="K125" s="5" t="s">
        <v>1527</v>
      </c>
      <c r="L125" s="5" t="s">
        <v>1564</v>
      </c>
      <c r="M125" s="8">
        <v>1469</v>
      </c>
      <c r="N125" s="5" t="s">
        <v>1536</v>
      </c>
      <c r="O125" s="7">
        <v>46052</v>
      </c>
    </row>
    <row r="126" spans="1:15" hidden="1" x14ac:dyDescent="0.25">
      <c r="A126" s="5" t="s">
        <v>1522</v>
      </c>
      <c r="B126" s="5" t="s">
        <v>1941</v>
      </c>
      <c r="D126" s="5" t="s">
        <v>1506</v>
      </c>
      <c r="E126" s="5" t="s">
        <v>1942</v>
      </c>
      <c r="F126" s="5" t="s">
        <v>1943</v>
      </c>
      <c r="G126" s="6">
        <v>46036.588888888888</v>
      </c>
      <c r="H126" s="7">
        <v>46050</v>
      </c>
      <c r="I126" s="5" t="s">
        <v>1944</v>
      </c>
      <c r="J126" s="7">
        <v>46056</v>
      </c>
      <c r="K126" s="5" t="s">
        <v>1527</v>
      </c>
      <c r="L126" s="5" t="s">
        <v>1528</v>
      </c>
      <c r="M126" s="8">
        <v>1444.4</v>
      </c>
      <c r="N126" s="5" t="s">
        <v>1536</v>
      </c>
      <c r="O126" s="7">
        <v>46056</v>
      </c>
    </row>
    <row r="127" spans="1:15" x14ac:dyDescent="0.25">
      <c r="A127" s="5" t="s">
        <v>4</v>
      </c>
      <c r="B127" s="5" t="s">
        <v>1945</v>
      </c>
      <c r="D127" s="5" t="s">
        <v>1509</v>
      </c>
      <c r="E127" s="5" t="s">
        <v>1538</v>
      </c>
      <c r="F127" s="5" t="s">
        <v>1946</v>
      </c>
      <c r="G127" s="6">
        <v>46129.604166666664</v>
      </c>
      <c r="H127" s="7">
        <v>46140</v>
      </c>
      <c r="I127" s="5" t="s">
        <v>1947</v>
      </c>
      <c r="J127" s="7">
        <v>46154</v>
      </c>
      <c r="K127" s="5" t="s">
        <v>1527</v>
      </c>
      <c r="L127" s="5" t="s">
        <v>1535</v>
      </c>
      <c r="M127" s="8">
        <v>1440</v>
      </c>
      <c r="N127" s="5" t="s">
        <v>1536</v>
      </c>
      <c r="O127" s="7">
        <v>46154</v>
      </c>
    </row>
    <row r="128" spans="1:15" x14ac:dyDescent="0.25">
      <c r="A128" s="5" t="s">
        <v>4</v>
      </c>
      <c r="B128" s="5" t="s">
        <v>1948</v>
      </c>
      <c r="D128" s="5" t="s">
        <v>1509</v>
      </c>
      <c r="E128" s="5" t="s">
        <v>1538</v>
      </c>
      <c r="F128" s="5" t="s">
        <v>1949</v>
      </c>
      <c r="G128" s="6">
        <v>46157.656944444447</v>
      </c>
      <c r="H128" s="7">
        <v>46168</v>
      </c>
      <c r="I128" s="6">
        <v>46165.320833333331</v>
      </c>
      <c r="J128" s="7">
        <v>46163</v>
      </c>
      <c r="K128" s="5" t="s">
        <v>1527</v>
      </c>
      <c r="L128" s="5" t="s">
        <v>1535</v>
      </c>
      <c r="M128" s="8">
        <v>1440</v>
      </c>
      <c r="N128" s="5" t="s">
        <v>1529</v>
      </c>
      <c r="O128" s="7">
        <v>46163</v>
      </c>
    </row>
    <row r="129" spans="1:15" hidden="1" x14ac:dyDescent="0.25">
      <c r="A129" s="5" t="s">
        <v>1522</v>
      </c>
      <c r="B129" s="5" t="s">
        <v>1950</v>
      </c>
      <c r="D129" s="5" t="s">
        <v>765</v>
      </c>
      <c r="E129" s="5" t="s">
        <v>1951</v>
      </c>
      <c r="F129" s="5" t="s">
        <v>1548</v>
      </c>
      <c r="G129" s="6">
        <v>46050.504166666666</v>
      </c>
      <c r="H129" s="7">
        <v>46064</v>
      </c>
      <c r="I129" s="5" t="s">
        <v>1952</v>
      </c>
      <c r="J129" s="7">
        <v>46071</v>
      </c>
      <c r="K129" s="5" t="s">
        <v>1527</v>
      </c>
      <c r="L129" s="5" t="s">
        <v>1528</v>
      </c>
      <c r="M129" s="8">
        <v>1428.5</v>
      </c>
      <c r="N129" s="5" t="s">
        <v>1536</v>
      </c>
      <c r="O129" s="7">
        <v>46071</v>
      </c>
    </row>
    <row r="130" spans="1:15" x14ac:dyDescent="0.25">
      <c r="A130" s="5" t="s">
        <v>4</v>
      </c>
      <c r="B130" s="5" t="s">
        <v>1953</v>
      </c>
      <c r="D130" s="5" t="s">
        <v>1465</v>
      </c>
      <c r="E130" s="5" t="s">
        <v>1562</v>
      </c>
      <c r="F130" s="5" t="s">
        <v>1954</v>
      </c>
      <c r="G130" s="6">
        <v>46142.582638888889</v>
      </c>
      <c r="H130" s="7">
        <v>46157</v>
      </c>
      <c r="I130" s="6">
        <v>46153.595138888886</v>
      </c>
      <c r="J130" s="7">
        <v>46153</v>
      </c>
      <c r="K130" s="5" t="s">
        <v>1527</v>
      </c>
      <c r="L130" s="5" t="s">
        <v>1535</v>
      </c>
      <c r="M130" s="8">
        <v>1415</v>
      </c>
      <c r="N130" s="5" t="s">
        <v>1536</v>
      </c>
      <c r="O130" s="7">
        <v>46153</v>
      </c>
    </row>
    <row r="131" spans="1:15" x14ac:dyDescent="0.25">
      <c r="A131" s="5" t="s">
        <v>4</v>
      </c>
      <c r="B131" s="5" t="s">
        <v>1955</v>
      </c>
      <c r="D131" s="5" t="s">
        <v>174</v>
      </c>
      <c r="E131" s="5" t="s">
        <v>1956</v>
      </c>
      <c r="F131" s="5" t="s">
        <v>1548</v>
      </c>
      <c r="G131" s="6">
        <v>46062.397916666669</v>
      </c>
      <c r="H131" s="7">
        <v>46073</v>
      </c>
      <c r="I131" s="6">
        <v>46071.717361111114</v>
      </c>
      <c r="J131" s="7">
        <v>46062</v>
      </c>
      <c r="K131" s="5" t="s">
        <v>1527</v>
      </c>
      <c r="L131" s="5" t="s">
        <v>1535</v>
      </c>
      <c r="M131" s="8">
        <v>1410</v>
      </c>
      <c r="N131" s="5" t="s">
        <v>1536</v>
      </c>
      <c r="O131" s="7">
        <v>46062</v>
      </c>
    </row>
    <row r="132" spans="1:15" x14ac:dyDescent="0.25">
      <c r="A132" s="5" t="s">
        <v>4</v>
      </c>
      <c r="B132" s="5" t="s">
        <v>1957</v>
      </c>
      <c r="D132" s="5" t="s">
        <v>1108</v>
      </c>
      <c r="E132" s="5" t="s">
        <v>1958</v>
      </c>
      <c r="F132" s="5" t="s">
        <v>1959</v>
      </c>
      <c r="G132" s="6">
        <v>46090.43472222222</v>
      </c>
      <c r="H132" s="7">
        <v>46101</v>
      </c>
      <c r="I132" s="6">
        <v>46097.601388888892</v>
      </c>
      <c r="J132" s="7">
        <v>46097</v>
      </c>
      <c r="K132" s="5" t="s">
        <v>1527</v>
      </c>
      <c r="L132" s="5" t="s">
        <v>1564</v>
      </c>
      <c r="M132" s="8">
        <v>1410</v>
      </c>
      <c r="N132" s="5" t="s">
        <v>1536</v>
      </c>
      <c r="O132" s="7">
        <v>46097</v>
      </c>
    </row>
    <row r="133" spans="1:15" hidden="1" x14ac:dyDescent="0.25">
      <c r="A133" s="5" t="s">
        <v>1522</v>
      </c>
      <c r="B133" s="5" t="s">
        <v>1960</v>
      </c>
      <c r="D133" s="5" t="s">
        <v>1068</v>
      </c>
      <c r="E133" s="5" t="s">
        <v>1961</v>
      </c>
      <c r="F133" s="5" t="s">
        <v>1548</v>
      </c>
      <c r="G133" s="6">
        <v>46035.616666666669</v>
      </c>
      <c r="H133" s="7">
        <v>46043</v>
      </c>
      <c r="I133" s="5" t="s">
        <v>1962</v>
      </c>
      <c r="J133" s="7">
        <v>46052</v>
      </c>
      <c r="K133" s="5" t="s">
        <v>1527</v>
      </c>
      <c r="L133" s="5" t="s">
        <v>1528</v>
      </c>
      <c r="M133" s="8">
        <v>1400</v>
      </c>
      <c r="N133" s="5" t="s">
        <v>1536</v>
      </c>
      <c r="O133" s="7">
        <v>46052</v>
      </c>
    </row>
    <row r="134" spans="1:15" x14ac:dyDescent="0.25">
      <c r="A134" s="5" t="s">
        <v>4</v>
      </c>
      <c r="B134" s="5" t="s">
        <v>1963</v>
      </c>
      <c r="D134" s="5" t="s">
        <v>265</v>
      </c>
      <c r="E134" s="5" t="s">
        <v>1964</v>
      </c>
      <c r="F134" s="5" t="s">
        <v>1532</v>
      </c>
      <c r="G134" s="6">
        <v>46170.463888888888</v>
      </c>
      <c r="H134" s="7">
        <v>46182</v>
      </c>
      <c r="I134" s="5" t="s">
        <v>1533</v>
      </c>
      <c r="J134" s="7">
        <v>46183</v>
      </c>
      <c r="K134" s="5" t="s">
        <v>1534</v>
      </c>
      <c r="L134" s="5" t="s">
        <v>1535</v>
      </c>
      <c r="M134" s="8">
        <v>1390</v>
      </c>
      <c r="N134" s="5" t="s">
        <v>1529</v>
      </c>
      <c r="O134" s="7">
        <v>46183</v>
      </c>
    </row>
    <row r="135" spans="1:15" x14ac:dyDescent="0.25">
      <c r="A135" s="5" t="s">
        <v>4</v>
      </c>
      <c r="B135" s="5" t="s">
        <v>1965</v>
      </c>
      <c r="D135" s="5" t="s">
        <v>867</v>
      </c>
      <c r="E135" s="5" t="s">
        <v>1966</v>
      </c>
      <c r="F135" s="5" t="s">
        <v>1770</v>
      </c>
      <c r="G135" s="6">
        <v>46163.724305555559</v>
      </c>
      <c r="H135" s="7">
        <v>46183</v>
      </c>
      <c r="I135" s="6">
        <v>46182.718055555553</v>
      </c>
      <c r="J135" s="7">
        <v>46182</v>
      </c>
      <c r="K135" s="5" t="s">
        <v>1527</v>
      </c>
      <c r="L135" s="5" t="s">
        <v>1564</v>
      </c>
      <c r="M135" s="8">
        <v>1378</v>
      </c>
      <c r="N135" s="5" t="s">
        <v>1529</v>
      </c>
      <c r="O135" s="7">
        <v>46182</v>
      </c>
    </row>
    <row r="136" spans="1:15" hidden="1" x14ac:dyDescent="0.25">
      <c r="A136" s="5" t="s">
        <v>1522</v>
      </c>
      <c r="B136" s="5" t="s">
        <v>1967</v>
      </c>
      <c r="D136" s="5" t="s">
        <v>1480</v>
      </c>
      <c r="E136" s="5" t="s">
        <v>1524</v>
      </c>
      <c r="F136" s="5" t="s">
        <v>1548</v>
      </c>
      <c r="G136" s="6">
        <v>46112.422222222223</v>
      </c>
      <c r="H136" s="7">
        <v>46119</v>
      </c>
      <c r="I136" s="5" t="s">
        <v>1968</v>
      </c>
      <c r="J136" s="7">
        <v>46122</v>
      </c>
      <c r="K136" s="5" t="s">
        <v>1527</v>
      </c>
      <c r="L136" s="5" t="s">
        <v>1528</v>
      </c>
      <c r="M136" s="8">
        <v>1368</v>
      </c>
      <c r="N136" s="5" t="s">
        <v>1536</v>
      </c>
      <c r="O136" s="7">
        <v>46122</v>
      </c>
    </row>
    <row r="137" spans="1:15" x14ac:dyDescent="0.25">
      <c r="A137" s="5" t="s">
        <v>4</v>
      </c>
      <c r="B137" s="5" t="s">
        <v>1969</v>
      </c>
      <c r="D137" s="5" t="s">
        <v>260</v>
      </c>
      <c r="E137" s="5" t="s">
        <v>1970</v>
      </c>
      <c r="F137" s="5" t="s">
        <v>1813</v>
      </c>
      <c r="G137" s="6">
        <v>46148.682638888888</v>
      </c>
      <c r="H137" s="7">
        <v>46160</v>
      </c>
      <c r="I137" s="6">
        <v>46157.710416666669</v>
      </c>
      <c r="J137" s="7">
        <v>46157</v>
      </c>
      <c r="K137" s="5" t="s">
        <v>1527</v>
      </c>
      <c r="L137" s="5" t="s">
        <v>1535</v>
      </c>
      <c r="M137" s="8">
        <v>1350</v>
      </c>
      <c r="N137" s="5" t="s">
        <v>1536</v>
      </c>
      <c r="O137" s="7">
        <v>46157</v>
      </c>
    </row>
    <row r="138" spans="1:15" x14ac:dyDescent="0.25">
      <c r="A138" s="5" t="s">
        <v>4</v>
      </c>
      <c r="B138" s="5" t="s">
        <v>1971</v>
      </c>
      <c r="D138" s="5" t="s">
        <v>713</v>
      </c>
      <c r="E138" s="5" t="s">
        <v>1972</v>
      </c>
      <c r="F138" s="5" t="s">
        <v>1548</v>
      </c>
      <c r="G138" s="6">
        <v>46036.419444444444</v>
      </c>
      <c r="H138" s="7">
        <v>46049</v>
      </c>
      <c r="I138" s="5" t="s">
        <v>1973</v>
      </c>
      <c r="J138" s="7">
        <v>46052</v>
      </c>
      <c r="K138" s="5" t="s">
        <v>1527</v>
      </c>
      <c r="L138" s="5" t="s">
        <v>1564</v>
      </c>
      <c r="M138" s="8">
        <v>1335</v>
      </c>
      <c r="N138" s="5" t="s">
        <v>1536</v>
      </c>
      <c r="O138" s="7">
        <v>46052</v>
      </c>
    </row>
    <row r="139" spans="1:15" x14ac:dyDescent="0.25">
      <c r="A139" s="5" t="s">
        <v>4</v>
      </c>
      <c r="B139" s="5" t="s">
        <v>1974</v>
      </c>
      <c r="D139" s="5" t="s">
        <v>530</v>
      </c>
      <c r="E139" s="5" t="s">
        <v>1975</v>
      </c>
      <c r="F139" s="5" t="s">
        <v>1976</v>
      </c>
      <c r="G139" s="6">
        <v>46164.359027777777</v>
      </c>
      <c r="H139" s="7">
        <v>46177</v>
      </c>
      <c r="I139" s="5" t="s">
        <v>1977</v>
      </c>
      <c r="J139" s="7">
        <v>46171</v>
      </c>
      <c r="K139" s="5" t="s">
        <v>1527</v>
      </c>
      <c r="L139" s="5" t="s">
        <v>1564</v>
      </c>
      <c r="M139" s="8">
        <v>1330.38</v>
      </c>
      <c r="N139" s="5" t="s">
        <v>1529</v>
      </c>
      <c r="O139" s="7">
        <v>46171</v>
      </c>
    </row>
    <row r="140" spans="1:15" x14ac:dyDescent="0.25">
      <c r="A140" s="5" t="s">
        <v>4</v>
      </c>
      <c r="B140" s="5" t="s">
        <v>1978</v>
      </c>
      <c r="D140" s="5" t="s">
        <v>1119</v>
      </c>
      <c r="E140" s="5" t="s">
        <v>1979</v>
      </c>
      <c r="F140" s="5" t="s">
        <v>1980</v>
      </c>
      <c r="G140" s="6">
        <v>46111.677777777775</v>
      </c>
      <c r="H140" s="7">
        <v>46125</v>
      </c>
      <c r="I140" s="5" t="s">
        <v>1981</v>
      </c>
      <c r="J140" s="7">
        <v>46141</v>
      </c>
      <c r="K140" s="5" t="s">
        <v>1527</v>
      </c>
      <c r="L140" s="5" t="s">
        <v>1564</v>
      </c>
      <c r="M140" s="8">
        <v>1323</v>
      </c>
      <c r="N140" s="5" t="s">
        <v>1536</v>
      </c>
      <c r="O140" s="7">
        <v>46141</v>
      </c>
    </row>
    <row r="141" spans="1:15" x14ac:dyDescent="0.25">
      <c r="A141" s="5" t="s">
        <v>4</v>
      </c>
      <c r="B141" s="5" t="s">
        <v>1982</v>
      </c>
      <c r="D141" s="5" t="s">
        <v>1385</v>
      </c>
      <c r="E141" s="5" t="s">
        <v>1983</v>
      </c>
      <c r="F141" s="5" t="s">
        <v>1532</v>
      </c>
      <c r="G141" s="6">
        <v>46105.711111111108</v>
      </c>
      <c r="H141" s="7">
        <v>46115</v>
      </c>
      <c r="I141" s="6">
        <v>46112.731249999997</v>
      </c>
      <c r="J141" s="7">
        <v>46112</v>
      </c>
      <c r="K141" s="5" t="s">
        <v>1527</v>
      </c>
      <c r="L141" s="5" t="s">
        <v>1535</v>
      </c>
      <c r="M141" s="8">
        <v>1320</v>
      </c>
      <c r="N141" s="5" t="s">
        <v>1536</v>
      </c>
      <c r="O141" s="7">
        <v>46112</v>
      </c>
    </row>
    <row r="142" spans="1:15" x14ac:dyDescent="0.25">
      <c r="A142" s="5" t="s">
        <v>4</v>
      </c>
      <c r="B142" s="5" t="s">
        <v>1984</v>
      </c>
      <c r="D142" s="5" t="s">
        <v>700</v>
      </c>
      <c r="E142" s="5" t="s">
        <v>1985</v>
      </c>
      <c r="F142" s="5" t="s">
        <v>1986</v>
      </c>
      <c r="G142" s="6">
        <v>46147.617361111108</v>
      </c>
      <c r="H142" s="7">
        <v>46150</v>
      </c>
      <c r="I142" s="5" t="s">
        <v>1987</v>
      </c>
      <c r="J142" s="7">
        <v>46153</v>
      </c>
      <c r="K142" s="5" t="s">
        <v>1527</v>
      </c>
      <c r="L142" s="5" t="s">
        <v>1564</v>
      </c>
      <c r="M142" s="8">
        <v>1304.5999999999999</v>
      </c>
      <c r="N142" s="5" t="s">
        <v>1536</v>
      </c>
      <c r="O142" s="7">
        <v>46153</v>
      </c>
    </row>
    <row r="143" spans="1:15" x14ac:dyDescent="0.25">
      <c r="A143" s="5" t="s">
        <v>4</v>
      </c>
      <c r="B143" s="5" t="s">
        <v>1988</v>
      </c>
      <c r="D143" s="5" t="s">
        <v>763</v>
      </c>
      <c r="E143" s="5" t="s">
        <v>1989</v>
      </c>
      <c r="F143" s="5" t="s">
        <v>1738</v>
      </c>
      <c r="G143" s="6">
        <v>46128.43472222222</v>
      </c>
      <c r="H143" s="7">
        <v>46142</v>
      </c>
      <c r="I143" s="6">
        <v>46142.647222222222</v>
      </c>
      <c r="J143" s="7">
        <v>46141</v>
      </c>
      <c r="K143" s="5" t="s">
        <v>1527</v>
      </c>
      <c r="L143" s="5" t="s">
        <v>1564</v>
      </c>
      <c r="M143" s="8">
        <v>1290</v>
      </c>
      <c r="N143" s="5" t="s">
        <v>1536</v>
      </c>
      <c r="O143" s="7">
        <v>46141</v>
      </c>
    </row>
    <row r="144" spans="1:15" x14ac:dyDescent="0.25">
      <c r="A144" s="5" t="s">
        <v>4</v>
      </c>
      <c r="B144" s="5" t="s">
        <v>1990</v>
      </c>
      <c r="D144" s="5" t="s">
        <v>1181</v>
      </c>
      <c r="E144" s="5" t="s">
        <v>1991</v>
      </c>
      <c r="F144" s="5" t="s">
        <v>1567</v>
      </c>
      <c r="G144" s="6">
        <v>46098.474305555559</v>
      </c>
      <c r="H144" s="7">
        <v>46108</v>
      </c>
      <c r="I144" s="6">
        <v>46100.628472222219</v>
      </c>
      <c r="J144" s="7">
        <v>46100</v>
      </c>
      <c r="K144" s="5" t="s">
        <v>1527</v>
      </c>
      <c r="L144" s="5" t="s">
        <v>1564</v>
      </c>
      <c r="M144" s="8">
        <v>1284</v>
      </c>
      <c r="N144" s="5" t="s">
        <v>1536</v>
      </c>
      <c r="O144" s="7">
        <v>46100</v>
      </c>
    </row>
    <row r="145" spans="1:15" x14ac:dyDescent="0.25">
      <c r="A145" s="5" t="s">
        <v>4</v>
      </c>
      <c r="B145" s="5" t="s">
        <v>1992</v>
      </c>
      <c r="D145" s="5" t="s">
        <v>1509</v>
      </c>
      <c r="E145" s="5" t="s">
        <v>1543</v>
      </c>
      <c r="F145" s="5" t="s">
        <v>1993</v>
      </c>
      <c r="G145" s="6">
        <v>46157.654861111114</v>
      </c>
      <c r="H145" s="7">
        <v>46168</v>
      </c>
      <c r="I145" s="5" t="s">
        <v>1994</v>
      </c>
      <c r="J145" s="7">
        <v>46170</v>
      </c>
      <c r="K145" s="5" t="s">
        <v>1527</v>
      </c>
      <c r="L145" s="5" t="s">
        <v>1535</v>
      </c>
      <c r="M145" s="8">
        <v>1275</v>
      </c>
      <c r="N145" s="5" t="s">
        <v>1529</v>
      </c>
      <c r="O145" s="7">
        <v>46170</v>
      </c>
    </row>
    <row r="146" spans="1:15" hidden="1" x14ac:dyDescent="0.25">
      <c r="A146" s="5" t="s">
        <v>1522</v>
      </c>
      <c r="B146" s="5">
        <v>38326</v>
      </c>
      <c r="D146" s="5" t="s">
        <v>1488</v>
      </c>
      <c r="E146" s="5" t="s">
        <v>1995</v>
      </c>
      <c r="F146" s="5" t="s">
        <v>1996</v>
      </c>
      <c r="G146" s="6">
        <v>46059.404166666667</v>
      </c>
      <c r="H146" s="7">
        <v>46066</v>
      </c>
      <c r="I146" s="6">
        <v>46065.638194444444</v>
      </c>
      <c r="J146" s="7">
        <v>46065</v>
      </c>
      <c r="K146" s="5" t="s">
        <v>1527</v>
      </c>
      <c r="L146" s="5" t="s">
        <v>1528</v>
      </c>
      <c r="M146" s="8">
        <v>1267.3</v>
      </c>
      <c r="N146" s="5" t="s">
        <v>1536</v>
      </c>
      <c r="O146" s="7">
        <v>46065</v>
      </c>
    </row>
    <row r="147" spans="1:15" x14ac:dyDescent="0.25">
      <c r="A147" s="5" t="s">
        <v>4</v>
      </c>
      <c r="B147" s="5" t="s">
        <v>1997</v>
      </c>
      <c r="D147" s="5" t="s">
        <v>1509</v>
      </c>
      <c r="E147" s="5" t="s">
        <v>1538</v>
      </c>
      <c r="F147" s="5" t="s">
        <v>1998</v>
      </c>
      <c r="G147" s="6">
        <v>46171.381944444445</v>
      </c>
      <c r="H147" s="7">
        <v>46183</v>
      </c>
      <c r="I147" s="5" t="s">
        <v>1533</v>
      </c>
      <c r="J147" s="5" t="s">
        <v>1533</v>
      </c>
      <c r="K147" s="5" t="s">
        <v>1540</v>
      </c>
      <c r="L147" s="5" t="s">
        <v>1535</v>
      </c>
      <c r="M147" s="8">
        <v>1263.5</v>
      </c>
      <c r="N147" s="5" t="s">
        <v>1541</v>
      </c>
      <c r="O147" s="5" t="s">
        <v>1533</v>
      </c>
    </row>
    <row r="148" spans="1:15" x14ac:dyDescent="0.25">
      <c r="A148" s="5" t="s">
        <v>4</v>
      </c>
      <c r="B148" s="5" t="s">
        <v>1999</v>
      </c>
      <c r="D148" s="5" t="s">
        <v>1114</v>
      </c>
      <c r="E148" s="5" t="s">
        <v>2000</v>
      </c>
      <c r="F148" s="5" t="s">
        <v>2001</v>
      </c>
      <c r="G148" s="6">
        <v>46134.695833333331</v>
      </c>
      <c r="H148" s="7">
        <v>46148</v>
      </c>
      <c r="I148" s="5" t="s">
        <v>2002</v>
      </c>
      <c r="J148" s="7">
        <v>46154</v>
      </c>
      <c r="K148" s="5" t="s">
        <v>1527</v>
      </c>
      <c r="L148" s="5" t="s">
        <v>1564</v>
      </c>
      <c r="M148" s="8">
        <v>1246.5</v>
      </c>
      <c r="N148" s="5" t="s">
        <v>1536</v>
      </c>
      <c r="O148" s="7">
        <v>46154</v>
      </c>
    </row>
    <row r="149" spans="1:15" x14ac:dyDescent="0.25">
      <c r="A149" s="5" t="s">
        <v>4</v>
      </c>
      <c r="B149" s="5" t="s">
        <v>2003</v>
      </c>
      <c r="D149" s="5" t="s">
        <v>250</v>
      </c>
      <c r="E149" s="5" t="s">
        <v>2004</v>
      </c>
      <c r="F149" s="5" t="s">
        <v>1532</v>
      </c>
      <c r="G149" s="6">
        <v>46157.647222222222</v>
      </c>
      <c r="H149" s="7">
        <v>46168</v>
      </c>
      <c r="I149" s="5" t="s">
        <v>2005</v>
      </c>
      <c r="J149" s="7">
        <v>46168</v>
      </c>
      <c r="K149" s="5" t="s">
        <v>1527</v>
      </c>
      <c r="L149" s="5" t="s">
        <v>1535</v>
      </c>
      <c r="M149" s="8">
        <v>1245</v>
      </c>
      <c r="N149" s="5" t="s">
        <v>1536</v>
      </c>
      <c r="O149" s="7">
        <v>46168</v>
      </c>
    </row>
    <row r="150" spans="1:15" hidden="1" x14ac:dyDescent="0.25">
      <c r="A150" s="5" t="s">
        <v>1522</v>
      </c>
      <c r="B150" s="5" t="s">
        <v>2006</v>
      </c>
      <c r="D150" s="5" t="s">
        <v>1016</v>
      </c>
      <c r="E150" s="5" t="s">
        <v>2007</v>
      </c>
      <c r="F150" s="5" t="s">
        <v>2008</v>
      </c>
      <c r="G150" s="6">
        <v>46085.638888888891</v>
      </c>
      <c r="H150" s="7">
        <v>46091</v>
      </c>
      <c r="I150" s="5" t="s">
        <v>2009</v>
      </c>
      <c r="J150" s="7">
        <v>46101</v>
      </c>
      <c r="K150" s="5" t="s">
        <v>1527</v>
      </c>
      <c r="L150" s="5" t="s">
        <v>1528</v>
      </c>
      <c r="M150" s="8">
        <v>1242.26</v>
      </c>
      <c r="N150" s="5" t="s">
        <v>1536</v>
      </c>
      <c r="O150" s="7">
        <v>46101</v>
      </c>
    </row>
    <row r="151" spans="1:15" x14ac:dyDescent="0.25">
      <c r="A151" s="5" t="s">
        <v>4</v>
      </c>
      <c r="B151" s="5" t="s">
        <v>2010</v>
      </c>
      <c r="D151" s="5" t="s">
        <v>373</v>
      </c>
      <c r="E151" s="5" t="s">
        <v>2011</v>
      </c>
      <c r="F151" s="5" t="s">
        <v>2012</v>
      </c>
      <c r="G151" s="6">
        <v>46038.632638888892</v>
      </c>
      <c r="H151" s="7">
        <v>46049</v>
      </c>
      <c r="I151" s="6">
        <v>46044.701388888891</v>
      </c>
      <c r="J151" s="7">
        <v>46043</v>
      </c>
      <c r="K151" s="5" t="s">
        <v>1527</v>
      </c>
      <c r="L151" s="5" t="s">
        <v>1564</v>
      </c>
      <c r="M151" s="8">
        <v>1219.9000000000001</v>
      </c>
      <c r="N151" s="5" t="s">
        <v>1536</v>
      </c>
      <c r="O151" s="7">
        <v>46043</v>
      </c>
    </row>
    <row r="152" spans="1:15" hidden="1" x14ac:dyDescent="0.25">
      <c r="A152" s="5" t="s">
        <v>1522</v>
      </c>
      <c r="B152" s="5" t="s">
        <v>2013</v>
      </c>
      <c r="D152" s="5" t="s">
        <v>1494</v>
      </c>
      <c r="E152" s="5" t="s">
        <v>2014</v>
      </c>
      <c r="F152" s="5" t="s">
        <v>2015</v>
      </c>
      <c r="G152" s="6">
        <v>46044.73541666667</v>
      </c>
      <c r="H152" s="7">
        <v>46052</v>
      </c>
      <c r="I152" s="6">
        <v>46052.488194444442</v>
      </c>
      <c r="J152" s="7">
        <v>46052</v>
      </c>
      <c r="K152" s="5" t="s">
        <v>1527</v>
      </c>
      <c r="L152" s="5" t="s">
        <v>1528</v>
      </c>
      <c r="M152" s="8">
        <v>1200</v>
      </c>
      <c r="N152" s="5" t="s">
        <v>1536</v>
      </c>
      <c r="O152" s="7">
        <v>46052</v>
      </c>
    </row>
    <row r="153" spans="1:15" x14ac:dyDescent="0.25">
      <c r="A153" s="5" t="s">
        <v>4</v>
      </c>
      <c r="B153" s="5" t="s">
        <v>2016</v>
      </c>
      <c r="D153" s="5" t="s">
        <v>1438</v>
      </c>
      <c r="E153" s="5" t="s">
        <v>1672</v>
      </c>
      <c r="F153" s="5" t="s">
        <v>1673</v>
      </c>
      <c r="G153" s="6">
        <v>46058.45416666667</v>
      </c>
      <c r="H153" s="7">
        <v>46071</v>
      </c>
      <c r="I153" s="5" t="s">
        <v>2017</v>
      </c>
      <c r="J153" s="7">
        <v>46080</v>
      </c>
      <c r="K153" s="5" t="s">
        <v>1527</v>
      </c>
      <c r="L153" s="5" t="s">
        <v>1564</v>
      </c>
      <c r="M153" s="8">
        <v>1200</v>
      </c>
      <c r="N153" s="5" t="s">
        <v>1536</v>
      </c>
      <c r="O153" s="7">
        <v>46080</v>
      </c>
    </row>
    <row r="154" spans="1:15" x14ac:dyDescent="0.25">
      <c r="A154" s="5" t="s">
        <v>4</v>
      </c>
      <c r="B154" s="5" t="s">
        <v>2018</v>
      </c>
      <c r="D154" s="5" t="s">
        <v>377</v>
      </c>
      <c r="E154" s="5" t="s">
        <v>2019</v>
      </c>
      <c r="F154" s="5" t="s">
        <v>2020</v>
      </c>
      <c r="G154" s="6">
        <v>46125.606249999997</v>
      </c>
      <c r="H154" s="7">
        <v>46139</v>
      </c>
      <c r="I154" s="5" t="s">
        <v>1533</v>
      </c>
      <c r="J154" s="7">
        <v>46125</v>
      </c>
      <c r="K154" s="5" t="s">
        <v>1534</v>
      </c>
      <c r="L154" s="5" t="s">
        <v>1564</v>
      </c>
      <c r="M154" s="8">
        <v>1200</v>
      </c>
      <c r="N154" s="5" t="s">
        <v>1536</v>
      </c>
      <c r="O154" s="7">
        <v>46125</v>
      </c>
    </row>
    <row r="155" spans="1:15" x14ac:dyDescent="0.25">
      <c r="A155" s="5" t="s">
        <v>4</v>
      </c>
      <c r="B155" s="5" t="s">
        <v>2021</v>
      </c>
      <c r="D155" s="5" t="s">
        <v>1438</v>
      </c>
      <c r="E155" s="5" t="s">
        <v>1672</v>
      </c>
      <c r="F155" s="5" t="s">
        <v>1673</v>
      </c>
      <c r="G155" s="6">
        <v>46150.576388888891</v>
      </c>
      <c r="H155" s="7">
        <v>46155</v>
      </c>
      <c r="I155" s="5" t="s">
        <v>2022</v>
      </c>
      <c r="J155" s="5" t="s">
        <v>1533</v>
      </c>
      <c r="K155" s="5" t="s">
        <v>1527</v>
      </c>
      <c r="L155" s="5" t="s">
        <v>1564</v>
      </c>
      <c r="M155" s="8">
        <v>1200</v>
      </c>
      <c r="N155" s="5" t="s">
        <v>2023</v>
      </c>
      <c r="O155" s="5" t="s">
        <v>1533</v>
      </c>
    </row>
    <row r="156" spans="1:15" x14ac:dyDescent="0.25">
      <c r="A156" s="5" t="s">
        <v>4</v>
      </c>
      <c r="B156" s="5" t="s">
        <v>2024</v>
      </c>
      <c r="D156" s="5" t="s">
        <v>172</v>
      </c>
      <c r="E156" s="5" t="s">
        <v>2025</v>
      </c>
      <c r="F156" s="5" t="s">
        <v>2026</v>
      </c>
      <c r="G156" s="6">
        <v>46042.7</v>
      </c>
      <c r="H156" s="7">
        <v>46052</v>
      </c>
      <c r="I156" s="5" t="s">
        <v>2027</v>
      </c>
      <c r="J156" s="7">
        <v>46056</v>
      </c>
      <c r="K156" s="5" t="s">
        <v>1527</v>
      </c>
      <c r="L156" s="5" t="s">
        <v>1535</v>
      </c>
      <c r="M156" s="8">
        <v>1195</v>
      </c>
      <c r="N156" s="5" t="s">
        <v>1536</v>
      </c>
      <c r="O156" s="7">
        <v>46056</v>
      </c>
    </row>
    <row r="157" spans="1:15" x14ac:dyDescent="0.25">
      <c r="A157" s="5" t="s">
        <v>4</v>
      </c>
      <c r="B157" s="5" t="s">
        <v>2028</v>
      </c>
      <c r="D157" s="5" t="s">
        <v>938</v>
      </c>
      <c r="E157" s="5" t="s">
        <v>2029</v>
      </c>
      <c r="F157" s="5" t="s">
        <v>2030</v>
      </c>
      <c r="G157" s="6">
        <v>46059.711805555555</v>
      </c>
      <c r="H157" s="7">
        <v>46066</v>
      </c>
      <c r="I157" s="5" t="s">
        <v>2031</v>
      </c>
      <c r="J157" s="7">
        <v>46076</v>
      </c>
      <c r="K157" s="5" t="s">
        <v>1527</v>
      </c>
      <c r="L157" s="5" t="s">
        <v>1621</v>
      </c>
      <c r="M157" s="8">
        <v>1192</v>
      </c>
      <c r="N157" s="5" t="s">
        <v>1536</v>
      </c>
      <c r="O157" s="7">
        <v>46076</v>
      </c>
    </row>
    <row r="158" spans="1:15" x14ac:dyDescent="0.25">
      <c r="A158" s="5" t="s">
        <v>4</v>
      </c>
      <c r="B158" s="5" t="s">
        <v>2032</v>
      </c>
      <c r="D158" s="5" t="s">
        <v>800</v>
      </c>
      <c r="E158" s="5" t="s">
        <v>2033</v>
      </c>
      <c r="F158" s="5" t="s">
        <v>1548</v>
      </c>
      <c r="G158" s="6">
        <v>46077.710416666669</v>
      </c>
      <c r="H158" s="7">
        <v>46083</v>
      </c>
      <c r="I158" s="5" t="s">
        <v>2034</v>
      </c>
      <c r="J158" s="7">
        <v>46080</v>
      </c>
      <c r="K158" s="5" t="s">
        <v>1527</v>
      </c>
      <c r="L158" s="5" t="s">
        <v>1535</v>
      </c>
      <c r="M158" s="8">
        <v>1167</v>
      </c>
      <c r="N158" s="5" t="s">
        <v>1536</v>
      </c>
      <c r="O158" s="7">
        <v>46080</v>
      </c>
    </row>
    <row r="159" spans="1:15" x14ac:dyDescent="0.25">
      <c r="A159" s="5" t="s">
        <v>4</v>
      </c>
      <c r="B159" s="5" t="s">
        <v>2035</v>
      </c>
      <c r="D159" s="5" t="s">
        <v>1042</v>
      </c>
      <c r="E159" s="5" t="s">
        <v>2036</v>
      </c>
      <c r="F159" s="5" t="s">
        <v>2037</v>
      </c>
      <c r="G159" s="6">
        <v>46099.740277777775</v>
      </c>
      <c r="H159" s="7">
        <v>46112</v>
      </c>
      <c r="I159" s="5" t="s">
        <v>1533</v>
      </c>
      <c r="J159" s="7">
        <v>46118</v>
      </c>
      <c r="K159" s="5" t="s">
        <v>1534</v>
      </c>
      <c r="L159" s="5" t="s">
        <v>1564</v>
      </c>
      <c r="M159" s="8">
        <v>1165.28</v>
      </c>
      <c r="N159" s="5" t="s">
        <v>1536</v>
      </c>
      <c r="O159" s="7">
        <v>46118</v>
      </c>
    </row>
    <row r="160" spans="1:15" x14ac:dyDescent="0.25">
      <c r="A160" s="5" t="s">
        <v>4</v>
      </c>
      <c r="B160" s="5" t="s">
        <v>2038</v>
      </c>
      <c r="D160" s="5" t="s">
        <v>561</v>
      </c>
      <c r="E160" s="5" t="s">
        <v>2039</v>
      </c>
      <c r="F160" s="5" t="s">
        <v>2040</v>
      </c>
      <c r="G160" s="6">
        <v>46127.620138888888</v>
      </c>
      <c r="H160" s="7">
        <v>46141</v>
      </c>
      <c r="I160" s="6">
        <v>46129.59375</v>
      </c>
      <c r="J160" s="7">
        <v>46129</v>
      </c>
      <c r="K160" s="5" t="s">
        <v>1527</v>
      </c>
      <c r="L160" s="5" t="s">
        <v>1564</v>
      </c>
      <c r="M160" s="8">
        <v>1164.9000000000001</v>
      </c>
      <c r="N160" s="5" t="s">
        <v>1536</v>
      </c>
      <c r="O160" s="7">
        <v>46129</v>
      </c>
    </row>
    <row r="161" spans="1:15" x14ac:dyDescent="0.25">
      <c r="A161" s="5" t="s">
        <v>4</v>
      </c>
      <c r="B161" s="5" t="s">
        <v>2041</v>
      </c>
      <c r="D161" s="5" t="s">
        <v>1317</v>
      </c>
      <c r="E161" s="5" t="s">
        <v>2042</v>
      </c>
      <c r="F161" s="5" t="s">
        <v>2043</v>
      </c>
      <c r="G161" s="6">
        <v>46121.627083333333</v>
      </c>
      <c r="H161" s="7">
        <v>46128</v>
      </c>
      <c r="I161" s="5" t="s">
        <v>2044</v>
      </c>
      <c r="J161" s="7">
        <v>46134</v>
      </c>
      <c r="K161" s="5" t="s">
        <v>1527</v>
      </c>
      <c r="L161" s="5" t="s">
        <v>1564</v>
      </c>
      <c r="M161" s="8">
        <v>1157.54</v>
      </c>
      <c r="N161" s="5" t="s">
        <v>1529</v>
      </c>
      <c r="O161" s="7">
        <v>46134</v>
      </c>
    </row>
    <row r="162" spans="1:15" hidden="1" x14ac:dyDescent="0.25">
      <c r="A162" s="5" t="s">
        <v>1522</v>
      </c>
      <c r="B162" s="5" t="s">
        <v>2045</v>
      </c>
      <c r="D162" s="5" t="s">
        <v>1504</v>
      </c>
      <c r="E162" s="5" t="s">
        <v>1888</v>
      </c>
      <c r="F162" s="5" t="s">
        <v>1548</v>
      </c>
      <c r="G162" s="6">
        <v>46028.584027777775</v>
      </c>
      <c r="H162" s="7">
        <v>46035</v>
      </c>
      <c r="I162" s="5" t="s">
        <v>2046</v>
      </c>
      <c r="J162" s="7">
        <v>46043</v>
      </c>
      <c r="K162" s="5" t="s">
        <v>1527</v>
      </c>
      <c r="L162" s="5" t="s">
        <v>1528</v>
      </c>
      <c r="M162" s="8">
        <v>1156</v>
      </c>
      <c r="N162" s="5" t="s">
        <v>1536</v>
      </c>
      <c r="O162" s="7">
        <v>46043</v>
      </c>
    </row>
    <row r="163" spans="1:15" x14ac:dyDescent="0.25">
      <c r="A163" s="5" t="s">
        <v>4</v>
      </c>
      <c r="B163" s="5" t="s">
        <v>2047</v>
      </c>
      <c r="D163" s="5" t="s">
        <v>1291</v>
      </c>
      <c r="E163" s="5" t="s">
        <v>2048</v>
      </c>
      <c r="F163" s="5" t="s">
        <v>1548</v>
      </c>
      <c r="G163" s="6">
        <v>46100.390277777777</v>
      </c>
      <c r="H163" s="7">
        <v>46114</v>
      </c>
      <c r="I163" s="5" t="s">
        <v>2049</v>
      </c>
      <c r="J163" s="7">
        <v>46121</v>
      </c>
      <c r="K163" s="5" t="s">
        <v>1527</v>
      </c>
      <c r="L163" s="5" t="s">
        <v>1535</v>
      </c>
      <c r="M163" s="8">
        <v>1153.0999999999999</v>
      </c>
      <c r="N163" s="5" t="s">
        <v>1536</v>
      </c>
      <c r="O163" s="7">
        <v>46121</v>
      </c>
    </row>
    <row r="164" spans="1:15" x14ac:dyDescent="0.25">
      <c r="A164" s="5" t="s">
        <v>4</v>
      </c>
      <c r="B164" s="5" t="s">
        <v>2050</v>
      </c>
      <c r="D164" s="5" t="s">
        <v>620</v>
      </c>
      <c r="E164" s="5" t="s">
        <v>1781</v>
      </c>
      <c r="F164" s="5" t="s">
        <v>1548</v>
      </c>
      <c r="G164" s="6">
        <v>46071.59097222222</v>
      </c>
      <c r="H164" s="7">
        <v>46161</v>
      </c>
      <c r="I164" s="5" t="s">
        <v>2051</v>
      </c>
      <c r="J164" s="7">
        <v>46163</v>
      </c>
      <c r="K164" s="5" t="s">
        <v>1527</v>
      </c>
      <c r="L164" s="5" t="s">
        <v>1535</v>
      </c>
      <c r="M164" s="8">
        <v>1137.7</v>
      </c>
      <c r="N164" s="5" t="s">
        <v>1529</v>
      </c>
      <c r="O164" s="7">
        <v>46163</v>
      </c>
    </row>
    <row r="165" spans="1:15" x14ac:dyDescent="0.25">
      <c r="A165" s="5" t="s">
        <v>4</v>
      </c>
      <c r="B165" s="5" t="s">
        <v>2052</v>
      </c>
      <c r="D165" s="5" t="s">
        <v>603</v>
      </c>
      <c r="E165" s="5" t="s">
        <v>2053</v>
      </c>
      <c r="F165" s="5" t="s">
        <v>2054</v>
      </c>
      <c r="G165" s="6">
        <v>46106.692361111112</v>
      </c>
      <c r="H165" s="7">
        <v>46122</v>
      </c>
      <c r="I165" s="5" t="s">
        <v>2055</v>
      </c>
      <c r="J165" s="7">
        <v>46125</v>
      </c>
      <c r="K165" s="5" t="s">
        <v>1527</v>
      </c>
      <c r="L165" s="5" t="s">
        <v>1535</v>
      </c>
      <c r="M165" s="8">
        <v>1135</v>
      </c>
      <c r="N165" s="5" t="s">
        <v>1536</v>
      </c>
      <c r="O165" s="7">
        <v>46125</v>
      </c>
    </row>
    <row r="166" spans="1:15" x14ac:dyDescent="0.25">
      <c r="A166" s="5" t="s">
        <v>4</v>
      </c>
      <c r="B166" s="5" t="s">
        <v>2056</v>
      </c>
      <c r="D166" s="5" t="s">
        <v>589</v>
      </c>
      <c r="E166" s="5" t="s">
        <v>2057</v>
      </c>
      <c r="F166" s="5" t="s">
        <v>1759</v>
      </c>
      <c r="G166" s="6">
        <v>46062.634722222225</v>
      </c>
      <c r="H166" s="7">
        <v>46073</v>
      </c>
      <c r="I166" s="6">
        <v>46073.626388888886</v>
      </c>
      <c r="J166" s="7">
        <v>46073</v>
      </c>
      <c r="K166" s="5" t="s">
        <v>1527</v>
      </c>
      <c r="L166" s="5" t="s">
        <v>1564</v>
      </c>
      <c r="M166" s="8">
        <v>1130</v>
      </c>
      <c r="N166" s="5" t="s">
        <v>1536</v>
      </c>
      <c r="O166" s="7">
        <v>46073</v>
      </c>
    </row>
    <row r="167" spans="1:15" hidden="1" x14ac:dyDescent="0.25">
      <c r="A167" s="5" t="s">
        <v>1522</v>
      </c>
      <c r="B167" s="5" t="s">
        <v>2058</v>
      </c>
      <c r="D167" s="5" t="s">
        <v>1151</v>
      </c>
      <c r="E167" s="5" t="s">
        <v>2059</v>
      </c>
      <c r="F167" s="5" t="s">
        <v>2060</v>
      </c>
      <c r="G167" s="6">
        <v>46050.501388888886</v>
      </c>
      <c r="H167" s="7">
        <v>46063</v>
      </c>
      <c r="I167" s="6">
        <v>46062.745138888888</v>
      </c>
      <c r="J167" s="7">
        <v>46062</v>
      </c>
      <c r="K167" s="5" t="s">
        <v>1527</v>
      </c>
      <c r="L167" s="5" t="s">
        <v>1528</v>
      </c>
      <c r="M167" s="8">
        <v>1128</v>
      </c>
      <c r="N167" s="5" t="s">
        <v>1536</v>
      </c>
      <c r="O167" s="7">
        <v>46062</v>
      </c>
    </row>
    <row r="168" spans="1:15" x14ac:dyDescent="0.25">
      <c r="A168" s="5" t="s">
        <v>4</v>
      </c>
      <c r="B168" s="5" t="s">
        <v>2061</v>
      </c>
      <c r="D168" s="5" t="s">
        <v>1464</v>
      </c>
      <c r="E168" s="5" t="s">
        <v>1610</v>
      </c>
      <c r="F168" s="5" t="s">
        <v>2062</v>
      </c>
      <c r="G168" s="6">
        <v>46148.664583333331</v>
      </c>
      <c r="H168" s="7">
        <v>46169</v>
      </c>
      <c r="I168" s="5" t="s">
        <v>2063</v>
      </c>
      <c r="J168" s="7">
        <v>46178</v>
      </c>
      <c r="K168" s="5" t="s">
        <v>1527</v>
      </c>
      <c r="L168" s="5" t="s">
        <v>1535</v>
      </c>
      <c r="M168" s="8">
        <v>1118</v>
      </c>
      <c r="N168" s="5" t="s">
        <v>1529</v>
      </c>
      <c r="O168" s="7">
        <v>46178</v>
      </c>
    </row>
    <row r="169" spans="1:15" x14ac:dyDescent="0.25">
      <c r="A169" s="5" t="s">
        <v>4</v>
      </c>
      <c r="B169" s="5" t="s">
        <v>2064</v>
      </c>
      <c r="D169" s="5" t="s">
        <v>1427</v>
      </c>
      <c r="E169" s="5" t="s">
        <v>2065</v>
      </c>
      <c r="F169" s="5" t="s">
        <v>2066</v>
      </c>
      <c r="G169" s="6">
        <v>46140.616666666669</v>
      </c>
      <c r="H169" s="7">
        <v>46153</v>
      </c>
      <c r="I169" s="6">
        <v>46149.574305555558</v>
      </c>
      <c r="J169" s="7">
        <v>46162</v>
      </c>
      <c r="K169" s="5" t="s">
        <v>1527</v>
      </c>
      <c r="L169" s="5" t="s">
        <v>1535</v>
      </c>
      <c r="M169" s="8">
        <v>1115</v>
      </c>
      <c r="N169" s="5" t="s">
        <v>1536</v>
      </c>
      <c r="O169" s="7">
        <v>46162</v>
      </c>
    </row>
    <row r="170" spans="1:15" x14ac:dyDescent="0.25">
      <c r="A170" s="5" t="s">
        <v>4</v>
      </c>
      <c r="B170" s="5" t="s">
        <v>2067</v>
      </c>
      <c r="D170" s="5" t="s">
        <v>575</v>
      </c>
      <c r="E170" s="5" t="s">
        <v>2068</v>
      </c>
      <c r="F170" s="5" t="s">
        <v>1532</v>
      </c>
      <c r="G170" s="6">
        <v>46161.686111111114</v>
      </c>
      <c r="H170" s="7">
        <v>46171</v>
      </c>
      <c r="I170" s="5" t="s">
        <v>2069</v>
      </c>
      <c r="J170" s="7">
        <v>46174</v>
      </c>
      <c r="K170" s="5" t="s">
        <v>1527</v>
      </c>
      <c r="L170" s="5" t="s">
        <v>1535</v>
      </c>
      <c r="M170" s="8">
        <v>1100</v>
      </c>
      <c r="N170" s="5" t="s">
        <v>1536</v>
      </c>
      <c r="O170" s="7">
        <v>46174</v>
      </c>
    </row>
    <row r="171" spans="1:15" x14ac:dyDescent="0.25">
      <c r="A171" s="5" t="s">
        <v>4</v>
      </c>
      <c r="B171" s="5" t="s">
        <v>2070</v>
      </c>
      <c r="D171" s="5" t="s">
        <v>362</v>
      </c>
      <c r="E171" s="5" t="s">
        <v>2071</v>
      </c>
      <c r="F171" s="5" t="s">
        <v>1738</v>
      </c>
      <c r="G171" s="6">
        <v>46098.463888888888</v>
      </c>
      <c r="H171" s="7">
        <v>46108</v>
      </c>
      <c r="I171" s="6">
        <v>46108.65347222222</v>
      </c>
      <c r="J171" s="7">
        <v>46108</v>
      </c>
      <c r="K171" s="5" t="s">
        <v>1527</v>
      </c>
      <c r="L171" s="5" t="s">
        <v>1564</v>
      </c>
      <c r="M171" s="8">
        <v>1087.33</v>
      </c>
      <c r="N171" s="5" t="s">
        <v>1536</v>
      </c>
      <c r="O171" s="7">
        <v>46108</v>
      </c>
    </row>
    <row r="172" spans="1:15" x14ac:dyDescent="0.25">
      <c r="A172" s="5" t="s">
        <v>4</v>
      </c>
      <c r="B172" s="5" t="s">
        <v>2072</v>
      </c>
      <c r="D172" s="5" t="s">
        <v>433</v>
      </c>
      <c r="E172" s="5" t="s">
        <v>2073</v>
      </c>
      <c r="F172" s="5" t="s">
        <v>2074</v>
      </c>
      <c r="G172" s="6">
        <v>46155.578472222223</v>
      </c>
      <c r="H172" s="7">
        <v>46164</v>
      </c>
      <c r="I172" s="5" t="s">
        <v>2075</v>
      </c>
      <c r="J172" s="7">
        <v>46168</v>
      </c>
      <c r="K172" s="5" t="s">
        <v>1527</v>
      </c>
      <c r="L172" s="5" t="s">
        <v>1564</v>
      </c>
      <c r="M172" s="8">
        <v>1080</v>
      </c>
      <c r="N172" s="5" t="s">
        <v>1529</v>
      </c>
      <c r="O172" s="7">
        <v>46168</v>
      </c>
    </row>
    <row r="173" spans="1:15" x14ac:dyDescent="0.25">
      <c r="A173" s="5" t="s">
        <v>4</v>
      </c>
      <c r="B173" s="5" t="s">
        <v>2076</v>
      </c>
      <c r="D173" s="5" t="s">
        <v>652</v>
      </c>
      <c r="E173" s="5" t="s">
        <v>2077</v>
      </c>
      <c r="F173" s="5" t="s">
        <v>1548</v>
      </c>
      <c r="G173" s="6">
        <v>46140.359027777777</v>
      </c>
      <c r="H173" s="7">
        <v>46153</v>
      </c>
      <c r="I173" s="6">
        <v>46149.574999999997</v>
      </c>
      <c r="J173" s="7">
        <v>46142</v>
      </c>
      <c r="K173" s="5" t="s">
        <v>1527</v>
      </c>
      <c r="L173" s="5" t="s">
        <v>1535</v>
      </c>
      <c r="M173" s="8">
        <v>1079</v>
      </c>
      <c r="N173" s="5" t="s">
        <v>1536</v>
      </c>
      <c r="O173" s="7">
        <v>46142</v>
      </c>
    </row>
    <row r="174" spans="1:15" x14ac:dyDescent="0.25">
      <c r="A174" s="5" t="s">
        <v>4</v>
      </c>
      <c r="B174" s="5" t="s">
        <v>2078</v>
      </c>
      <c r="D174" s="5" t="s">
        <v>332</v>
      </c>
      <c r="E174" s="5" t="s">
        <v>2079</v>
      </c>
      <c r="F174" s="5" t="s">
        <v>2080</v>
      </c>
      <c r="G174" s="6">
        <v>46134.700694444444</v>
      </c>
      <c r="H174" s="7">
        <v>46141</v>
      </c>
      <c r="I174" s="6">
        <v>46141.613194444442</v>
      </c>
      <c r="J174" s="7">
        <v>46141</v>
      </c>
      <c r="K174" s="5" t="s">
        <v>1527</v>
      </c>
      <c r="L174" s="5" t="s">
        <v>1621</v>
      </c>
      <c r="M174" s="8">
        <v>1076.4100000000001</v>
      </c>
      <c r="N174" s="5" t="s">
        <v>1536</v>
      </c>
      <c r="O174" s="7">
        <v>46141</v>
      </c>
    </row>
    <row r="175" spans="1:15" x14ac:dyDescent="0.25">
      <c r="A175" s="5" t="s">
        <v>4</v>
      </c>
      <c r="B175" s="5" t="s">
        <v>2081</v>
      </c>
      <c r="D175" s="5" t="s">
        <v>975</v>
      </c>
      <c r="E175" s="5" t="s">
        <v>2082</v>
      </c>
      <c r="F175" s="5" t="s">
        <v>1663</v>
      </c>
      <c r="G175" s="6">
        <v>46073.690972222219</v>
      </c>
      <c r="H175" s="7">
        <v>46087</v>
      </c>
      <c r="I175" s="6">
        <v>46086.508333333331</v>
      </c>
      <c r="J175" s="7">
        <v>46073</v>
      </c>
      <c r="K175" s="5" t="s">
        <v>1527</v>
      </c>
      <c r="L175" s="5" t="s">
        <v>1564</v>
      </c>
      <c r="M175" s="8">
        <v>1075</v>
      </c>
      <c r="N175" s="5" t="s">
        <v>1536</v>
      </c>
      <c r="O175" s="7">
        <v>46073</v>
      </c>
    </row>
    <row r="176" spans="1:15" x14ac:dyDescent="0.25">
      <c r="A176" s="5" t="s">
        <v>4</v>
      </c>
      <c r="B176" s="5" t="s">
        <v>2083</v>
      </c>
      <c r="D176" s="5" t="s">
        <v>1442</v>
      </c>
      <c r="E176" s="5" t="s">
        <v>2084</v>
      </c>
      <c r="F176" s="5" t="s">
        <v>1770</v>
      </c>
      <c r="G176" s="6">
        <v>46141.512499999997</v>
      </c>
      <c r="H176" s="7">
        <v>46183</v>
      </c>
      <c r="I176" s="5" t="s">
        <v>1533</v>
      </c>
      <c r="J176" s="7">
        <v>46183</v>
      </c>
      <c r="K176" s="5" t="s">
        <v>1534</v>
      </c>
      <c r="L176" s="5" t="s">
        <v>1564</v>
      </c>
      <c r="M176" s="8">
        <v>1066.72</v>
      </c>
      <c r="N176" s="5" t="s">
        <v>1529</v>
      </c>
      <c r="O176" s="7">
        <v>46183</v>
      </c>
    </row>
    <row r="177" spans="1:15" x14ac:dyDescent="0.25">
      <c r="A177" s="5" t="s">
        <v>4</v>
      </c>
      <c r="B177" s="5" t="s">
        <v>2085</v>
      </c>
      <c r="D177" s="5" t="s">
        <v>1415</v>
      </c>
      <c r="E177" s="5" t="s">
        <v>2086</v>
      </c>
      <c r="F177" s="5" t="s">
        <v>2087</v>
      </c>
      <c r="G177" s="6">
        <v>46148.742361111108</v>
      </c>
      <c r="H177" s="7">
        <v>46155</v>
      </c>
      <c r="I177" s="5" t="s">
        <v>1533</v>
      </c>
      <c r="J177" s="7">
        <v>46155</v>
      </c>
      <c r="K177" s="5" t="s">
        <v>1534</v>
      </c>
      <c r="L177" s="5" t="s">
        <v>1621</v>
      </c>
      <c r="M177" s="8">
        <v>1065.5999999999999</v>
      </c>
      <c r="N177" s="5" t="s">
        <v>1536</v>
      </c>
      <c r="O177" s="7">
        <v>46155</v>
      </c>
    </row>
    <row r="178" spans="1:15" hidden="1" x14ac:dyDescent="0.25">
      <c r="A178" s="5" t="s">
        <v>1522</v>
      </c>
      <c r="B178" s="5" t="s">
        <v>2088</v>
      </c>
      <c r="D178" s="5" t="s">
        <v>1495</v>
      </c>
      <c r="E178" s="5" t="s">
        <v>1935</v>
      </c>
      <c r="F178" s="5" t="s">
        <v>2089</v>
      </c>
      <c r="G178" s="6">
        <v>46085.702777777777</v>
      </c>
      <c r="H178" s="7">
        <v>46132</v>
      </c>
      <c r="I178" s="5" t="s">
        <v>2090</v>
      </c>
      <c r="J178" s="7">
        <v>46184</v>
      </c>
      <c r="K178" s="5" t="s">
        <v>1527</v>
      </c>
      <c r="L178" s="5" t="s">
        <v>1528</v>
      </c>
      <c r="M178" s="8">
        <v>1060</v>
      </c>
      <c r="N178" s="5" t="s">
        <v>1529</v>
      </c>
      <c r="O178" s="7">
        <v>46184</v>
      </c>
    </row>
    <row r="179" spans="1:15" x14ac:dyDescent="0.25">
      <c r="A179" s="5" t="s">
        <v>4</v>
      </c>
      <c r="B179" s="5" t="s">
        <v>2091</v>
      </c>
      <c r="D179" s="5" t="s">
        <v>1509</v>
      </c>
      <c r="E179" s="5" t="s">
        <v>1538</v>
      </c>
      <c r="F179" s="5" t="s">
        <v>2092</v>
      </c>
      <c r="G179" s="6">
        <v>46064.586805555555</v>
      </c>
      <c r="H179" s="7">
        <v>46073</v>
      </c>
      <c r="I179" s="5" t="s">
        <v>2093</v>
      </c>
      <c r="J179" s="7">
        <v>46085</v>
      </c>
      <c r="K179" s="5" t="s">
        <v>1527</v>
      </c>
      <c r="L179" s="5" t="s">
        <v>1535</v>
      </c>
      <c r="M179" s="8">
        <v>1056.0999999999999</v>
      </c>
      <c r="N179" s="5" t="s">
        <v>1536</v>
      </c>
      <c r="O179" s="7">
        <v>46085</v>
      </c>
    </row>
    <row r="180" spans="1:15" x14ac:dyDescent="0.25">
      <c r="A180" s="5" t="s">
        <v>4</v>
      </c>
      <c r="B180" s="5" t="s">
        <v>2094</v>
      </c>
      <c r="D180" s="5" t="s">
        <v>104</v>
      </c>
      <c r="E180" s="5" t="s">
        <v>2095</v>
      </c>
      <c r="F180" s="5" t="s">
        <v>2096</v>
      </c>
      <c r="G180" s="6">
        <v>46106.677777777775</v>
      </c>
      <c r="H180" s="7">
        <v>46122</v>
      </c>
      <c r="I180" s="5" t="s">
        <v>2097</v>
      </c>
      <c r="J180" s="7">
        <v>46127</v>
      </c>
      <c r="K180" s="5" t="s">
        <v>1527</v>
      </c>
      <c r="L180" s="5" t="s">
        <v>1535</v>
      </c>
      <c r="M180" s="8">
        <v>1056.0999999999999</v>
      </c>
      <c r="N180" s="5" t="s">
        <v>1536</v>
      </c>
      <c r="O180" s="7">
        <v>46127</v>
      </c>
    </row>
    <row r="181" spans="1:15" x14ac:dyDescent="0.25">
      <c r="A181" s="5" t="s">
        <v>4</v>
      </c>
      <c r="B181" s="5" t="s">
        <v>2098</v>
      </c>
      <c r="D181" s="5" t="s">
        <v>706</v>
      </c>
      <c r="E181" s="5" t="s">
        <v>2099</v>
      </c>
      <c r="F181" s="5" t="s">
        <v>1813</v>
      </c>
      <c r="G181" s="6">
        <v>46122.404166666667</v>
      </c>
      <c r="H181" s="7">
        <v>46134</v>
      </c>
      <c r="I181" s="5" t="s">
        <v>2100</v>
      </c>
      <c r="J181" s="7">
        <v>46136</v>
      </c>
      <c r="K181" s="5" t="s">
        <v>1527</v>
      </c>
      <c r="L181" s="5" t="s">
        <v>1535</v>
      </c>
      <c r="M181" s="8">
        <v>1055.7</v>
      </c>
      <c r="N181" s="5" t="s">
        <v>1536</v>
      </c>
      <c r="O181" s="7">
        <v>46136</v>
      </c>
    </row>
    <row r="182" spans="1:15" x14ac:dyDescent="0.25">
      <c r="A182" s="5" t="s">
        <v>4</v>
      </c>
      <c r="B182" s="5" t="s">
        <v>2101</v>
      </c>
      <c r="D182" s="5" t="s">
        <v>334</v>
      </c>
      <c r="E182" s="5" t="s">
        <v>2102</v>
      </c>
      <c r="F182" s="5" t="s">
        <v>1770</v>
      </c>
      <c r="G182" s="6">
        <v>46155.695833333331</v>
      </c>
      <c r="H182" s="7">
        <v>46168</v>
      </c>
      <c r="I182" s="5" t="s">
        <v>2103</v>
      </c>
      <c r="J182" s="7">
        <v>46168</v>
      </c>
      <c r="K182" s="5" t="s">
        <v>1527</v>
      </c>
      <c r="L182" s="5" t="s">
        <v>1564</v>
      </c>
      <c r="M182" s="8">
        <v>1049.5999999999999</v>
      </c>
      <c r="N182" s="5" t="s">
        <v>1536</v>
      </c>
      <c r="O182" s="7">
        <v>46168</v>
      </c>
    </row>
    <row r="183" spans="1:15" x14ac:dyDescent="0.25">
      <c r="A183" s="5" t="s">
        <v>4</v>
      </c>
      <c r="B183" s="5" t="s">
        <v>2104</v>
      </c>
      <c r="D183" s="5" t="s">
        <v>48</v>
      </c>
      <c r="E183" s="5" t="s">
        <v>2105</v>
      </c>
      <c r="F183" s="5" t="s">
        <v>2106</v>
      </c>
      <c r="G183" s="6">
        <v>46125.59375</v>
      </c>
      <c r="H183" s="7">
        <v>46136</v>
      </c>
      <c r="I183" s="6">
        <v>46135.627083333333</v>
      </c>
      <c r="J183" s="7">
        <v>46135</v>
      </c>
      <c r="K183" s="5" t="s">
        <v>1527</v>
      </c>
      <c r="L183" s="5" t="s">
        <v>1535</v>
      </c>
      <c r="M183" s="8">
        <v>1046.4000000000001</v>
      </c>
      <c r="N183" s="5" t="s">
        <v>1536</v>
      </c>
      <c r="O183" s="7">
        <v>46135</v>
      </c>
    </row>
    <row r="184" spans="1:15" hidden="1" x14ac:dyDescent="0.25">
      <c r="A184" s="5" t="s">
        <v>1522</v>
      </c>
      <c r="B184" s="5" t="s">
        <v>2107</v>
      </c>
      <c r="D184" s="5" t="s">
        <v>1412</v>
      </c>
      <c r="E184" s="5" t="s">
        <v>2108</v>
      </c>
      <c r="F184" s="5" t="s">
        <v>2109</v>
      </c>
      <c r="G184" s="6">
        <v>46062.602777777778</v>
      </c>
      <c r="H184" s="7">
        <v>46069</v>
      </c>
      <c r="I184" s="5" t="s">
        <v>1533</v>
      </c>
      <c r="J184" s="5" t="s">
        <v>1533</v>
      </c>
      <c r="K184" s="5" t="s">
        <v>1534</v>
      </c>
      <c r="L184" s="5" t="s">
        <v>1528</v>
      </c>
      <c r="M184" s="8">
        <v>1045</v>
      </c>
      <c r="N184" s="5" t="s">
        <v>1541</v>
      </c>
      <c r="O184" s="5" t="s">
        <v>1533</v>
      </c>
    </row>
    <row r="185" spans="1:15" x14ac:dyDescent="0.25">
      <c r="A185" s="5" t="s">
        <v>4</v>
      </c>
      <c r="B185" s="5" t="s">
        <v>2110</v>
      </c>
      <c r="D185" s="5" t="s">
        <v>125</v>
      </c>
      <c r="E185" s="5" t="s">
        <v>2111</v>
      </c>
      <c r="F185" s="5" t="s">
        <v>2112</v>
      </c>
      <c r="G185" s="6">
        <v>46041.709027777775</v>
      </c>
      <c r="H185" s="7">
        <v>46050</v>
      </c>
      <c r="I185" s="5" t="s">
        <v>2113</v>
      </c>
      <c r="J185" s="7">
        <v>46066</v>
      </c>
      <c r="K185" s="5" t="s">
        <v>1527</v>
      </c>
      <c r="L185" s="5" t="s">
        <v>1535</v>
      </c>
      <c r="M185" s="8">
        <v>1044</v>
      </c>
      <c r="N185" s="5" t="s">
        <v>1536</v>
      </c>
      <c r="O185" s="7">
        <v>46066</v>
      </c>
    </row>
    <row r="186" spans="1:15" hidden="1" x14ac:dyDescent="0.25">
      <c r="A186" s="5" t="s">
        <v>1522</v>
      </c>
      <c r="B186" s="5" t="s">
        <v>2114</v>
      </c>
      <c r="D186" s="5" t="s">
        <v>113</v>
      </c>
      <c r="E186" s="5" t="s">
        <v>1781</v>
      </c>
      <c r="F186" s="5" t="s">
        <v>2115</v>
      </c>
      <c r="G186" s="6">
        <v>46057.436111111114</v>
      </c>
      <c r="H186" s="7">
        <v>46059</v>
      </c>
      <c r="I186" s="6">
        <v>46059.674305555556</v>
      </c>
      <c r="J186" s="7">
        <v>46062</v>
      </c>
      <c r="K186" s="5" t="s">
        <v>1527</v>
      </c>
      <c r="L186" s="5" t="s">
        <v>1528</v>
      </c>
      <c r="M186" s="8">
        <v>1043.8499999999999</v>
      </c>
      <c r="N186" s="5" t="s">
        <v>1536</v>
      </c>
      <c r="O186" s="7">
        <v>46062</v>
      </c>
    </row>
    <row r="187" spans="1:15" x14ac:dyDescent="0.25">
      <c r="A187" s="5" t="s">
        <v>4</v>
      </c>
      <c r="B187" s="5" t="s">
        <v>2116</v>
      </c>
      <c r="D187" s="5" t="s">
        <v>1386</v>
      </c>
      <c r="E187" s="5" t="s">
        <v>2117</v>
      </c>
      <c r="F187" s="5" t="s">
        <v>2118</v>
      </c>
      <c r="G187" s="6">
        <v>46128.729166666664</v>
      </c>
      <c r="H187" s="7">
        <v>46142</v>
      </c>
      <c r="I187" s="6">
        <v>46141.614583333336</v>
      </c>
      <c r="J187" s="7">
        <v>46141</v>
      </c>
      <c r="K187" s="5" t="s">
        <v>1527</v>
      </c>
      <c r="L187" s="5" t="s">
        <v>1564</v>
      </c>
      <c r="M187" s="8">
        <v>1043.8</v>
      </c>
      <c r="N187" s="5" t="s">
        <v>1536</v>
      </c>
      <c r="O187" s="7">
        <v>46141</v>
      </c>
    </row>
    <row r="188" spans="1:15" x14ac:dyDescent="0.25">
      <c r="A188" s="5" t="s">
        <v>4</v>
      </c>
      <c r="B188" s="5" t="s">
        <v>2119</v>
      </c>
      <c r="D188" s="5" t="s">
        <v>259</v>
      </c>
      <c r="E188" s="5" t="s">
        <v>2120</v>
      </c>
      <c r="F188" s="5" t="s">
        <v>1738</v>
      </c>
      <c r="G188" s="6">
        <v>46101.701388888891</v>
      </c>
      <c r="H188" s="7">
        <v>46115</v>
      </c>
      <c r="I188" s="6">
        <v>46113.615972222222</v>
      </c>
      <c r="J188" s="7">
        <v>46112</v>
      </c>
      <c r="K188" s="5" t="s">
        <v>1527</v>
      </c>
      <c r="L188" s="5" t="s">
        <v>1564</v>
      </c>
      <c r="M188" s="8">
        <v>1038.75</v>
      </c>
      <c r="N188" s="5" t="s">
        <v>1536</v>
      </c>
      <c r="O188" s="7">
        <v>46112</v>
      </c>
    </row>
    <row r="189" spans="1:15" x14ac:dyDescent="0.25">
      <c r="A189" s="5" t="s">
        <v>4</v>
      </c>
      <c r="B189" s="5" t="s">
        <v>2121</v>
      </c>
      <c r="D189" s="5" t="s">
        <v>535</v>
      </c>
      <c r="E189" s="5" t="s">
        <v>2122</v>
      </c>
      <c r="F189" s="5" t="s">
        <v>1770</v>
      </c>
      <c r="G189" s="6">
        <v>46071.347916666666</v>
      </c>
      <c r="H189" s="7">
        <v>46084</v>
      </c>
      <c r="I189" s="5" t="s">
        <v>2123</v>
      </c>
      <c r="J189" s="7">
        <v>46085</v>
      </c>
      <c r="K189" s="5" t="s">
        <v>1527</v>
      </c>
      <c r="L189" s="5" t="s">
        <v>1564</v>
      </c>
      <c r="M189" s="8">
        <v>1035.5</v>
      </c>
      <c r="N189" s="5" t="s">
        <v>1536</v>
      </c>
      <c r="O189" s="7">
        <v>46085</v>
      </c>
    </row>
    <row r="190" spans="1:15" hidden="1" x14ac:dyDescent="0.25">
      <c r="A190" s="5" t="s">
        <v>1522</v>
      </c>
      <c r="B190" s="5" t="s">
        <v>2124</v>
      </c>
      <c r="D190" s="5" t="s">
        <v>1494</v>
      </c>
      <c r="E190" s="5" t="s">
        <v>2125</v>
      </c>
      <c r="F190" s="5" t="s">
        <v>2126</v>
      </c>
      <c r="G190" s="6">
        <v>46072.504166666666</v>
      </c>
      <c r="H190" s="7">
        <v>46079</v>
      </c>
      <c r="I190" s="6">
        <v>46079.744444444441</v>
      </c>
      <c r="J190" s="7">
        <v>46079</v>
      </c>
      <c r="K190" s="5" t="s">
        <v>1527</v>
      </c>
      <c r="L190" s="5" t="s">
        <v>1528</v>
      </c>
      <c r="M190" s="8">
        <v>1030</v>
      </c>
      <c r="N190" s="5" t="s">
        <v>1536</v>
      </c>
      <c r="O190" s="7">
        <v>46079</v>
      </c>
    </row>
    <row r="191" spans="1:15" x14ac:dyDescent="0.25">
      <c r="A191" s="5" t="s">
        <v>4</v>
      </c>
      <c r="B191" s="5" t="s">
        <v>2127</v>
      </c>
      <c r="D191" s="5" t="s">
        <v>100</v>
      </c>
      <c r="E191" s="5" t="s">
        <v>2128</v>
      </c>
      <c r="F191" s="5" t="s">
        <v>2129</v>
      </c>
      <c r="G191" s="6">
        <v>46153.647222222222</v>
      </c>
      <c r="H191" s="7">
        <v>46160</v>
      </c>
      <c r="I191" s="6">
        <v>46156.508333333331</v>
      </c>
      <c r="J191" s="7">
        <v>46156</v>
      </c>
      <c r="K191" s="5" t="s">
        <v>1527</v>
      </c>
      <c r="L191" s="5" t="s">
        <v>1621</v>
      </c>
      <c r="M191" s="8">
        <v>1016.15</v>
      </c>
      <c r="N191" s="5" t="s">
        <v>1536</v>
      </c>
      <c r="O191" s="7">
        <v>46156</v>
      </c>
    </row>
    <row r="192" spans="1:15" x14ac:dyDescent="0.25">
      <c r="A192" s="5" t="s">
        <v>4</v>
      </c>
      <c r="B192" s="5" t="s">
        <v>2130</v>
      </c>
      <c r="D192" s="5" t="s">
        <v>1313</v>
      </c>
      <c r="E192" s="5" t="s">
        <v>2131</v>
      </c>
      <c r="F192" s="5" t="s">
        <v>1532</v>
      </c>
      <c r="G192" s="6">
        <v>46111.465277777781</v>
      </c>
      <c r="H192" s="7">
        <v>46120</v>
      </c>
      <c r="I192" s="5" t="s">
        <v>1533</v>
      </c>
      <c r="J192" s="7">
        <v>46127</v>
      </c>
      <c r="K192" s="5" t="s">
        <v>1534</v>
      </c>
      <c r="L192" s="5" t="s">
        <v>1535</v>
      </c>
      <c r="M192" s="8">
        <v>1012.5</v>
      </c>
      <c r="N192" s="5" t="s">
        <v>1536</v>
      </c>
      <c r="O192" s="7">
        <v>46127</v>
      </c>
    </row>
    <row r="193" spans="1:15" x14ac:dyDescent="0.25">
      <c r="A193" s="5" t="s">
        <v>4</v>
      </c>
      <c r="B193" s="5" t="s">
        <v>2132</v>
      </c>
      <c r="D193" s="5" t="s">
        <v>576</v>
      </c>
      <c r="E193" s="5" t="s">
        <v>2133</v>
      </c>
      <c r="F193" s="5" t="s">
        <v>1738</v>
      </c>
      <c r="G193" s="6">
        <v>46107.634722222225</v>
      </c>
      <c r="H193" s="7">
        <v>46121</v>
      </c>
      <c r="I193" s="5" t="s">
        <v>2134</v>
      </c>
      <c r="J193" s="7">
        <v>46126</v>
      </c>
      <c r="K193" s="5" t="s">
        <v>1527</v>
      </c>
      <c r="L193" s="5" t="s">
        <v>1564</v>
      </c>
      <c r="M193" s="8">
        <v>1011</v>
      </c>
      <c r="N193" s="5" t="s">
        <v>1536</v>
      </c>
      <c r="O193" s="7">
        <v>46126</v>
      </c>
    </row>
    <row r="194" spans="1:15" hidden="1" x14ac:dyDescent="0.25">
      <c r="A194" s="5" t="s">
        <v>1522</v>
      </c>
      <c r="B194" s="5">
        <v>38315</v>
      </c>
      <c r="D194" s="5" t="s">
        <v>1500</v>
      </c>
      <c r="E194" s="5" t="s">
        <v>1559</v>
      </c>
      <c r="F194" s="5" t="s">
        <v>1560</v>
      </c>
      <c r="G194" s="6">
        <v>46058.677083333336</v>
      </c>
      <c r="H194" s="7">
        <v>46059</v>
      </c>
      <c r="I194" s="5" t="s">
        <v>2135</v>
      </c>
      <c r="J194" s="7">
        <v>46064</v>
      </c>
      <c r="K194" s="5" t="s">
        <v>1527</v>
      </c>
      <c r="L194" s="5" t="s">
        <v>1528</v>
      </c>
      <c r="M194" s="8">
        <v>1005</v>
      </c>
      <c r="N194" s="5" t="s">
        <v>1536</v>
      </c>
      <c r="O194" s="7">
        <v>46064</v>
      </c>
    </row>
    <row r="195" spans="1:15" x14ac:dyDescent="0.25">
      <c r="A195" s="5" t="s">
        <v>4</v>
      </c>
      <c r="B195" s="5" t="s">
        <v>2136</v>
      </c>
      <c r="D195" s="5" t="s">
        <v>1170</v>
      </c>
      <c r="E195" s="5" t="s">
        <v>2137</v>
      </c>
      <c r="F195" s="5" t="s">
        <v>1759</v>
      </c>
      <c r="G195" s="6">
        <v>46141.517361111109</v>
      </c>
      <c r="H195" s="7">
        <v>46155</v>
      </c>
      <c r="I195" s="6">
        <v>46149.574999999997</v>
      </c>
      <c r="J195" s="7">
        <v>46149</v>
      </c>
      <c r="K195" s="5" t="s">
        <v>1527</v>
      </c>
      <c r="L195" s="5" t="s">
        <v>1564</v>
      </c>
      <c r="M195" s="8">
        <v>1001.15</v>
      </c>
      <c r="N195" s="5" t="s">
        <v>1536</v>
      </c>
      <c r="O195" s="7">
        <v>46149</v>
      </c>
    </row>
    <row r="196" spans="1:15" x14ac:dyDescent="0.25">
      <c r="A196" s="5" t="s">
        <v>4</v>
      </c>
      <c r="B196" s="5" t="s">
        <v>2138</v>
      </c>
      <c r="D196" s="5" t="s">
        <v>538</v>
      </c>
      <c r="E196" s="5" t="s">
        <v>2139</v>
      </c>
      <c r="F196" s="5" t="s">
        <v>1959</v>
      </c>
      <c r="G196" s="6">
        <v>46077.484027777777</v>
      </c>
      <c r="H196" s="7">
        <v>46090</v>
      </c>
      <c r="I196" s="6">
        <v>46084.615972222222</v>
      </c>
      <c r="J196" s="7">
        <v>46083</v>
      </c>
      <c r="K196" s="5" t="s">
        <v>1527</v>
      </c>
      <c r="L196" s="5" t="s">
        <v>1564</v>
      </c>
      <c r="M196" s="8">
        <v>1000.2</v>
      </c>
      <c r="N196" s="5" t="s">
        <v>1536</v>
      </c>
      <c r="O196" s="7">
        <v>46083</v>
      </c>
    </row>
    <row r="197" spans="1:15" hidden="1" x14ac:dyDescent="0.25">
      <c r="A197" s="5" t="s">
        <v>1522</v>
      </c>
      <c r="B197" s="5" t="s">
        <v>2140</v>
      </c>
      <c r="D197" s="5" t="s">
        <v>1376</v>
      </c>
      <c r="E197" s="5" t="s">
        <v>2141</v>
      </c>
      <c r="F197" s="5" t="s">
        <v>2142</v>
      </c>
      <c r="G197" s="6">
        <v>46077.719444444447</v>
      </c>
      <c r="H197" s="7">
        <v>46080</v>
      </c>
      <c r="I197" s="6">
        <v>46080.631944444445</v>
      </c>
      <c r="J197" s="7">
        <v>46080</v>
      </c>
      <c r="K197" s="5" t="s">
        <v>1527</v>
      </c>
      <c r="L197" s="5" t="s">
        <v>1528</v>
      </c>
      <c r="M197" s="8">
        <v>1000</v>
      </c>
      <c r="N197" s="5" t="s">
        <v>1536</v>
      </c>
      <c r="O197" s="7">
        <v>46080</v>
      </c>
    </row>
    <row r="198" spans="1:15" x14ac:dyDescent="0.25">
      <c r="A198" s="5" t="s">
        <v>4</v>
      </c>
      <c r="B198" s="5" t="s">
        <v>2143</v>
      </c>
      <c r="D198" s="5" t="s">
        <v>1509</v>
      </c>
      <c r="E198" s="5" t="s">
        <v>1543</v>
      </c>
      <c r="F198" s="5" t="s">
        <v>2144</v>
      </c>
      <c r="G198" s="6">
        <v>46066.672222222223</v>
      </c>
      <c r="H198" s="7">
        <v>46073</v>
      </c>
      <c r="I198" s="5" t="s">
        <v>2145</v>
      </c>
      <c r="J198" s="7">
        <v>46093</v>
      </c>
      <c r="K198" s="5" t="s">
        <v>1527</v>
      </c>
      <c r="L198" s="5" t="s">
        <v>1535</v>
      </c>
      <c r="M198" s="8">
        <v>1000</v>
      </c>
      <c r="N198" s="5" t="s">
        <v>1536</v>
      </c>
      <c r="O198" s="7">
        <v>46093</v>
      </c>
    </row>
    <row r="199" spans="1:15" x14ac:dyDescent="0.25">
      <c r="A199" s="5" t="s">
        <v>4</v>
      </c>
      <c r="B199" s="5" t="s">
        <v>2146</v>
      </c>
      <c r="D199" s="5" t="s">
        <v>683</v>
      </c>
      <c r="E199" s="5" t="s">
        <v>2147</v>
      </c>
      <c r="F199" s="5" t="s">
        <v>1813</v>
      </c>
      <c r="G199" s="6">
        <v>46105.428472222222</v>
      </c>
      <c r="H199" s="7">
        <v>46114</v>
      </c>
      <c r="I199" s="5" t="s">
        <v>2148</v>
      </c>
      <c r="J199" s="7">
        <v>46125</v>
      </c>
      <c r="K199" s="5" t="s">
        <v>1527</v>
      </c>
      <c r="L199" s="5" t="s">
        <v>1535</v>
      </c>
      <c r="M199" s="8">
        <v>1000</v>
      </c>
      <c r="N199" s="5" t="s">
        <v>1536</v>
      </c>
      <c r="O199" s="7">
        <v>46125</v>
      </c>
    </row>
    <row r="200" spans="1:15" x14ac:dyDescent="0.25">
      <c r="A200" s="5" t="s">
        <v>4</v>
      </c>
      <c r="B200" s="5" t="s">
        <v>2149</v>
      </c>
      <c r="D200" s="5" t="s">
        <v>681</v>
      </c>
      <c r="E200" s="5" t="s">
        <v>2150</v>
      </c>
      <c r="F200" s="5" t="s">
        <v>2151</v>
      </c>
      <c r="G200" s="6">
        <v>46107.674305555556</v>
      </c>
      <c r="H200" s="7">
        <v>46121</v>
      </c>
      <c r="I200" s="5" t="s">
        <v>2152</v>
      </c>
      <c r="J200" s="7">
        <v>46125</v>
      </c>
      <c r="K200" s="5" t="s">
        <v>1527</v>
      </c>
      <c r="L200" s="5" t="s">
        <v>1564</v>
      </c>
      <c r="M200" s="8">
        <v>1000</v>
      </c>
      <c r="N200" s="5" t="s">
        <v>1536</v>
      </c>
      <c r="O200" s="7">
        <v>46125</v>
      </c>
    </row>
    <row r="201" spans="1:15" x14ac:dyDescent="0.25">
      <c r="A201" s="5" t="s">
        <v>4</v>
      </c>
      <c r="B201" s="5" t="s">
        <v>2153</v>
      </c>
      <c r="D201" s="5" t="s">
        <v>631</v>
      </c>
      <c r="E201" s="5" t="s">
        <v>2154</v>
      </c>
      <c r="F201" s="5" t="s">
        <v>2155</v>
      </c>
      <c r="G201" s="6">
        <v>46140.601388888892</v>
      </c>
      <c r="H201" s="7">
        <v>46154</v>
      </c>
      <c r="I201" s="5" t="s">
        <v>2156</v>
      </c>
      <c r="J201" s="7">
        <v>46162</v>
      </c>
      <c r="K201" s="5" t="s">
        <v>1527</v>
      </c>
      <c r="L201" s="5" t="s">
        <v>1564</v>
      </c>
      <c r="M201" s="8">
        <v>1000</v>
      </c>
      <c r="N201" s="5" t="s">
        <v>1536</v>
      </c>
      <c r="O201" s="7">
        <v>46162</v>
      </c>
    </row>
    <row r="202" spans="1:15" x14ac:dyDescent="0.25">
      <c r="A202" s="5" t="s">
        <v>4</v>
      </c>
      <c r="B202" s="5" t="s">
        <v>2157</v>
      </c>
      <c r="D202" s="5" t="s">
        <v>869</v>
      </c>
      <c r="E202" s="5" t="s">
        <v>2158</v>
      </c>
      <c r="F202" s="5" t="s">
        <v>1548</v>
      </c>
      <c r="G202" s="6">
        <v>46044.686805555553</v>
      </c>
      <c r="H202" s="7">
        <v>46057</v>
      </c>
      <c r="I202" s="5" t="s">
        <v>1631</v>
      </c>
      <c r="J202" s="7">
        <v>46058</v>
      </c>
      <c r="K202" s="5" t="s">
        <v>1527</v>
      </c>
      <c r="L202" s="5" t="s">
        <v>1564</v>
      </c>
      <c r="M202" s="8">
        <v>997.5</v>
      </c>
      <c r="N202" s="5" t="s">
        <v>1536</v>
      </c>
      <c r="O202" s="7">
        <v>46058</v>
      </c>
    </row>
    <row r="203" spans="1:15" x14ac:dyDescent="0.25">
      <c r="A203" s="5" t="s">
        <v>4</v>
      </c>
      <c r="B203" s="5" t="s">
        <v>2159</v>
      </c>
      <c r="D203" s="5" t="s">
        <v>722</v>
      </c>
      <c r="E203" s="5" t="s">
        <v>2160</v>
      </c>
      <c r="F203" s="5" t="s">
        <v>1532</v>
      </c>
      <c r="G203" s="6">
        <v>46153.393055555556</v>
      </c>
      <c r="H203" s="7">
        <v>46163</v>
      </c>
      <c r="I203" s="5" t="s">
        <v>2161</v>
      </c>
      <c r="J203" s="7">
        <v>46168</v>
      </c>
      <c r="K203" s="5" t="s">
        <v>1527</v>
      </c>
      <c r="L203" s="5" t="s">
        <v>1535</v>
      </c>
      <c r="M203" s="8">
        <v>990</v>
      </c>
      <c r="N203" s="5" t="s">
        <v>1536</v>
      </c>
      <c r="O203" s="7">
        <v>46168</v>
      </c>
    </row>
    <row r="204" spans="1:15" x14ac:dyDescent="0.25">
      <c r="A204" s="5" t="s">
        <v>4</v>
      </c>
      <c r="B204" s="5" t="s">
        <v>2162</v>
      </c>
      <c r="D204" s="5" t="s">
        <v>257</v>
      </c>
      <c r="E204" s="5" t="s">
        <v>2163</v>
      </c>
      <c r="F204" s="5" t="s">
        <v>2164</v>
      </c>
      <c r="G204" s="6">
        <v>46169.634722222225</v>
      </c>
      <c r="H204" s="7">
        <v>46176</v>
      </c>
      <c r="I204" s="5" t="s">
        <v>2165</v>
      </c>
      <c r="J204" s="7">
        <v>46178</v>
      </c>
      <c r="K204" s="5" t="s">
        <v>1527</v>
      </c>
      <c r="L204" s="5" t="s">
        <v>1621</v>
      </c>
      <c r="M204" s="8">
        <v>990</v>
      </c>
      <c r="N204" s="5" t="s">
        <v>1536</v>
      </c>
      <c r="O204" s="7">
        <v>46178</v>
      </c>
    </row>
    <row r="205" spans="1:15" x14ac:dyDescent="0.25">
      <c r="A205" s="5" t="s">
        <v>4</v>
      </c>
      <c r="B205" s="5" t="s">
        <v>2166</v>
      </c>
      <c r="D205" s="5" t="s">
        <v>407</v>
      </c>
      <c r="E205" s="5" t="s">
        <v>1910</v>
      </c>
      <c r="F205" s="5" t="s">
        <v>1813</v>
      </c>
      <c r="G205" s="6">
        <v>46058.561805555553</v>
      </c>
      <c r="H205" s="7">
        <v>46070</v>
      </c>
      <c r="I205" s="5" t="s">
        <v>2167</v>
      </c>
      <c r="J205" s="7">
        <v>46087</v>
      </c>
      <c r="K205" s="5" t="s">
        <v>1527</v>
      </c>
      <c r="L205" s="5" t="s">
        <v>1535</v>
      </c>
      <c r="M205" s="8">
        <v>986.13</v>
      </c>
      <c r="N205" s="5" t="s">
        <v>1536</v>
      </c>
      <c r="O205" s="7">
        <v>46087</v>
      </c>
    </row>
    <row r="206" spans="1:15" x14ac:dyDescent="0.25">
      <c r="A206" s="5" t="s">
        <v>4</v>
      </c>
      <c r="B206" s="5" t="s">
        <v>2168</v>
      </c>
      <c r="D206" s="5" t="s">
        <v>1155</v>
      </c>
      <c r="E206" s="5" t="s">
        <v>1910</v>
      </c>
      <c r="F206" s="5" t="s">
        <v>1813</v>
      </c>
      <c r="G206" s="6">
        <v>46058.5625</v>
      </c>
      <c r="H206" s="7">
        <v>46070</v>
      </c>
      <c r="I206" s="5" t="s">
        <v>1911</v>
      </c>
      <c r="J206" s="7">
        <v>46079</v>
      </c>
      <c r="K206" s="5" t="s">
        <v>1527</v>
      </c>
      <c r="L206" s="5" t="s">
        <v>1535</v>
      </c>
      <c r="M206" s="8">
        <v>986.13</v>
      </c>
      <c r="N206" s="5" t="s">
        <v>1536</v>
      </c>
      <c r="O206" s="7">
        <v>46079</v>
      </c>
    </row>
    <row r="207" spans="1:15" x14ac:dyDescent="0.25">
      <c r="A207" s="5" t="s">
        <v>4</v>
      </c>
      <c r="B207" s="5" t="s">
        <v>2169</v>
      </c>
      <c r="D207" s="5" t="s">
        <v>764</v>
      </c>
      <c r="E207" s="5" t="s">
        <v>2170</v>
      </c>
      <c r="F207" s="5" t="s">
        <v>1759</v>
      </c>
      <c r="G207" s="6">
        <v>46107.614583333336</v>
      </c>
      <c r="H207" s="7">
        <v>46121</v>
      </c>
      <c r="I207" s="5" t="s">
        <v>2171</v>
      </c>
      <c r="J207" s="7">
        <v>46120</v>
      </c>
      <c r="K207" s="5" t="s">
        <v>1527</v>
      </c>
      <c r="L207" s="5" t="s">
        <v>1564</v>
      </c>
      <c r="M207" s="8">
        <v>984</v>
      </c>
      <c r="N207" s="5" t="s">
        <v>1536</v>
      </c>
      <c r="O207" s="7">
        <v>46120</v>
      </c>
    </row>
    <row r="208" spans="1:15" hidden="1" x14ac:dyDescent="0.25">
      <c r="A208" s="5" t="s">
        <v>1522</v>
      </c>
      <c r="B208" s="5" t="s">
        <v>2172</v>
      </c>
      <c r="D208" s="5" t="s">
        <v>1494</v>
      </c>
      <c r="E208" s="5" t="s">
        <v>2173</v>
      </c>
      <c r="F208" s="5" t="s">
        <v>2174</v>
      </c>
      <c r="G208" s="6">
        <v>46057.72152777778</v>
      </c>
      <c r="H208" s="7">
        <v>46066</v>
      </c>
      <c r="I208" s="6">
        <v>46066.707638888889</v>
      </c>
      <c r="J208" s="7">
        <v>46065</v>
      </c>
      <c r="K208" s="5" t="s">
        <v>1527</v>
      </c>
      <c r="L208" s="5" t="s">
        <v>1528</v>
      </c>
      <c r="M208" s="8">
        <v>976</v>
      </c>
      <c r="N208" s="5" t="s">
        <v>1536</v>
      </c>
      <c r="O208" s="7">
        <v>46065</v>
      </c>
    </row>
    <row r="209" spans="1:15" hidden="1" x14ac:dyDescent="0.25">
      <c r="A209" s="5" t="s">
        <v>1522</v>
      </c>
      <c r="B209" s="5" t="s">
        <v>2175</v>
      </c>
      <c r="D209" s="5" t="s">
        <v>578</v>
      </c>
      <c r="E209" s="5" t="s">
        <v>2176</v>
      </c>
      <c r="F209" s="5" t="s">
        <v>1548</v>
      </c>
      <c r="G209" s="6">
        <v>46134.668749999997</v>
      </c>
      <c r="H209" s="7">
        <v>46142</v>
      </c>
      <c r="I209" s="5" t="s">
        <v>2177</v>
      </c>
      <c r="J209" s="7">
        <v>46141</v>
      </c>
      <c r="K209" s="5" t="s">
        <v>1527</v>
      </c>
      <c r="L209" s="5" t="s">
        <v>1528</v>
      </c>
      <c r="M209" s="8">
        <v>975</v>
      </c>
      <c r="N209" s="5" t="s">
        <v>1536</v>
      </c>
      <c r="O209" s="7">
        <v>46141</v>
      </c>
    </row>
    <row r="210" spans="1:15" x14ac:dyDescent="0.25">
      <c r="A210" s="5" t="s">
        <v>4</v>
      </c>
      <c r="B210" s="5" t="s">
        <v>2178</v>
      </c>
      <c r="D210" s="5" t="s">
        <v>924</v>
      </c>
      <c r="E210" s="5" t="s">
        <v>2179</v>
      </c>
      <c r="F210" s="5" t="s">
        <v>1548</v>
      </c>
      <c r="G210" s="6">
        <v>46037.605555555558</v>
      </c>
      <c r="H210" s="7">
        <v>46048</v>
      </c>
      <c r="I210" s="5" t="s">
        <v>2180</v>
      </c>
      <c r="J210" s="7">
        <v>46052</v>
      </c>
      <c r="K210" s="5" t="s">
        <v>1527</v>
      </c>
      <c r="L210" s="5" t="s">
        <v>1535</v>
      </c>
      <c r="M210" s="9">
        <v>970</v>
      </c>
      <c r="N210" s="5" t="s">
        <v>1536</v>
      </c>
      <c r="O210" s="7">
        <v>46052</v>
      </c>
    </row>
    <row r="211" spans="1:15" x14ac:dyDescent="0.25">
      <c r="A211" s="5" t="s">
        <v>4</v>
      </c>
      <c r="B211" s="5" t="s">
        <v>2181</v>
      </c>
      <c r="D211" s="5" t="s">
        <v>359</v>
      </c>
      <c r="E211" s="5" t="s">
        <v>2182</v>
      </c>
      <c r="F211" s="5" t="s">
        <v>1770</v>
      </c>
      <c r="G211" s="6">
        <v>46129.386805555558</v>
      </c>
      <c r="H211" s="7">
        <v>46149</v>
      </c>
      <c r="I211" s="6">
        <v>46148.598611111112</v>
      </c>
      <c r="J211" s="7">
        <v>46148</v>
      </c>
      <c r="K211" s="5" t="s">
        <v>1527</v>
      </c>
      <c r="L211" s="5" t="s">
        <v>1564</v>
      </c>
      <c r="M211" s="8">
        <v>968.91</v>
      </c>
      <c r="N211" s="5" t="s">
        <v>1536</v>
      </c>
      <c r="O211" s="7">
        <v>46148</v>
      </c>
    </row>
    <row r="212" spans="1:15" hidden="1" x14ac:dyDescent="0.25">
      <c r="A212" s="5" t="s">
        <v>1522</v>
      </c>
      <c r="B212" s="5" t="s">
        <v>2183</v>
      </c>
      <c r="D212" s="5" t="s">
        <v>1506</v>
      </c>
      <c r="E212" s="5" t="s">
        <v>1942</v>
      </c>
      <c r="F212" s="5" t="s">
        <v>2184</v>
      </c>
      <c r="G212" s="6">
        <v>46156.677083333336</v>
      </c>
      <c r="H212" s="7">
        <v>46167</v>
      </c>
      <c r="I212" s="5" t="s">
        <v>1533</v>
      </c>
      <c r="J212" s="7">
        <v>46168</v>
      </c>
      <c r="K212" s="5" t="s">
        <v>1534</v>
      </c>
      <c r="L212" s="5" t="s">
        <v>1528</v>
      </c>
      <c r="M212" s="8">
        <v>965</v>
      </c>
      <c r="N212" s="5" t="s">
        <v>1529</v>
      </c>
      <c r="O212" s="7">
        <v>46168</v>
      </c>
    </row>
    <row r="213" spans="1:15" x14ac:dyDescent="0.25">
      <c r="A213" s="5" t="s">
        <v>4</v>
      </c>
      <c r="B213" s="5" t="s">
        <v>2185</v>
      </c>
      <c r="D213" s="5" t="s">
        <v>1446</v>
      </c>
      <c r="E213" s="5" t="s">
        <v>1730</v>
      </c>
      <c r="F213" s="5" t="s">
        <v>1532</v>
      </c>
      <c r="G213" s="6">
        <v>46163.621527777781</v>
      </c>
      <c r="H213" s="7">
        <v>46171</v>
      </c>
      <c r="I213" s="5" t="s">
        <v>2186</v>
      </c>
      <c r="J213" s="7">
        <v>46168</v>
      </c>
      <c r="K213" s="5" t="s">
        <v>1527</v>
      </c>
      <c r="L213" s="5" t="s">
        <v>1535</v>
      </c>
      <c r="M213" s="8">
        <v>960</v>
      </c>
      <c r="N213" s="5" t="s">
        <v>1536</v>
      </c>
      <c r="O213" s="7">
        <v>46168</v>
      </c>
    </row>
    <row r="214" spans="1:15" x14ac:dyDescent="0.25">
      <c r="A214" s="5" t="s">
        <v>4</v>
      </c>
      <c r="B214" s="5" t="s">
        <v>2187</v>
      </c>
      <c r="D214" s="5" t="s">
        <v>57</v>
      </c>
      <c r="E214" s="5" t="s">
        <v>2188</v>
      </c>
      <c r="F214" s="5" t="s">
        <v>2189</v>
      </c>
      <c r="G214" s="6">
        <v>46118.674305555556</v>
      </c>
      <c r="H214" s="7">
        <v>46125</v>
      </c>
      <c r="I214" s="5" t="s">
        <v>2190</v>
      </c>
      <c r="J214" s="7">
        <v>46127</v>
      </c>
      <c r="K214" s="5" t="s">
        <v>1527</v>
      </c>
      <c r="L214" s="5" t="s">
        <v>1564</v>
      </c>
      <c r="M214" s="8">
        <v>959.47</v>
      </c>
      <c r="N214" s="5" t="s">
        <v>1536</v>
      </c>
      <c r="O214" s="7">
        <v>46127</v>
      </c>
    </row>
    <row r="215" spans="1:15" hidden="1" x14ac:dyDescent="0.25">
      <c r="A215" s="5" t="s">
        <v>1522</v>
      </c>
      <c r="B215" s="5" t="s">
        <v>2191</v>
      </c>
      <c r="D215" s="5" t="s">
        <v>1311</v>
      </c>
      <c r="E215" s="5" t="s">
        <v>1637</v>
      </c>
      <c r="F215" s="5" t="s">
        <v>1638</v>
      </c>
      <c r="G215" s="6">
        <v>46049.481249999997</v>
      </c>
      <c r="H215" s="7">
        <v>46052</v>
      </c>
      <c r="I215" s="5" t="s">
        <v>1533</v>
      </c>
      <c r="J215" s="7">
        <v>46052</v>
      </c>
      <c r="K215" s="5" t="s">
        <v>1534</v>
      </c>
      <c r="L215" s="5" t="s">
        <v>1554</v>
      </c>
      <c r="M215" s="8">
        <v>958</v>
      </c>
      <c r="N215" s="5" t="s">
        <v>1536</v>
      </c>
      <c r="O215" s="7">
        <v>46052</v>
      </c>
    </row>
    <row r="216" spans="1:15" hidden="1" x14ac:dyDescent="0.25">
      <c r="A216" s="5" t="s">
        <v>1522</v>
      </c>
      <c r="B216" s="5" t="s">
        <v>2192</v>
      </c>
      <c r="D216" s="5" t="s">
        <v>980</v>
      </c>
      <c r="E216" s="5" t="s">
        <v>2193</v>
      </c>
      <c r="F216" s="5" t="s">
        <v>2194</v>
      </c>
      <c r="G216" s="6">
        <v>46043.713888888888</v>
      </c>
      <c r="H216" s="7">
        <v>46049</v>
      </c>
      <c r="I216" s="5" t="s">
        <v>2195</v>
      </c>
      <c r="J216" s="7">
        <v>46055</v>
      </c>
      <c r="K216" s="5" t="s">
        <v>1527</v>
      </c>
      <c r="L216" s="5" t="s">
        <v>1528</v>
      </c>
      <c r="M216" s="9">
        <v>950</v>
      </c>
      <c r="N216" s="5" t="s">
        <v>1536</v>
      </c>
      <c r="O216" s="7">
        <v>46055</v>
      </c>
    </row>
    <row r="217" spans="1:15" x14ac:dyDescent="0.25">
      <c r="A217" s="5" t="s">
        <v>4</v>
      </c>
      <c r="B217" s="5" t="s">
        <v>2196</v>
      </c>
      <c r="D217" s="5" t="s">
        <v>1112</v>
      </c>
      <c r="E217" s="5" t="s">
        <v>2197</v>
      </c>
      <c r="F217" s="5" t="s">
        <v>1548</v>
      </c>
      <c r="G217" s="6">
        <v>46043.463194444441</v>
      </c>
      <c r="H217" s="7">
        <v>46048</v>
      </c>
      <c r="I217" s="6">
        <v>46045.593055555553</v>
      </c>
      <c r="J217" s="7">
        <v>46045</v>
      </c>
      <c r="K217" s="5" t="s">
        <v>1527</v>
      </c>
      <c r="L217" s="5" t="s">
        <v>1564</v>
      </c>
      <c r="M217" s="8">
        <v>950</v>
      </c>
      <c r="N217" s="5" t="s">
        <v>1536</v>
      </c>
      <c r="O217" s="7">
        <v>46045</v>
      </c>
    </row>
    <row r="218" spans="1:15" x14ac:dyDescent="0.25">
      <c r="A218" s="5" t="s">
        <v>4</v>
      </c>
      <c r="B218" s="5" t="s">
        <v>2198</v>
      </c>
      <c r="D218" s="5" t="s">
        <v>1146</v>
      </c>
      <c r="E218" s="5" t="s">
        <v>2199</v>
      </c>
      <c r="F218" s="5" t="s">
        <v>2200</v>
      </c>
      <c r="G218" s="6">
        <v>46083.599305555559</v>
      </c>
      <c r="H218" s="7">
        <v>46094</v>
      </c>
      <c r="I218" s="6">
        <v>46094.557638888888</v>
      </c>
      <c r="J218" s="7">
        <v>46093</v>
      </c>
      <c r="K218" s="5" t="s">
        <v>1527</v>
      </c>
      <c r="L218" s="5" t="s">
        <v>1564</v>
      </c>
      <c r="M218" s="8">
        <v>950</v>
      </c>
      <c r="N218" s="5" t="s">
        <v>1536</v>
      </c>
      <c r="O218" s="7">
        <v>46093</v>
      </c>
    </row>
    <row r="219" spans="1:15" x14ac:dyDescent="0.25">
      <c r="A219" s="5" t="s">
        <v>4</v>
      </c>
      <c r="B219" s="5" t="s">
        <v>2201</v>
      </c>
      <c r="D219" s="5" t="s">
        <v>105</v>
      </c>
      <c r="E219" s="5" t="s">
        <v>2202</v>
      </c>
      <c r="F219" s="5" t="s">
        <v>1548</v>
      </c>
      <c r="G219" s="6">
        <v>46044.727083333331</v>
      </c>
      <c r="H219" s="7">
        <v>46057</v>
      </c>
      <c r="I219" s="5" t="s">
        <v>2203</v>
      </c>
      <c r="J219" s="7">
        <v>46063</v>
      </c>
      <c r="K219" s="5" t="s">
        <v>1527</v>
      </c>
      <c r="L219" s="5" t="s">
        <v>1564</v>
      </c>
      <c r="M219" s="8">
        <v>943.2</v>
      </c>
      <c r="N219" s="5" t="s">
        <v>1536</v>
      </c>
      <c r="O219" s="7">
        <v>46063</v>
      </c>
    </row>
    <row r="220" spans="1:15" x14ac:dyDescent="0.25">
      <c r="A220" s="5" t="s">
        <v>4</v>
      </c>
      <c r="B220" s="5" t="s">
        <v>2204</v>
      </c>
      <c r="D220" s="5" t="s">
        <v>390</v>
      </c>
      <c r="E220" s="5" t="s">
        <v>2205</v>
      </c>
      <c r="F220" s="5" t="s">
        <v>2206</v>
      </c>
      <c r="G220" s="6">
        <v>46108.518750000003</v>
      </c>
      <c r="H220" s="7">
        <v>46115</v>
      </c>
      <c r="I220" s="5" t="s">
        <v>2207</v>
      </c>
      <c r="J220" s="7">
        <v>46120</v>
      </c>
      <c r="K220" s="5" t="s">
        <v>1527</v>
      </c>
      <c r="L220" s="5" t="s">
        <v>1621</v>
      </c>
      <c r="M220" s="8">
        <v>937.2</v>
      </c>
      <c r="N220" s="5" t="s">
        <v>1536</v>
      </c>
      <c r="O220" s="7">
        <v>46120</v>
      </c>
    </row>
    <row r="221" spans="1:15" x14ac:dyDescent="0.25">
      <c r="A221" s="5" t="s">
        <v>4</v>
      </c>
      <c r="B221" s="5" t="s">
        <v>2208</v>
      </c>
      <c r="D221" s="5" t="s">
        <v>431</v>
      </c>
      <c r="E221" s="5" t="s">
        <v>2209</v>
      </c>
      <c r="F221" s="5" t="s">
        <v>1738</v>
      </c>
      <c r="G221" s="6">
        <v>46059.661111111112</v>
      </c>
      <c r="H221" s="7">
        <v>46072</v>
      </c>
      <c r="I221" s="5" t="s">
        <v>2210</v>
      </c>
      <c r="J221" s="7">
        <v>46076</v>
      </c>
      <c r="K221" s="5" t="s">
        <v>1527</v>
      </c>
      <c r="L221" s="5" t="s">
        <v>1564</v>
      </c>
      <c r="M221" s="8">
        <v>935</v>
      </c>
      <c r="N221" s="5" t="s">
        <v>1536</v>
      </c>
      <c r="O221" s="7">
        <v>46076</v>
      </c>
    </row>
    <row r="222" spans="1:15" x14ac:dyDescent="0.25">
      <c r="A222" s="5" t="s">
        <v>4</v>
      </c>
      <c r="B222" s="5" t="s">
        <v>2211</v>
      </c>
      <c r="D222" s="5" t="s">
        <v>1425</v>
      </c>
      <c r="E222" s="5" t="s">
        <v>2212</v>
      </c>
      <c r="F222" s="5" t="s">
        <v>1770</v>
      </c>
      <c r="G222" s="6">
        <v>46073.609722222223</v>
      </c>
      <c r="H222" s="7">
        <v>46086</v>
      </c>
      <c r="I222" s="6">
        <v>46085.716666666667</v>
      </c>
      <c r="J222" s="7">
        <v>46085</v>
      </c>
      <c r="K222" s="5" t="s">
        <v>1527</v>
      </c>
      <c r="L222" s="5" t="s">
        <v>1564</v>
      </c>
      <c r="M222" s="8">
        <v>930</v>
      </c>
      <c r="N222" s="5" t="s">
        <v>1536</v>
      </c>
      <c r="O222" s="7">
        <v>46085</v>
      </c>
    </row>
    <row r="223" spans="1:15" hidden="1" x14ac:dyDescent="0.25">
      <c r="A223" s="5" t="s">
        <v>1522</v>
      </c>
      <c r="B223" s="5" t="s">
        <v>2213</v>
      </c>
      <c r="D223" s="5" t="s">
        <v>1485</v>
      </c>
      <c r="E223" s="5" t="s">
        <v>2214</v>
      </c>
      <c r="F223" s="5" t="s">
        <v>1548</v>
      </c>
      <c r="G223" s="6">
        <v>46064.38958333333</v>
      </c>
      <c r="H223" s="7">
        <v>46071</v>
      </c>
      <c r="I223" s="5" t="s">
        <v>2215</v>
      </c>
      <c r="J223" s="7">
        <v>46071</v>
      </c>
      <c r="K223" s="5" t="s">
        <v>1527</v>
      </c>
      <c r="L223" s="5" t="s">
        <v>1528</v>
      </c>
      <c r="M223" s="8">
        <v>923.76</v>
      </c>
      <c r="N223" s="5" t="s">
        <v>1536</v>
      </c>
      <c r="O223" s="7">
        <v>46071</v>
      </c>
    </row>
    <row r="224" spans="1:15" x14ac:dyDescent="0.25">
      <c r="A224" s="5" t="s">
        <v>4</v>
      </c>
      <c r="B224" s="5" t="s">
        <v>2216</v>
      </c>
      <c r="D224" s="5" t="s">
        <v>564</v>
      </c>
      <c r="E224" s="5" t="s">
        <v>2217</v>
      </c>
      <c r="F224" s="5" t="s">
        <v>1548</v>
      </c>
      <c r="G224" s="6">
        <v>46048.613888888889</v>
      </c>
      <c r="H224" s="7">
        <v>46059</v>
      </c>
      <c r="I224" s="5" t="s">
        <v>2218</v>
      </c>
      <c r="J224" s="7">
        <v>46064</v>
      </c>
      <c r="K224" s="5" t="s">
        <v>1527</v>
      </c>
      <c r="L224" s="5" t="s">
        <v>1564</v>
      </c>
      <c r="M224" s="8">
        <v>919</v>
      </c>
      <c r="N224" s="5" t="s">
        <v>1536</v>
      </c>
      <c r="O224" s="7">
        <v>46064</v>
      </c>
    </row>
    <row r="225" spans="1:15" hidden="1" x14ac:dyDescent="0.25">
      <c r="A225" s="5" t="s">
        <v>1522</v>
      </c>
      <c r="B225" s="5" t="s">
        <v>2219</v>
      </c>
      <c r="D225" s="5" t="s">
        <v>1481</v>
      </c>
      <c r="E225" s="5" t="s">
        <v>2220</v>
      </c>
      <c r="F225" s="5" t="s">
        <v>2221</v>
      </c>
      <c r="G225" s="6">
        <v>46030.574999999997</v>
      </c>
      <c r="H225" s="7">
        <v>46043</v>
      </c>
      <c r="I225" s="5" t="s">
        <v>2222</v>
      </c>
      <c r="J225" s="7">
        <v>46049</v>
      </c>
      <c r="K225" s="5" t="s">
        <v>1527</v>
      </c>
      <c r="L225" s="5" t="s">
        <v>1528</v>
      </c>
      <c r="M225" s="8">
        <v>915.6</v>
      </c>
      <c r="N225" s="5" t="s">
        <v>1536</v>
      </c>
      <c r="O225" s="7">
        <v>46049</v>
      </c>
    </row>
    <row r="226" spans="1:15" x14ac:dyDescent="0.25">
      <c r="A226" s="5" t="s">
        <v>4</v>
      </c>
      <c r="B226" s="5" t="s">
        <v>2223</v>
      </c>
      <c r="D226" s="5" t="s">
        <v>1029</v>
      </c>
      <c r="E226" s="5" t="s">
        <v>2224</v>
      </c>
      <c r="F226" s="5" t="s">
        <v>1567</v>
      </c>
      <c r="G226" s="6">
        <v>46168.736805555556</v>
      </c>
      <c r="H226" s="7">
        <v>46175</v>
      </c>
      <c r="I226" s="5" t="s">
        <v>2225</v>
      </c>
      <c r="J226" s="7">
        <v>46176</v>
      </c>
      <c r="K226" s="5" t="s">
        <v>1527</v>
      </c>
      <c r="L226" s="5" t="s">
        <v>1564</v>
      </c>
      <c r="M226" s="8">
        <v>912.9</v>
      </c>
      <c r="N226" s="5" t="s">
        <v>1529</v>
      </c>
      <c r="O226" s="7">
        <v>46176</v>
      </c>
    </row>
    <row r="227" spans="1:15" x14ac:dyDescent="0.25">
      <c r="A227" s="5" t="s">
        <v>4</v>
      </c>
      <c r="B227" s="5" t="s">
        <v>2226</v>
      </c>
      <c r="D227" s="5" t="s">
        <v>979</v>
      </c>
      <c r="E227" s="5" t="s">
        <v>2227</v>
      </c>
      <c r="F227" s="5" t="s">
        <v>1770</v>
      </c>
      <c r="G227" s="6">
        <v>46121.407638888886</v>
      </c>
      <c r="H227" s="7">
        <v>46128</v>
      </c>
      <c r="I227" s="5" t="s">
        <v>2228</v>
      </c>
      <c r="J227" s="7">
        <v>46128</v>
      </c>
      <c r="K227" s="5" t="s">
        <v>1527</v>
      </c>
      <c r="L227" s="5" t="s">
        <v>1564</v>
      </c>
      <c r="M227" s="8">
        <v>912</v>
      </c>
      <c r="N227" s="5" t="s">
        <v>1536</v>
      </c>
      <c r="O227" s="7">
        <v>46128</v>
      </c>
    </row>
    <row r="228" spans="1:15" hidden="1" x14ac:dyDescent="0.25">
      <c r="A228" s="5" t="s">
        <v>1522</v>
      </c>
      <c r="B228" s="5" t="s">
        <v>2229</v>
      </c>
      <c r="D228" s="5" t="s">
        <v>1486</v>
      </c>
      <c r="E228" s="5" t="s">
        <v>1647</v>
      </c>
      <c r="F228" s="5" t="s">
        <v>2230</v>
      </c>
      <c r="G228" s="6">
        <v>46118.582638888889</v>
      </c>
      <c r="H228" s="7">
        <v>46122</v>
      </c>
      <c r="I228" s="5" t="s">
        <v>2055</v>
      </c>
      <c r="J228" s="7">
        <v>46122</v>
      </c>
      <c r="K228" s="5" t="s">
        <v>1527</v>
      </c>
      <c r="L228" s="5" t="s">
        <v>1528</v>
      </c>
      <c r="M228" s="8">
        <v>900</v>
      </c>
      <c r="N228" s="5" t="s">
        <v>1536</v>
      </c>
      <c r="O228" s="7">
        <v>46122</v>
      </c>
    </row>
    <row r="229" spans="1:15" x14ac:dyDescent="0.25">
      <c r="A229" s="5" t="s">
        <v>4</v>
      </c>
      <c r="B229" s="5" t="s">
        <v>2231</v>
      </c>
      <c r="D229" s="5" t="s">
        <v>679</v>
      </c>
      <c r="E229" s="5" t="s">
        <v>2232</v>
      </c>
      <c r="F229" s="5" t="s">
        <v>2233</v>
      </c>
      <c r="G229" s="6">
        <v>46029.450694444444</v>
      </c>
      <c r="H229" s="7">
        <v>46029</v>
      </c>
      <c r="I229" s="6">
        <v>46029.450694444444</v>
      </c>
      <c r="J229" s="7">
        <v>46029</v>
      </c>
      <c r="K229" s="5" t="s">
        <v>1527</v>
      </c>
      <c r="L229" s="5" t="s">
        <v>1535</v>
      </c>
      <c r="M229" s="8">
        <v>900</v>
      </c>
      <c r="N229" s="5" t="s">
        <v>1536</v>
      </c>
      <c r="O229" s="7">
        <v>46029</v>
      </c>
    </row>
    <row r="230" spans="1:15" x14ac:dyDescent="0.25">
      <c r="A230" s="5" t="s">
        <v>4</v>
      </c>
      <c r="B230" s="5" t="s">
        <v>2234</v>
      </c>
      <c r="D230" s="5" t="s">
        <v>1278</v>
      </c>
      <c r="E230" s="5" t="s">
        <v>1812</v>
      </c>
      <c r="F230" s="5" t="s">
        <v>1813</v>
      </c>
      <c r="G230" s="6">
        <v>46129.589583333334</v>
      </c>
      <c r="H230" s="7">
        <v>46141</v>
      </c>
      <c r="I230" s="6">
        <v>46141.345833333333</v>
      </c>
      <c r="J230" s="7">
        <v>46140</v>
      </c>
      <c r="K230" s="5" t="s">
        <v>1527</v>
      </c>
      <c r="L230" s="5" t="s">
        <v>1535</v>
      </c>
      <c r="M230" s="8">
        <v>891</v>
      </c>
      <c r="N230" s="5" t="s">
        <v>1536</v>
      </c>
      <c r="O230" s="7">
        <v>46140</v>
      </c>
    </row>
    <row r="231" spans="1:15" x14ac:dyDescent="0.25">
      <c r="A231" s="5" t="s">
        <v>4</v>
      </c>
      <c r="B231" s="5" t="s">
        <v>2235</v>
      </c>
      <c r="D231" s="5" t="s">
        <v>1473</v>
      </c>
      <c r="E231" s="5" t="s">
        <v>2236</v>
      </c>
      <c r="F231" s="5" t="s">
        <v>1532</v>
      </c>
      <c r="G231" s="6">
        <v>46122.597916666666</v>
      </c>
      <c r="H231" s="7">
        <v>46134</v>
      </c>
      <c r="I231" s="5" t="s">
        <v>2237</v>
      </c>
      <c r="J231" s="7">
        <v>46141</v>
      </c>
      <c r="K231" s="5" t="s">
        <v>1527</v>
      </c>
      <c r="L231" s="5" t="s">
        <v>1535</v>
      </c>
      <c r="M231" s="8">
        <v>890.4</v>
      </c>
      <c r="N231" s="5" t="s">
        <v>1536</v>
      </c>
      <c r="O231" s="7">
        <v>46141</v>
      </c>
    </row>
    <row r="232" spans="1:15" x14ac:dyDescent="0.25">
      <c r="A232" s="5" t="s">
        <v>4</v>
      </c>
      <c r="B232" s="5" t="s">
        <v>2238</v>
      </c>
      <c r="D232" s="5" t="s">
        <v>1018</v>
      </c>
      <c r="E232" s="5" t="s">
        <v>2239</v>
      </c>
      <c r="F232" s="5" t="s">
        <v>2240</v>
      </c>
      <c r="G232" s="6">
        <v>46157.667361111111</v>
      </c>
      <c r="H232" s="7">
        <v>46171</v>
      </c>
      <c r="I232" s="6">
        <v>46168.734722222223</v>
      </c>
      <c r="J232" s="7">
        <v>46168</v>
      </c>
      <c r="K232" s="5" t="s">
        <v>1527</v>
      </c>
      <c r="L232" s="5" t="s">
        <v>1564</v>
      </c>
      <c r="M232" s="8">
        <v>889.5</v>
      </c>
      <c r="N232" s="5" t="s">
        <v>1536</v>
      </c>
      <c r="O232" s="7">
        <v>46168</v>
      </c>
    </row>
    <row r="233" spans="1:15" x14ac:dyDescent="0.25">
      <c r="A233" s="5" t="s">
        <v>4</v>
      </c>
      <c r="B233" s="5" t="s">
        <v>2241</v>
      </c>
      <c r="D233" s="5" t="s">
        <v>1399</v>
      </c>
      <c r="E233" s="5" t="s">
        <v>1868</v>
      </c>
      <c r="F233" s="5" t="s">
        <v>1548</v>
      </c>
      <c r="G233" s="6">
        <v>46056.629861111112</v>
      </c>
      <c r="H233" s="7">
        <v>46069</v>
      </c>
      <c r="I233" s="5" t="s">
        <v>2242</v>
      </c>
      <c r="J233" s="7">
        <v>46077</v>
      </c>
      <c r="K233" s="5" t="s">
        <v>1527</v>
      </c>
      <c r="L233" s="5" t="s">
        <v>1564</v>
      </c>
      <c r="M233" s="8">
        <v>881.9</v>
      </c>
      <c r="N233" s="5" t="s">
        <v>1536</v>
      </c>
      <c r="O233" s="7">
        <v>46077</v>
      </c>
    </row>
    <row r="234" spans="1:15" x14ac:dyDescent="0.25">
      <c r="A234" s="5" t="s">
        <v>4</v>
      </c>
      <c r="B234" s="5" t="s">
        <v>2243</v>
      </c>
      <c r="D234" s="5" t="s">
        <v>1379</v>
      </c>
      <c r="E234" s="5" t="s">
        <v>2244</v>
      </c>
      <c r="F234" s="5" t="s">
        <v>1532</v>
      </c>
      <c r="G234" s="6">
        <v>46041.703472222223</v>
      </c>
      <c r="H234" s="7">
        <v>46050</v>
      </c>
      <c r="I234" s="5" t="s">
        <v>2245</v>
      </c>
      <c r="J234" s="7">
        <v>46077</v>
      </c>
      <c r="K234" s="5" t="s">
        <v>1527</v>
      </c>
      <c r="L234" s="5" t="s">
        <v>1535</v>
      </c>
      <c r="M234" s="8">
        <v>879.75</v>
      </c>
      <c r="N234" s="5" t="s">
        <v>1536</v>
      </c>
      <c r="O234" s="7">
        <v>46077</v>
      </c>
    </row>
    <row r="235" spans="1:15" hidden="1" x14ac:dyDescent="0.25">
      <c r="A235" s="5" t="s">
        <v>1522</v>
      </c>
      <c r="B235" s="5" t="s">
        <v>2246</v>
      </c>
      <c r="D235" s="5" t="s">
        <v>1507</v>
      </c>
      <c r="E235" s="5" t="s">
        <v>2247</v>
      </c>
      <c r="F235" s="5" t="s">
        <v>1548</v>
      </c>
      <c r="G235" s="6">
        <v>46114.645138888889</v>
      </c>
      <c r="H235" s="7">
        <v>46126</v>
      </c>
      <c r="I235" s="6">
        <v>46123.325694444444</v>
      </c>
      <c r="J235" s="7">
        <v>46122</v>
      </c>
      <c r="K235" s="5" t="s">
        <v>1527</v>
      </c>
      <c r="L235" s="5" t="s">
        <v>1528</v>
      </c>
      <c r="M235" s="8">
        <v>875</v>
      </c>
      <c r="N235" s="5" t="s">
        <v>1536</v>
      </c>
      <c r="O235" s="7">
        <v>46122</v>
      </c>
    </row>
    <row r="236" spans="1:15" x14ac:dyDescent="0.25">
      <c r="A236" s="5" t="s">
        <v>4</v>
      </c>
      <c r="B236" s="5" t="s">
        <v>2248</v>
      </c>
      <c r="D236" s="5" t="s">
        <v>1509</v>
      </c>
      <c r="E236" s="5" t="s">
        <v>2249</v>
      </c>
      <c r="F236" s="5" t="s">
        <v>2250</v>
      </c>
      <c r="G236" s="6">
        <v>46106.697222222225</v>
      </c>
      <c r="H236" s="7">
        <v>46115</v>
      </c>
      <c r="I236" s="5" t="s">
        <v>2251</v>
      </c>
      <c r="J236" s="7">
        <v>46160</v>
      </c>
      <c r="K236" s="5" t="s">
        <v>1527</v>
      </c>
      <c r="L236" s="5" t="s">
        <v>1535</v>
      </c>
      <c r="M236" s="8">
        <v>875</v>
      </c>
      <c r="N236" s="5" t="s">
        <v>1529</v>
      </c>
      <c r="O236" s="7">
        <v>46160</v>
      </c>
    </row>
    <row r="237" spans="1:15" hidden="1" x14ac:dyDescent="0.25">
      <c r="A237" s="5" t="s">
        <v>1522</v>
      </c>
      <c r="B237" s="5" t="s">
        <v>2252</v>
      </c>
      <c r="D237" s="5" t="s">
        <v>1436</v>
      </c>
      <c r="E237" s="5" t="s">
        <v>2253</v>
      </c>
      <c r="F237" s="5" t="s">
        <v>2254</v>
      </c>
      <c r="G237" s="6">
        <v>46146.482638888891</v>
      </c>
      <c r="H237" s="7">
        <v>46150</v>
      </c>
      <c r="I237" s="5" t="s">
        <v>2255</v>
      </c>
      <c r="J237" s="7">
        <v>46156</v>
      </c>
      <c r="K237" s="5" t="s">
        <v>1527</v>
      </c>
      <c r="L237" s="5" t="s">
        <v>1528</v>
      </c>
      <c r="M237" s="8">
        <v>874</v>
      </c>
      <c r="N237" s="5" t="s">
        <v>1536</v>
      </c>
      <c r="O237" s="7">
        <v>46156</v>
      </c>
    </row>
    <row r="238" spans="1:15" x14ac:dyDescent="0.25">
      <c r="A238" s="5" t="s">
        <v>4</v>
      </c>
      <c r="B238" s="5" t="s">
        <v>2256</v>
      </c>
      <c r="D238" s="5" t="s">
        <v>1137</v>
      </c>
      <c r="E238" s="5" t="s">
        <v>2257</v>
      </c>
      <c r="F238" s="5" t="s">
        <v>2258</v>
      </c>
      <c r="G238" s="6">
        <v>46153.60833333333</v>
      </c>
      <c r="H238" s="7">
        <v>46162</v>
      </c>
      <c r="I238" s="5" t="s">
        <v>2259</v>
      </c>
      <c r="J238" s="7">
        <v>46171</v>
      </c>
      <c r="K238" s="5" t="s">
        <v>1527</v>
      </c>
      <c r="L238" s="5" t="s">
        <v>1621</v>
      </c>
      <c r="M238" s="8">
        <v>869.6</v>
      </c>
      <c r="N238" s="5" t="s">
        <v>1536</v>
      </c>
      <c r="O238" s="7">
        <v>46171</v>
      </c>
    </row>
    <row r="239" spans="1:15" x14ac:dyDescent="0.25">
      <c r="A239" s="5" t="s">
        <v>4</v>
      </c>
      <c r="B239" s="5" t="s">
        <v>2260</v>
      </c>
      <c r="D239" s="5" t="s">
        <v>1285</v>
      </c>
      <c r="E239" s="5" t="s">
        <v>2261</v>
      </c>
      <c r="F239" s="5" t="s">
        <v>1813</v>
      </c>
      <c r="G239" s="6">
        <v>46050.545138888891</v>
      </c>
      <c r="H239" s="7">
        <v>46059</v>
      </c>
      <c r="I239" s="5" t="s">
        <v>2262</v>
      </c>
      <c r="J239" s="7">
        <v>46062</v>
      </c>
      <c r="K239" s="5" t="s">
        <v>1527</v>
      </c>
      <c r="L239" s="5" t="s">
        <v>1535</v>
      </c>
      <c r="M239" s="8">
        <v>866</v>
      </c>
      <c r="N239" s="5" t="s">
        <v>1536</v>
      </c>
      <c r="O239" s="7">
        <v>46062</v>
      </c>
    </row>
    <row r="240" spans="1:15" x14ac:dyDescent="0.25">
      <c r="A240" s="5" t="s">
        <v>4</v>
      </c>
      <c r="B240" s="5" t="s">
        <v>2263</v>
      </c>
      <c r="D240" s="5" t="s">
        <v>1277</v>
      </c>
      <c r="E240" s="5" t="s">
        <v>1891</v>
      </c>
      <c r="F240" s="5" t="s">
        <v>1892</v>
      </c>
      <c r="G240" s="6">
        <v>46125.51458333333</v>
      </c>
      <c r="H240" s="7">
        <v>46139</v>
      </c>
      <c r="I240" s="6">
        <v>46134.732638888891</v>
      </c>
      <c r="J240" s="7">
        <v>46132</v>
      </c>
      <c r="K240" s="5" t="s">
        <v>1527</v>
      </c>
      <c r="L240" s="5" t="s">
        <v>1564</v>
      </c>
      <c r="M240" s="8">
        <v>865</v>
      </c>
      <c r="N240" s="5" t="s">
        <v>1536</v>
      </c>
      <c r="O240" s="7">
        <v>46132</v>
      </c>
    </row>
    <row r="241" spans="1:15" hidden="1" x14ac:dyDescent="0.25">
      <c r="A241" s="5" t="s">
        <v>1522</v>
      </c>
      <c r="B241" s="5" t="s">
        <v>2264</v>
      </c>
      <c r="D241" s="5" t="s">
        <v>94</v>
      </c>
      <c r="E241" s="5" t="s">
        <v>2265</v>
      </c>
      <c r="F241" s="5" t="s">
        <v>2266</v>
      </c>
      <c r="G241" s="6">
        <v>46127.417361111111</v>
      </c>
      <c r="H241" s="7">
        <v>46141</v>
      </c>
      <c r="I241" s="6">
        <v>46140.689583333333</v>
      </c>
      <c r="J241" s="7">
        <v>46135</v>
      </c>
      <c r="K241" s="5" t="s">
        <v>1527</v>
      </c>
      <c r="L241" s="5" t="s">
        <v>1528</v>
      </c>
      <c r="M241" s="8">
        <v>860.25</v>
      </c>
      <c r="N241" s="5" t="s">
        <v>1536</v>
      </c>
      <c r="O241" s="7">
        <v>46135</v>
      </c>
    </row>
    <row r="242" spans="1:15" x14ac:dyDescent="0.25">
      <c r="A242" s="5" t="s">
        <v>4</v>
      </c>
      <c r="B242" s="5" t="s">
        <v>2267</v>
      </c>
      <c r="D242" s="5" t="s">
        <v>1293</v>
      </c>
      <c r="E242" s="5" t="s">
        <v>2268</v>
      </c>
      <c r="F242" s="5" t="s">
        <v>2269</v>
      </c>
      <c r="G242" s="6">
        <v>46090.700694444444</v>
      </c>
      <c r="H242" s="7">
        <v>46101</v>
      </c>
      <c r="I242" s="5" t="s">
        <v>2270</v>
      </c>
      <c r="J242" s="7">
        <v>46090</v>
      </c>
      <c r="K242" s="5" t="s">
        <v>1527</v>
      </c>
      <c r="L242" s="5" t="s">
        <v>1564</v>
      </c>
      <c r="M242" s="8">
        <v>855.9</v>
      </c>
      <c r="N242" s="5" t="s">
        <v>1536</v>
      </c>
      <c r="O242" s="7">
        <v>46090</v>
      </c>
    </row>
    <row r="243" spans="1:15" x14ac:dyDescent="0.25">
      <c r="A243" s="5" t="s">
        <v>4</v>
      </c>
      <c r="B243" s="5" t="s">
        <v>2271</v>
      </c>
      <c r="D243" s="5" t="s">
        <v>1369</v>
      </c>
      <c r="E243" s="5" t="s">
        <v>2272</v>
      </c>
      <c r="F243" s="5" t="s">
        <v>2273</v>
      </c>
      <c r="G243" s="6">
        <v>46079.709027777775</v>
      </c>
      <c r="H243" s="7">
        <v>46092</v>
      </c>
      <c r="I243" s="6">
        <v>46092.606944444444</v>
      </c>
      <c r="J243" s="7">
        <v>46092</v>
      </c>
      <c r="K243" s="5" t="s">
        <v>1527</v>
      </c>
      <c r="L243" s="5" t="s">
        <v>1564</v>
      </c>
      <c r="M243" s="8">
        <v>855</v>
      </c>
      <c r="N243" s="5" t="s">
        <v>1536</v>
      </c>
      <c r="O243" s="7">
        <v>46092</v>
      </c>
    </row>
    <row r="244" spans="1:15" hidden="1" x14ac:dyDescent="0.25">
      <c r="A244" s="5" t="s">
        <v>1522</v>
      </c>
      <c r="B244" s="5" t="s">
        <v>2274</v>
      </c>
      <c r="D244" s="5" t="s">
        <v>1506</v>
      </c>
      <c r="E244" s="5" t="s">
        <v>1942</v>
      </c>
      <c r="F244" s="5" t="s">
        <v>2275</v>
      </c>
      <c r="G244" s="6">
        <v>46156.625694444447</v>
      </c>
      <c r="H244" s="7">
        <v>46167</v>
      </c>
      <c r="I244" s="5" t="s">
        <v>1533</v>
      </c>
      <c r="J244" s="7">
        <v>46168</v>
      </c>
      <c r="K244" s="5" t="s">
        <v>1534</v>
      </c>
      <c r="L244" s="5" t="s">
        <v>1528</v>
      </c>
      <c r="M244" s="8">
        <v>850</v>
      </c>
      <c r="N244" s="5" t="s">
        <v>1529</v>
      </c>
      <c r="O244" s="7">
        <v>46168</v>
      </c>
    </row>
    <row r="245" spans="1:15" x14ac:dyDescent="0.25">
      <c r="A245" s="5" t="s">
        <v>4</v>
      </c>
      <c r="B245" s="5" t="s">
        <v>2276</v>
      </c>
      <c r="D245" s="5" t="s">
        <v>958</v>
      </c>
      <c r="E245" s="5" t="s">
        <v>1910</v>
      </c>
      <c r="F245" s="5" t="s">
        <v>1813</v>
      </c>
      <c r="G245" s="6">
        <v>46058.561111111114</v>
      </c>
      <c r="H245" s="7">
        <v>46070</v>
      </c>
      <c r="I245" s="5" t="s">
        <v>1911</v>
      </c>
      <c r="J245" s="7">
        <v>46079</v>
      </c>
      <c r="K245" s="5" t="s">
        <v>1527</v>
      </c>
      <c r="L245" s="5" t="s">
        <v>1535</v>
      </c>
      <c r="M245" s="8">
        <v>847</v>
      </c>
      <c r="N245" s="5" t="s">
        <v>1536</v>
      </c>
      <c r="O245" s="7">
        <v>46079</v>
      </c>
    </row>
    <row r="246" spans="1:15" x14ac:dyDescent="0.25">
      <c r="A246" s="5" t="s">
        <v>4</v>
      </c>
      <c r="B246" s="5" t="s">
        <v>2277</v>
      </c>
      <c r="D246" s="5" t="s">
        <v>1337</v>
      </c>
      <c r="E246" s="5" t="s">
        <v>1910</v>
      </c>
      <c r="F246" s="5" t="s">
        <v>1813</v>
      </c>
      <c r="G246" s="6">
        <v>46058.563194444447</v>
      </c>
      <c r="H246" s="7">
        <v>46070</v>
      </c>
      <c r="I246" s="5" t="s">
        <v>1911</v>
      </c>
      <c r="J246" s="7">
        <v>46079</v>
      </c>
      <c r="K246" s="5" t="s">
        <v>1527</v>
      </c>
      <c r="L246" s="5" t="s">
        <v>1535</v>
      </c>
      <c r="M246" s="8">
        <v>847</v>
      </c>
      <c r="N246" s="5" t="s">
        <v>1536</v>
      </c>
      <c r="O246" s="7">
        <v>46079</v>
      </c>
    </row>
    <row r="247" spans="1:15" x14ac:dyDescent="0.25">
      <c r="A247" s="5" t="s">
        <v>4</v>
      </c>
      <c r="B247" s="5" t="s">
        <v>2278</v>
      </c>
      <c r="D247" s="5" t="s">
        <v>740</v>
      </c>
      <c r="E247" s="5" t="s">
        <v>2279</v>
      </c>
      <c r="F247" s="5" t="s">
        <v>1548</v>
      </c>
      <c r="G247" s="6">
        <v>46030.613888888889</v>
      </c>
      <c r="H247" s="7">
        <v>46037</v>
      </c>
      <c r="I247" s="5" t="s">
        <v>2280</v>
      </c>
      <c r="J247" s="7">
        <v>46042</v>
      </c>
      <c r="K247" s="5" t="s">
        <v>1527</v>
      </c>
      <c r="L247" s="5" t="s">
        <v>1564</v>
      </c>
      <c r="M247" s="8">
        <v>841.15</v>
      </c>
      <c r="N247" s="5" t="s">
        <v>1536</v>
      </c>
      <c r="O247" s="7">
        <v>46042</v>
      </c>
    </row>
    <row r="248" spans="1:15" x14ac:dyDescent="0.25">
      <c r="A248" s="5" t="s">
        <v>4</v>
      </c>
      <c r="B248" s="5" t="s">
        <v>2281</v>
      </c>
      <c r="D248" s="5" t="s">
        <v>1172</v>
      </c>
      <c r="E248" s="5" t="s">
        <v>2282</v>
      </c>
      <c r="F248" s="5" t="s">
        <v>1548</v>
      </c>
      <c r="G248" s="6">
        <v>46043.470833333333</v>
      </c>
      <c r="H248" s="7">
        <v>46056</v>
      </c>
      <c r="I248" s="5" t="s">
        <v>2283</v>
      </c>
      <c r="J248" s="7">
        <v>46043</v>
      </c>
      <c r="K248" s="5" t="s">
        <v>1527</v>
      </c>
      <c r="L248" s="5" t="s">
        <v>1564</v>
      </c>
      <c r="M248" s="8">
        <v>840</v>
      </c>
      <c r="N248" s="5" t="s">
        <v>1536</v>
      </c>
      <c r="O248" s="7">
        <v>46043</v>
      </c>
    </row>
    <row r="249" spans="1:15" hidden="1" x14ac:dyDescent="0.25">
      <c r="A249" s="5" t="s">
        <v>1522</v>
      </c>
      <c r="B249" s="5" t="s">
        <v>2284</v>
      </c>
      <c r="D249" s="5" t="s">
        <v>658</v>
      </c>
      <c r="E249" s="5" t="s">
        <v>2285</v>
      </c>
      <c r="F249" s="5" t="s">
        <v>2286</v>
      </c>
      <c r="G249" s="6">
        <v>46121.713194444441</v>
      </c>
      <c r="H249" s="7">
        <v>46135</v>
      </c>
      <c r="I249" s="5" t="s">
        <v>2287</v>
      </c>
      <c r="J249" s="7">
        <v>46122</v>
      </c>
      <c r="K249" s="5" t="s">
        <v>1527</v>
      </c>
      <c r="L249" s="5" t="s">
        <v>1528</v>
      </c>
      <c r="M249" s="8">
        <v>838</v>
      </c>
      <c r="N249" s="5" t="s">
        <v>1536</v>
      </c>
      <c r="O249" s="7">
        <v>46122</v>
      </c>
    </row>
    <row r="250" spans="1:15" hidden="1" x14ac:dyDescent="0.25">
      <c r="A250" s="5" t="s">
        <v>1522</v>
      </c>
      <c r="B250" s="5" t="s">
        <v>2288</v>
      </c>
      <c r="D250" s="5" t="s">
        <v>1506</v>
      </c>
      <c r="E250" s="5" t="s">
        <v>1942</v>
      </c>
      <c r="F250" s="5" t="s">
        <v>2289</v>
      </c>
      <c r="G250" s="6">
        <v>46140.368750000001</v>
      </c>
      <c r="H250" s="7">
        <v>46149</v>
      </c>
      <c r="I250" s="5" t="s">
        <v>2290</v>
      </c>
      <c r="J250" s="7">
        <v>46150</v>
      </c>
      <c r="K250" s="5" t="s">
        <v>1527</v>
      </c>
      <c r="L250" s="5" t="s">
        <v>1528</v>
      </c>
      <c r="M250" s="8">
        <v>835.65</v>
      </c>
      <c r="N250" s="5" t="s">
        <v>1536</v>
      </c>
      <c r="O250" s="7">
        <v>46150</v>
      </c>
    </row>
    <row r="251" spans="1:15" x14ac:dyDescent="0.25">
      <c r="A251" s="5" t="s">
        <v>4</v>
      </c>
      <c r="B251" s="5" t="s">
        <v>2291</v>
      </c>
      <c r="D251" s="5" t="s">
        <v>770</v>
      </c>
      <c r="E251" s="5" t="s">
        <v>2292</v>
      </c>
      <c r="F251" s="5" t="s">
        <v>1532</v>
      </c>
      <c r="G251" s="6">
        <v>46076.427777777775</v>
      </c>
      <c r="H251" s="7">
        <v>46086</v>
      </c>
      <c r="I251" s="5" t="s">
        <v>2293</v>
      </c>
      <c r="J251" s="7">
        <v>46093</v>
      </c>
      <c r="K251" s="5" t="s">
        <v>1527</v>
      </c>
      <c r="L251" s="5" t="s">
        <v>1535</v>
      </c>
      <c r="M251" s="8">
        <v>835</v>
      </c>
      <c r="N251" s="5" t="s">
        <v>1536</v>
      </c>
      <c r="O251" s="7">
        <v>46093</v>
      </c>
    </row>
    <row r="252" spans="1:15" x14ac:dyDescent="0.25">
      <c r="A252" s="5" t="s">
        <v>4</v>
      </c>
      <c r="B252" s="5" t="s">
        <v>2294</v>
      </c>
      <c r="D252" s="5" t="s">
        <v>1310</v>
      </c>
      <c r="E252" s="5" t="s">
        <v>2295</v>
      </c>
      <c r="F252" s="5" t="s">
        <v>2296</v>
      </c>
      <c r="G252" s="6">
        <v>46056.666666666664</v>
      </c>
      <c r="H252" s="7">
        <v>46065</v>
      </c>
      <c r="I252" s="5" t="s">
        <v>2297</v>
      </c>
      <c r="J252" s="7">
        <v>46073</v>
      </c>
      <c r="K252" s="5" t="s">
        <v>1527</v>
      </c>
      <c r="L252" s="5" t="s">
        <v>1535</v>
      </c>
      <c r="M252" s="8">
        <v>834</v>
      </c>
      <c r="N252" s="5" t="s">
        <v>1536</v>
      </c>
      <c r="O252" s="7">
        <v>46073</v>
      </c>
    </row>
    <row r="253" spans="1:15" x14ac:dyDescent="0.25">
      <c r="A253" s="5" t="s">
        <v>4</v>
      </c>
      <c r="B253" s="5" t="s">
        <v>2298</v>
      </c>
      <c r="D253" s="5" t="s">
        <v>304</v>
      </c>
      <c r="E253" s="5" t="s">
        <v>2299</v>
      </c>
      <c r="F253" s="5" t="s">
        <v>2300</v>
      </c>
      <c r="G253" s="6">
        <v>46141.470138888886</v>
      </c>
      <c r="H253" s="7">
        <v>46155</v>
      </c>
      <c r="I253" s="6">
        <v>46148.597916666666</v>
      </c>
      <c r="J253" s="7">
        <v>46148</v>
      </c>
      <c r="K253" s="5" t="s">
        <v>1527</v>
      </c>
      <c r="L253" s="5" t="s">
        <v>1564</v>
      </c>
      <c r="M253" s="8">
        <v>832.6</v>
      </c>
      <c r="N253" s="5" t="s">
        <v>1536</v>
      </c>
      <c r="O253" s="7">
        <v>46148</v>
      </c>
    </row>
    <row r="254" spans="1:15" x14ac:dyDescent="0.25">
      <c r="A254" s="5" t="s">
        <v>4</v>
      </c>
      <c r="B254" s="5" t="s">
        <v>2301</v>
      </c>
      <c r="D254" s="5" t="s">
        <v>1298</v>
      </c>
      <c r="E254" s="5" t="s">
        <v>2302</v>
      </c>
      <c r="F254" s="5" t="s">
        <v>1759</v>
      </c>
      <c r="G254" s="6">
        <v>46062.374305555553</v>
      </c>
      <c r="H254" s="7">
        <v>46069</v>
      </c>
      <c r="I254" s="5" t="s">
        <v>2303</v>
      </c>
      <c r="J254" s="7">
        <v>46073</v>
      </c>
      <c r="K254" s="5" t="s">
        <v>1527</v>
      </c>
      <c r="L254" s="5" t="s">
        <v>1564</v>
      </c>
      <c r="M254" s="8">
        <v>832</v>
      </c>
      <c r="N254" s="5" t="s">
        <v>1536</v>
      </c>
      <c r="O254" s="7">
        <v>46073</v>
      </c>
    </row>
    <row r="255" spans="1:15" x14ac:dyDescent="0.25">
      <c r="A255" s="5" t="s">
        <v>4</v>
      </c>
      <c r="B255" s="5" t="s">
        <v>2304</v>
      </c>
      <c r="D255" s="5" t="s">
        <v>760</v>
      </c>
      <c r="E255" s="5" t="s">
        <v>2305</v>
      </c>
      <c r="F255" s="5" t="s">
        <v>2306</v>
      </c>
      <c r="G255" s="6">
        <v>46105.40902777778</v>
      </c>
      <c r="H255" s="7">
        <v>46119</v>
      </c>
      <c r="I255" s="6">
        <v>46108.65347222222</v>
      </c>
      <c r="J255" s="7">
        <v>46108</v>
      </c>
      <c r="K255" s="5" t="s">
        <v>1527</v>
      </c>
      <c r="L255" s="5" t="s">
        <v>1564</v>
      </c>
      <c r="M255" s="8">
        <v>830</v>
      </c>
      <c r="N255" s="5" t="s">
        <v>1536</v>
      </c>
      <c r="O255" s="7">
        <v>46108</v>
      </c>
    </row>
    <row r="256" spans="1:15" x14ac:dyDescent="0.25">
      <c r="A256" s="5" t="s">
        <v>4</v>
      </c>
      <c r="B256" s="5" t="s">
        <v>2307</v>
      </c>
      <c r="D256" s="5" t="s">
        <v>835</v>
      </c>
      <c r="E256" s="5" t="s">
        <v>1910</v>
      </c>
      <c r="F256" s="5" t="s">
        <v>1813</v>
      </c>
      <c r="G256" s="6">
        <v>46058.682638888888</v>
      </c>
      <c r="H256" s="7">
        <v>46070</v>
      </c>
      <c r="I256" s="5" t="s">
        <v>2308</v>
      </c>
      <c r="J256" s="7">
        <v>46079</v>
      </c>
      <c r="K256" s="5" t="s">
        <v>1527</v>
      </c>
      <c r="L256" s="5" t="s">
        <v>1535</v>
      </c>
      <c r="M256" s="8">
        <v>827.12</v>
      </c>
      <c r="N256" s="5" t="s">
        <v>1536</v>
      </c>
      <c r="O256" s="7">
        <v>46079</v>
      </c>
    </row>
    <row r="257" spans="1:15" hidden="1" x14ac:dyDescent="0.25">
      <c r="A257" s="5" t="s">
        <v>1522</v>
      </c>
      <c r="B257" s="5" t="s">
        <v>2309</v>
      </c>
      <c r="D257" s="5" t="s">
        <v>1477</v>
      </c>
      <c r="E257" s="5" t="s">
        <v>2310</v>
      </c>
      <c r="F257" s="5" t="s">
        <v>2311</v>
      </c>
      <c r="G257" s="6">
        <v>46163.462500000001</v>
      </c>
      <c r="H257" s="7">
        <v>46171</v>
      </c>
      <c r="I257" s="5" t="s">
        <v>1533</v>
      </c>
      <c r="J257" s="5" t="s">
        <v>1533</v>
      </c>
      <c r="K257" s="5" t="s">
        <v>1534</v>
      </c>
      <c r="L257" s="5" t="s">
        <v>1528</v>
      </c>
      <c r="M257" s="8">
        <v>826</v>
      </c>
      <c r="N257" s="5" t="s">
        <v>1541</v>
      </c>
      <c r="O257" s="5" t="s">
        <v>1533</v>
      </c>
    </row>
    <row r="258" spans="1:15" x14ac:dyDescent="0.25">
      <c r="A258" s="5" t="s">
        <v>4</v>
      </c>
      <c r="B258" s="5" t="s">
        <v>2312</v>
      </c>
      <c r="D258" s="5" t="s">
        <v>30</v>
      </c>
      <c r="E258" s="5" t="s">
        <v>2313</v>
      </c>
      <c r="F258" s="5" t="s">
        <v>2314</v>
      </c>
      <c r="G258" s="6">
        <v>46126.324305555558</v>
      </c>
      <c r="H258" s="7">
        <v>46140</v>
      </c>
      <c r="I258" s="6">
        <v>46135.627083333333</v>
      </c>
      <c r="J258" s="7">
        <v>46135</v>
      </c>
      <c r="K258" s="5" t="s">
        <v>1527</v>
      </c>
      <c r="L258" s="5" t="s">
        <v>1564</v>
      </c>
      <c r="M258" s="8">
        <v>825</v>
      </c>
      <c r="N258" s="5" t="s">
        <v>1536</v>
      </c>
      <c r="O258" s="7">
        <v>46135</v>
      </c>
    </row>
    <row r="259" spans="1:15" x14ac:dyDescent="0.25">
      <c r="A259" s="5" t="s">
        <v>4</v>
      </c>
      <c r="B259" s="5" t="s">
        <v>2315</v>
      </c>
      <c r="D259" s="5" t="s">
        <v>1318</v>
      </c>
      <c r="E259" s="5" t="s">
        <v>2316</v>
      </c>
      <c r="F259" s="5" t="s">
        <v>2317</v>
      </c>
      <c r="G259" s="6">
        <v>46170.461805555555</v>
      </c>
      <c r="H259" s="7">
        <v>46181</v>
      </c>
      <c r="I259" s="6">
        <v>46175.755555555559</v>
      </c>
      <c r="J259" s="7">
        <v>46175</v>
      </c>
      <c r="K259" s="5" t="s">
        <v>1527</v>
      </c>
      <c r="L259" s="5" t="s">
        <v>1564</v>
      </c>
      <c r="M259" s="8">
        <v>819</v>
      </c>
      <c r="N259" s="5" t="s">
        <v>1529</v>
      </c>
      <c r="O259" s="7">
        <v>46175</v>
      </c>
    </row>
    <row r="260" spans="1:15" hidden="1" x14ac:dyDescent="0.25">
      <c r="A260" s="5" t="s">
        <v>1522</v>
      </c>
      <c r="B260" s="5" t="s">
        <v>2318</v>
      </c>
      <c r="D260" s="5" t="s">
        <v>217</v>
      </c>
      <c r="E260" s="5" t="s">
        <v>2319</v>
      </c>
      <c r="F260" s="5" t="s">
        <v>2320</v>
      </c>
      <c r="G260" s="6">
        <v>46170.636111111111</v>
      </c>
      <c r="H260" s="7">
        <v>46178</v>
      </c>
      <c r="I260" s="5" t="s">
        <v>1533</v>
      </c>
      <c r="J260" s="7">
        <v>46176</v>
      </c>
      <c r="K260" s="5" t="s">
        <v>1534</v>
      </c>
      <c r="L260" s="5" t="s">
        <v>1528</v>
      </c>
      <c r="M260" s="8">
        <v>812.5</v>
      </c>
      <c r="N260" s="5" t="s">
        <v>1529</v>
      </c>
      <c r="O260" s="7">
        <v>46176</v>
      </c>
    </row>
    <row r="261" spans="1:15" x14ac:dyDescent="0.25">
      <c r="A261" s="5" t="s">
        <v>4</v>
      </c>
      <c r="B261" s="5" t="s">
        <v>2321</v>
      </c>
      <c r="D261" s="5" t="s">
        <v>1335</v>
      </c>
      <c r="E261" s="5" t="s">
        <v>2322</v>
      </c>
      <c r="F261" s="5" t="s">
        <v>1738</v>
      </c>
      <c r="G261" s="6">
        <v>46086.543055555558</v>
      </c>
      <c r="H261" s="7">
        <v>46099</v>
      </c>
      <c r="I261" s="5" t="s">
        <v>2323</v>
      </c>
      <c r="J261" s="7">
        <v>46104</v>
      </c>
      <c r="K261" s="5" t="s">
        <v>1527</v>
      </c>
      <c r="L261" s="5" t="s">
        <v>1564</v>
      </c>
      <c r="M261" s="8">
        <v>808</v>
      </c>
      <c r="N261" s="5" t="s">
        <v>1536</v>
      </c>
      <c r="O261" s="7">
        <v>46104</v>
      </c>
    </row>
    <row r="262" spans="1:15" x14ac:dyDescent="0.25">
      <c r="A262" s="5" t="s">
        <v>4</v>
      </c>
      <c r="B262" s="5" t="s">
        <v>2324</v>
      </c>
      <c r="D262" s="5" t="s">
        <v>320</v>
      </c>
      <c r="E262" s="5" t="s">
        <v>2325</v>
      </c>
      <c r="F262" s="5" t="s">
        <v>2326</v>
      </c>
      <c r="G262" s="6">
        <v>46167.476388888892</v>
      </c>
      <c r="H262" s="7">
        <v>46177</v>
      </c>
      <c r="I262" s="5" t="s">
        <v>1533</v>
      </c>
      <c r="J262" s="5" t="s">
        <v>1533</v>
      </c>
      <c r="K262" s="5" t="s">
        <v>1534</v>
      </c>
      <c r="L262" s="5" t="s">
        <v>1535</v>
      </c>
      <c r="M262" s="8">
        <v>803.3</v>
      </c>
      <c r="N262" s="5" t="s">
        <v>1541</v>
      </c>
      <c r="O262" s="5" t="s">
        <v>1533</v>
      </c>
    </row>
    <row r="263" spans="1:15" ht="15" customHeight="1" x14ac:dyDescent="0.25">
      <c r="A263" s="5" t="s">
        <v>4</v>
      </c>
      <c r="B263" s="5" t="s">
        <v>2327</v>
      </c>
      <c r="D263" s="5" t="s">
        <v>1313</v>
      </c>
      <c r="E263" s="5" t="s">
        <v>2131</v>
      </c>
      <c r="F263" s="5" t="s">
        <v>1532</v>
      </c>
      <c r="G263" s="6">
        <v>46153.661111111112</v>
      </c>
      <c r="H263" s="7">
        <v>46164</v>
      </c>
      <c r="I263" s="5" t="s">
        <v>2328</v>
      </c>
      <c r="J263" s="7">
        <v>46178</v>
      </c>
      <c r="K263" s="5" t="s">
        <v>1527</v>
      </c>
      <c r="L263" s="5" t="s">
        <v>1535</v>
      </c>
      <c r="M263" s="8">
        <v>801</v>
      </c>
      <c r="N263" s="5" t="s">
        <v>1529</v>
      </c>
      <c r="O263" s="7">
        <v>46178</v>
      </c>
    </row>
    <row r="264" spans="1:15" hidden="1" x14ac:dyDescent="0.25">
      <c r="A264" s="5" t="s">
        <v>1522</v>
      </c>
      <c r="B264" s="5" t="s">
        <v>2329</v>
      </c>
      <c r="D264" s="5" t="s">
        <v>1440</v>
      </c>
      <c r="E264" s="5" t="s">
        <v>1878</v>
      </c>
      <c r="F264" s="5" t="s">
        <v>2330</v>
      </c>
      <c r="G264" s="6">
        <v>46086.599305555559</v>
      </c>
      <c r="H264" s="7">
        <v>46094</v>
      </c>
      <c r="I264" s="5" t="s">
        <v>1533</v>
      </c>
      <c r="J264" s="7">
        <v>46101</v>
      </c>
      <c r="K264" s="5" t="s">
        <v>1534</v>
      </c>
      <c r="L264" s="5" t="s">
        <v>1528</v>
      </c>
      <c r="M264" s="8">
        <v>800</v>
      </c>
      <c r="N264" s="5" t="s">
        <v>1536</v>
      </c>
      <c r="O264" s="7">
        <v>46101</v>
      </c>
    </row>
    <row r="265" spans="1:15" x14ac:dyDescent="0.25">
      <c r="A265" s="5" t="s">
        <v>4</v>
      </c>
      <c r="B265" s="5" t="s">
        <v>2331</v>
      </c>
      <c r="D265" s="5" t="s">
        <v>1446</v>
      </c>
      <c r="E265" s="5" t="s">
        <v>2332</v>
      </c>
      <c r="F265" s="5" t="s">
        <v>1548</v>
      </c>
      <c r="G265" s="6">
        <v>46045.702777777777</v>
      </c>
      <c r="H265" s="7">
        <v>46058</v>
      </c>
      <c r="I265" s="5" t="s">
        <v>2333</v>
      </c>
      <c r="J265" s="7">
        <v>46052</v>
      </c>
      <c r="K265" s="5" t="s">
        <v>1527</v>
      </c>
      <c r="L265" s="5" t="s">
        <v>1564</v>
      </c>
      <c r="M265" s="9">
        <v>800</v>
      </c>
      <c r="N265" s="5" t="s">
        <v>1536</v>
      </c>
      <c r="O265" s="7">
        <v>46052</v>
      </c>
    </row>
    <row r="266" spans="1:15" x14ac:dyDescent="0.25">
      <c r="A266" s="5" t="s">
        <v>4</v>
      </c>
      <c r="B266" s="5" t="s">
        <v>2334</v>
      </c>
      <c r="D266" s="5" t="s">
        <v>230</v>
      </c>
      <c r="E266" s="5" t="s">
        <v>2335</v>
      </c>
      <c r="F266" s="5" t="s">
        <v>1738</v>
      </c>
      <c r="G266" s="6">
        <v>46106.418055555558</v>
      </c>
      <c r="H266" s="7">
        <v>46120</v>
      </c>
      <c r="I266" s="5" t="s">
        <v>2336</v>
      </c>
      <c r="J266" s="7">
        <v>46126</v>
      </c>
      <c r="K266" s="5" t="s">
        <v>1527</v>
      </c>
      <c r="L266" s="5" t="s">
        <v>1564</v>
      </c>
      <c r="M266" s="8">
        <v>800</v>
      </c>
      <c r="N266" s="5" t="s">
        <v>1536</v>
      </c>
      <c r="O266" s="7">
        <v>46126</v>
      </c>
    </row>
    <row r="267" spans="1:15" x14ac:dyDescent="0.25">
      <c r="A267" s="5" t="s">
        <v>4</v>
      </c>
      <c r="B267" s="5" t="s">
        <v>2337</v>
      </c>
      <c r="D267" s="5" t="s">
        <v>1323</v>
      </c>
      <c r="E267" s="5" t="s">
        <v>2338</v>
      </c>
      <c r="F267" s="5" t="s">
        <v>1813</v>
      </c>
      <c r="G267" s="6">
        <v>46098.56527777778</v>
      </c>
      <c r="H267" s="7">
        <v>46108</v>
      </c>
      <c r="I267" s="6">
        <v>46108.65347222222</v>
      </c>
      <c r="J267" s="7">
        <v>46108</v>
      </c>
      <c r="K267" s="5" t="s">
        <v>1527</v>
      </c>
      <c r="L267" s="5" t="s">
        <v>1535</v>
      </c>
      <c r="M267" s="8">
        <v>799.6</v>
      </c>
      <c r="N267" s="5" t="s">
        <v>1536</v>
      </c>
      <c r="O267" s="7">
        <v>46108</v>
      </c>
    </row>
    <row r="268" spans="1:15" x14ac:dyDescent="0.25">
      <c r="A268" s="5" t="s">
        <v>4</v>
      </c>
      <c r="B268" s="5" t="s">
        <v>2339</v>
      </c>
      <c r="D268" s="5" t="s">
        <v>314</v>
      </c>
      <c r="E268" s="5" t="s">
        <v>2340</v>
      </c>
      <c r="F268" s="5" t="s">
        <v>2341</v>
      </c>
      <c r="G268" s="6">
        <v>46073.470833333333</v>
      </c>
      <c r="H268" s="7">
        <v>46085</v>
      </c>
      <c r="I268" s="5" t="s">
        <v>2342</v>
      </c>
      <c r="J268" s="7">
        <v>46080</v>
      </c>
      <c r="K268" s="5" t="s">
        <v>1527</v>
      </c>
      <c r="L268" s="5" t="s">
        <v>1535</v>
      </c>
      <c r="M268" s="8">
        <v>799.1</v>
      </c>
      <c r="N268" s="5" t="s">
        <v>1536</v>
      </c>
      <c r="O268" s="7">
        <v>46080</v>
      </c>
    </row>
    <row r="269" spans="1:15" hidden="1" x14ac:dyDescent="0.25">
      <c r="A269" s="5" t="s">
        <v>1522</v>
      </c>
      <c r="B269" s="5" t="s">
        <v>2343</v>
      </c>
      <c r="D269" s="5" t="s">
        <v>1492</v>
      </c>
      <c r="E269" s="5" t="s">
        <v>2344</v>
      </c>
      <c r="F269" s="5" t="s">
        <v>1548</v>
      </c>
      <c r="G269" s="6">
        <v>46042.722222222219</v>
      </c>
      <c r="H269" s="7">
        <v>46051</v>
      </c>
      <c r="I269" s="5" t="s">
        <v>2345</v>
      </c>
      <c r="J269" s="7">
        <v>46055</v>
      </c>
      <c r="K269" s="5" t="s">
        <v>1527</v>
      </c>
      <c r="L269" s="5" t="s">
        <v>1528</v>
      </c>
      <c r="M269" s="8">
        <v>798</v>
      </c>
      <c r="N269" s="5" t="s">
        <v>1536</v>
      </c>
      <c r="O269" s="7">
        <v>46055</v>
      </c>
    </row>
    <row r="270" spans="1:15" hidden="1" x14ac:dyDescent="0.25">
      <c r="A270" s="5" t="s">
        <v>1522</v>
      </c>
      <c r="B270" s="5" t="s">
        <v>2346</v>
      </c>
      <c r="D270" s="5" t="s">
        <v>1300</v>
      </c>
      <c r="E270" s="5" t="s">
        <v>2347</v>
      </c>
      <c r="F270" s="5" t="s">
        <v>2348</v>
      </c>
      <c r="G270" s="6">
        <v>46146.572916666664</v>
      </c>
      <c r="H270" s="7">
        <v>46154</v>
      </c>
      <c r="I270" s="5" t="s">
        <v>2349</v>
      </c>
      <c r="J270" s="7">
        <v>46156</v>
      </c>
      <c r="K270" s="5" t="s">
        <v>1527</v>
      </c>
      <c r="L270" s="5" t="s">
        <v>1528</v>
      </c>
      <c r="M270" s="8">
        <v>796.8</v>
      </c>
      <c r="N270" s="5" t="s">
        <v>1536</v>
      </c>
      <c r="O270" s="7">
        <v>46156</v>
      </c>
    </row>
    <row r="271" spans="1:15" x14ac:dyDescent="0.25">
      <c r="A271" s="5" t="s">
        <v>4</v>
      </c>
      <c r="B271" s="5" t="s">
        <v>2350</v>
      </c>
      <c r="D271" s="5" t="s">
        <v>560</v>
      </c>
      <c r="E271" s="5" t="s">
        <v>2351</v>
      </c>
      <c r="F271" s="5" t="s">
        <v>1742</v>
      </c>
      <c r="G271" s="6">
        <v>46049.632638888892</v>
      </c>
      <c r="H271" s="7">
        <v>46058</v>
      </c>
      <c r="I271" s="5" t="s">
        <v>2352</v>
      </c>
      <c r="J271" s="7">
        <v>46064</v>
      </c>
      <c r="K271" s="5" t="s">
        <v>1527</v>
      </c>
      <c r="L271" s="5" t="s">
        <v>1535</v>
      </c>
      <c r="M271" s="8">
        <v>790</v>
      </c>
      <c r="N271" s="5" t="s">
        <v>1536</v>
      </c>
      <c r="O271" s="7">
        <v>46064</v>
      </c>
    </row>
    <row r="272" spans="1:15" x14ac:dyDescent="0.25">
      <c r="A272" s="5" t="s">
        <v>4</v>
      </c>
      <c r="B272" s="5" t="s">
        <v>2353</v>
      </c>
      <c r="D272" s="5" t="s">
        <v>572</v>
      </c>
      <c r="E272" s="5" t="s">
        <v>2354</v>
      </c>
      <c r="F272" s="5" t="s">
        <v>1770</v>
      </c>
      <c r="G272" s="6">
        <v>46065.695833333331</v>
      </c>
      <c r="H272" s="7">
        <v>46079</v>
      </c>
      <c r="I272" s="5" t="s">
        <v>2355</v>
      </c>
      <c r="J272" s="7">
        <v>46085</v>
      </c>
      <c r="K272" s="5" t="s">
        <v>1527</v>
      </c>
      <c r="L272" s="5" t="s">
        <v>1564</v>
      </c>
      <c r="M272" s="8">
        <v>790</v>
      </c>
      <c r="N272" s="5" t="s">
        <v>1536</v>
      </c>
      <c r="O272" s="7">
        <v>46085</v>
      </c>
    </row>
    <row r="273" spans="1:15" x14ac:dyDescent="0.25">
      <c r="A273" s="5" t="s">
        <v>4</v>
      </c>
      <c r="B273" s="5" t="s">
        <v>2356</v>
      </c>
      <c r="D273" s="5" t="s">
        <v>1010</v>
      </c>
      <c r="E273" s="5" t="s">
        <v>2357</v>
      </c>
      <c r="F273" s="5" t="s">
        <v>2358</v>
      </c>
      <c r="G273" s="6">
        <v>46092.373611111114</v>
      </c>
      <c r="H273" s="7">
        <v>46105</v>
      </c>
      <c r="I273" s="6">
        <v>46098.661111111112</v>
      </c>
      <c r="J273" s="7">
        <v>46098</v>
      </c>
      <c r="K273" s="5" t="s">
        <v>1527</v>
      </c>
      <c r="L273" s="5" t="s">
        <v>1564</v>
      </c>
      <c r="M273" s="9">
        <v>790</v>
      </c>
      <c r="N273" s="5" t="s">
        <v>1536</v>
      </c>
      <c r="O273" s="7">
        <v>46098</v>
      </c>
    </row>
    <row r="274" spans="1:15" x14ac:dyDescent="0.25">
      <c r="A274" s="5" t="s">
        <v>4</v>
      </c>
      <c r="B274" s="5" t="s">
        <v>2359</v>
      </c>
      <c r="D274" s="5" t="s">
        <v>856</v>
      </c>
      <c r="E274" s="5" t="s">
        <v>2360</v>
      </c>
      <c r="F274" s="5" t="s">
        <v>2361</v>
      </c>
      <c r="G274" s="6">
        <v>46139.597916666666</v>
      </c>
      <c r="H274" s="7">
        <v>46153</v>
      </c>
      <c r="I274" s="6">
        <v>46148.599305555559</v>
      </c>
      <c r="J274" s="7">
        <v>46142</v>
      </c>
      <c r="K274" s="5" t="s">
        <v>1527</v>
      </c>
      <c r="L274" s="5" t="s">
        <v>1564</v>
      </c>
      <c r="M274" s="8">
        <v>787.5</v>
      </c>
      <c r="N274" s="5" t="s">
        <v>1536</v>
      </c>
      <c r="O274" s="7">
        <v>46142</v>
      </c>
    </row>
    <row r="275" spans="1:15" x14ac:dyDescent="0.25">
      <c r="A275" s="5" t="s">
        <v>4</v>
      </c>
      <c r="B275" s="5" t="s">
        <v>2362</v>
      </c>
      <c r="D275" s="5" t="s">
        <v>1162</v>
      </c>
      <c r="E275" s="5" t="s">
        <v>2363</v>
      </c>
      <c r="F275" s="5" t="s">
        <v>1813</v>
      </c>
      <c r="G275" s="6">
        <v>46149.35</v>
      </c>
      <c r="H275" s="7">
        <v>46161</v>
      </c>
      <c r="I275" s="6">
        <v>46161.7</v>
      </c>
      <c r="J275" s="7">
        <v>46161</v>
      </c>
      <c r="K275" s="5" t="s">
        <v>1527</v>
      </c>
      <c r="L275" s="5" t="s">
        <v>1535</v>
      </c>
      <c r="M275" s="8">
        <v>787.5</v>
      </c>
      <c r="N275" s="5" t="s">
        <v>1536</v>
      </c>
      <c r="O275" s="7">
        <v>46161</v>
      </c>
    </row>
    <row r="276" spans="1:15" x14ac:dyDescent="0.25">
      <c r="A276" s="5" t="s">
        <v>4</v>
      </c>
      <c r="B276" s="5" t="s">
        <v>2364</v>
      </c>
      <c r="D276" s="5" t="s">
        <v>1048</v>
      </c>
      <c r="E276" s="5" t="s">
        <v>2365</v>
      </c>
      <c r="F276" s="5" t="s">
        <v>2366</v>
      </c>
      <c r="G276" s="6">
        <v>46073.657638888886</v>
      </c>
      <c r="H276" s="7">
        <v>46080</v>
      </c>
      <c r="I276" s="5" t="s">
        <v>2367</v>
      </c>
      <c r="J276" s="7">
        <v>46080</v>
      </c>
      <c r="K276" s="5" t="s">
        <v>1527</v>
      </c>
      <c r="L276" s="5" t="s">
        <v>1621</v>
      </c>
      <c r="M276" s="8">
        <v>785.56</v>
      </c>
      <c r="N276" s="5" t="s">
        <v>1536</v>
      </c>
      <c r="O276" s="7">
        <v>46080</v>
      </c>
    </row>
    <row r="277" spans="1:15" x14ac:dyDescent="0.25">
      <c r="A277" s="5" t="s">
        <v>4</v>
      </c>
      <c r="B277" s="5" t="s">
        <v>2368</v>
      </c>
      <c r="D277" s="5" t="s">
        <v>1389</v>
      </c>
      <c r="E277" s="5" t="s">
        <v>1747</v>
      </c>
      <c r="F277" s="5" t="s">
        <v>1813</v>
      </c>
      <c r="G277" s="6">
        <v>46162.737500000003</v>
      </c>
      <c r="H277" s="7">
        <v>46171</v>
      </c>
      <c r="I277" s="5" t="s">
        <v>2369</v>
      </c>
      <c r="J277" s="7">
        <v>46176</v>
      </c>
      <c r="K277" s="5" t="s">
        <v>1527</v>
      </c>
      <c r="L277" s="5" t="s">
        <v>1535</v>
      </c>
      <c r="M277" s="8">
        <v>780.6</v>
      </c>
      <c r="N277" s="5" t="s">
        <v>1529</v>
      </c>
      <c r="O277" s="7">
        <v>46176</v>
      </c>
    </row>
    <row r="278" spans="1:15" x14ac:dyDescent="0.25">
      <c r="A278" s="5" t="s">
        <v>4</v>
      </c>
      <c r="B278" s="5" t="s">
        <v>2370</v>
      </c>
      <c r="D278" s="5" t="s">
        <v>744</v>
      </c>
      <c r="E278" s="5" t="s">
        <v>2371</v>
      </c>
      <c r="F278" s="5" t="s">
        <v>2074</v>
      </c>
      <c r="G278" s="6">
        <v>46073.532638888886</v>
      </c>
      <c r="H278" s="7">
        <v>46086</v>
      </c>
      <c r="I278" s="6">
        <v>46079.619444444441</v>
      </c>
      <c r="J278" s="7">
        <v>46079</v>
      </c>
      <c r="K278" s="5" t="s">
        <v>1527</v>
      </c>
      <c r="L278" s="5" t="s">
        <v>1564</v>
      </c>
      <c r="M278" s="8">
        <v>775</v>
      </c>
      <c r="N278" s="5" t="s">
        <v>1536</v>
      </c>
      <c r="O278" s="7">
        <v>46079</v>
      </c>
    </row>
    <row r="279" spans="1:15" ht="15" customHeight="1" x14ac:dyDescent="0.25">
      <c r="A279" s="5" t="s">
        <v>4</v>
      </c>
      <c r="B279" s="5" t="s">
        <v>2372</v>
      </c>
      <c r="D279" s="5" t="s">
        <v>1451</v>
      </c>
      <c r="E279" s="5" t="s">
        <v>2373</v>
      </c>
      <c r="F279" s="5" t="s">
        <v>1532</v>
      </c>
      <c r="G279" s="6">
        <v>46154.396527777775</v>
      </c>
      <c r="H279" s="7">
        <v>46164</v>
      </c>
      <c r="I279" s="6">
        <v>46164.697916666664</v>
      </c>
      <c r="J279" s="7">
        <v>46164</v>
      </c>
      <c r="K279" s="5" t="s">
        <v>1527</v>
      </c>
      <c r="L279" s="5" t="s">
        <v>1535</v>
      </c>
      <c r="M279" s="8">
        <v>774.25</v>
      </c>
      <c r="N279" s="5" t="s">
        <v>1536</v>
      </c>
      <c r="O279" s="7">
        <v>46164</v>
      </c>
    </row>
    <row r="280" spans="1:15" hidden="1" x14ac:dyDescent="0.25">
      <c r="A280" s="5" t="s">
        <v>1522</v>
      </c>
      <c r="B280" s="5" t="s">
        <v>2374</v>
      </c>
      <c r="D280" s="5" t="s">
        <v>1493</v>
      </c>
      <c r="E280" s="5" t="s">
        <v>2375</v>
      </c>
      <c r="F280" s="5" t="s">
        <v>2376</v>
      </c>
      <c r="G280" s="6">
        <v>46170.613888888889</v>
      </c>
      <c r="H280" s="7">
        <v>46178</v>
      </c>
      <c r="I280" s="5" t="s">
        <v>1533</v>
      </c>
      <c r="J280" s="5" t="s">
        <v>1533</v>
      </c>
      <c r="K280" s="5" t="s">
        <v>1534</v>
      </c>
      <c r="L280" s="5" t="s">
        <v>1528</v>
      </c>
      <c r="M280" s="8">
        <v>773.9</v>
      </c>
      <c r="N280" s="5" t="s">
        <v>1541</v>
      </c>
      <c r="O280" s="5" t="s">
        <v>1533</v>
      </c>
    </row>
    <row r="281" spans="1:15" x14ac:dyDescent="0.25">
      <c r="A281" s="5" t="s">
        <v>4</v>
      </c>
      <c r="B281" s="5" t="s">
        <v>2377</v>
      </c>
      <c r="D281" s="5" t="s">
        <v>1354</v>
      </c>
      <c r="E281" s="5" t="s">
        <v>2378</v>
      </c>
      <c r="F281" s="5" t="s">
        <v>2379</v>
      </c>
      <c r="G281" s="6">
        <v>46090.691666666666</v>
      </c>
      <c r="H281" s="7">
        <v>46101</v>
      </c>
      <c r="I281" s="6">
        <v>46101.633333333331</v>
      </c>
      <c r="J281" s="7">
        <v>46090</v>
      </c>
      <c r="K281" s="5" t="s">
        <v>1527</v>
      </c>
      <c r="L281" s="5" t="s">
        <v>1564</v>
      </c>
      <c r="M281" s="9">
        <v>771.9</v>
      </c>
      <c r="N281" s="5" t="s">
        <v>1536</v>
      </c>
      <c r="O281" s="7">
        <v>46090</v>
      </c>
    </row>
    <row r="282" spans="1:15" x14ac:dyDescent="0.25">
      <c r="A282" s="5" t="s">
        <v>4</v>
      </c>
      <c r="B282" s="5" t="s">
        <v>2380</v>
      </c>
      <c r="D282" s="5" t="s">
        <v>1383</v>
      </c>
      <c r="E282" s="5" t="s">
        <v>1785</v>
      </c>
      <c r="F282" s="5" t="s">
        <v>2381</v>
      </c>
      <c r="G282" s="6">
        <v>46052.656944444447</v>
      </c>
      <c r="H282" s="7">
        <v>46059</v>
      </c>
      <c r="I282" s="5" t="s">
        <v>2382</v>
      </c>
      <c r="J282" s="7">
        <v>46058</v>
      </c>
      <c r="K282" s="5" t="s">
        <v>1527</v>
      </c>
      <c r="L282" s="5" t="s">
        <v>1535</v>
      </c>
      <c r="M282" s="8">
        <v>769.9</v>
      </c>
      <c r="N282" s="5" t="s">
        <v>1536</v>
      </c>
      <c r="O282" s="7">
        <v>46058</v>
      </c>
    </row>
    <row r="283" spans="1:15" x14ac:dyDescent="0.25">
      <c r="A283" s="5" t="s">
        <v>4</v>
      </c>
      <c r="B283" s="5" t="s">
        <v>2383</v>
      </c>
      <c r="D283" s="5" t="s">
        <v>98</v>
      </c>
      <c r="E283" s="5" t="s">
        <v>2384</v>
      </c>
      <c r="F283" s="5" t="s">
        <v>2118</v>
      </c>
      <c r="G283" s="6">
        <v>46148.684027777781</v>
      </c>
      <c r="H283" s="7">
        <v>46160</v>
      </c>
      <c r="I283" s="5" t="s">
        <v>2385</v>
      </c>
      <c r="J283" s="7">
        <v>46163</v>
      </c>
      <c r="K283" s="5" t="s">
        <v>1527</v>
      </c>
      <c r="L283" s="5" t="s">
        <v>1535</v>
      </c>
      <c r="M283" s="8">
        <v>768.8</v>
      </c>
      <c r="N283" s="5" t="s">
        <v>1536</v>
      </c>
      <c r="O283" s="7">
        <v>46163</v>
      </c>
    </row>
    <row r="284" spans="1:15" x14ac:dyDescent="0.25">
      <c r="A284" s="5" t="s">
        <v>4</v>
      </c>
      <c r="B284" s="5" t="s">
        <v>2386</v>
      </c>
      <c r="D284" s="5" t="s">
        <v>1274</v>
      </c>
      <c r="E284" s="5" t="s">
        <v>1603</v>
      </c>
      <c r="F284" s="5" t="s">
        <v>1548</v>
      </c>
      <c r="G284" s="6">
        <v>46037.432638888888</v>
      </c>
      <c r="H284" s="7">
        <v>46050</v>
      </c>
      <c r="I284" s="5" t="s">
        <v>2387</v>
      </c>
      <c r="J284" s="7">
        <v>46057</v>
      </c>
      <c r="K284" s="5" t="s">
        <v>1527</v>
      </c>
      <c r="L284" s="5" t="s">
        <v>1564</v>
      </c>
      <c r="M284" s="8">
        <v>768</v>
      </c>
      <c r="N284" s="5" t="s">
        <v>1536</v>
      </c>
      <c r="O284" s="7">
        <v>46057</v>
      </c>
    </row>
    <row r="285" spans="1:15" hidden="1" x14ac:dyDescent="0.25">
      <c r="A285" s="5" t="s">
        <v>1522</v>
      </c>
      <c r="B285" s="5" t="s">
        <v>2388</v>
      </c>
      <c r="D285" s="5" t="s">
        <v>1504</v>
      </c>
      <c r="E285" s="5" t="s">
        <v>1888</v>
      </c>
      <c r="F285" s="5" t="s">
        <v>1548</v>
      </c>
      <c r="G285" s="6">
        <v>46155.410416666666</v>
      </c>
      <c r="H285" s="7">
        <v>46169</v>
      </c>
      <c r="I285" s="6">
        <v>46169.70416666667</v>
      </c>
      <c r="J285" s="7">
        <v>46169</v>
      </c>
      <c r="K285" s="5" t="s">
        <v>1527</v>
      </c>
      <c r="L285" s="5" t="s">
        <v>1528</v>
      </c>
      <c r="M285" s="8">
        <v>764.9</v>
      </c>
      <c r="N285" s="5" t="s">
        <v>1529</v>
      </c>
      <c r="O285" s="7">
        <v>46169</v>
      </c>
    </row>
    <row r="286" spans="1:15" x14ac:dyDescent="0.25">
      <c r="A286" s="5" t="s">
        <v>4</v>
      </c>
      <c r="B286" s="5" t="s">
        <v>2389</v>
      </c>
      <c r="D286" s="5" t="s">
        <v>367</v>
      </c>
      <c r="E286" s="5" t="s">
        <v>2390</v>
      </c>
      <c r="F286" s="5" t="s">
        <v>1800</v>
      </c>
      <c r="G286" s="6">
        <v>46128.340277777781</v>
      </c>
      <c r="H286" s="7">
        <v>46142</v>
      </c>
      <c r="I286" s="6">
        <v>46140.69027777778</v>
      </c>
      <c r="J286" s="7">
        <v>46140</v>
      </c>
      <c r="K286" s="5" t="s">
        <v>1527</v>
      </c>
      <c r="L286" s="5" t="s">
        <v>1564</v>
      </c>
      <c r="M286" s="8">
        <v>751.8</v>
      </c>
      <c r="N286" s="5" t="s">
        <v>1536</v>
      </c>
      <c r="O286" s="7">
        <v>46140</v>
      </c>
    </row>
    <row r="287" spans="1:15" x14ac:dyDescent="0.25">
      <c r="A287" s="5" t="s">
        <v>4</v>
      </c>
      <c r="B287" s="5" t="s">
        <v>2391</v>
      </c>
      <c r="D287" s="5" t="s">
        <v>1334</v>
      </c>
      <c r="E287" s="5" t="s">
        <v>2392</v>
      </c>
      <c r="F287" s="5" t="s">
        <v>2393</v>
      </c>
      <c r="G287" s="6">
        <v>46111.659722222219</v>
      </c>
      <c r="H287" s="7">
        <v>46125</v>
      </c>
      <c r="I287" s="6">
        <v>46125.472222222219</v>
      </c>
      <c r="J287" s="7">
        <v>46121</v>
      </c>
      <c r="K287" s="5" t="s">
        <v>1527</v>
      </c>
      <c r="L287" s="5" t="s">
        <v>1564</v>
      </c>
      <c r="M287" s="8">
        <v>745</v>
      </c>
      <c r="N287" s="5" t="s">
        <v>1536</v>
      </c>
      <c r="O287" s="7">
        <v>46121</v>
      </c>
    </row>
    <row r="288" spans="1:15" x14ac:dyDescent="0.25">
      <c r="A288" s="5" t="s">
        <v>4</v>
      </c>
      <c r="B288" s="5" t="s">
        <v>2394</v>
      </c>
      <c r="D288" s="5" t="s">
        <v>1198</v>
      </c>
      <c r="E288" s="5" t="s">
        <v>2395</v>
      </c>
      <c r="F288" s="5" t="s">
        <v>2396</v>
      </c>
      <c r="G288" s="6">
        <v>46142.399305555555</v>
      </c>
      <c r="H288" s="7">
        <v>46156</v>
      </c>
      <c r="I288" s="6">
        <v>46153.59375</v>
      </c>
      <c r="J288" s="7">
        <v>46153</v>
      </c>
      <c r="K288" s="5" t="s">
        <v>1527</v>
      </c>
      <c r="L288" s="5" t="s">
        <v>1564</v>
      </c>
      <c r="M288" s="8">
        <v>743</v>
      </c>
      <c r="N288" s="5" t="s">
        <v>1536</v>
      </c>
      <c r="O288" s="7">
        <v>46153</v>
      </c>
    </row>
    <row r="289" spans="1:15" hidden="1" x14ac:dyDescent="0.25">
      <c r="A289" s="5" t="s">
        <v>1522</v>
      </c>
      <c r="B289" s="5" t="s">
        <v>2397</v>
      </c>
      <c r="D289" s="5" t="s">
        <v>233</v>
      </c>
      <c r="E289" s="5" t="s">
        <v>2398</v>
      </c>
      <c r="F289" s="5" t="s">
        <v>2399</v>
      </c>
      <c r="G289" s="6">
        <v>46045.686805555553</v>
      </c>
      <c r="H289" s="7">
        <v>46057</v>
      </c>
      <c r="I289" s="6">
        <v>46057.663888888892</v>
      </c>
      <c r="J289" s="7">
        <v>46058</v>
      </c>
      <c r="K289" s="5" t="s">
        <v>1527</v>
      </c>
      <c r="L289" s="5" t="s">
        <v>1528</v>
      </c>
      <c r="M289" s="8">
        <v>742.2</v>
      </c>
      <c r="N289" s="5" t="s">
        <v>1536</v>
      </c>
      <c r="O289" s="7">
        <v>46058</v>
      </c>
    </row>
    <row r="290" spans="1:15" hidden="1" x14ac:dyDescent="0.25">
      <c r="A290" s="5" t="s">
        <v>1522</v>
      </c>
      <c r="B290" s="5" t="s">
        <v>2400</v>
      </c>
      <c r="D290" s="5" t="s">
        <v>545</v>
      </c>
      <c r="E290" s="5" t="s">
        <v>2401</v>
      </c>
      <c r="F290" s="5" t="s">
        <v>2402</v>
      </c>
      <c r="G290" s="6">
        <v>46083.695138888892</v>
      </c>
      <c r="H290" s="7">
        <v>46091</v>
      </c>
      <c r="I290" s="5" t="s">
        <v>2403</v>
      </c>
      <c r="J290" s="7">
        <v>46092</v>
      </c>
      <c r="K290" s="5" t="s">
        <v>1527</v>
      </c>
      <c r="L290" s="5" t="s">
        <v>1528</v>
      </c>
      <c r="M290" s="8">
        <v>740</v>
      </c>
      <c r="N290" s="5" t="s">
        <v>1536</v>
      </c>
      <c r="O290" s="7">
        <v>46092</v>
      </c>
    </row>
    <row r="291" spans="1:15" x14ac:dyDescent="0.25">
      <c r="A291" s="5" t="s">
        <v>4</v>
      </c>
      <c r="B291" s="5" t="s">
        <v>2404</v>
      </c>
      <c r="D291" s="5" t="s">
        <v>1104</v>
      </c>
      <c r="E291" s="5" t="s">
        <v>2405</v>
      </c>
      <c r="F291" s="5" t="s">
        <v>2406</v>
      </c>
      <c r="G291" s="6">
        <v>46101.518055555556</v>
      </c>
      <c r="H291" s="7">
        <v>46113</v>
      </c>
      <c r="I291" s="6">
        <v>46111.609027777777</v>
      </c>
      <c r="J291" s="7">
        <v>46111</v>
      </c>
      <c r="K291" s="5" t="s">
        <v>1527</v>
      </c>
      <c r="L291" s="5" t="s">
        <v>1564</v>
      </c>
      <c r="M291" s="8">
        <v>740</v>
      </c>
      <c r="N291" s="5" t="s">
        <v>1536</v>
      </c>
      <c r="O291" s="7">
        <v>46111</v>
      </c>
    </row>
    <row r="292" spans="1:15" x14ac:dyDescent="0.25">
      <c r="A292" s="5" t="s">
        <v>4</v>
      </c>
      <c r="B292" s="5" t="s">
        <v>2407</v>
      </c>
      <c r="D292" s="5" t="s">
        <v>932</v>
      </c>
      <c r="E292" s="5" t="s">
        <v>2408</v>
      </c>
      <c r="F292" s="5" t="s">
        <v>1813</v>
      </c>
      <c r="G292" s="6">
        <v>46142.42083333333</v>
      </c>
      <c r="H292" s="7">
        <v>46155</v>
      </c>
      <c r="I292" s="5" t="s">
        <v>2409</v>
      </c>
      <c r="J292" s="7">
        <v>46156</v>
      </c>
      <c r="K292" s="5" t="s">
        <v>1527</v>
      </c>
      <c r="L292" s="5" t="s">
        <v>1535</v>
      </c>
      <c r="M292" s="8">
        <v>735.6</v>
      </c>
      <c r="N292" s="5" t="s">
        <v>1536</v>
      </c>
      <c r="O292" s="7">
        <v>46156</v>
      </c>
    </row>
    <row r="293" spans="1:15" x14ac:dyDescent="0.25">
      <c r="A293" s="5" t="s">
        <v>4</v>
      </c>
      <c r="B293" s="5" t="s">
        <v>2410</v>
      </c>
      <c r="D293" s="5" t="s">
        <v>85</v>
      </c>
      <c r="E293" s="5" t="s">
        <v>2411</v>
      </c>
      <c r="F293" s="5" t="s">
        <v>1738</v>
      </c>
      <c r="G293" s="6">
        <v>46134.413194444445</v>
      </c>
      <c r="H293" s="7">
        <v>46148</v>
      </c>
      <c r="I293" s="6">
        <v>46147.404861111114</v>
      </c>
      <c r="J293" s="7">
        <v>46139</v>
      </c>
      <c r="K293" s="5" t="s">
        <v>1527</v>
      </c>
      <c r="L293" s="5" t="s">
        <v>1564</v>
      </c>
      <c r="M293" s="8">
        <v>728.6</v>
      </c>
      <c r="N293" s="5" t="s">
        <v>1536</v>
      </c>
      <c r="O293" s="7">
        <v>46139</v>
      </c>
    </row>
    <row r="294" spans="1:15" x14ac:dyDescent="0.25">
      <c r="A294" s="5" t="s">
        <v>4</v>
      </c>
      <c r="B294" s="5" t="s">
        <v>2412</v>
      </c>
      <c r="D294" s="5" t="s">
        <v>403</v>
      </c>
      <c r="E294" s="5" t="s">
        <v>2413</v>
      </c>
      <c r="F294" s="5" t="s">
        <v>1759</v>
      </c>
      <c r="G294" s="6">
        <v>46121.74722222222</v>
      </c>
      <c r="H294" s="7">
        <v>46134</v>
      </c>
      <c r="I294" s="5" t="s">
        <v>2414</v>
      </c>
      <c r="J294" s="7">
        <v>46135</v>
      </c>
      <c r="K294" s="5" t="s">
        <v>1527</v>
      </c>
      <c r="L294" s="5" t="s">
        <v>1564</v>
      </c>
      <c r="M294" s="8">
        <v>725.2</v>
      </c>
      <c r="N294" s="5" t="s">
        <v>1536</v>
      </c>
      <c r="O294" s="7">
        <v>46135</v>
      </c>
    </row>
    <row r="295" spans="1:15" hidden="1" x14ac:dyDescent="0.25">
      <c r="A295" s="5" t="s">
        <v>1522</v>
      </c>
      <c r="B295" s="5" t="s">
        <v>2415</v>
      </c>
      <c r="D295" s="5" t="s">
        <v>447</v>
      </c>
      <c r="E295" s="5" t="s">
        <v>1878</v>
      </c>
      <c r="F295" s="5" t="s">
        <v>2416</v>
      </c>
      <c r="G295" s="6">
        <v>46093.390277777777</v>
      </c>
      <c r="H295" s="7">
        <v>46101</v>
      </c>
      <c r="I295" s="5" t="s">
        <v>2417</v>
      </c>
      <c r="J295" s="7">
        <v>46107</v>
      </c>
      <c r="K295" s="5" t="s">
        <v>1527</v>
      </c>
      <c r="L295" s="5" t="s">
        <v>1528</v>
      </c>
      <c r="M295" s="8">
        <v>725</v>
      </c>
      <c r="N295" s="5" t="s">
        <v>1536</v>
      </c>
      <c r="O295" s="7">
        <v>46107</v>
      </c>
    </row>
    <row r="296" spans="1:15" hidden="1" x14ac:dyDescent="0.25">
      <c r="A296" s="5" t="s">
        <v>1522</v>
      </c>
      <c r="B296" s="5" t="s">
        <v>2418</v>
      </c>
      <c r="D296" s="5" t="s">
        <v>486</v>
      </c>
      <c r="E296" s="5" t="s">
        <v>2419</v>
      </c>
      <c r="F296" s="5" t="s">
        <v>1548</v>
      </c>
      <c r="G296" s="6">
        <v>46142.670138888891</v>
      </c>
      <c r="H296" s="7">
        <v>46150</v>
      </c>
      <c r="I296" s="5" t="s">
        <v>2420</v>
      </c>
      <c r="J296" s="7">
        <v>46154</v>
      </c>
      <c r="K296" s="5" t="s">
        <v>1527</v>
      </c>
      <c r="L296" s="5" t="s">
        <v>1528</v>
      </c>
      <c r="M296" s="8">
        <v>725</v>
      </c>
      <c r="N296" s="5" t="s">
        <v>1536</v>
      </c>
      <c r="O296" s="7">
        <v>46154</v>
      </c>
    </row>
    <row r="297" spans="1:15" hidden="1" x14ac:dyDescent="0.25">
      <c r="A297" s="5" t="s">
        <v>1522</v>
      </c>
      <c r="B297" s="5" t="s">
        <v>2421</v>
      </c>
      <c r="D297" s="5" t="s">
        <v>1477</v>
      </c>
      <c r="E297" s="5" t="s">
        <v>2310</v>
      </c>
      <c r="F297" s="5" t="s">
        <v>2422</v>
      </c>
      <c r="G297" s="6">
        <v>46163.456250000003</v>
      </c>
      <c r="H297" s="7">
        <v>46171</v>
      </c>
      <c r="I297" s="5" t="s">
        <v>1533</v>
      </c>
      <c r="J297" s="5" t="s">
        <v>1533</v>
      </c>
      <c r="K297" s="5" t="s">
        <v>1534</v>
      </c>
      <c r="L297" s="5" t="s">
        <v>1528</v>
      </c>
      <c r="M297" s="8">
        <v>725</v>
      </c>
      <c r="N297" s="5" t="s">
        <v>1541</v>
      </c>
      <c r="O297" s="5" t="s">
        <v>1533</v>
      </c>
    </row>
    <row r="298" spans="1:15" hidden="1" x14ac:dyDescent="0.25">
      <c r="A298" s="5" t="s">
        <v>1522</v>
      </c>
      <c r="B298" s="5" t="s">
        <v>2423</v>
      </c>
      <c r="D298" s="5" t="s">
        <v>1475</v>
      </c>
      <c r="E298" s="5" t="s">
        <v>2424</v>
      </c>
      <c r="F298" s="5" t="s">
        <v>2425</v>
      </c>
      <c r="G298" s="6">
        <v>46163.459722222222</v>
      </c>
      <c r="H298" s="7">
        <v>46171</v>
      </c>
      <c r="I298" s="5" t="s">
        <v>1533</v>
      </c>
      <c r="J298" s="5" t="s">
        <v>1533</v>
      </c>
      <c r="K298" s="5" t="s">
        <v>1534</v>
      </c>
      <c r="L298" s="5" t="s">
        <v>1528</v>
      </c>
      <c r="M298" s="8">
        <v>725</v>
      </c>
      <c r="N298" s="5" t="s">
        <v>1541</v>
      </c>
      <c r="O298" s="5" t="s">
        <v>1533</v>
      </c>
    </row>
    <row r="299" spans="1:15" hidden="1" x14ac:dyDescent="0.25">
      <c r="A299" s="5" t="s">
        <v>1522</v>
      </c>
      <c r="B299" s="5" t="s">
        <v>2426</v>
      </c>
      <c r="D299" s="5" t="s">
        <v>1475</v>
      </c>
      <c r="E299" s="5" t="s">
        <v>2424</v>
      </c>
      <c r="F299" s="5" t="s">
        <v>2427</v>
      </c>
      <c r="G299" s="6">
        <v>46163.461805555555</v>
      </c>
      <c r="H299" s="7">
        <v>46171</v>
      </c>
      <c r="I299" s="5" t="s">
        <v>1533</v>
      </c>
      <c r="J299" s="5" t="s">
        <v>1533</v>
      </c>
      <c r="K299" s="5" t="s">
        <v>1534</v>
      </c>
      <c r="L299" s="5" t="s">
        <v>1528</v>
      </c>
      <c r="M299" s="8">
        <v>725</v>
      </c>
      <c r="N299" s="5" t="s">
        <v>1541</v>
      </c>
      <c r="O299" s="5" t="s">
        <v>1533</v>
      </c>
    </row>
    <row r="300" spans="1:15" x14ac:dyDescent="0.25">
      <c r="A300" s="5" t="s">
        <v>4</v>
      </c>
      <c r="B300" s="5" t="s">
        <v>2428</v>
      </c>
      <c r="D300" s="5" t="s">
        <v>306</v>
      </c>
      <c r="E300" s="5" t="s">
        <v>2429</v>
      </c>
      <c r="F300" s="5" t="s">
        <v>1532</v>
      </c>
      <c r="G300" s="6">
        <v>46128.433333333334</v>
      </c>
      <c r="H300" s="7">
        <v>46141</v>
      </c>
      <c r="I300" s="6">
        <v>46141.344444444447</v>
      </c>
      <c r="J300" s="7">
        <v>46140</v>
      </c>
      <c r="K300" s="5" t="s">
        <v>1527</v>
      </c>
      <c r="L300" s="5" t="s">
        <v>1535</v>
      </c>
      <c r="M300" s="8">
        <v>722.8</v>
      </c>
      <c r="N300" s="5" t="s">
        <v>1536</v>
      </c>
      <c r="O300" s="7">
        <v>46140</v>
      </c>
    </row>
    <row r="301" spans="1:15" x14ac:dyDescent="0.25">
      <c r="A301" s="5" t="s">
        <v>4</v>
      </c>
      <c r="B301" s="5" t="s">
        <v>2430</v>
      </c>
      <c r="D301" s="5" t="s">
        <v>1489</v>
      </c>
      <c r="E301" s="5" t="s">
        <v>2431</v>
      </c>
      <c r="F301" s="5" t="s">
        <v>1742</v>
      </c>
      <c r="G301" s="6">
        <v>46056.438194444447</v>
      </c>
      <c r="H301" s="7">
        <v>46066</v>
      </c>
      <c r="I301" s="5" t="s">
        <v>2432</v>
      </c>
      <c r="J301" s="7">
        <v>46070</v>
      </c>
      <c r="K301" s="5" t="s">
        <v>1527</v>
      </c>
      <c r="L301" s="5" t="s">
        <v>1535</v>
      </c>
      <c r="M301" s="8">
        <v>722.6</v>
      </c>
      <c r="N301" s="5" t="s">
        <v>1536</v>
      </c>
      <c r="O301" s="7">
        <v>46070</v>
      </c>
    </row>
    <row r="302" spans="1:15" x14ac:dyDescent="0.25">
      <c r="A302" s="5" t="s">
        <v>4</v>
      </c>
      <c r="B302" s="5" t="s">
        <v>2433</v>
      </c>
      <c r="D302" s="5" t="s">
        <v>363</v>
      </c>
      <c r="E302" s="5" t="s">
        <v>2434</v>
      </c>
      <c r="F302" s="5" t="s">
        <v>1532</v>
      </c>
      <c r="G302" s="6">
        <v>46098.684027777781</v>
      </c>
      <c r="H302" s="7">
        <v>46108</v>
      </c>
      <c r="I302" s="5" t="s">
        <v>2435</v>
      </c>
      <c r="J302" s="7">
        <v>46128</v>
      </c>
      <c r="K302" s="5" t="s">
        <v>1527</v>
      </c>
      <c r="L302" s="5" t="s">
        <v>1535</v>
      </c>
      <c r="M302" s="8">
        <v>722.4</v>
      </c>
      <c r="N302" s="5" t="s">
        <v>1536</v>
      </c>
      <c r="O302" s="7">
        <v>46128</v>
      </c>
    </row>
    <row r="303" spans="1:15" x14ac:dyDescent="0.25">
      <c r="A303" s="5" t="s">
        <v>4</v>
      </c>
      <c r="B303" s="5" t="s">
        <v>2436</v>
      </c>
      <c r="D303" s="5" t="s">
        <v>1036</v>
      </c>
      <c r="E303" s="5" t="s">
        <v>2437</v>
      </c>
      <c r="F303" s="5" t="s">
        <v>1532</v>
      </c>
      <c r="G303" s="6">
        <v>46167.612500000003</v>
      </c>
      <c r="H303" s="7">
        <v>46177</v>
      </c>
      <c r="I303" s="5" t="s">
        <v>2438</v>
      </c>
      <c r="J303" s="7">
        <v>46182</v>
      </c>
      <c r="K303" s="5" t="s">
        <v>1527</v>
      </c>
      <c r="L303" s="5" t="s">
        <v>1535</v>
      </c>
      <c r="M303" s="8">
        <v>716</v>
      </c>
      <c r="N303" s="5" t="s">
        <v>1529</v>
      </c>
      <c r="O303" s="7">
        <v>46182</v>
      </c>
    </row>
    <row r="304" spans="1:15" x14ac:dyDescent="0.25">
      <c r="A304" s="5" t="s">
        <v>4</v>
      </c>
      <c r="B304" s="5" t="s">
        <v>2439</v>
      </c>
      <c r="D304" s="5" t="s">
        <v>1121</v>
      </c>
      <c r="E304" s="5" t="s">
        <v>2440</v>
      </c>
      <c r="F304" s="5" t="s">
        <v>2441</v>
      </c>
      <c r="G304" s="6">
        <v>46113.513194444444</v>
      </c>
      <c r="H304" s="7">
        <v>46127</v>
      </c>
      <c r="I304" s="6">
        <v>46127.739583333336</v>
      </c>
      <c r="J304" s="7">
        <v>46125</v>
      </c>
      <c r="K304" s="5" t="s">
        <v>1527</v>
      </c>
      <c r="L304" s="5" t="s">
        <v>1564</v>
      </c>
      <c r="M304" s="8">
        <v>714</v>
      </c>
      <c r="N304" s="5" t="s">
        <v>1536</v>
      </c>
      <c r="O304" s="7">
        <v>46125</v>
      </c>
    </row>
    <row r="305" spans="1:15" x14ac:dyDescent="0.25">
      <c r="A305" s="5" t="s">
        <v>4</v>
      </c>
      <c r="B305" s="5" t="s">
        <v>2442</v>
      </c>
      <c r="D305" s="5" t="s">
        <v>777</v>
      </c>
      <c r="E305" s="5" t="s">
        <v>2443</v>
      </c>
      <c r="F305" s="5" t="s">
        <v>1532</v>
      </c>
      <c r="G305" s="6">
        <v>46155.57708333333</v>
      </c>
      <c r="H305" s="7">
        <v>46164</v>
      </c>
      <c r="I305" s="6">
        <v>46164.699305555558</v>
      </c>
      <c r="J305" s="7">
        <v>46164</v>
      </c>
      <c r="K305" s="5" t="s">
        <v>1527</v>
      </c>
      <c r="L305" s="5" t="s">
        <v>1535</v>
      </c>
      <c r="M305" s="8">
        <v>714</v>
      </c>
      <c r="N305" s="5" t="s">
        <v>1536</v>
      </c>
      <c r="O305" s="7">
        <v>46164</v>
      </c>
    </row>
    <row r="306" spans="1:15" x14ac:dyDescent="0.25">
      <c r="A306" s="5" t="s">
        <v>4</v>
      </c>
      <c r="B306" s="5" t="s">
        <v>2444</v>
      </c>
      <c r="D306" s="5" t="s">
        <v>1460</v>
      </c>
      <c r="E306" s="5" t="s">
        <v>2445</v>
      </c>
      <c r="F306" s="5" t="s">
        <v>1548</v>
      </c>
      <c r="G306" s="6">
        <v>46045.429166666669</v>
      </c>
      <c r="H306" s="7">
        <v>46057</v>
      </c>
      <c r="I306" s="5" t="s">
        <v>2446</v>
      </c>
      <c r="J306" s="7">
        <v>46062</v>
      </c>
      <c r="K306" s="5" t="s">
        <v>1527</v>
      </c>
      <c r="L306" s="5" t="s">
        <v>1535</v>
      </c>
      <c r="M306" s="8">
        <v>711</v>
      </c>
      <c r="N306" s="5" t="s">
        <v>1536</v>
      </c>
      <c r="O306" s="7">
        <v>46062</v>
      </c>
    </row>
    <row r="307" spans="1:15" x14ac:dyDescent="0.25">
      <c r="A307" s="5" t="s">
        <v>4</v>
      </c>
      <c r="B307" s="5" t="s">
        <v>2447</v>
      </c>
      <c r="D307" s="5" t="s">
        <v>1331</v>
      </c>
      <c r="E307" s="5" t="s">
        <v>2448</v>
      </c>
      <c r="F307" s="5" t="s">
        <v>2449</v>
      </c>
      <c r="G307" s="6">
        <v>46128.353472222225</v>
      </c>
      <c r="H307" s="7">
        <v>46141</v>
      </c>
      <c r="I307" s="5" t="s">
        <v>2450</v>
      </c>
      <c r="J307" s="7">
        <v>46141</v>
      </c>
      <c r="K307" s="5" t="s">
        <v>1527</v>
      </c>
      <c r="L307" s="5" t="s">
        <v>1535</v>
      </c>
      <c r="M307" s="8">
        <v>710</v>
      </c>
      <c r="N307" s="5" t="s">
        <v>1536</v>
      </c>
      <c r="O307" s="7">
        <v>46141</v>
      </c>
    </row>
    <row r="308" spans="1:15" x14ac:dyDescent="0.25">
      <c r="A308" s="5" t="s">
        <v>4</v>
      </c>
      <c r="B308" s="5" t="s">
        <v>2451</v>
      </c>
      <c r="D308" s="5" t="s">
        <v>1302</v>
      </c>
      <c r="E308" s="5" t="s">
        <v>2452</v>
      </c>
      <c r="F308" s="5" t="s">
        <v>1548</v>
      </c>
      <c r="G308" s="6">
        <v>46150.5625</v>
      </c>
      <c r="H308" s="7">
        <v>46162</v>
      </c>
      <c r="I308" s="6">
        <v>46161.415277777778</v>
      </c>
      <c r="J308" s="7">
        <v>46160</v>
      </c>
      <c r="K308" s="5" t="s">
        <v>1527</v>
      </c>
      <c r="L308" s="5" t="s">
        <v>1535</v>
      </c>
      <c r="M308" s="8">
        <v>708</v>
      </c>
      <c r="N308" s="5" t="s">
        <v>1536</v>
      </c>
      <c r="O308" s="7">
        <v>46160</v>
      </c>
    </row>
    <row r="309" spans="1:15" hidden="1" x14ac:dyDescent="0.25">
      <c r="A309" s="5" t="s">
        <v>1522</v>
      </c>
      <c r="B309" s="5">
        <v>38427</v>
      </c>
      <c r="D309" s="5" t="s">
        <v>1506</v>
      </c>
      <c r="E309" s="5" t="s">
        <v>1942</v>
      </c>
      <c r="F309" s="5" t="s">
        <v>1943</v>
      </c>
      <c r="G309" s="6">
        <v>46065.671527777777</v>
      </c>
      <c r="H309" s="7">
        <v>46073</v>
      </c>
      <c r="I309" s="5" t="s">
        <v>2453</v>
      </c>
      <c r="J309" s="7">
        <v>46077</v>
      </c>
      <c r="K309" s="5" t="s">
        <v>1527</v>
      </c>
      <c r="L309" s="5" t="s">
        <v>1528</v>
      </c>
      <c r="M309" s="8">
        <v>706.88</v>
      </c>
      <c r="N309" s="5" t="s">
        <v>1536</v>
      </c>
      <c r="O309" s="7">
        <v>46077</v>
      </c>
    </row>
    <row r="310" spans="1:15" hidden="1" x14ac:dyDescent="0.25">
      <c r="A310" s="5" t="s">
        <v>1522</v>
      </c>
      <c r="B310" s="5" t="s">
        <v>2454</v>
      </c>
      <c r="D310" s="5" t="s">
        <v>1506</v>
      </c>
      <c r="E310" s="5" t="s">
        <v>1942</v>
      </c>
      <c r="F310" s="5" t="s">
        <v>1943</v>
      </c>
      <c r="G310" s="6">
        <v>46045.381249999999</v>
      </c>
      <c r="H310" s="7">
        <v>46055</v>
      </c>
      <c r="I310" s="5" t="s">
        <v>2455</v>
      </c>
      <c r="J310" s="7">
        <v>46062</v>
      </c>
      <c r="K310" s="5" t="s">
        <v>1527</v>
      </c>
      <c r="L310" s="5" t="s">
        <v>1528</v>
      </c>
      <c r="M310" s="8">
        <v>706.88</v>
      </c>
      <c r="N310" s="5" t="s">
        <v>1536</v>
      </c>
      <c r="O310" s="7">
        <v>46062</v>
      </c>
    </row>
    <row r="311" spans="1:15" x14ac:dyDescent="0.25">
      <c r="A311" s="5" t="s">
        <v>4</v>
      </c>
      <c r="B311" s="5" t="s">
        <v>2456</v>
      </c>
      <c r="D311" s="5" t="s">
        <v>289</v>
      </c>
      <c r="E311" s="5" t="s">
        <v>2457</v>
      </c>
      <c r="F311" s="5" t="s">
        <v>1548</v>
      </c>
      <c r="G311" s="6">
        <v>46042.684027777781</v>
      </c>
      <c r="H311" s="7">
        <v>46055</v>
      </c>
      <c r="I311" s="6">
        <v>46051.48333333333</v>
      </c>
      <c r="J311" s="7">
        <v>46051</v>
      </c>
      <c r="K311" s="5" t="s">
        <v>1527</v>
      </c>
      <c r="L311" s="5" t="s">
        <v>1564</v>
      </c>
      <c r="M311" s="8">
        <v>703</v>
      </c>
      <c r="N311" s="5" t="s">
        <v>1536</v>
      </c>
      <c r="O311" s="7">
        <v>46051</v>
      </c>
    </row>
    <row r="312" spans="1:15" hidden="1" x14ac:dyDescent="0.25">
      <c r="A312" s="5" t="s">
        <v>1522</v>
      </c>
      <c r="B312" s="5" t="s">
        <v>2458</v>
      </c>
      <c r="D312" s="5" t="s">
        <v>1211</v>
      </c>
      <c r="E312" s="5" t="s">
        <v>2459</v>
      </c>
      <c r="F312" s="5" t="s">
        <v>2460</v>
      </c>
      <c r="G312" s="6">
        <v>46083.625</v>
      </c>
      <c r="H312" s="7">
        <v>46091</v>
      </c>
      <c r="I312" s="6">
        <v>46091.503472222219</v>
      </c>
      <c r="J312" s="7">
        <v>46104</v>
      </c>
      <c r="K312" s="5" t="s">
        <v>1527</v>
      </c>
      <c r="L312" s="5" t="s">
        <v>1528</v>
      </c>
      <c r="M312" s="8">
        <v>700</v>
      </c>
      <c r="N312" s="5" t="s">
        <v>1536</v>
      </c>
      <c r="O312" s="7">
        <v>46104</v>
      </c>
    </row>
    <row r="313" spans="1:15" hidden="1" x14ac:dyDescent="0.25">
      <c r="A313" s="5" t="s">
        <v>1522</v>
      </c>
      <c r="B313" s="5" t="s">
        <v>2461</v>
      </c>
      <c r="D313" s="5" t="s">
        <v>735</v>
      </c>
      <c r="E313" s="5" t="s">
        <v>2462</v>
      </c>
      <c r="F313" s="5" t="s">
        <v>2463</v>
      </c>
      <c r="G313" s="6">
        <v>46092.456250000003</v>
      </c>
      <c r="H313" s="7">
        <v>46101</v>
      </c>
      <c r="I313" s="5" t="s">
        <v>2464</v>
      </c>
      <c r="J313" s="7">
        <v>46099</v>
      </c>
      <c r="K313" s="5" t="s">
        <v>1527</v>
      </c>
      <c r="L313" s="5" t="s">
        <v>1528</v>
      </c>
      <c r="M313" s="8">
        <v>700</v>
      </c>
      <c r="N313" s="5" t="s">
        <v>1536</v>
      </c>
      <c r="O313" s="7">
        <v>46099</v>
      </c>
    </row>
    <row r="314" spans="1:15" hidden="1" x14ac:dyDescent="0.25">
      <c r="A314" s="5" t="s">
        <v>1522</v>
      </c>
      <c r="B314" s="5" t="s">
        <v>2465</v>
      </c>
      <c r="D314" s="5" t="s">
        <v>1510</v>
      </c>
      <c r="E314" s="5" t="s">
        <v>2466</v>
      </c>
      <c r="F314" s="5" t="s">
        <v>2467</v>
      </c>
      <c r="G314" s="6">
        <v>46052.69027777778</v>
      </c>
      <c r="H314" s="7">
        <v>46055</v>
      </c>
      <c r="I314" s="5" t="s">
        <v>2468</v>
      </c>
      <c r="J314" s="7">
        <v>46057</v>
      </c>
      <c r="K314" s="5" t="s">
        <v>1527</v>
      </c>
      <c r="L314" s="5" t="s">
        <v>1621</v>
      </c>
      <c r="M314" s="8">
        <v>699.2</v>
      </c>
      <c r="N314" s="5" t="s">
        <v>1536</v>
      </c>
      <c r="O314" s="7">
        <v>46057</v>
      </c>
    </row>
    <row r="315" spans="1:15" x14ac:dyDescent="0.25">
      <c r="A315" s="5" t="s">
        <v>4</v>
      </c>
      <c r="B315" s="5" t="s">
        <v>2469</v>
      </c>
      <c r="D315" s="5" t="s">
        <v>1184</v>
      </c>
      <c r="E315" s="5" t="s">
        <v>2470</v>
      </c>
      <c r="F315" s="5" t="s">
        <v>2471</v>
      </c>
      <c r="G315" s="6">
        <v>46111.573611111111</v>
      </c>
      <c r="H315" s="7">
        <v>46120</v>
      </c>
      <c r="I315" s="5" t="s">
        <v>2472</v>
      </c>
      <c r="J315" s="7">
        <v>46111</v>
      </c>
      <c r="K315" s="5" t="s">
        <v>1527</v>
      </c>
      <c r="L315" s="5" t="s">
        <v>1535</v>
      </c>
      <c r="M315" s="8">
        <v>699</v>
      </c>
      <c r="N315" s="5" t="s">
        <v>1536</v>
      </c>
      <c r="O315" s="7">
        <v>46111</v>
      </c>
    </row>
    <row r="316" spans="1:15" x14ac:dyDescent="0.25">
      <c r="A316" s="5" t="s">
        <v>4</v>
      </c>
      <c r="B316" s="5" t="s">
        <v>2473</v>
      </c>
      <c r="D316" s="5" t="s">
        <v>610</v>
      </c>
      <c r="E316" s="5" t="s">
        <v>2474</v>
      </c>
      <c r="F316" s="5" t="s">
        <v>1759</v>
      </c>
      <c r="G316" s="6">
        <v>46107.406944444447</v>
      </c>
      <c r="H316" s="7">
        <v>46121</v>
      </c>
      <c r="I316" s="6">
        <v>46121.736111111109</v>
      </c>
      <c r="J316" s="7">
        <v>46121</v>
      </c>
      <c r="K316" s="5" t="s">
        <v>1527</v>
      </c>
      <c r="L316" s="5" t="s">
        <v>1564</v>
      </c>
      <c r="M316" s="8">
        <v>696.9</v>
      </c>
      <c r="N316" s="5" t="s">
        <v>1536</v>
      </c>
      <c r="O316" s="7">
        <v>46121</v>
      </c>
    </row>
    <row r="317" spans="1:15" x14ac:dyDescent="0.25">
      <c r="A317" s="5" t="s">
        <v>4</v>
      </c>
      <c r="B317" s="5" t="s">
        <v>2475</v>
      </c>
      <c r="D317" s="5" t="s">
        <v>376</v>
      </c>
      <c r="E317" s="5" t="s">
        <v>2476</v>
      </c>
      <c r="F317" s="5" t="s">
        <v>2477</v>
      </c>
      <c r="G317" s="6">
        <v>46118.459722222222</v>
      </c>
      <c r="H317" s="7">
        <v>46125</v>
      </c>
      <c r="I317" s="5" t="s">
        <v>2478</v>
      </c>
      <c r="J317" s="7">
        <v>46125</v>
      </c>
      <c r="K317" s="5" t="s">
        <v>1527</v>
      </c>
      <c r="L317" s="5" t="s">
        <v>1564</v>
      </c>
      <c r="M317" s="8">
        <v>695.06</v>
      </c>
      <c r="N317" s="5" t="s">
        <v>1536</v>
      </c>
      <c r="O317" s="7">
        <v>46125</v>
      </c>
    </row>
    <row r="318" spans="1:15" hidden="1" x14ac:dyDescent="0.25">
      <c r="A318" s="5" t="s">
        <v>1522</v>
      </c>
      <c r="B318" s="5" t="s">
        <v>2479</v>
      </c>
      <c r="D318" s="5" t="s">
        <v>1461</v>
      </c>
      <c r="E318" s="5" t="s">
        <v>2480</v>
      </c>
      <c r="F318" s="5" t="s">
        <v>2481</v>
      </c>
      <c r="G318" s="6">
        <v>46104.677777777775</v>
      </c>
      <c r="H318" s="7">
        <v>46107</v>
      </c>
      <c r="I318" s="6">
        <v>46107.774305555555</v>
      </c>
      <c r="J318" s="7">
        <v>46107</v>
      </c>
      <c r="K318" s="5" t="s">
        <v>1527</v>
      </c>
      <c r="L318" s="5" t="s">
        <v>1528</v>
      </c>
      <c r="M318" s="8">
        <v>692</v>
      </c>
      <c r="N318" s="5" t="s">
        <v>1536</v>
      </c>
      <c r="O318" s="7">
        <v>46107</v>
      </c>
    </row>
    <row r="319" spans="1:15" x14ac:dyDescent="0.25">
      <c r="A319" s="5" t="s">
        <v>4</v>
      </c>
      <c r="B319" s="5" t="s">
        <v>2482</v>
      </c>
      <c r="D319" s="5" t="s">
        <v>848</v>
      </c>
      <c r="E319" s="5" t="s">
        <v>2483</v>
      </c>
      <c r="F319" s="5" t="s">
        <v>1663</v>
      </c>
      <c r="G319" s="6">
        <v>46107.453472222223</v>
      </c>
      <c r="H319" s="7">
        <v>46127</v>
      </c>
      <c r="I319" s="6">
        <v>46126.636805555558</v>
      </c>
      <c r="J319" s="7">
        <v>46107</v>
      </c>
      <c r="K319" s="5" t="s">
        <v>1527</v>
      </c>
      <c r="L319" s="5" t="s">
        <v>1564</v>
      </c>
      <c r="M319" s="8">
        <v>692</v>
      </c>
      <c r="N319" s="5" t="s">
        <v>1536</v>
      </c>
      <c r="O319" s="7">
        <v>46107</v>
      </c>
    </row>
    <row r="320" spans="1:15" hidden="1" x14ac:dyDescent="0.25">
      <c r="A320" s="5" t="s">
        <v>1522</v>
      </c>
      <c r="B320" s="5" t="s">
        <v>2484</v>
      </c>
      <c r="D320" s="5" t="s">
        <v>1500</v>
      </c>
      <c r="E320" s="5" t="s">
        <v>1559</v>
      </c>
      <c r="F320" s="5" t="s">
        <v>1548</v>
      </c>
      <c r="G320" s="6">
        <v>46034.421527777777</v>
      </c>
      <c r="H320" s="7">
        <v>46042</v>
      </c>
      <c r="I320" s="5" t="s">
        <v>2485</v>
      </c>
      <c r="J320" s="7">
        <v>46052</v>
      </c>
      <c r="K320" s="5" t="s">
        <v>1527</v>
      </c>
      <c r="L320" s="5" t="s">
        <v>1528</v>
      </c>
      <c r="M320" s="8">
        <v>691</v>
      </c>
      <c r="N320" s="5" t="s">
        <v>1536</v>
      </c>
      <c r="O320" s="7">
        <v>46052</v>
      </c>
    </row>
    <row r="321" spans="1:15" hidden="1" x14ac:dyDescent="0.25">
      <c r="A321" s="5" t="s">
        <v>1522</v>
      </c>
      <c r="B321" s="5" t="s">
        <v>2486</v>
      </c>
      <c r="D321" s="5" t="s">
        <v>1498</v>
      </c>
      <c r="E321" s="5" t="s">
        <v>2487</v>
      </c>
      <c r="F321" s="5" t="s">
        <v>2488</v>
      </c>
      <c r="G321" s="6">
        <v>46055.575694444444</v>
      </c>
      <c r="H321" s="7">
        <v>46062</v>
      </c>
      <c r="I321" s="5" t="s">
        <v>2489</v>
      </c>
      <c r="J321" s="7">
        <v>46063</v>
      </c>
      <c r="K321" s="5" t="s">
        <v>1527</v>
      </c>
      <c r="L321" s="5" t="s">
        <v>1528</v>
      </c>
      <c r="M321" s="8">
        <v>690.7</v>
      </c>
      <c r="N321" s="5" t="s">
        <v>1536</v>
      </c>
      <c r="O321" s="7">
        <v>46063</v>
      </c>
    </row>
    <row r="322" spans="1:15" x14ac:dyDescent="0.25">
      <c r="A322" s="5" t="s">
        <v>4</v>
      </c>
      <c r="B322" s="5" t="s">
        <v>2490</v>
      </c>
      <c r="D322" s="5" t="s">
        <v>1425</v>
      </c>
      <c r="E322" s="5" t="s">
        <v>2212</v>
      </c>
      <c r="F322" s="5" t="s">
        <v>1770</v>
      </c>
      <c r="G322" s="6">
        <v>46097.430555555555</v>
      </c>
      <c r="H322" s="7">
        <v>46108</v>
      </c>
      <c r="I322" s="5" t="s">
        <v>2491</v>
      </c>
      <c r="J322" s="7">
        <v>46104</v>
      </c>
      <c r="K322" s="5" t="s">
        <v>1527</v>
      </c>
      <c r="L322" s="5" t="s">
        <v>1564</v>
      </c>
      <c r="M322" s="8">
        <v>690</v>
      </c>
      <c r="N322" s="5" t="s">
        <v>1536</v>
      </c>
      <c r="O322" s="7">
        <v>46104</v>
      </c>
    </row>
    <row r="323" spans="1:15" x14ac:dyDescent="0.25">
      <c r="A323" s="5" t="s">
        <v>4</v>
      </c>
      <c r="B323" s="5" t="s">
        <v>2492</v>
      </c>
      <c r="D323" s="5" t="s">
        <v>1425</v>
      </c>
      <c r="E323" s="5" t="s">
        <v>2212</v>
      </c>
      <c r="F323" s="5" t="s">
        <v>1532</v>
      </c>
      <c r="G323" s="6">
        <v>46153.631249999999</v>
      </c>
      <c r="H323" s="7">
        <v>46162</v>
      </c>
      <c r="I323" s="5" t="s">
        <v>2493</v>
      </c>
      <c r="J323" s="7">
        <v>46169</v>
      </c>
      <c r="K323" s="5" t="s">
        <v>1527</v>
      </c>
      <c r="L323" s="5" t="s">
        <v>1535</v>
      </c>
      <c r="M323" s="8">
        <v>690</v>
      </c>
      <c r="N323" s="5" t="s">
        <v>1529</v>
      </c>
      <c r="O323" s="7">
        <v>46169</v>
      </c>
    </row>
    <row r="324" spans="1:15" hidden="1" x14ac:dyDescent="0.25">
      <c r="A324" s="5" t="s">
        <v>1522</v>
      </c>
      <c r="B324" s="5" t="s">
        <v>2494</v>
      </c>
      <c r="D324" s="5" t="s">
        <v>1503</v>
      </c>
      <c r="E324" s="5" t="s">
        <v>1651</v>
      </c>
      <c r="F324" s="5" t="s">
        <v>2495</v>
      </c>
      <c r="G324" s="6">
        <v>46044.652777777781</v>
      </c>
      <c r="H324" s="7">
        <v>46052</v>
      </c>
      <c r="I324" s="5" t="s">
        <v>2496</v>
      </c>
      <c r="J324" s="7">
        <v>46056</v>
      </c>
      <c r="K324" s="5" t="s">
        <v>1527</v>
      </c>
      <c r="L324" s="5" t="s">
        <v>1528</v>
      </c>
      <c r="M324" s="8">
        <v>684</v>
      </c>
      <c r="N324" s="5" t="s">
        <v>1536</v>
      </c>
      <c r="O324" s="7">
        <v>46056</v>
      </c>
    </row>
    <row r="325" spans="1:15" x14ac:dyDescent="0.25">
      <c r="A325" s="5" t="s">
        <v>4</v>
      </c>
      <c r="B325" s="5" t="s">
        <v>2497</v>
      </c>
      <c r="D325" s="5" t="s">
        <v>1035</v>
      </c>
      <c r="E325" s="5" t="s">
        <v>2498</v>
      </c>
      <c r="F325" s="5" t="s">
        <v>1548</v>
      </c>
      <c r="G325" s="6">
        <v>46056.624305555553</v>
      </c>
      <c r="H325" s="7">
        <v>46069</v>
      </c>
      <c r="I325" s="6">
        <v>46069.478472222225</v>
      </c>
      <c r="J325" s="7">
        <v>46069</v>
      </c>
      <c r="K325" s="5" t="s">
        <v>1527</v>
      </c>
      <c r="L325" s="5" t="s">
        <v>1564</v>
      </c>
      <c r="M325" s="8">
        <v>681</v>
      </c>
      <c r="N325" s="5" t="s">
        <v>1536</v>
      </c>
      <c r="O325" s="7">
        <v>46069</v>
      </c>
    </row>
    <row r="326" spans="1:15" hidden="1" x14ac:dyDescent="0.25">
      <c r="A326" s="5" t="s">
        <v>1522</v>
      </c>
      <c r="B326" s="5" t="s">
        <v>2499</v>
      </c>
      <c r="D326" s="5" t="s">
        <v>1421</v>
      </c>
      <c r="E326" s="5" t="s">
        <v>2500</v>
      </c>
      <c r="F326" s="5" t="s">
        <v>2501</v>
      </c>
      <c r="G326" s="6">
        <v>46041.487500000003</v>
      </c>
      <c r="H326" s="7">
        <v>46050</v>
      </c>
      <c r="I326" s="5" t="s">
        <v>2502</v>
      </c>
      <c r="J326" s="7">
        <v>46055</v>
      </c>
      <c r="K326" s="5" t="s">
        <v>1527</v>
      </c>
      <c r="L326" s="5" t="s">
        <v>1528</v>
      </c>
      <c r="M326" s="8">
        <v>680</v>
      </c>
      <c r="N326" s="5" t="s">
        <v>1536</v>
      </c>
      <c r="O326" s="7">
        <v>46055</v>
      </c>
    </row>
    <row r="327" spans="1:15" x14ac:dyDescent="0.25">
      <c r="A327" s="5" t="s">
        <v>4</v>
      </c>
      <c r="B327" s="5" t="s">
        <v>2503</v>
      </c>
      <c r="D327" s="5" t="s">
        <v>1419</v>
      </c>
      <c r="E327" s="5" t="s">
        <v>2504</v>
      </c>
      <c r="F327" s="5" t="s">
        <v>1548</v>
      </c>
      <c r="G327" s="6">
        <v>46079.462500000001</v>
      </c>
      <c r="H327" s="7">
        <v>46091</v>
      </c>
      <c r="I327" s="5" t="s">
        <v>2505</v>
      </c>
      <c r="J327" s="7">
        <v>46101</v>
      </c>
      <c r="K327" s="5" t="s">
        <v>1527</v>
      </c>
      <c r="L327" s="5" t="s">
        <v>1535</v>
      </c>
      <c r="M327" s="8">
        <v>678.1</v>
      </c>
      <c r="N327" s="5" t="s">
        <v>1536</v>
      </c>
      <c r="O327" s="7">
        <v>46101</v>
      </c>
    </row>
    <row r="328" spans="1:15" x14ac:dyDescent="0.25">
      <c r="A328" s="5" t="s">
        <v>4</v>
      </c>
      <c r="B328" s="5" t="s">
        <v>2506</v>
      </c>
      <c r="D328" s="5" t="s">
        <v>1147</v>
      </c>
      <c r="E328" s="5" t="s">
        <v>2507</v>
      </c>
      <c r="F328" s="5" t="s">
        <v>1604</v>
      </c>
      <c r="G328" s="6">
        <v>46141.413194444445</v>
      </c>
      <c r="H328" s="7">
        <v>46155</v>
      </c>
      <c r="I328" s="6">
        <v>46149.574999999997</v>
      </c>
      <c r="J328" s="7">
        <v>46142</v>
      </c>
      <c r="K328" s="5" t="s">
        <v>1527</v>
      </c>
      <c r="L328" s="5" t="s">
        <v>1564</v>
      </c>
      <c r="M328" s="8">
        <v>675</v>
      </c>
      <c r="N328" s="5" t="s">
        <v>1536</v>
      </c>
      <c r="O328" s="7">
        <v>46142</v>
      </c>
    </row>
    <row r="329" spans="1:15" x14ac:dyDescent="0.25">
      <c r="A329" s="5" t="s">
        <v>4</v>
      </c>
      <c r="B329" s="5" t="s">
        <v>2508</v>
      </c>
      <c r="D329" s="5" t="s">
        <v>1306</v>
      </c>
      <c r="E329" s="5" t="s">
        <v>1531</v>
      </c>
      <c r="F329" s="5" t="s">
        <v>1532</v>
      </c>
      <c r="G329" s="6">
        <v>46164.635416666664</v>
      </c>
      <c r="H329" s="7">
        <v>46164</v>
      </c>
      <c r="I329" s="6">
        <v>46164.313194444447</v>
      </c>
      <c r="J329" s="7">
        <v>46164</v>
      </c>
      <c r="K329" s="5" t="s">
        <v>1527</v>
      </c>
      <c r="L329" s="5" t="s">
        <v>1535</v>
      </c>
      <c r="M329" s="8">
        <v>673.5</v>
      </c>
      <c r="N329" s="5" t="s">
        <v>1536</v>
      </c>
      <c r="O329" s="7">
        <v>46164</v>
      </c>
    </row>
    <row r="330" spans="1:15" x14ac:dyDescent="0.25">
      <c r="A330" s="5" t="s">
        <v>4</v>
      </c>
      <c r="B330" s="5" t="s">
        <v>2509</v>
      </c>
      <c r="D330" s="5" t="s">
        <v>1235</v>
      </c>
      <c r="E330" s="5" t="s">
        <v>2510</v>
      </c>
      <c r="F330" s="5" t="s">
        <v>1738</v>
      </c>
      <c r="G330" s="6">
        <v>46136.533333333333</v>
      </c>
      <c r="H330" s="7">
        <v>46150</v>
      </c>
      <c r="I330" s="6">
        <v>46142.647222222222</v>
      </c>
      <c r="J330" s="7">
        <v>46141</v>
      </c>
      <c r="K330" s="5" t="s">
        <v>1527</v>
      </c>
      <c r="L330" s="5" t="s">
        <v>1564</v>
      </c>
      <c r="M330" s="8">
        <v>671.52</v>
      </c>
      <c r="N330" s="5" t="s">
        <v>1536</v>
      </c>
      <c r="O330" s="7">
        <v>46141</v>
      </c>
    </row>
    <row r="331" spans="1:15" x14ac:dyDescent="0.25">
      <c r="A331" s="5" t="s">
        <v>4</v>
      </c>
      <c r="B331" s="5" t="s">
        <v>2511</v>
      </c>
      <c r="D331" s="5" t="s">
        <v>1318</v>
      </c>
      <c r="E331" s="5" t="s">
        <v>2316</v>
      </c>
      <c r="F331" s="5" t="s">
        <v>2512</v>
      </c>
      <c r="G331" s="6">
        <v>46097.384027777778</v>
      </c>
      <c r="H331" s="7">
        <v>46108</v>
      </c>
      <c r="I331" s="6">
        <v>46106.668749999997</v>
      </c>
      <c r="J331" s="7">
        <v>46106</v>
      </c>
      <c r="K331" s="5" t="s">
        <v>1527</v>
      </c>
      <c r="L331" s="5" t="s">
        <v>1564</v>
      </c>
      <c r="M331" s="8">
        <v>670</v>
      </c>
      <c r="N331" s="5" t="s">
        <v>1536</v>
      </c>
      <c r="O331" s="7">
        <v>46106</v>
      </c>
    </row>
    <row r="332" spans="1:15" x14ac:dyDescent="0.25">
      <c r="A332" s="5" t="s">
        <v>4</v>
      </c>
      <c r="B332" s="5" t="s">
        <v>2513</v>
      </c>
      <c r="D332" s="5" t="s">
        <v>646</v>
      </c>
      <c r="E332" s="5" t="s">
        <v>2514</v>
      </c>
      <c r="F332" s="5" t="s">
        <v>1532</v>
      </c>
      <c r="G332" s="6">
        <v>46055.372916666667</v>
      </c>
      <c r="H332" s="7">
        <v>46064</v>
      </c>
      <c r="I332" s="5" t="s">
        <v>2515</v>
      </c>
      <c r="J332" s="7">
        <v>46072</v>
      </c>
      <c r="K332" s="5" t="s">
        <v>1527</v>
      </c>
      <c r="L332" s="5" t="s">
        <v>1535</v>
      </c>
      <c r="M332" s="8">
        <v>669</v>
      </c>
      <c r="N332" s="5" t="s">
        <v>1536</v>
      </c>
      <c r="O332" s="7">
        <v>46072</v>
      </c>
    </row>
    <row r="333" spans="1:15" hidden="1" x14ac:dyDescent="0.25">
      <c r="A333" s="5" t="s">
        <v>1522</v>
      </c>
      <c r="B333" s="5" t="s">
        <v>2516</v>
      </c>
      <c r="D333" s="5" t="s">
        <v>1485</v>
      </c>
      <c r="E333" s="5" t="s">
        <v>2517</v>
      </c>
      <c r="F333" s="5" t="s">
        <v>2518</v>
      </c>
      <c r="G333" s="6">
        <v>46052.354861111111</v>
      </c>
      <c r="H333" s="7">
        <v>46063</v>
      </c>
      <c r="I333" s="5" t="s">
        <v>2519</v>
      </c>
      <c r="J333" s="7">
        <v>46070</v>
      </c>
      <c r="K333" s="5" t="s">
        <v>1527</v>
      </c>
      <c r="L333" s="5" t="s">
        <v>1528</v>
      </c>
      <c r="M333" s="8">
        <v>668.8</v>
      </c>
      <c r="N333" s="5" t="s">
        <v>1529</v>
      </c>
      <c r="O333" s="7">
        <v>46070</v>
      </c>
    </row>
    <row r="334" spans="1:15" x14ac:dyDescent="0.25">
      <c r="A334" s="5" t="s">
        <v>4</v>
      </c>
      <c r="B334" s="5" t="s">
        <v>2520</v>
      </c>
      <c r="D334" s="5" t="s">
        <v>1406</v>
      </c>
      <c r="E334" s="5" t="s">
        <v>2521</v>
      </c>
      <c r="F334" s="5" t="s">
        <v>1548</v>
      </c>
      <c r="G334" s="6">
        <v>46050.65</v>
      </c>
      <c r="H334" s="7">
        <v>46063</v>
      </c>
      <c r="I334" s="5" t="s">
        <v>2522</v>
      </c>
      <c r="J334" s="7">
        <v>46070</v>
      </c>
      <c r="K334" s="5" t="s">
        <v>1527</v>
      </c>
      <c r="L334" s="5" t="s">
        <v>1564</v>
      </c>
      <c r="M334" s="8">
        <v>668</v>
      </c>
      <c r="N334" s="5" t="s">
        <v>1536</v>
      </c>
      <c r="O334" s="7">
        <v>46070</v>
      </c>
    </row>
    <row r="335" spans="1:15" x14ac:dyDescent="0.25">
      <c r="A335" s="5" t="s">
        <v>4</v>
      </c>
      <c r="B335" s="5" t="s">
        <v>2523</v>
      </c>
      <c r="D335" s="5" t="s">
        <v>1509</v>
      </c>
      <c r="E335" s="5" t="s">
        <v>1538</v>
      </c>
      <c r="F335" s="5" t="s">
        <v>2524</v>
      </c>
      <c r="G335" s="6">
        <v>46042.396527777775</v>
      </c>
      <c r="H335" s="7">
        <v>46052</v>
      </c>
      <c r="I335" s="5" t="s">
        <v>2525</v>
      </c>
      <c r="J335" s="7">
        <v>46062</v>
      </c>
      <c r="K335" s="5" t="s">
        <v>1527</v>
      </c>
      <c r="L335" s="5" t="s">
        <v>1535</v>
      </c>
      <c r="M335" s="8">
        <v>667</v>
      </c>
      <c r="N335" s="5" t="s">
        <v>1536</v>
      </c>
      <c r="O335" s="7">
        <v>46062</v>
      </c>
    </row>
    <row r="336" spans="1:15" x14ac:dyDescent="0.25">
      <c r="A336" s="5" t="s">
        <v>4</v>
      </c>
      <c r="B336" s="5" t="s">
        <v>2526</v>
      </c>
      <c r="D336" s="5" t="s">
        <v>1271</v>
      </c>
      <c r="E336" s="5" t="s">
        <v>2527</v>
      </c>
      <c r="F336" s="5" t="s">
        <v>2528</v>
      </c>
      <c r="G336" s="6">
        <v>46097.722222222219</v>
      </c>
      <c r="H336" s="7">
        <v>46104</v>
      </c>
      <c r="I336" s="5" t="s">
        <v>2529</v>
      </c>
      <c r="J336" s="7">
        <v>46112</v>
      </c>
      <c r="K336" s="5" t="s">
        <v>1527</v>
      </c>
      <c r="L336" s="5" t="s">
        <v>1621</v>
      </c>
      <c r="M336" s="8">
        <v>662.51</v>
      </c>
      <c r="N336" s="5" t="s">
        <v>1536</v>
      </c>
      <c r="O336" s="7">
        <v>46112</v>
      </c>
    </row>
    <row r="337" spans="1:15" x14ac:dyDescent="0.25">
      <c r="A337" s="5" t="s">
        <v>4</v>
      </c>
      <c r="B337" s="5" t="s">
        <v>2530</v>
      </c>
      <c r="D337" s="5" t="s">
        <v>739</v>
      </c>
      <c r="E337" s="5" t="s">
        <v>2531</v>
      </c>
      <c r="F337" s="5" t="s">
        <v>1532</v>
      </c>
      <c r="G337" s="6">
        <v>46147.726388888892</v>
      </c>
      <c r="H337" s="7">
        <v>46155</v>
      </c>
      <c r="I337" s="6">
        <v>46155.447222222225</v>
      </c>
      <c r="J337" s="7">
        <v>46155</v>
      </c>
      <c r="K337" s="5" t="s">
        <v>1527</v>
      </c>
      <c r="L337" s="5" t="s">
        <v>1554</v>
      </c>
      <c r="M337" s="8">
        <v>662</v>
      </c>
      <c r="N337" s="5" t="s">
        <v>1536</v>
      </c>
      <c r="O337" s="7">
        <v>46155</v>
      </c>
    </row>
    <row r="338" spans="1:15" x14ac:dyDescent="0.25">
      <c r="A338" s="5" t="s">
        <v>4</v>
      </c>
      <c r="B338" s="5" t="s">
        <v>2532</v>
      </c>
      <c r="D338" s="5" t="s">
        <v>1327</v>
      </c>
      <c r="E338" s="5" t="s">
        <v>2533</v>
      </c>
      <c r="F338" s="5" t="s">
        <v>1959</v>
      </c>
      <c r="G338" s="6">
        <v>46168.484027777777</v>
      </c>
      <c r="H338" s="7">
        <v>46182</v>
      </c>
      <c r="I338" s="6">
        <v>46181.720138888886</v>
      </c>
      <c r="J338" s="7">
        <v>46170</v>
      </c>
      <c r="K338" s="5" t="s">
        <v>1527</v>
      </c>
      <c r="L338" s="5" t="s">
        <v>1564</v>
      </c>
      <c r="M338" s="8">
        <v>660.01</v>
      </c>
      <c r="N338" s="5" t="s">
        <v>1536</v>
      </c>
      <c r="O338" s="7">
        <v>46170</v>
      </c>
    </row>
    <row r="339" spans="1:15" x14ac:dyDescent="0.25">
      <c r="A339" s="5" t="s">
        <v>4</v>
      </c>
      <c r="B339" s="5" t="s">
        <v>2534</v>
      </c>
      <c r="D339" s="5" t="s">
        <v>1247</v>
      </c>
      <c r="E339" s="5" t="s">
        <v>2535</v>
      </c>
      <c r="F339" s="5" t="s">
        <v>1813</v>
      </c>
      <c r="G339" s="6">
        <v>46080.393750000003</v>
      </c>
      <c r="H339" s="7">
        <v>46091</v>
      </c>
      <c r="I339" s="5" t="s">
        <v>2505</v>
      </c>
      <c r="J339" s="7">
        <v>46101</v>
      </c>
      <c r="K339" s="5" t="s">
        <v>1527</v>
      </c>
      <c r="L339" s="5" t="s">
        <v>1535</v>
      </c>
      <c r="M339" s="8">
        <v>656.5</v>
      </c>
      <c r="N339" s="5" t="s">
        <v>1536</v>
      </c>
      <c r="O339" s="7">
        <v>46101</v>
      </c>
    </row>
    <row r="340" spans="1:15" hidden="1" x14ac:dyDescent="0.25">
      <c r="A340" s="5" t="s">
        <v>1522</v>
      </c>
      <c r="B340" s="5" t="s">
        <v>2536</v>
      </c>
      <c r="D340" s="5" t="s">
        <v>1469</v>
      </c>
      <c r="E340" s="5" t="s">
        <v>2537</v>
      </c>
      <c r="F340" s="5" t="s">
        <v>2538</v>
      </c>
      <c r="G340" s="6">
        <v>46083.570138888892</v>
      </c>
      <c r="H340" s="7">
        <v>46091</v>
      </c>
      <c r="I340" s="6">
        <v>46091.503472222219</v>
      </c>
      <c r="J340" s="7">
        <v>46162</v>
      </c>
      <c r="K340" s="5" t="s">
        <v>1527</v>
      </c>
      <c r="L340" s="5" t="s">
        <v>1528</v>
      </c>
      <c r="M340" s="8">
        <v>652</v>
      </c>
      <c r="N340" s="5" t="s">
        <v>1536</v>
      </c>
      <c r="O340" s="7">
        <v>46162</v>
      </c>
    </row>
    <row r="341" spans="1:15" hidden="1" x14ac:dyDescent="0.25">
      <c r="A341" s="5" t="s">
        <v>1522</v>
      </c>
      <c r="B341" s="5" t="s">
        <v>2539</v>
      </c>
      <c r="D341" s="5" t="s">
        <v>1469</v>
      </c>
      <c r="E341" s="5" t="s">
        <v>2537</v>
      </c>
      <c r="F341" s="5" t="s">
        <v>2540</v>
      </c>
      <c r="G341" s="6">
        <v>46111.415277777778</v>
      </c>
      <c r="H341" s="7">
        <v>46115</v>
      </c>
      <c r="I341" s="5" t="s">
        <v>2207</v>
      </c>
      <c r="J341" s="7">
        <v>46119</v>
      </c>
      <c r="K341" s="5" t="s">
        <v>1527</v>
      </c>
      <c r="L341" s="5" t="s">
        <v>1528</v>
      </c>
      <c r="M341" s="8">
        <v>652</v>
      </c>
      <c r="N341" s="5" t="s">
        <v>1536</v>
      </c>
      <c r="O341" s="7">
        <v>46119</v>
      </c>
    </row>
    <row r="342" spans="1:15" hidden="1" x14ac:dyDescent="0.25">
      <c r="A342" s="5" t="s">
        <v>1522</v>
      </c>
      <c r="B342" s="5" t="s">
        <v>2541</v>
      </c>
      <c r="D342" s="5" t="s">
        <v>445</v>
      </c>
      <c r="E342" s="5" t="s">
        <v>1644</v>
      </c>
      <c r="F342" s="5" t="s">
        <v>2542</v>
      </c>
      <c r="G342" s="6">
        <v>46049.462500000001</v>
      </c>
      <c r="H342" s="7">
        <v>46056</v>
      </c>
      <c r="I342" s="5" t="s">
        <v>1533</v>
      </c>
      <c r="J342" s="5" t="s">
        <v>1533</v>
      </c>
      <c r="K342" s="5" t="s">
        <v>1534</v>
      </c>
      <c r="L342" s="5" t="s">
        <v>1528</v>
      </c>
      <c r="M342" s="8">
        <v>650</v>
      </c>
      <c r="N342" s="5" t="s">
        <v>1541</v>
      </c>
      <c r="O342" s="5" t="s">
        <v>1533</v>
      </c>
    </row>
    <row r="343" spans="1:15" hidden="1" x14ac:dyDescent="0.25">
      <c r="A343" s="5" t="s">
        <v>1522</v>
      </c>
      <c r="B343" s="5" t="s">
        <v>2543</v>
      </c>
      <c r="D343" s="5" t="s">
        <v>1463</v>
      </c>
      <c r="E343" s="5" t="s">
        <v>2544</v>
      </c>
      <c r="F343" s="5" t="s">
        <v>2545</v>
      </c>
      <c r="G343" s="6">
        <v>46050.340277777781</v>
      </c>
      <c r="H343" s="7">
        <v>46055</v>
      </c>
      <c r="I343" s="6">
        <v>46055.63958333333</v>
      </c>
      <c r="J343" s="7">
        <v>46055</v>
      </c>
      <c r="K343" s="5" t="s">
        <v>1527</v>
      </c>
      <c r="L343" s="5" t="s">
        <v>1528</v>
      </c>
      <c r="M343" s="8">
        <v>650</v>
      </c>
      <c r="N343" s="5" t="s">
        <v>1536</v>
      </c>
      <c r="O343" s="7">
        <v>46055</v>
      </c>
    </row>
    <row r="344" spans="1:15" x14ac:dyDescent="0.25">
      <c r="A344" s="5" t="s">
        <v>4</v>
      </c>
      <c r="B344" s="5" t="s">
        <v>2546</v>
      </c>
      <c r="D344" s="5" t="s">
        <v>1273</v>
      </c>
      <c r="E344" s="5" t="s">
        <v>2547</v>
      </c>
      <c r="F344" s="5" t="s">
        <v>1813</v>
      </c>
      <c r="G344" s="6">
        <v>46112.599305555559</v>
      </c>
      <c r="H344" s="7">
        <v>46120</v>
      </c>
      <c r="I344" s="5" t="s">
        <v>2548</v>
      </c>
      <c r="J344" s="7">
        <v>46122</v>
      </c>
      <c r="K344" s="5" t="s">
        <v>1527</v>
      </c>
      <c r="L344" s="5" t="s">
        <v>1535</v>
      </c>
      <c r="M344" s="8">
        <v>646.79999999999995</v>
      </c>
      <c r="N344" s="5" t="s">
        <v>1536</v>
      </c>
      <c r="O344" s="7">
        <v>46122</v>
      </c>
    </row>
    <row r="345" spans="1:15" x14ac:dyDescent="0.25">
      <c r="A345" s="5" t="s">
        <v>4</v>
      </c>
      <c r="B345" s="5" t="s">
        <v>2549</v>
      </c>
      <c r="D345" s="5" t="s">
        <v>1378</v>
      </c>
      <c r="E345" s="5" t="s">
        <v>2550</v>
      </c>
      <c r="F345" s="5" t="s">
        <v>1548</v>
      </c>
      <c r="G345" s="6">
        <v>46031.712500000001</v>
      </c>
      <c r="H345" s="7">
        <v>46044</v>
      </c>
      <c r="I345" s="5" t="s">
        <v>2551</v>
      </c>
      <c r="J345" s="7">
        <v>46069</v>
      </c>
      <c r="K345" s="5" t="s">
        <v>1527</v>
      </c>
      <c r="L345" s="5" t="s">
        <v>1564</v>
      </c>
      <c r="M345" s="8">
        <v>644</v>
      </c>
      <c r="N345" s="5" t="s">
        <v>1536</v>
      </c>
      <c r="O345" s="7">
        <v>46069</v>
      </c>
    </row>
    <row r="346" spans="1:15" hidden="1" x14ac:dyDescent="0.25">
      <c r="A346" s="5" t="s">
        <v>1522</v>
      </c>
      <c r="B346" s="5" t="s">
        <v>2552</v>
      </c>
      <c r="D346" s="5" t="s">
        <v>1054</v>
      </c>
      <c r="E346" s="5" t="s">
        <v>2553</v>
      </c>
      <c r="F346" s="5" t="s">
        <v>2554</v>
      </c>
      <c r="G346" s="6">
        <v>46161.629861111112</v>
      </c>
      <c r="H346" s="7">
        <v>46164</v>
      </c>
      <c r="I346" s="5" t="s">
        <v>2555</v>
      </c>
      <c r="J346" s="7">
        <v>46167</v>
      </c>
      <c r="K346" s="5" t="s">
        <v>1527</v>
      </c>
      <c r="L346" s="5" t="s">
        <v>1528</v>
      </c>
      <c r="M346" s="8">
        <v>640</v>
      </c>
      <c r="N346" s="5" t="s">
        <v>1529</v>
      </c>
      <c r="O346" s="7">
        <v>46167</v>
      </c>
    </row>
    <row r="347" spans="1:15" x14ac:dyDescent="0.25">
      <c r="A347" s="5" t="s">
        <v>4</v>
      </c>
      <c r="B347" s="5" t="s">
        <v>2556</v>
      </c>
      <c r="D347" s="5" t="s">
        <v>1374</v>
      </c>
      <c r="E347" s="5" t="s">
        <v>2557</v>
      </c>
      <c r="F347" s="5" t="s">
        <v>2558</v>
      </c>
      <c r="G347" s="6">
        <v>46129.421527777777</v>
      </c>
      <c r="H347" s="7">
        <v>46146</v>
      </c>
      <c r="I347" s="6">
        <v>46141.344444444447</v>
      </c>
      <c r="J347" s="7">
        <v>46140</v>
      </c>
      <c r="K347" s="5" t="s">
        <v>1527</v>
      </c>
      <c r="L347" s="5" t="s">
        <v>1564</v>
      </c>
      <c r="M347" s="8">
        <v>640</v>
      </c>
      <c r="N347" s="5" t="s">
        <v>1536</v>
      </c>
      <c r="O347" s="7">
        <v>46140</v>
      </c>
    </row>
    <row r="348" spans="1:15" x14ac:dyDescent="0.25">
      <c r="A348" s="5" t="s">
        <v>4</v>
      </c>
      <c r="B348" s="5" t="s">
        <v>2559</v>
      </c>
      <c r="D348" s="5" t="s">
        <v>1317</v>
      </c>
      <c r="E348" s="5" t="s">
        <v>2042</v>
      </c>
      <c r="F348" s="5" t="s">
        <v>2560</v>
      </c>
      <c r="G348" s="6">
        <v>46160.651388888888</v>
      </c>
      <c r="H348" s="7">
        <v>46171</v>
      </c>
      <c r="I348" s="6">
        <v>46168.734722222223</v>
      </c>
      <c r="J348" s="7">
        <v>46168</v>
      </c>
      <c r="K348" s="5" t="s">
        <v>1527</v>
      </c>
      <c r="L348" s="5" t="s">
        <v>1564</v>
      </c>
      <c r="M348" s="8">
        <v>639.35</v>
      </c>
      <c r="N348" s="5" t="s">
        <v>1536</v>
      </c>
      <c r="O348" s="7">
        <v>46168</v>
      </c>
    </row>
    <row r="349" spans="1:15" hidden="1" x14ac:dyDescent="0.25">
      <c r="A349" s="5" t="s">
        <v>1522</v>
      </c>
      <c r="B349" s="5" t="s">
        <v>2561</v>
      </c>
      <c r="D349" s="5" t="s">
        <v>1485</v>
      </c>
      <c r="E349" s="5" t="s">
        <v>2214</v>
      </c>
      <c r="F349" s="5" t="s">
        <v>2562</v>
      </c>
      <c r="G349" s="6">
        <v>46100.679166666669</v>
      </c>
      <c r="H349" s="7">
        <v>46111</v>
      </c>
      <c r="I349" s="5" t="s">
        <v>2563</v>
      </c>
      <c r="J349" s="7">
        <v>46111</v>
      </c>
      <c r="K349" s="5" t="s">
        <v>1527</v>
      </c>
      <c r="L349" s="5" t="s">
        <v>1528</v>
      </c>
      <c r="M349" s="8">
        <v>638.4</v>
      </c>
      <c r="N349" s="5" t="s">
        <v>1536</v>
      </c>
      <c r="O349" s="7">
        <v>46111</v>
      </c>
    </row>
    <row r="350" spans="1:15" x14ac:dyDescent="0.25">
      <c r="A350" s="5" t="s">
        <v>4</v>
      </c>
      <c r="B350" s="5" t="s">
        <v>2564</v>
      </c>
      <c r="D350" s="5" t="s">
        <v>806</v>
      </c>
      <c r="E350" s="5" t="s">
        <v>2565</v>
      </c>
      <c r="F350" s="5" t="s">
        <v>1813</v>
      </c>
      <c r="G350" s="6">
        <v>46141.429166666669</v>
      </c>
      <c r="H350" s="7">
        <v>46154</v>
      </c>
      <c r="I350" s="6">
        <v>46153.593055555553</v>
      </c>
      <c r="J350" s="7">
        <v>46153</v>
      </c>
      <c r="K350" s="5" t="s">
        <v>1527</v>
      </c>
      <c r="L350" s="5" t="s">
        <v>1535</v>
      </c>
      <c r="M350" s="8">
        <v>636</v>
      </c>
      <c r="N350" s="5" t="s">
        <v>1536</v>
      </c>
      <c r="O350" s="7">
        <v>46153</v>
      </c>
    </row>
    <row r="351" spans="1:15" x14ac:dyDescent="0.25">
      <c r="A351" s="5" t="s">
        <v>4</v>
      </c>
      <c r="B351" s="5" t="s">
        <v>2566</v>
      </c>
      <c r="D351" s="5" t="s">
        <v>358</v>
      </c>
      <c r="E351" s="5" t="s">
        <v>2567</v>
      </c>
      <c r="F351" s="5" t="s">
        <v>2568</v>
      </c>
      <c r="G351" s="6">
        <v>46107.731944444444</v>
      </c>
      <c r="H351" s="7">
        <v>46121</v>
      </c>
      <c r="I351" s="6">
        <v>46121.736111111109</v>
      </c>
      <c r="J351" s="7">
        <v>46107</v>
      </c>
      <c r="K351" s="5" t="s">
        <v>1527</v>
      </c>
      <c r="L351" s="5" t="s">
        <v>1564</v>
      </c>
      <c r="M351" s="8">
        <v>630</v>
      </c>
      <c r="N351" s="5" t="s">
        <v>1536</v>
      </c>
      <c r="O351" s="7">
        <v>46107</v>
      </c>
    </row>
    <row r="352" spans="1:15" hidden="1" x14ac:dyDescent="0.25">
      <c r="A352" s="5" t="s">
        <v>1522</v>
      </c>
      <c r="B352" s="5" t="s">
        <v>2569</v>
      </c>
      <c r="D352" s="5" t="s">
        <v>736</v>
      </c>
      <c r="E352" s="5" t="s">
        <v>2424</v>
      </c>
      <c r="F352" s="5" t="s">
        <v>2570</v>
      </c>
      <c r="G352" s="6">
        <v>46163.452777777777</v>
      </c>
      <c r="H352" s="7">
        <v>46171</v>
      </c>
      <c r="I352" s="5" t="s">
        <v>1533</v>
      </c>
      <c r="J352" s="5" t="s">
        <v>1533</v>
      </c>
      <c r="K352" s="5" t="s">
        <v>1534</v>
      </c>
      <c r="L352" s="5" t="s">
        <v>1528</v>
      </c>
      <c r="M352" s="8">
        <v>625</v>
      </c>
      <c r="N352" s="5" t="s">
        <v>1541</v>
      </c>
      <c r="O352" s="5" t="s">
        <v>1533</v>
      </c>
    </row>
    <row r="353" spans="1:15" x14ac:dyDescent="0.25">
      <c r="A353" s="5" t="s">
        <v>4</v>
      </c>
      <c r="B353" s="5" t="s">
        <v>2571</v>
      </c>
      <c r="D353" s="5" t="s">
        <v>678</v>
      </c>
      <c r="E353" s="5" t="s">
        <v>2572</v>
      </c>
      <c r="F353" s="5" t="s">
        <v>2573</v>
      </c>
      <c r="G353" s="6">
        <v>46171.617361111108</v>
      </c>
      <c r="H353" s="7">
        <v>46185</v>
      </c>
      <c r="I353" s="5" t="s">
        <v>1533</v>
      </c>
      <c r="J353" s="5" t="s">
        <v>1533</v>
      </c>
      <c r="K353" s="5" t="s">
        <v>1540</v>
      </c>
      <c r="L353" s="5" t="s">
        <v>1564</v>
      </c>
      <c r="M353" s="8">
        <v>623</v>
      </c>
      <c r="N353" s="5" t="s">
        <v>1541</v>
      </c>
      <c r="O353" s="5" t="s">
        <v>1533</v>
      </c>
    </row>
    <row r="354" spans="1:15" x14ac:dyDescent="0.25">
      <c r="A354" s="5" t="s">
        <v>4</v>
      </c>
      <c r="B354" s="5" t="s">
        <v>2574</v>
      </c>
      <c r="D354" s="5" t="s">
        <v>1434</v>
      </c>
      <c r="E354" s="5" t="s">
        <v>1662</v>
      </c>
      <c r="F354" s="5" t="s">
        <v>1548</v>
      </c>
      <c r="G354" s="6">
        <v>46030.377083333333</v>
      </c>
      <c r="H354" s="7">
        <v>46042</v>
      </c>
      <c r="I354" s="6">
        <v>46035.731249999997</v>
      </c>
      <c r="J354" s="7">
        <v>46035</v>
      </c>
      <c r="K354" s="5" t="s">
        <v>1527</v>
      </c>
      <c r="L354" s="5" t="s">
        <v>1564</v>
      </c>
      <c r="M354" s="8">
        <v>622.5</v>
      </c>
      <c r="N354" s="5" t="s">
        <v>1536</v>
      </c>
      <c r="O354" s="7">
        <v>46035</v>
      </c>
    </row>
    <row r="355" spans="1:15" x14ac:dyDescent="0.25">
      <c r="A355" s="5" t="s">
        <v>4</v>
      </c>
      <c r="B355" s="5" t="s">
        <v>2575</v>
      </c>
      <c r="D355" s="5" t="s">
        <v>1378</v>
      </c>
      <c r="E355" s="5" t="s">
        <v>2550</v>
      </c>
      <c r="F355" s="5" t="s">
        <v>1738</v>
      </c>
      <c r="G355" s="6">
        <v>46084.368055555555</v>
      </c>
      <c r="H355" s="7">
        <v>46097</v>
      </c>
      <c r="I355" s="5" t="s">
        <v>2576</v>
      </c>
      <c r="J355" s="7">
        <v>46104</v>
      </c>
      <c r="K355" s="5" t="s">
        <v>1527</v>
      </c>
      <c r="L355" s="5" t="s">
        <v>1564</v>
      </c>
      <c r="M355" s="8">
        <v>620.98</v>
      </c>
      <c r="N355" s="5" t="s">
        <v>1536</v>
      </c>
      <c r="O355" s="7">
        <v>46104</v>
      </c>
    </row>
    <row r="356" spans="1:15" x14ac:dyDescent="0.25">
      <c r="A356" s="5" t="s">
        <v>4</v>
      </c>
      <c r="B356" s="5" t="s">
        <v>2577</v>
      </c>
      <c r="D356" s="5" t="s">
        <v>1301</v>
      </c>
      <c r="E356" s="5" t="s">
        <v>2578</v>
      </c>
      <c r="F356" s="5" t="s">
        <v>2579</v>
      </c>
      <c r="G356" s="6">
        <v>46160.384722222225</v>
      </c>
      <c r="H356" s="7">
        <v>46171</v>
      </c>
      <c r="I356" s="5" t="s">
        <v>1533</v>
      </c>
      <c r="J356" s="7">
        <v>46171</v>
      </c>
      <c r="K356" s="5" t="s">
        <v>1540</v>
      </c>
      <c r="L356" s="5" t="s">
        <v>1535</v>
      </c>
      <c r="M356" s="8">
        <v>617.6</v>
      </c>
      <c r="N356" s="5" t="s">
        <v>1536</v>
      </c>
      <c r="O356" s="7">
        <v>46171</v>
      </c>
    </row>
    <row r="357" spans="1:15" x14ac:dyDescent="0.25">
      <c r="A357" s="5" t="s">
        <v>4</v>
      </c>
      <c r="B357" s="5" t="s">
        <v>2580</v>
      </c>
      <c r="D357" s="5" t="s">
        <v>1301</v>
      </c>
      <c r="E357" s="5" t="s">
        <v>2581</v>
      </c>
      <c r="F357" s="5" t="s">
        <v>2582</v>
      </c>
      <c r="G357" s="6">
        <v>46160.385416666664</v>
      </c>
      <c r="H357" s="7">
        <v>46171</v>
      </c>
      <c r="I357" s="5" t="s">
        <v>1533</v>
      </c>
      <c r="J357" s="7">
        <v>46171</v>
      </c>
      <c r="K357" s="5" t="s">
        <v>1540</v>
      </c>
      <c r="L357" s="5" t="s">
        <v>1535</v>
      </c>
      <c r="M357" s="8">
        <v>617.6</v>
      </c>
      <c r="N357" s="5" t="s">
        <v>1536</v>
      </c>
      <c r="O357" s="7">
        <v>46171</v>
      </c>
    </row>
    <row r="358" spans="1:15" hidden="1" x14ac:dyDescent="0.25">
      <c r="A358" s="5" t="s">
        <v>1522</v>
      </c>
      <c r="B358" s="5" t="s">
        <v>2583</v>
      </c>
      <c r="D358" s="5" t="s">
        <v>1498</v>
      </c>
      <c r="E358" s="5" t="s">
        <v>2487</v>
      </c>
      <c r="F358" s="5" t="s">
        <v>2488</v>
      </c>
      <c r="G358" s="6">
        <v>46027.434027777781</v>
      </c>
      <c r="H358" s="7">
        <v>46029</v>
      </c>
      <c r="I358" s="5" t="s">
        <v>2584</v>
      </c>
      <c r="J358" s="7">
        <v>46030</v>
      </c>
      <c r="K358" s="5" t="s">
        <v>1527</v>
      </c>
      <c r="L358" s="5" t="s">
        <v>1528</v>
      </c>
      <c r="M358" s="8">
        <v>616</v>
      </c>
      <c r="N358" s="5" t="s">
        <v>1536</v>
      </c>
      <c r="O358" s="7">
        <v>46030</v>
      </c>
    </row>
    <row r="359" spans="1:15" x14ac:dyDescent="0.25">
      <c r="A359" s="5" t="s">
        <v>4</v>
      </c>
      <c r="B359" s="5" t="s">
        <v>2585</v>
      </c>
      <c r="D359" s="5" t="s">
        <v>831</v>
      </c>
      <c r="E359" s="5" t="s">
        <v>2586</v>
      </c>
      <c r="F359" s="5" t="s">
        <v>1548</v>
      </c>
      <c r="G359" s="6">
        <v>46059.509722222225</v>
      </c>
      <c r="H359" s="7">
        <v>46069</v>
      </c>
      <c r="I359" s="5" t="s">
        <v>2587</v>
      </c>
      <c r="J359" s="7">
        <v>46059</v>
      </c>
      <c r="K359" s="5" t="s">
        <v>1527</v>
      </c>
      <c r="L359" s="5" t="s">
        <v>1564</v>
      </c>
      <c r="M359" s="8">
        <v>615.5</v>
      </c>
      <c r="N359" s="5" t="s">
        <v>1536</v>
      </c>
      <c r="O359" s="7">
        <v>46059</v>
      </c>
    </row>
    <row r="360" spans="1:15" hidden="1" x14ac:dyDescent="0.25">
      <c r="A360" s="5" t="s">
        <v>1522</v>
      </c>
      <c r="B360" s="5" t="s">
        <v>2588</v>
      </c>
      <c r="D360" s="5" t="s">
        <v>270</v>
      </c>
      <c r="E360" s="5" t="s">
        <v>2589</v>
      </c>
      <c r="F360" s="5" t="s">
        <v>1548</v>
      </c>
      <c r="G360" s="6">
        <v>46094.622916666667</v>
      </c>
      <c r="H360" s="7">
        <v>46101</v>
      </c>
      <c r="I360" s="6">
        <v>46101.661805555559</v>
      </c>
      <c r="J360" s="7">
        <v>46101</v>
      </c>
      <c r="K360" s="5" t="s">
        <v>1527</v>
      </c>
      <c r="L360" s="5" t="s">
        <v>1528</v>
      </c>
      <c r="M360" s="8">
        <v>613</v>
      </c>
      <c r="N360" s="5" t="s">
        <v>1536</v>
      </c>
      <c r="O360" s="7">
        <v>46101</v>
      </c>
    </row>
    <row r="361" spans="1:15" x14ac:dyDescent="0.25">
      <c r="A361" s="5" t="s">
        <v>4</v>
      </c>
      <c r="B361" s="5" t="s">
        <v>2590</v>
      </c>
      <c r="D361" s="5" t="s">
        <v>141</v>
      </c>
      <c r="E361" s="5" t="s">
        <v>2591</v>
      </c>
      <c r="F361" s="5" t="s">
        <v>1548</v>
      </c>
      <c r="G361" s="6">
        <v>46031.663888888892</v>
      </c>
      <c r="H361" s="7">
        <v>46044</v>
      </c>
      <c r="I361" s="5" t="s">
        <v>2592</v>
      </c>
      <c r="J361" s="7">
        <v>46048</v>
      </c>
      <c r="K361" s="5" t="s">
        <v>1527</v>
      </c>
      <c r="L361" s="5" t="s">
        <v>1564</v>
      </c>
      <c r="M361" s="8">
        <v>613</v>
      </c>
      <c r="N361" s="5" t="s">
        <v>1536</v>
      </c>
      <c r="O361" s="7">
        <v>46048</v>
      </c>
    </row>
    <row r="362" spans="1:15" x14ac:dyDescent="0.25">
      <c r="A362" s="5" t="s">
        <v>4</v>
      </c>
      <c r="B362" s="5" t="s">
        <v>2593</v>
      </c>
      <c r="D362" s="5" t="s">
        <v>1219</v>
      </c>
      <c r="E362" s="5" t="s">
        <v>2594</v>
      </c>
      <c r="F362" s="5" t="s">
        <v>1770</v>
      </c>
      <c r="G362" s="6">
        <v>46078.595833333333</v>
      </c>
      <c r="H362" s="7">
        <v>46091</v>
      </c>
      <c r="I362" s="6">
        <v>46084.618055555555</v>
      </c>
      <c r="J362" s="7">
        <v>46084</v>
      </c>
      <c r="K362" s="5" t="s">
        <v>1527</v>
      </c>
      <c r="L362" s="5" t="s">
        <v>1564</v>
      </c>
      <c r="M362" s="8">
        <v>612.4</v>
      </c>
      <c r="N362" s="5" t="s">
        <v>1536</v>
      </c>
      <c r="O362" s="7">
        <v>46084</v>
      </c>
    </row>
    <row r="363" spans="1:15" x14ac:dyDescent="0.25">
      <c r="A363" s="5" t="s">
        <v>4</v>
      </c>
      <c r="B363" s="5" t="s">
        <v>2595</v>
      </c>
      <c r="D363" s="5" t="s">
        <v>1332</v>
      </c>
      <c r="E363" s="5" t="s">
        <v>2596</v>
      </c>
      <c r="F363" s="5" t="s">
        <v>1532</v>
      </c>
      <c r="G363" s="6">
        <v>46162.686805555553</v>
      </c>
      <c r="H363" s="7">
        <v>46171</v>
      </c>
      <c r="I363" s="6">
        <v>46171.628472222219</v>
      </c>
      <c r="J363" s="7">
        <v>46171</v>
      </c>
      <c r="K363" s="5" t="s">
        <v>1527</v>
      </c>
      <c r="L363" s="5" t="s">
        <v>1535</v>
      </c>
      <c r="M363" s="8">
        <v>609.5</v>
      </c>
      <c r="N363" s="5" t="s">
        <v>1536</v>
      </c>
      <c r="O363" s="7">
        <v>46171</v>
      </c>
    </row>
    <row r="364" spans="1:15" x14ac:dyDescent="0.25">
      <c r="A364" s="5" t="s">
        <v>4</v>
      </c>
      <c r="B364" s="5" t="s">
        <v>2597</v>
      </c>
      <c r="D364" s="5" t="s">
        <v>1371</v>
      </c>
      <c r="E364" s="5" t="s">
        <v>2598</v>
      </c>
      <c r="F364" s="5" t="s">
        <v>2599</v>
      </c>
      <c r="G364" s="6">
        <v>46111.404861111114</v>
      </c>
      <c r="H364" s="7">
        <v>46121</v>
      </c>
      <c r="I364" s="5" t="s">
        <v>2600</v>
      </c>
      <c r="J364" s="7">
        <v>46125</v>
      </c>
      <c r="K364" s="5" t="s">
        <v>1527</v>
      </c>
      <c r="L364" s="5" t="s">
        <v>1535</v>
      </c>
      <c r="M364" s="8">
        <v>609</v>
      </c>
      <c r="N364" s="5" t="s">
        <v>1536</v>
      </c>
      <c r="O364" s="7">
        <v>46125</v>
      </c>
    </row>
    <row r="365" spans="1:15" hidden="1" x14ac:dyDescent="0.25">
      <c r="A365" s="5" t="s">
        <v>1522</v>
      </c>
      <c r="B365" s="5" t="s">
        <v>2601</v>
      </c>
      <c r="D365" s="5" t="s">
        <v>1496</v>
      </c>
      <c r="E365" s="5" t="s">
        <v>1885</v>
      </c>
      <c r="F365" s="5" t="s">
        <v>2602</v>
      </c>
      <c r="G365" s="6">
        <v>46077.418749999997</v>
      </c>
      <c r="H365" s="7">
        <v>46085</v>
      </c>
      <c r="I365" s="6">
        <v>46085.714583333334</v>
      </c>
      <c r="J365" s="7">
        <v>46085</v>
      </c>
      <c r="K365" s="5" t="s">
        <v>1527</v>
      </c>
      <c r="L365" s="5" t="s">
        <v>1528</v>
      </c>
      <c r="M365" s="8">
        <v>606.69000000000005</v>
      </c>
      <c r="N365" s="5" t="s">
        <v>1536</v>
      </c>
      <c r="O365" s="7">
        <v>46085</v>
      </c>
    </row>
    <row r="366" spans="1:15" x14ac:dyDescent="0.25">
      <c r="A366" s="5" t="s">
        <v>4</v>
      </c>
      <c r="B366" s="5" t="s">
        <v>2603</v>
      </c>
      <c r="D366" s="5" t="s">
        <v>1256</v>
      </c>
      <c r="E366" s="5" t="s">
        <v>2604</v>
      </c>
      <c r="F366" s="5" t="s">
        <v>1759</v>
      </c>
      <c r="G366" s="6">
        <v>46169.620833333334</v>
      </c>
      <c r="H366" s="7">
        <v>46183</v>
      </c>
      <c r="I366" s="5" t="s">
        <v>1533</v>
      </c>
      <c r="J366" s="7">
        <v>46171</v>
      </c>
      <c r="K366" s="5" t="s">
        <v>1534</v>
      </c>
      <c r="L366" s="5" t="s">
        <v>1564</v>
      </c>
      <c r="M366" s="8">
        <v>605.01</v>
      </c>
      <c r="N366" s="5" t="s">
        <v>1536</v>
      </c>
      <c r="O366" s="7">
        <v>46171</v>
      </c>
    </row>
    <row r="367" spans="1:15" hidden="1" x14ac:dyDescent="0.25">
      <c r="A367" s="5" t="s">
        <v>1522</v>
      </c>
      <c r="B367" s="5" t="s">
        <v>2605</v>
      </c>
      <c r="D367" s="5" t="s">
        <v>1508</v>
      </c>
      <c r="E367" s="5" t="s">
        <v>2606</v>
      </c>
      <c r="F367" s="5" t="s">
        <v>2607</v>
      </c>
      <c r="G367" s="6">
        <v>46051.620138888888</v>
      </c>
      <c r="H367" s="7">
        <v>46052</v>
      </c>
      <c r="I367" s="5" t="s">
        <v>2608</v>
      </c>
      <c r="J367" s="7">
        <v>46052</v>
      </c>
      <c r="K367" s="5" t="s">
        <v>1527</v>
      </c>
      <c r="L367" s="5" t="s">
        <v>1528</v>
      </c>
      <c r="M367" s="8">
        <v>600</v>
      </c>
      <c r="N367" s="5" t="s">
        <v>1536</v>
      </c>
      <c r="O367" s="7">
        <v>46052</v>
      </c>
    </row>
    <row r="368" spans="1:15" x14ac:dyDescent="0.25">
      <c r="A368" s="5" t="s">
        <v>4</v>
      </c>
      <c r="B368" s="5" t="s">
        <v>2609</v>
      </c>
      <c r="D368" s="5" t="s">
        <v>133</v>
      </c>
      <c r="E368" s="5" t="s">
        <v>2610</v>
      </c>
      <c r="F368" s="5" t="s">
        <v>1532</v>
      </c>
      <c r="G368" s="6">
        <v>46121.712500000001</v>
      </c>
      <c r="H368" s="7">
        <v>46133</v>
      </c>
      <c r="I368" s="6">
        <v>46129.592361111114</v>
      </c>
      <c r="J368" s="7">
        <v>46129</v>
      </c>
      <c r="K368" s="5" t="s">
        <v>1527</v>
      </c>
      <c r="L368" s="5" t="s">
        <v>1535</v>
      </c>
      <c r="M368" s="8">
        <v>600</v>
      </c>
      <c r="N368" s="5" t="s">
        <v>1536</v>
      </c>
      <c r="O368" s="7">
        <v>46129</v>
      </c>
    </row>
    <row r="369" spans="1:15" x14ac:dyDescent="0.25">
      <c r="A369" s="5" t="s">
        <v>4</v>
      </c>
      <c r="B369" s="5" t="s">
        <v>2611</v>
      </c>
      <c r="D369" s="5" t="s">
        <v>810</v>
      </c>
      <c r="E369" s="5" t="s">
        <v>2612</v>
      </c>
      <c r="F369" s="5" t="s">
        <v>1738</v>
      </c>
      <c r="G369" s="6">
        <v>46136.365972222222</v>
      </c>
      <c r="H369" s="7">
        <v>46150</v>
      </c>
      <c r="I369" s="6">
        <v>46146.716666666667</v>
      </c>
      <c r="J369" s="7">
        <v>46146</v>
      </c>
      <c r="K369" s="5" t="s">
        <v>1527</v>
      </c>
      <c r="L369" s="5" t="s">
        <v>1564</v>
      </c>
      <c r="M369" s="8">
        <v>600</v>
      </c>
      <c r="N369" s="5" t="s">
        <v>1536</v>
      </c>
      <c r="O369" s="7">
        <v>46146</v>
      </c>
    </row>
    <row r="370" spans="1:15" x14ac:dyDescent="0.25">
      <c r="A370" s="5" t="s">
        <v>4</v>
      </c>
      <c r="B370" s="5" t="s">
        <v>2613</v>
      </c>
      <c r="D370" s="5" t="s">
        <v>790</v>
      </c>
      <c r="E370" s="5" t="s">
        <v>2614</v>
      </c>
      <c r="F370" s="5" t="s">
        <v>2615</v>
      </c>
      <c r="G370" s="6">
        <v>46091.70416666667</v>
      </c>
      <c r="H370" s="7">
        <v>46098</v>
      </c>
      <c r="I370" s="5" t="s">
        <v>2616</v>
      </c>
      <c r="J370" s="7">
        <v>46091</v>
      </c>
      <c r="K370" s="5" t="s">
        <v>1527</v>
      </c>
      <c r="L370" s="5" t="s">
        <v>1564</v>
      </c>
      <c r="M370" s="8">
        <v>599.79999999999995</v>
      </c>
      <c r="N370" s="5" t="s">
        <v>1536</v>
      </c>
      <c r="O370" s="7">
        <v>46091</v>
      </c>
    </row>
    <row r="371" spans="1:15" x14ac:dyDescent="0.25">
      <c r="A371" s="5" t="s">
        <v>4</v>
      </c>
      <c r="B371" s="5" t="s">
        <v>2617</v>
      </c>
      <c r="D371" s="5" t="s">
        <v>718</v>
      </c>
      <c r="E371" s="5" t="s">
        <v>2618</v>
      </c>
      <c r="F371" s="5" t="s">
        <v>2619</v>
      </c>
      <c r="G371" s="6">
        <v>46154.600694444445</v>
      </c>
      <c r="H371" s="7">
        <v>46163</v>
      </c>
      <c r="I371" s="6">
        <v>46161.699305555558</v>
      </c>
      <c r="J371" s="7">
        <v>46157</v>
      </c>
      <c r="K371" s="5" t="s">
        <v>1527</v>
      </c>
      <c r="L371" s="5" t="s">
        <v>1621</v>
      </c>
      <c r="M371" s="8">
        <v>599</v>
      </c>
      <c r="N371" s="5" t="s">
        <v>1536</v>
      </c>
      <c r="O371" s="7">
        <v>46157</v>
      </c>
    </row>
    <row r="372" spans="1:15" x14ac:dyDescent="0.25">
      <c r="A372" s="5" t="s">
        <v>4</v>
      </c>
      <c r="B372" s="5" t="s">
        <v>2620</v>
      </c>
      <c r="D372" s="5" t="s">
        <v>254</v>
      </c>
      <c r="E372" s="5" t="s">
        <v>2621</v>
      </c>
      <c r="F372" s="5" t="s">
        <v>1738</v>
      </c>
      <c r="G372" s="6">
        <v>46160.368750000001</v>
      </c>
      <c r="H372" s="7">
        <v>46171</v>
      </c>
      <c r="I372" s="5" t="s">
        <v>2622</v>
      </c>
      <c r="J372" s="7">
        <v>46171</v>
      </c>
      <c r="K372" s="5" t="s">
        <v>1527</v>
      </c>
      <c r="L372" s="5" t="s">
        <v>1564</v>
      </c>
      <c r="M372" s="9">
        <v>595</v>
      </c>
      <c r="N372" s="5" t="s">
        <v>1536</v>
      </c>
      <c r="O372" s="7">
        <v>46171</v>
      </c>
    </row>
    <row r="373" spans="1:15" hidden="1" x14ac:dyDescent="0.25">
      <c r="A373" s="5" t="s">
        <v>1522</v>
      </c>
      <c r="B373" s="5" t="s">
        <v>2623</v>
      </c>
      <c r="D373" s="5" t="s">
        <v>1395</v>
      </c>
      <c r="E373" s="5" t="s">
        <v>2624</v>
      </c>
      <c r="F373" s="5" t="s">
        <v>2625</v>
      </c>
      <c r="G373" s="6">
        <v>46161.707638888889</v>
      </c>
      <c r="H373" s="7">
        <v>46170</v>
      </c>
      <c r="I373" s="5" t="s">
        <v>2626</v>
      </c>
      <c r="J373" s="7">
        <v>46171</v>
      </c>
      <c r="K373" s="5" t="s">
        <v>1527</v>
      </c>
      <c r="L373" s="5" t="s">
        <v>1528</v>
      </c>
      <c r="M373" s="8">
        <v>594</v>
      </c>
      <c r="N373" s="5" t="s">
        <v>1529</v>
      </c>
      <c r="O373" s="7">
        <v>46171</v>
      </c>
    </row>
    <row r="374" spans="1:15" x14ac:dyDescent="0.25">
      <c r="A374" s="5" t="s">
        <v>4</v>
      </c>
      <c r="B374" s="5" t="s">
        <v>2627</v>
      </c>
      <c r="D374" s="5" t="s">
        <v>1238</v>
      </c>
      <c r="E374" s="5" t="s">
        <v>2628</v>
      </c>
      <c r="F374" s="5" t="s">
        <v>2306</v>
      </c>
      <c r="G374" s="6">
        <v>46111.458333333336</v>
      </c>
      <c r="H374" s="7">
        <v>46125</v>
      </c>
      <c r="I374" s="6">
        <v>46125.416666666664</v>
      </c>
      <c r="J374" s="7">
        <v>46120</v>
      </c>
      <c r="K374" s="5" t="s">
        <v>1527</v>
      </c>
      <c r="L374" s="5" t="s">
        <v>1564</v>
      </c>
      <c r="M374" s="8">
        <v>593.25</v>
      </c>
      <c r="N374" s="5" t="s">
        <v>1536</v>
      </c>
      <c r="O374" s="7">
        <v>46120</v>
      </c>
    </row>
    <row r="375" spans="1:15" x14ac:dyDescent="0.25">
      <c r="A375" s="5" t="s">
        <v>4</v>
      </c>
      <c r="B375" s="5" t="s">
        <v>2629</v>
      </c>
      <c r="D375" s="5" t="s">
        <v>677</v>
      </c>
      <c r="E375" s="5" t="s">
        <v>2630</v>
      </c>
      <c r="F375" s="5" t="s">
        <v>1548</v>
      </c>
      <c r="G375" s="6">
        <v>46045.652777777781</v>
      </c>
      <c r="H375" s="7">
        <v>46058</v>
      </c>
      <c r="I375" s="5" t="s">
        <v>2631</v>
      </c>
      <c r="J375" s="7">
        <v>46066</v>
      </c>
      <c r="K375" s="5" t="s">
        <v>1527</v>
      </c>
      <c r="L375" s="5" t="s">
        <v>1564</v>
      </c>
      <c r="M375" s="8">
        <v>590.79999999999995</v>
      </c>
      <c r="N375" s="5" t="s">
        <v>1536</v>
      </c>
      <c r="O375" s="7">
        <v>46066</v>
      </c>
    </row>
    <row r="376" spans="1:15" x14ac:dyDescent="0.25">
      <c r="A376" s="5" t="s">
        <v>4</v>
      </c>
      <c r="B376" s="5" t="s">
        <v>2632</v>
      </c>
      <c r="D376" s="5" t="s">
        <v>299</v>
      </c>
      <c r="E376" s="5" t="s">
        <v>2633</v>
      </c>
      <c r="F376" s="5" t="s">
        <v>1738</v>
      </c>
      <c r="G376" s="6">
        <v>46092.727083333331</v>
      </c>
      <c r="H376" s="7">
        <v>46105</v>
      </c>
      <c r="I376" s="5" t="s">
        <v>2634</v>
      </c>
      <c r="J376" s="7">
        <v>46106</v>
      </c>
      <c r="K376" s="5" t="s">
        <v>1527</v>
      </c>
      <c r="L376" s="5" t="s">
        <v>1564</v>
      </c>
      <c r="M376" s="8">
        <v>590</v>
      </c>
      <c r="N376" s="5" t="s">
        <v>1536</v>
      </c>
      <c r="O376" s="7">
        <v>46106</v>
      </c>
    </row>
    <row r="377" spans="1:15" x14ac:dyDescent="0.25">
      <c r="A377" s="5" t="s">
        <v>4</v>
      </c>
      <c r="B377" s="5" t="s">
        <v>2635</v>
      </c>
      <c r="D377" s="5" t="s">
        <v>468</v>
      </c>
      <c r="E377" s="5" t="s">
        <v>2636</v>
      </c>
      <c r="F377" s="5" t="s">
        <v>2637</v>
      </c>
      <c r="G377" s="6">
        <v>46134.453472222223</v>
      </c>
      <c r="H377" s="7">
        <v>46136</v>
      </c>
      <c r="I377" s="5" t="s">
        <v>2638</v>
      </c>
      <c r="J377" s="7">
        <v>46141</v>
      </c>
      <c r="K377" s="5" t="s">
        <v>1527</v>
      </c>
      <c r="L377" s="5" t="s">
        <v>1564</v>
      </c>
      <c r="M377" s="8">
        <v>589.79999999999995</v>
      </c>
      <c r="N377" s="5" t="s">
        <v>1536</v>
      </c>
      <c r="O377" s="7">
        <v>46141</v>
      </c>
    </row>
    <row r="378" spans="1:15" x14ac:dyDescent="0.25">
      <c r="A378" s="5" t="s">
        <v>4</v>
      </c>
      <c r="B378" s="5" t="s">
        <v>2639</v>
      </c>
      <c r="D378" s="5" t="s">
        <v>25</v>
      </c>
      <c r="E378" s="5" t="s">
        <v>2640</v>
      </c>
      <c r="F378" s="5" t="s">
        <v>1663</v>
      </c>
      <c r="G378" s="6">
        <v>46125.704861111109</v>
      </c>
      <c r="H378" s="7">
        <v>46139</v>
      </c>
      <c r="I378" s="6">
        <v>46132.618750000001</v>
      </c>
      <c r="J378" s="7">
        <v>46132</v>
      </c>
      <c r="K378" s="5" t="s">
        <v>1527</v>
      </c>
      <c r="L378" s="5" t="s">
        <v>1564</v>
      </c>
      <c r="M378" s="8">
        <v>589.20000000000005</v>
      </c>
      <c r="N378" s="5" t="s">
        <v>1536</v>
      </c>
      <c r="O378" s="7">
        <v>46132</v>
      </c>
    </row>
    <row r="379" spans="1:15" x14ac:dyDescent="0.25">
      <c r="A379" s="5" t="s">
        <v>4</v>
      </c>
      <c r="B379" s="5" t="s">
        <v>2641</v>
      </c>
      <c r="D379" s="5" t="s">
        <v>1388</v>
      </c>
      <c r="E379" s="5" t="s">
        <v>2642</v>
      </c>
      <c r="F379" s="5" t="s">
        <v>1548</v>
      </c>
      <c r="G379" s="6">
        <v>46076.55972222222</v>
      </c>
      <c r="H379" s="7">
        <v>46087</v>
      </c>
      <c r="I379" s="5" t="s">
        <v>2643</v>
      </c>
      <c r="J379" s="7">
        <v>46076</v>
      </c>
      <c r="K379" s="5" t="s">
        <v>1527</v>
      </c>
      <c r="L379" s="5" t="s">
        <v>1535</v>
      </c>
      <c r="M379" s="8">
        <v>588</v>
      </c>
      <c r="N379" s="5" t="s">
        <v>1536</v>
      </c>
      <c r="O379" s="7">
        <v>46076</v>
      </c>
    </row>
    <row r="380" spans="1:15" x14ac:dyDescent="0.25">
      <c r="A380" s="5" t="s">
        <v>4</v>
      </c>
      <c r="B380" s="5" t="s">
        <v>2644</v>
      </c>
      <c r="D380" s="5" t="s">
        <v>1397</v>
      </c>
      <c r="E380" s="5" t="s">
        <v>2645</v>
      </c>
      <c r="F380" s="5" t="s">
        <v>2646</v>
      </c>
      <c r="G380" s="6">
        <v>46079.636805555558</v>
      </c>
      <c r="H380" s="7">
        <v>46092</v>
      </c>
      <c r="I380" s="6">
        <v>46090.635416666664</v>
      </c>
      <c r="J380" s="7">
        <v>46090</v>
      </c>
      <c r="K380" s="5" t="s">
        <v>1527</v>
      </c>
      <c r="L380" s="5" t="s">
        <v>1564</v>
      </c>
      <c r="M380" s="8">
        <v>586.01</v>
      </c>
      <c r="N380" s="5" t="s">
        <v>1536</v>
      </c>
      <c r="O380" s="7">
        <v>46090</v>
      </c>
    </row>
    <row r="381" spans="1:15" x14ac:dyDescent="0.25">
      <c r="A381" s="5" t="s">
        <v>4</v>
      </c>
      <c r="B381" s="5" t="s">
        <v>2647</v>
      </c>
      <c r="D381" s="5" t="s">
        <v>132</v>
      </c>
      <c r="E381" s="5" t="s">
        <v>2648</v>
      </c>
      <c r="F381" s="5" t="s">
        <v>1770</v>
      </c>
      <c r="G381" s="6">
        <v>46091.618055555555</v>
      </c>
      <c r="H381" s="7">
        <v>46104</v>
      </c>
      <c r="I381" s="6">
        <v>46104.708333333336</v>
      </c>
      <c r="J381" s="7">
        <v>46104</v>
      </c>
      <c r="K381" s="5" t="s">
        <v>1527</v>
      </c>
      <c r="L381" s="5" t="s">
        <v>1564</v>
      </c>
      <c r="M381" s="8">
        <v>585</v>
      </c>
      <c r="N381" s="5" t="s">
        <v>1536</v>
      </c>
      <c r="O381" s="7">
        <v>46104</v>
      </c>
    </row>
    <row r="382" spans="1:15" x14ac:dyDescent="0.25">
      <c r="A382" s="5" t="s">
        <v>4</v>
      </c>
      <c r="B382" s="5" t="s">
        <v>2649</v>
      </c>
      <c r="D382" s="5" t="s">
        <v>449</v>
      </c>
      <c r="E382" s="5" t="s">
        <v>2650</v>
      </c>
      <c r="F382" s="5" t="s">
        <v>2651</v>
      </c>
      <c r="G382" s="6">
        <v>46140.720138888886</v>
      </c>
      <c r="H382" s="7">
        <v>46147</v>
      </c>
      <c r="I382" s="6">
        <v>46142.647916666669</v>
      </c>
      <c r="J382" s="7">
        <v>46141</v>
      </c>
      <c r="K382" s="5" t="s">
        <v>1527</v>
      </c>
      <c r="L382" s="5" t="s">
        <v>1564</v>
      </c>
      <c r="M382" s="8">
        <v>585</v>
      </c>
      <c r="N382" s="5" t="s">
        <v>1536</v>
      </c>
      <c r="O382" s="7">
        <v>46141</v>
      </c>
    </row>
    <row r="383" spans="1:15" x14ac:dyDescent="0.25">
      <c r="A383" s="5" t="s">
        <v>4</v>
      </c>
      <c r="B383" s="5" t="s">
        <v>2652</v>
      </c>
      <c r="D383" s="5" t="s">
        <v>582</v>
      </c>
      <c r="E383" s="5" t="s">
        <v>2653</v>
      </c>
      <c r="F383" s="5" t="s">
        <v>1548</v>
      </c>
      <c r="G383" s="6">
        <v>46030.598611111112</v>
      </c>
      <c r="H383" s="7">
        <v>46042</v>
      </c>
      <c r="I383" s="5" t="s">
        <v>2654</v>
      </c>
      <c r="J383" s="7">
        <v>46052</v>
      </c>
      <c r="K383" s="5" t="s">
        <v>1527</v>
      </c>
      <c r="L383" s="5" t="s">
        <v>1564</v>
      </c>
      <c r="M383" s="8">
        <v>580.84</v>
      </c>
      <c r="N383" s="5" t="s">
        <v>1536</v>
      </c>
      <c r="O383" s="7">
        <v>46052</v>
      </c>
    </row>
    <row r="384" spans="1:15" hidden="1" x14ac:dyDescent="0.25">
      <c r="A384" s="5" t="s">
        <v>1522</v>
      </c>
      <c r="B384" s="5" t="s">
        <v>2655</v>
      </c>
      <c r="D384" s="5" t="s">
        <v>1241</v>
      </c>
      <c r="E384" s="5" t="s">
        <v>2656</v>
      </c>
      <c r="F384" s="5" t="s">
        <v>1548</v>
      </c>
      <c r="G384" s="6">
        <v>46037.675694444442</v>
      </c>
      <c r="H384" s="7">
        <v>46050</v>
      </c>
      <c r="I384" s="5" t="s">
        <v>2657</v>
      </c>
      <c r="J384" s="7">
        <v>46052</v>
      </c>
      <c r="K384" s="5" t="s">
        <v>1527</v>
      </c>
      <c r="L384" s="5" t="s">
        <v>1528</v>
      </c>
      <c r="M384" s="8">
        <v>580</v>
      </c>
      <c r="N384" s="5" t="s">
        <v>1536</v>
      </c>
      <c r="O384" s="7">
        <v>46052</v>
      </c>
    </row>
    <row r="385" spans="1:15" x14ac:dyDescent="0.25">
      <c r="A385" s="5" t="s">
        <v>4</v>
      </c>
      <c r="B385" s="5" t="s">
        <v>2658</v>
      </c>
      <c r="D385" s="5" t="s">
        <v>1157</v>
      </c>
      <c r="E385" s="5" t="s">
        <v>2659</v>
      </c>
      <c r="F385" s="5" t="s">
        <v>2660</v>
      </c>
      <c r="G385" s="6">
        <v>46112.598611111112</v>
      </c>
      <c r="H385" s="7">
        <v>46127</v>
      </c>
      <c r="I385" s="6">
        <v>46126.636111111111</v>
      </c>
      <c r="J385" s="7">
        <v>46112</v>
      </c>
      <c r="K385" s="5" t="s">
        <v>1527</v>
      </c>
      <c r="L385" s="5" t="s">
        <v>1564</v>
      </c>
      <c r="M385" s="8">
        <v>580</v>
      </c>
      <c r="N385" s="5" t="s">
        <v>1536</v>
      </c>
      <c r="O385" s="7">
        <v>46112</v>
      </c>
    </row>
    <row r="386" spans="1:15" x14ac:dyDescent="0.25">
      <c r="A386" s="5" t="s">
        <v>4</v>
      </c>
      <c r="B386" s="5" t="s">
        <v>2661</v>
      </c>
      <c r="D386" s="5" t="s">
        <v>368</v>
      </c>
      <c r="E386" s="5" t="s">
        <v>2662</v>
      </c>
      <c r="F386" s="5" t="s">
        <v>1770</v>
      </c>
      <c r="G386" s="6">
        <v>46167.550694444442</v>
      </c>
      <c r="H386" s="7">
        <v>46178</v>
      </c>
      <c r="I386" s="6">
        <v>46171.627083333333</v>
      </c>
      <c r="J386" s="7">
        <v>46171</v>
      </c>
      <c r="K386" s="5" t="s">
        <v>1527</v>
      </c>
      <c r="L386" s="5" t="s">
        <v>1564</v>
      </c>
      <c r="M386" s="8">
        <v>580</v>
      </c>
      <c r="N386" s="5" t="s">
        <v>1529</v>
      </c>
      <c r="O386" s="7">
        <v>46171</v>
      </c>
    </row>
    <row r="387" spans="1:15" x14ac:dyDescent="0.25">
      <c r="A387" s="5" t="s">
        <v>4</v>
      </c>
      <c r="B387" s="5" t="s">
        <v>2663</v>
      </c>
      <c r="D387" s="5" t="s">
        <v>437</v>
      </c>
      <c r="E387" s="5" t="s">
        <v>2664</v>
      </c>
      <c r="F387" s="5" t="s">
        <v>1813</v>
      </c>
      <c r="G387" s="6">
        <v>46066.453472222223</v>
      </c>
      <c r="H387" s="7">
        <v>46080</v>
      </c>
      <c r="I387" s="6">
        <v>46080.673611111109</v>
      </c>
      <c r="J387" s="7">
        <v>46080</v>
      </c>
      <c r="K387" s="5" t="s">
        <v>1527</v>
      </c>
      <c r="L387" s="5" t="s">
        <v>1535</v>
      </c>
      <c r="M387" s="8">
        <v>578</v>
      </c>
      <c r="N387" s="5" t="s">
        <v>1536</v>
      </c>
      <c r="O387" s="7">
        <v>46080</v>
      </c>
    </row>
    <row r="388" spans="1:15" hidden="1" x14ac:dyDescent="0.25">
      <c r="A388" s="5" t="s">
        <v>1522</v>
      </c>
      <c r="B388" s="5" t="s">
        <v>2665</v>
      </c>
      <c r="D388" s="5" t="s">
        <v>1368</v>
      </c>
      <c r="E388" s="5" t="s">
        <v>2666</v>
      </c>
      <c r="F388" s="5" t="s">
        <v>1548</v>
      </c>
      <c r="G388" s="6">
        <v>46071.609722222223</v>
      </c>
      <c r="H388" s="7">
        <v>46080</v>
      </c>
      <c r="I388" s="5" t="s">
        <v>2667</v>
      </c>
      <c r="J388" s="7">
        <v>46090</v>
      </c>
      <c r="K388" s="5" t="s">
        <v>1527</v>
      </c>
      <c r="L388" s="5" t="s">
        <v>1528</v>
      </c>
      <c r="M388" s="8">
        <v>576</v>
      </c>
      <c r="N388" s="5" t="s">
        <v>1536</v>
      </c>
      <c r="O388" s="7">
        <v>46090</v>
      </c>
    </row>
    <row r="389" spans="1:15" x14ac:dyDescent="0.25">
      <c r="A389" s="5" t="s">
        <v>4</v>
      </c>
      <c r="B389" s="5" t="s">
        <v>2668</v>
      </c>
      <c r="D389" s="5" t="s">
        <v>598</v>
      </c>
      <c r="E389" s="5" t="s">
        <v>2669</v>
      </c>
      <c r="F389" s="5" t="s">
        <v>1959</v>
      </c>
      <c r="G389" s="6">
        <v>46078.635416666664</v>
      </c>
      <c r="H389" s="7">
        <v>46091</v>
      </c>
      <c r="I389" s="6">
        <v>46084.617361111108</v>
      </c>
      <c r="J389" s="7">
        <v>46083</v>
      </c>
      <c r="K389" s="5" t="s">
        <v>1527</v>
      </c>
      <c r="L389" s="5" t="s">
        <v>1564</v>
      </c>
      <c r="M389" s="8">
        <v>572.25</v>
      </c>
      <c r="N389" s="5" t="s">
        <v>1536</v>
      </c>
      <c r="O389" s="7">
        <v>46083</v>
      </c>
    </row>
    <row r="390" spans="1:15" hidden="1" x14ac:dyDescent="0.25">
      <c r="A390" s="5" t="s">
        <v>1522</v>
      </c>
      <c r="B390" s="5" t="s">
        <v>2670</v>
      </c>
      <c r="D390" s="5" t="s">
        <v>1421</v>
      </c>
      <c r="E390" s="5" t="s">
        <v>2500</v>
      </c>
      <c r="F390" s="5" t="s">
        <v>2671</v>
      </c>
      <c r="G390" s="6">
        <v>46093.38958333333</v>
      </c>
      <c r="H390" s="7">
        <v>46101</v>
      </c>
      <c r="I390" s="5" t="s">
        <v>2672</v>
      </c>
      <c r="J390" s="7">
        <v>46104</v>
      </c>
      <c r="K390" s="5" t="s">
        <v>1527</v>
      </c>
      <c r="L390" s="5" t="s">
        <v>1528</v>
      </c>
      <c r="M390" s="8">
        <v>572</v>
      </c>
      <c r="N390" s="5" t="s">
        <v>1536</v>
      </c>
      <c r="O390" s="7">
        <v>46104</v>
      </c>
    </row>
    <row r="391" spans="1:15" hidden="1" x14ac:dyDescent="0.25">
      <c r="A391" s="5" t="s">
        <v>1522</v>
      </c>
      <c r="B391" s="5" t="s">
        <v>2673</v>
      </c>
      <c r="D391" s="5" t="s">
        <v>1300</v>
      </c>
      <c r="E391" s="5" t="s">
        <v>2347</v>
      </c>
      <c r="F391" s="5" t="s">
        <v>2674</v>
      </c>
      <c r="G391" s="6">
        <v>46111.695833333331</v>
      </c>
      <c r="H391" s="7">
        <v>46119</v>
      </c>
      <c r="I391" s="6">
        <v>46119.727777777778</v>
      </c>
      <c r="J391" s="7">
        <v>46122</v>
      </c>
      <c r="K391" s="5" t="s">
        <v>1527</v>
      </c>
      <c r="L391" s="5" t="s">
        <v>1528</v>
      </c>
      <c r="M391" s="8">
        <v>572</v>
      </c>
      <c r="N391" s="5" t="s">
        <v>1536</v>
      </c>
      <c r="O391" s="7">
        <v>46122</v>
      </c>
    </row>
    <row r="392" spans="1:15" x14ac:dyDescent="0.25">
      <c r="A392" s="5" t="s">
        <v>4</v>
      </c>
      <c r="B392" s="5" t="s">
        <v>2675</v>
      </c>
      <c r="D392" s="5" t="s">
        <v>1430</v>
      </c>
      <c r="E392" s="5" t="s">
        <v>2676</v>
      </c>
      <c r="F392" s="5" t="s">
        <v>1813</v>
      </c>
      <c r="G392" s="6">
        <v>46058.552777777775</v>
      </c>
      <c r="H392" s="7">
        <v>46069</v>
      </c>
      <c r="I392" s="5" t="s">
        <v>2677</v>
      </c>
      <c r="J392" s="7">
        <v>46070</v>
      </c>
      <c r="K392" s="5" t="s">
        <v>1527</v>
      </c>
      <c r="L392" s="5" t="s">
        <v>1535</v>
      </c>
      <c r="M392" s="8">
        <v>571.29999999999995</v>
      </c>
      <c r="N392" s="5" t="s">
        <v>1536</v>
      </c>
      <c r="O392" s="7">
        <v>46070</v>
      </c>
    </row>
    <row r="393" spans="1:15" hidden="1" x14ac:dyDescent="0.25">
      <c r="A393" s="5" t="s">
        <v>1522</v>
      </c>
      <c r="B393" s="5" t="s">
        <v>2678</v>
      </c>
      <c r="D393" s="5" t="s">
        <v>1502</v>
      </c>
      <c r="E393" s="5" t="s">
        <v>2679</v>
      </c>
      <c r="F393" s="5" t="s">
        <v>2680</v>
      </c>
      <c r="G393" s="6">
        <v>46080.606944444444</v>
      </c>
      <c r="H393" s="7">
        <v>46098</v>
      </c>
      <c r="I393" s="5" t="s">
        <v>2681</v>
      </c>
      <c r="J393" s="7">
        <v>46104</v>
      </c>
      <c r="K393" s="5" t="s">
        <v>1527</v>
      </c>
      <c r="L393" s="5" t="s">
        <v>1528</v>
      </c>
      <c r="M393" s="8">
        <v>570.4</v>
      </c>
      <c r="N393" s="5" t="s">
        <v>1536</v>
      </c>
      <c r="O393" s="7">
        <v>46104</v>
      </c>
    </row>
    <row r="394" spans="1:15" x14ac:dyDescent="0.25">
      <c r="A394" s="5" t="s">
        <v>4</v>
      </c>
      <c r="B394" s="5" t="s">
        <v>2682</v>
      </c>
      <c r="D394" s="5" t="s">
        <v>911</v>
      </c>
      <c r="E394" s="5" t="s">
        <v>2683</v>
      </c>
      <c r="F394" s="5" t="s">
        <v>1770</v>
      </c>
      <c r="G394" s="6">
        <v>46091.6</v>
      </c>
      <c r="H394" s="7">
        <v>46104</v>
      </c>
      <c r="I394" s="5" t="s">
        <v>2684</v>
      </c>
      <c r="J394" s="7">
        <v>46106</v>
      </c>
      <c r="K394" s="5" t="s">
        <v>1527</v>
      </c>
      <c r="L394" s="5" t="s">
        <v>1564</v>
      </c>
      <c r="M394" s="8">
        <v>570.4</v>
      </c>
      <c r="N394" s="5" t="s">
        <v>1536</v>
      </c>
      <c r="O394" s="7">
        <v>46106</v>
      </c>
    </row>
    <row r="395" spans="1:15" hidden="1" x14ac:dyDescent="0.25">
      <c r="A395" s="5" t="s">
        <v>1522</v>
      </c>
      <c r="B395" s="5" t="s">
        <v>2685</v>
      </c>
      <c r="D395" s="5" t="s">
        <v>734</v>
      </c>
      <c r="E395" s="5" t="s">
        <v>2424</v>
      </c>
      <c r="F395" s="5" t="s">
        <v>2686</v>
      </c>
      <c r="G395" s="6">
        <v>46163.461111111108</v>
      </c>
      <c r="H395" s="7">
        <v>46171</v>
      </c>
      <c r="I395" s="5" t="s">
        <v>1533</v>
      </c>
      <c r="J395" s="5" t="s">
        <v>1533</v>
      </c>
      <c r="K395" s="5" t="s">
        <v>1534</v>
      </c>
      <c r="L395" s="5" t="s">
        <v>1528</v>
      </c>
      <c r="M395" s="8">
        <v>570</v>
      </c>
      <c r="N395" s="5" t="s">
        <v>1541</v>
      </c>
      <c r="O395" s="5" t="s">
        <v>1533</v>
      </c>
    </row>
    <row r="396" spans="1:15" x14ac:dyDescent="0.25">
      <c r="A396" s="5" t="s">
        <v>4</v>
      </c>
      <c r="B396" s="5" t="s">
        <v>2687</v>
      </c>
      <c r="D396" s="5" t="s">
        <v>1310</v>
      </c>
      <c r="E396" s="5" t="s">
        <v>2295</v>
      </c>
      <c r="F396" s="5" t="s">
        <v>2688</v>
      </c>
      <c r="G396" s="6">
        <v>46129.62222222222</v>
      </c>
      <c r="H396" s="7">
        <v>46140</v>
      </c>
      <c r="I396" s="6">
        <v>46139.611111111109</v>
      </c>
      <c r="J396" s="7">
        <v>46139</v>
      </c>
      <c r="K396" s="5" t="s">
        <v>1527</v>
      </c>
      <c r="L396" s="5" t="s">
        <v>1535</v>
      </c>
      <c r="M396" s="8">
        <v>570</v>
      </c>
      <c r="N396" s="5" t="s">
        <v>1536</v>
      </c>
      <c r="O396" s="7">
        <v>46139</v>
      </c>
    </row>
    <row r="397" spans="1:15" x14ac:dyDescent="0.25">
      <c r="A397" s="5" t="s">
        <v>4</v>
      </c>
      <c r="B397" s="5" t="s">
        <v>2689</v>
      </c>
      <c r="D397" s="5" t="s">
        <v>280</v>
      </c>
      <c r="E397" s="5" t="s">
        <v>2690</v>
      </c>
      <c r="F397" s="5" t="s">
        <v>1548</v>
      </c>
      <c r="G397" s="6">
        <v>46043.62222222222</v>
      </c>
      <c r="H397" s="7">
        <v>46056</v>
      </c>
      <c r="I397" s="5" t="s">
        <v>2691</v>
      </c>
      <c r="J397" s="7">
        <v>46064</v>
      </c>
      <c r="K397" s="5" t="s">
        <v>1527</v>
      </c>
      <c r="L397" s="5" t="s">
        <v>1564</v>
      </c>
      <c r="M397" s="8">
        <v>566.6</v>
      </c>
      <c r="N397" s="5" t="s">
        <v>1536</v>
      </c>
      <c r="O397" s="7">
        <v>46064</v>
      </c>
    </row>
    <row r="398" spans="1:15" x14ac:dyDescent="0.25">
      <c r="A398" s="5" t="s">
        <v>4</v>
      </c>
      <c r="B398" s="5" t="s">
        <v>2692</v>
      </c>
      <c r="D398" s="5" t="s">
        <v>1367</v>
      </c>
      <c r="E398" s="5" t="s">
        <v>2693</v>
      </c>
      <c r="F398" s="5" t="s">
        <v>1759</v>
      </c>
      <c r="G398" s="6">
        <v>46118.522222222222</v>
      </c>
      <c r="H398" s="7">
        <v>46129</v>
      </c>
      <c r="I398" s="6">
        <v>46126.636111111111</v>
      </c>
      <c r="J398" s="7">
        <v>46125</v>
      </c>
      <c r="K398" s="5" t="s">
        <v>1527</v>
      </c>
      <c r="L398" s="5" t="s">
        <v>1564</v>
      </c>
      <c r="M398" s="9">
        <v>565.20000000000005</v>
      </c>
      <c r="N398" s="5" t="s">
        <v>1536</v>
      </c>
      <c r="O398" s="7">
        <v>46125</v>
      </c>
    </row>
    <row r="399" spans="1:15" hidden="1" x14ac:dyDescent="0.25">
      <c r="A399" s="5" t="s">
        <v>1522</v>
      </c>
      <c r="B399" s="5" t="s">
        <v>2694</v>
      </c>
      <c r="D399" s="5" t="s">
        <v>1360</v>
      </c>
      <c r="E399" s="5" t="s">
        <v>2695</v>
      </c>
      <c r="F399" s="5" t="s">
        <v>1548</v>
      </c>
      <c r="G399" s="6">
        <v>46044.59375</v>
      </c>
      <c r="H399" s="7">
        <v>46055</v>
      </c>
      <c r="I399" s="5" t="s">
        <v>2696</v>
      </c>
      <c r="J399" s="7">
        <v>46064</v>
      </c>
      <c r="K399" s="5" t="s">
        <v>1527</v>
      </c>
      <c r="L399" s="5" t="s">
        <v>1528</v>
      </c>
      <c r="M399" s="8">
        <v>563</v>
      </c>
      <c r="N399" s="5" t="s">
        <v>1536</v>
      </c>
      <c r="O399" s="7">
        <v>46064</v>
      </c>
    </row>
    <row r="400" spans="1:15" x14ac:dyDescent="0.25">
      <c r="A400" s="5" t="s">
        <v>4</v>
      </c>
      <c r="B400" s="5" t="s">
        <v>2697</v>
      </c>
      <c r="D400" s="5" t="s">
        <v>388</v>
      </c>
      <c r="E400" s="5" t="s">
        <v>2698</v>
      </c>
      <c r="F400" s="5" t="s">
        <v>2699</v>
      </c>
      <c r="G400" s="6">
        <v>46107.725694444445</v>
      </c>
      <c r="H400" s="7">
        <v>46112</v>
      </c>
      <c r="I400" s="5" t="s">
        <v>2700</v>
      </c>
      <c r="J400" s="7">
        <v>46120</v>
      </c>
      <c r="K400" s="5" t="s">
        <v>1527</v>
      </c>
      <c r="L400" s="5" t="s">
        <v>1621</v>
      </c>
      <c r="M400" s="8">
        <v>561.79</v>
      </c>
      <c r="N400" s="5" t="s">
        <v>1536</v>
      </c>
      <c r="O400" s="7">
        <v>46120</v>
      </c>
    </row>
    <row r="401" spans="1:15" x14ac:dyDescent="0.25">
      <c r="A401" s="5" t="s">
        <v>4</v>
      </c>
      <c r="B401" s="5" t="s">
        <v>2701</v>
      </c>
      <c r="D401" s="5" t="s">
        <v>687</v>
      </c>
      <c r="E401" s="5" t="s">
        <v>2702</v>
      </c>
      <c r="F401" s="5" t="s">
        <v>2703</v>
      </c>
      <c r="G401" s="6">
        <v>46073.693055555559</v>
      </c>
      <c r="H401" s="7">
        <v>46087</v>
      </c>
      <c r="I401" s="6">
        <v>46086.508333333331</v>
      </c>
      <c r="J401" s="7">
        <v>46086</v>
      </c>
      <c r="K401" s="5" t="s">
        <v>1527</v>
      </c>
      <c r="L401" s="5" t="s">
        <v>1564</v>
      </c>
      <c r="M401" s="8">
        <v>560</v>
      </c>
      <c r="N401" s="5" t="s">
        <v>1536</v>
      </c>
      <c r="O401" s="7">
        <v>46086</v>
      </c>
    </row>
    <row r="402" spans="1:15" x14ac:dyDescent="0.25">
      <c r="A402" s="5" t="s">
        <v>4</v>
      </c>
      <c r="B402" s="5" t="s">
        <v>2704</v>
      </c>
      <c r="D402" s="5" t="s">
        <v>1400</v>
      </c>
      <c r="E402" s="5" t="s">
        <v>2705</v>
      </c>
      <c r="F402" s="5" t="s">
        <v>1824</v>
      </c>
      <c r="G402" s="6">
        <v>46121.438194444447</v>
      </c>
      <c r="H402" s="7">
        <v>46134</v>
      </c>
      <c r="I402" s="6">
        <v>46129.592361111114</v>
      </c>
      <c r="J402" s="7">
        <v>46129</v>
      </c>
      <c r="K402" s="5" t="s">
        <v>1527</v>
      </c>
      <c r="L402" s="5" t="s">
        <v>1564</v>
      </c>
      <c r="M402" s="8">
        <v>560</v>
      </c>
      <c r="N402" s="5" t="s">
        <v>1536</v>
      </c>
      <c r="O402" s="7">
        <v>46129</v>
      </c>
    </row>
    <row r="403" spans="1:15" x14ac:dyDescent="0.25">
      <c r="A403" s="5" t="s">
        <v>4</v>
      </c>
      <c r="B403" s="5" t="s">
        <v>2706</v>
      </c>
      <c r="D403" s="5" t="s">
        <v>900</v>
      </c>
      <c r="E403" s="5" t="s">
        <v>2707</v>
      </c>
      <c r="F403" s="5" t="s">
        <v>2708</v>
      </c>
      <c r="G403" s="6">
        <v>46064.34097222222</v>
      </c>
      <c r="H403" s="7">
        <v>46078</v>
      </c>
      <c r="I403" s="6">
        <v>46078.690972222219</v>
      </c>
      <c r="J403" s="7">
        <v>46078</v>
      </c>
      <c r="K403" s="5" t="s">
        <v>1527</v>
      </c>
      <c r="L403" s="5" t="s">
        <v>1564</v>
      </c>
      <c r="M403" s="8">
        <v>559</v>
      </c>
      <c r="N403" s="5" t="s">
        <v>1536</v>
      </c>
      <c r="O403" s="7">
        <v>46078</v>
      </c>
    </row>
    <row r="404" spans="1:15" hidden="1" x14ac:dyDescent="0.25">
      <c r="A404" s="5" t="s">
        <v>1522</v>
      </c>
      <c r="B404" s="5" t="s">
        <v>2709</v>
      </c>
      <c r="D404" s="5" t="s">
        <v>1500</v>
      </c>
      <c r="E404" s="5" t="s">
        <v>1559</v>
      </c>
      <c r="F404" s="5" t="s">
        <v>1560</v>
      </c>
      <c r="G404" s="6">
        <v>46035.646527777775</v>
      </c>
      <c r="H404" s="7">
        <v>46036</v>
      </c>
      <c r="I404" s="5" t="s">
        <v>2710</v>
      </c>
      <c r="J404" s="7">
        <v>46037</v>
      </c>
      <c r="K404" s="5" t="s">
        <v>1527</v>
      </c>
      <c r="L404" s="5" t="s">
        <v>1528</v>
      </c>
      <c r="M404" s="8">
        <v>555</v>
      </c>
      <c r="N404" s="5" t="s">
        <v>1536</v>
      </c>
      <c r="O404" s="7">
        <v>46037</v>
      </c>
    </row>
    <row r="405" spans="1:15" hidden="1" x14ac:dyDescent="0.25">
      <c r="A405" s="5" t="s">
        <v>1522</v>
      </c>
      <c r="B405" s="5" t="s">
        <v>2711</v>
      </c>
      <c r="D405" s="5" t="s">
        <v>1477</v>
      </c>
      <c r="E405" s="5" t="s">
        <v>2424</v>
      </c>
      <c r="F405" s="5" t="s">
        <v>2712</v>
      </c>
      <c r="G405" s="6">
        <v>46163.448611111111</v>
      </c>
      <c r="H405" s="7">
        <v>46171</v>
      </c>
      <c r="I405" s="5" t="s">
        <v>1533</v>
      </c>
      <c r="J405" s="5" t="s">
        <v>1533</v>
      </c>
      <c r="K405" s="5" t="s">
        <v>1534</v>
      </c>
      <c r="L405" s="5" t="s">
        <v>1528</v>
      </c>
      <c r="M405" s="8">
        <v>555</v>
      </c>
      <c r="N405" s="5" t="s">
        <v>1541</v>
      </c>
      <c r="O405" s="5" t="s">
        <v>1533</v>
      </c>
    </row>
    <row r="406" spans="1:15" hidden="1" x14ac:dyDescent="0.25">
      <c r="A406" s="5" t="s">
        <v>1522</v>
      </c>
      <c r="B406" s="5" t="s">
        <v>2713</v>
      </c>
      <c r="D406" s="5" t="s">
        <v>1475</v>
      </c>
      <c r="E406" s="5" t="s">
        <v>2424</v>
      </c>
      <c r="F406" s="5" t="s">
        <v>2714</v>
      </c>
      <c r="G406" s="6">
        <v>46163.461805555555</v>
      </c>
      <c r="H406" s="7">
        <v>46171</v>
      </c>
      <c r="I406" s="5" t="s">
        <v>1533</v>
      </c>
      <c r="J406" s="5" t="s">
        <v>1533</v>
      </c>
      <c r="K406" s="5" t="s">
        <v>1534</v>
      </c>
      <c r="L406" s="5" t="s">
        <v>1528</v>
      </c>
      <c r="M406" s="8">
        <v>555</v>
      </c>
      <c r="N406" s="5" t="s">
        <v>1541</v>
      </c>
      <c r="O406" s="5" t="s">
        <v>1533</v>
      </c>
    </row>
    <row r="407" spans="1:15" x14ac:dyDescent="0.25">
      <c r="A407" s="5" t="s">
        <v>4</v>
      </c>
      <c r="B407" s="5" t="s">
        <v>2715</v>
      </c>
      <c r="D407" s="5" t="s">
        <v>1110</v>
      </c>
      <c r="E407" s="5" t="s">
        <v>2716</v>
      </c>
      <c r="F407" s="5" t="s">
        <v>1548</v>
      </c>
      <c r="G407" s="6">
        <v>46048.709722222222</v>
      </c>
      <c r="H407" s="7">
        <v>46057</v>
      </c>
      <c r="I407" s="6">
        <v>46055.640277777777</v>
      </c>
      <c r="J407" s="7">
        <v>46051</v>
      </c>
      <c r="K407" s="5" t="s">
        <v>1527</v>
      </c>
      <c r="L407" s="5" t="s">
        <v>1564</v>
      </c>
      <c r="M407" s="8">
        <v>552</v>
      </c>
      <c r="N407" s="5" t="s">
        <v>1536</v>
      </c>
      <c r="O407" s="7">
        <v>46051</v>
      </c>
    </row>
    <row r="408" spans="1:15" x14ac:dyDescent="0.25">
      <c r="A408" s="5" t="s">
        <v>4</v>
      </c>
      <c r="B408" s="5" t="s">
        <v>2717</v>
      </c>
      <c r="D408" s="5" t="s">
        <v>1397</v>
      </c>
      <c r="E408" s="5" t="s">
        <v>2645</v>
      </c>
      <c r="F408" s="5" t="s">
        <v>2718</v>
      </c>
      <c r="G408" s="6">
        <v>46072.465277777781</v>
      </c>
      <c r="H408" s="7">
        <v>46085</v>
      </c>
      <c r="I408" s="5" t="s">
        <v>2719</v>
      </c>
      <c r="J408" s="7">
        <v>46086</v>
      </c>
      <c r="K408" s="5" t="s">
        <v>1527</v>
      </c>
      <c r="L408" s="5" t="s">
        <v>1564</v>
      </c>
      <c r="M408" s="8">
        <v>550.75</v>
      </c>
      <c r="N408" s="5" t="s">
        <v>1536</v>
      </c>
      <c r="O408" s="7">
        <v>46086</v>
      </c>
    </row>
    <row r="409" spans="1:15" x14ac:dyDescent="0.25">
      <c r="A409" s="5" t="s">
        <v>4</v>
      </c>
      <c r="B409" s="5" t="s">
        <v>2720</v>
      </c>
      <c r="D409" s="5" t="s">
        <v>82</v>
      </c>
      <c r="E409" s="5" t="s">
        <v>2721</v>
      </c>
      <c r="F409" s="5" t="s">
        <v>1813</v>
      </c>
      <c r="G409" s="6">
        <v>46154.384027777778</v>
      </c>
      <c r="H409" s="7">
        <v>46167</v>
      </c>
      <c r="I409" s="6">
        <v>46164.699305555558</v>
      </c>
      <c r="J409" s="7">
        <v>46164</v>
      </c>
      <c r="K409" s="5" t="s">
        <v>1527</v>
      </c>
      <c r="L409" s="5" t="s">
        <v>1535</v>
      </c>
      <c r="M409" s="8">
        <v>549</v>
      </c>
      <c r="N409" s="5" t="s">
        <v>1536</v>
      </c>
      <c r="O409" s="7">
        <v>46164</v>
      </c>
    </row>
    <row r="410" spans="1:15" hidden="1" x14ac:dyDescent="0.25">
      <c r="A410" s="5" t="s">
        <v>1522</v>
      </c>
      <c r="B410" s="5">
        <v>39750</v>
      </c>
      <c r="D410" s="5" t="s">
        <v>1507</v>
      </c>
      <c r="E410" s="5" t="s">
        <v>2722</v>
      </c>
      <c r="F410" s="5" t="s">
        <v>2723</v>
      </c>
      <c r="G410" s="6">
        <v>46149.34652777778</v>
      </c>
      <c r="H410" s="7">
        <v>46156</v>
      </c>
      <c r="I410" s="6">
        <v>46156.643055555556</v>
      </c>
      <c r="J410" s="7">
        <v>46153</v>
      </c>
      <c r="K410" s="5" t="s">
        <v>1527</v>
      </c>
      <c r="L410" s="5" t="s">
        <v>1528</v>
      </c>
      <c r="M410" s="8">
        <v>546.6</v>
      </c>
      <c r="N410" s="5" t="s">
        <v>1536</v>
      </c>
      <c r="O410" s="7">
        <v>46153</v>
      </c>
    </row>
    <row r="411" spans="1:15" x14ac:dyDescent="0.25">
      <c r="A411" s="5" t="s">
        <v>4</v>
      </c>
      <c r="B411" s="5" t="s">
        <v>2724</v>
      </c>
      <c r="D411" s="5" t="s">
        <v>925</v>
      </c>
      <c r="E411" s="5" t="s">
        <v>2725</v>
      </c>
      <c r="F411" s="5" t="s">
        <v>2726</v>
      </c>
      <c r="G411" s="6">
        <v>46062.694444444445</v>
      </c>
      <c r="H411" s="7">
        <v>46069</v>
      </c>
      <c r="I411" s="5" t="s">
        <v>2727</v>
      </c>
      <c r="J411" s="7">
        <v>46085</v>
      </c>
      <c r="K411" s="5" t="s">
        <v>1527</v>
      </c>
      <c r="L411" s="5" t="s">
        <v>1621</v>
      </c>
      <c r="M411" s="9">
        <v>546.45000000000005</v>
      </c>
      <c r="N411" s="5" t="s">
        <v>1536</v>
      </c>
      <c r="O411" s="7">
        <v>46085</v>
      </c>
    </row>
    <row r="412" spans="1:15" x14ac:dyDescent="0.25">
      <c r="A412" s="5" t="s">
        <v>4</v>
      </c>
      <c r="B412" s="5" t="s">
        <v>2728</v>
      </c>
      <c r="D412" s="5" t="s">
        <v>1439</v>
      </c>
      <c r="E412" s="5" t="s">
        <v>2729</v>
      </c>
      <c r="F412" s="5" t="s">
        <v>1567</v>
      </c>
      <c r="G412" s="6">
        <v>46071.350694444445</v>
      </c>
      <c r="H412" s="7">
        <v>46084</v>
      </c>
      <c r="I412" s="6">
        <v>46076.634722222225</v>
      </c>
      <c r="J412" s="7">
        <v>46076</v>
      </c>
      <c r="K412" s="5" t="s">
        <v>1527</v>
      </c>
      <c r="L412" s="5" t="s">
        <v>1564</v>
      </c>
      <c r="M412" s="8">
        <v>546.20000000000005</v>
      </c>
      <c r="N412" s="5" t="s">
        <v>1536</v>
      </c>
      <c r="O412" s="7">
        <v>46076</v>
      </c>
    </row>
    <row r="413" spans="1:15" hidden="1" x14ac:dyDescent="0.25">
      <c r="A413" s="5" t="s">
        <v>1522</v>
      </c>
      <c r="B413" s="5" t="s">
        <v>2730</v>
      </c>
      <c r="D413" s="5" t="s">
        <v>1504</v>
      </c>
      <c r="E413" s="5" t="s">
        <v>1888</v>
      </c>
      <c r="F413" s="5" t="s">
        <v>2731</v>
      </c>
      <c r="G413" s="6">
        <v>46146.63958333333</v>
      </c>
      <c r="H413" s="7">
        <v>46155</v>
      </c>
      <c r="I413" s="5" t="s">
        <v>2732</v>
      </c>
      <c r="J413" s="7">
        <v>46154</v>
      </c>
      <c r="K413" s="5" t="s">
        <v>1527</v>
      </c>
      <c r="L413" s="5" t="s">
        <v>1528</v>
      </c>
      <c r="M413" s="8">
        <v>546</v>
      </c>
      <c r="N413" s="5" t="s">
        <v>1536</v>
      </c>
      <c r="O413" s="7">
        <v>46154</v>
      </c>
    </row>
    <row r="414" spans="1:15" hidden="1" x14ac:dyDescent="0.25">
      <c r="A414" s="5" t="s">
        <v>1522</v>
      </c>
      <c r="B414" s="5" t="s">
        <v>2733</v>
      </c>
      <c r="D414" s="5" t="s">
        <v>1507</v>
      </c>
      <c r="E414" s="5" t="s">
        <v>2247</v>
      </c>
      <c r="F414" s="5" t="s">
        <v>2734</v>
      </c>
      <c r="G414" s="6">
        <v>46160.413888888892</v>
      </c>
      <c r="H414" s="7">
        <v>46167</v>
      </c>
      <c r="I414" s="6">
        <v>46165.321527777778</v>
      </c>
      <c r="J414" s="7">
        <v>46164</v>
      </c>
      <c r="K414" s="5" t="s">
        <v>1527</v>
      </c>
      <c r="L414" s="5" t="s">
        <v>1528</v>
      </c>
      <c r="M414" s="8">
        <v>545.79999999999995</v>
      </c>
      <c r="N414" s="5" t="s">
        <v>1536</v>
      </c>
      <c r="O414" s="7">
        <v>46164</v>
      </c>
    </row>
    <row r="415" spans="1:15" hidden="1" x14ac:dyDescent="0.25">
      <c r="A415" s="5" t="s">
        <v>1522</v>
      </c>
      <c r="B415" s="5" t="s">
        <v>2735</v>
      </c>
      <c r="D415" s="5" t="s">
        <v>1447</v>
      </c>
      <c r="E415" s="5" t="s">
        <v>1795</v>
      </c>
      <c r="F415" s="5" t="s">
        <v>1548</v>
      </c>
      <c r="G415" s="6">
        <v>46097.677777777775</v>
      </c>
      <c r="H415" s="7">
        <v>46105</v>
      </c>
      <c r="I415" s="5" t="s">
        <v>2736</v>
      </c>
      <c r="J415" s="7">
        <v>46107</v>
      </c>
      <c r="K415" s="5" t="s">
        <v>1527</v>
      </c>
      <c r="L415" s="5" t="s">
        <v>1528</v>
      </c>
      <c r="M415" s="8">
        <v>543</v>
      </c>
      <c r="N415" s="5" t="s">
        <v>1536</v>
      </c>
      <c r="O415" s="7">
        <v>46107</v>
      </c>
    </row>
    <row r="416" spans="1:15" hidden="1" x14ac:dyDescent="0.25">
      <c r="A416" s="5" t="s">
        <v>1522</v>
      </c>
      <c r="B416" s="5" t="s">
        <v>2737</v>
      </c>
      <c r="D416" s="5" t="s">
        <v>1500</v>
      </c>
      <c r="E416" s="5" t="s">
        <v>1559</v>
      </c>
      <c r="F416" s="5" t="s">
        <v>1560</v>
      </c>
      <c r="G416" s="6">
        <v>46098.503472222219</v>
      </c>
      <c r="H416" s="7">
        <v>46101</v>
      </c>
      <c r="I416" s="5" t="s">
        <v>2738</v>
      </c>
      <c r="J416" s="7">
        <v>46101</v>
      </c>
      <c r="K416" s="5" t="s">
        <v>1527</v>
      </c>
      <c r="L416" s="5" t="s">
        <v>1528</v>
      </c>
      <c r="M416" s="8">
        <v>542.88</v>
      </c>
      <c r="N416" s="5" t="s">
        <v>1536</v>
      </c>
      <c r="O416" s="7">
        <v>46101</v>
      </c>
    </row>
    <row r="417" spans="1:15" x14ac:dyDescent="0.25">
      <c r="A417" s="5" t="s">
        <v>4</v>
      </c>
      <c r="B417" s="5" t="s">
        <v>2739</v>
      </c>
      <c r="D417" s="5" t="s">
        <v>1327</v>
      </c>
      <c r="E417" s="5" t="s">
        <v>2533</v>
      </c>
      <c r="F417" s="5" t="s">
        <v>2740</v>
      </c>
      <c r="G417" s="6">
        <v>46085.451388888891</v>
      </c>
      <c r="H417" s="7">
        <v>46092</v>
      </c>
      <c r="I417" s="5" t="s">
        <v>2741</v>
      </c>
      <c r="J417" s="7">
        <v>46093</v>
      </c>
      <c r="K417" s="5" t="s">
        <v>1527</v>
      </c>
      <c r="L417" s="5" t="s">
        <v>1564</v>
      </c>
      <c r="M417" s="8">
        <v>537</v>
      </c>
      <c r="N417" s="5" t="s">
        <v>1536</v>
      </c>
      <c r="O417" s="7">
        <v>46093</v>
      </c>
    </row>
    <row r="418" spans="1:15" x14ac:dyDescent="0.25">
      <c r="A418" s="5" t="s">
        <v>4</v>
      </c>
      <c r="B418" s="5" t="s">
        <v>2742</v>
      </c>
      <c r="D418" s="5" t="s">
        <v>1365</v>
      </c>
      <c r="E418" s="5" t="s">
        <v>2743</v>
      </c>
      <c r="F418" s="5" t="s">
        <v>2744</v>
      </c>
      <c r="G418" s="6">
        <v>46164.366666666669</v>
      </c>
      <c r="H418" s="7">
        <v>46177</v>
      </c>
      <c r="I418" s="5" t="s">
        <v>2745</v>
      </c>
      <c r="J418" s="7">
        <v>46171</v>
      </c>
      <c r="K418" s="5" t="s">
        <v>1527</v>
      </c>
      <c r="L418" s="5" t="s">
        <v>1564</v>
      </c>
      <c r="M418" s="8">
        <v>536.99</v>
      </c>
      <c r="N418" s="5" t="s">
        <v>1529</v>
      </c>
      <c r="O418" s="7">
        <v>46171</v>
      </c>
    </row>
    <row r="419" spans="1:15" x14ac:dyDescent="0.25">
      <c r="A419" s="5" t="s">
        <v>4</v>
      </c>
      <c r="B419" s="5" t="s">
        <v>2746</v>
      </c>
      <c r="D419" s="5" t="s">
        <v>1267</v>
      </c>
      <c r="E419" s="5" t="s">
        <v>2747</v>
      </c>
      <c r="F419" s="5" t="s">
        <v>2118</v>
      </c>
      <c r="G419" s="6">
        <v>46093.695833333331</v>
      </c>
      <c r="H419" s="7">
        <v>46106</v>
      </c>
      <c r="I419" s="5" t="s">
        <v>2748</v>
      </c>
      <c r="J419" s="7">
        <v>46107</v>
      </c>
      <c r="K419" s="5" t="s">
        <v>1527</v>
      </c>
      <c r="L419" s="5" t="s">
        <v>1564</v>
      </c>
      <c r="M419" s="8">
        <v>535.48</v>
      </c>
      <c r="N419" s="5" t="s">
        <v>1536</v>
      </c>
      <c r="O419" s="7">
        <v>46107</v>
      </c>
    </row>
    <row r="420" spans="1:15" x14ac:dyDescent="0.25">
      <c r="A420" s="5" t="s">
        <v>4</v>
      </c>
      <c r="B420" s="5" t="s">
        <v>2749</v>
      </c>
      <c r="D420" s="5" t="s">
        <v>1017</v>
      </c>
      <c r="E420" s="5" t="s">
        <v>2750</v>
      </c>
      <c r="F420" s="5" t="s">
        <v>2751</v>
      </c>
      <c r="G420" s="6">
        <v>46062.479861111111</v>
      </c>
      <c r="H420" s="7">
        <v>46073</v>
      </c>
      <c r="I420" s="5" t="s">
        <v>2752</v>
      </c>
      <c r="J420" s="7">
        <v>46076</v>
      </c>
      <c r="K420" s="5" t="s">
        <v>1527</v>
      </c>
      <c r="L420" s="5" t="s">
        <v>1564</v>
      </c>
      <c r="M420" s="8">
        <v>535</v>
      </c>
      <c r="N420" s="5" t="s">
        <v>1536</v>
      </c>
      <c r="O420" s="7">
        <v>46076</v>
      </c>
    </row>
    <row r="421" spans="1:15" x14ac:dyDescent="0.25">
      <c r="A421" s="5" t="s">
        <v>4</v>
      </c>
      <c r="B421" s="5" t="s">
        <v>2753</v>
      </c>
      <c r="D421" s="5" t="s">
        <v>92</v>
      </c>
      <c r="E421" s="5" t="s">
        <v>2754</v>
      </c>
      <c r="F421" s="5" t="s">
        <v>1813</v>
      </c>
      <c r="G421" s="6">
        <v>46063.352777777778</v>
      </c>
      <c r="H421" s="7">
        <v>46073</v>
      </c>
      <c r="I421" s="6">
        <v>46071.616666666669</v>
      </c>
      <c r="J421" s="7">
        <v>46071</v>
      </c>
      <c r="K421" s="5" t="s">
        <v>1527</v>
      </c>
      <c r="L421" s="5" t="s">
        <v>1535</v>
      </c>
      <c r="M421" s="8">
        <v>535</v>
      </c>
      <c r="N421" s="5" t="s">
        <v>1536</v>
      </c>
      <c r="O421" s="7">
        <v>46071</v>
      </c>
    </row>
    <row r="422" spans="1:15" x14ac:dyDescent="0.25">
      <c r="A422" s="5" t="s">
        <v>4</v>
      </c>
      <c r="B422" s="5" t="s">
        <v>2755</v>
      </c>
      <c r="D422" s="5" t="s">
        <v>1357</v>
      </c>
      <c r="E422" s="5" t="s">
        <v>1747</v>
      </c>
      <c r="F422" s="5" t="s">
        <v>1813</v>
      </c>
      <c r="G422" s="6">
        <v>46155.591666666667</v>
      </c>
      <c r="H422" s="7">
        <v>46164</v>
      </c>
      <c r="I422" s="5" t="s">
        <v>2756</v>
      </c>
      <c r="J422" s="7">
        <v>46168</v>
      </c>
      <c r="K422" s="5" t="s">
        <v>1527</v>
      </c>
      <c r="L422" s="5" t="s">
        <v>1535</v>
      </c>
      <c r="M422" s="8">
        <v>534.9</v>
      </c>
      <c r="N422" s="5" t="s">
        <v>1536</v>
      </c>
      <c r="O422" s="7">
        <v>46168</v>
      </c>
    </row>
    <row r="423" spans="1:15" x14ac:dyDescent="0.25">
      <c r="A423" s="5" t="s">
        <v>4</v>
      </c>
      <c r="B423" s="5" t="s">
        <v>2757</v>
      </c>
      <c r="D423" s="5" t="s">
        <v>1437</v>
      </c>
      <c r="E423" s="5" t="s">
        <v>2758</v>
      </c>
      <c r="F423" s="5" t="s">
        <v>1759</v>
      </c>
      <c r="G423" s="6">
        <v>46062.60833333333</v>
      </c>
      <c r="H423" s="7">
        <v>46073</v>
      </c>
      <c r="I423" s="5" t="s">
        <v>2759</v>
      </c>
      <c r="J423" s="7">
        <v>46063</v>
      </c>
      <c r="K423" s="5" t="s">
        <v>1527</v>
      </c>
      <c r="L423" s="5" t="s">
        <v>1564</v>
      </c>
      <c r="M423" s="8">
        <v>534.4</v>
      </c>
      <c r="N423" s="5" t="s">
        <v>1536</v>
      </c>
      <c r="O423" s="7">
        <v>46063</v>
      </c>
    </row>
    <row r="424" spans="1:15" x14ac:dyDescent="0.25">
      <c r="A424" s="5" t="s">
        <v>4</v>
      </c>
      <c r="B424" s="5" t="s">
        <v>2760</v>
      </c>
      <c r="D424" s="5" t="s">
        <v>1171</v>
      </c>
      <c r="E424" s="5" t="s">
        <v>2761</v>
      </c>
      <c r="F424" s="5" t="s">
        <v>1548</v>
      </c>
      <c r="G424" s="6">
        <v>46051.486805555556</v>
      </c>
      <c r="H424" s="7">
        <v>46064</v>
      </c>
      <c r="I424" s="5" t="s">
        <v>2762</v>
      </c>
      <c r="J424" s="7">
        <v>46066</v>
      </c>
      <c r="K424" s="5" t="s">
        <v>1527</v>
      </c>
      <c r="L424" s="5" t="s">
        <v>1564</v>
      </c>
      <c r="M424" s="8">
        <v>534.20000000000005</v>
      </c>
      <c r="N424" s="5" t="s">
        <v>1536</v>
      </c>
      <c r="O424" s="7">
        <v>46066</v>
      </c>
    </row>
    <row r="425" spans="1:15" x14ac:dyDescent="0.25">
      <c r="A425" s="5" t="s">
        <v>4</v>
      </c>
      <c r="B425" s="5" t="s">
        <v>2763</v>
      </c>
      <c r="D425" s="5" t="s">
        <v>1457</v>
      </c>
      <c r="E425" s="5" t="s">
        <v>2764</v>
      </c>
      <c r="F425" s="5" t="s">
        <v>2765</v>
      </c>
      <c r="G425" s="6">
        <v>46104.615972222222</v>
      </c>
      <c r="H425" s="7">
        <v>46107</v>
      </c>
      <c r="I425" s="6">
        <v>46107.436805555553</v>
      </c>
      <c r="J425" s="7">
        <v>46106</v>
      </c>
      <c r="K425" s="5" t="s">
        <v>1527</v>
      </c>
      <c r="L425" s="5" t="s">
        <v>1535</v>
      </c>
      <c r="M425" s="8">
        <v>532</v>
      </c>
      <c r="N425" s="5" t="s">
        <v>1536</v>
      </c>
      <c r="O425" s="7">
        <v>46106</v>
      </c>
    </row>
    <row r="426" spans="1:15" x14ac:dyDescent="0.25">
      <c r="A426" s="5" t="s">
        <v>4</v>
      </c>
      <c r="B426" s="5" t="s">
        <v>2766</v>
      </c>
      <c r="D426" s="5" t="s">
        <v>198</v>
      </c>
      <c r="E426" s="5" t="s">
        <v>2767</v>
      </c>
      <c r="F426" s="5" t="s">
        <v>1759</v>
      </c>
      <c r="G426" s="6">
        <v>46101.702777777777</v>
      </c>
      <c r="H426" s="7">
        <v>46115</v>
      </c>
      <c r="I426" s="5" t="s">
        <v>2207</v>
      </c>
      <c r="J426" s="7">
        <v>46120</v>
      </c>
      <c r="K426" s="5" t="s">
        <v>1527</v>
      </c>
      <c r="L426" s="5" t="s">
        <v>1564</v>
      </c>
      <c r="M426" s="8">
        <v>531.6</v>
      </c>
      <c r="N426" s="5" t="s">
        <v>1536</v>
      </c>
      <c r="O426" s="7">
        <v>46120</v>
      </c>
    </row>
    <row r="427" spans="1:15" x14ac:dyDescent="0.25">
      <c r="A427" s="5" t="s">
        <v>4</v>
      </c>
      <c r="B427" s="5" t="s">
        <v>2768</v>
      </c>
      <c r="D427" s="5" t="s">
        <v>81</v>
      </c>
      <c r="E427" s="5" t="s">
        <v>2769</v>
      </c>
      <c r="F427" s="5" t="s">
        <v>2770</v>
      </c>
      <c r="G427" s="6">
        <v>46038.695833333331</v>
      </c>
      <c r="H427" s="7">
        <v>46045</v>
      </c>
      <c r="I427" s="5" t="s">
        <v>2771</v>
      </c>
      <c r="J427" s="7">
        <v>46048</v>
      </c>
      <c r="K427" s="5" t="s">
        <v>1527</v>
      </c>
      <c r="L427" s="5" t="s">
        <v>1621</v>
      </c>
      <c r="M427" s="8">
        <v>531.42999999999995</v>
      </c>
      <c r="N427" s="5" t="s">
        <v>1536</v>
      </c>
      <c r="O427" s="7">
        <v>46048</v>
      </c>
    </row>
    <row r="428" spans="1:15" x14ac:dyDescent="0.25">
      <c r="A428" s="5" t="s">
        <v>4</v>
      </c>
      <c r="B428" s="5" t="s">
        <v>2772</v>
      </c>
      <c r="D428" s="5" t="s">
        <v>1380</v>
      </c>
      <c r="E428" s="5" t="s">
        <v>1898</v>
      </c>
      <c r="F428" s="5" t="s">
        <v>1742</v>
      </c>
      <c r="G428" s="6">
        <v>46076.434027777781</v>
      </c>
      <c r="H428" s="7">
        <v>46085</v>
      </c>
      <c r="I428" s="5" t="s">
        <v>2719</v>
      </c>
      <c r="J428" s="7">
        <v>46086</v>
      </c>
      <c r="K428" s="5" t="s">
        <v>1527</v>
      </c>
      <c r="L428" s="5" t="s">
        <v>1535</v>
      </c>
      <c r="M428" s="8">
        <v>531.20000000000005</v>
      </c>
      <c r="N428" s="5" t="s">
        <v>1536</v>
      </c>
      <c r="O428" s="7">
        <v>46086</v>
      </c>
    </row>
    <row r="429" spans="1:15" x14ac:dyDescent="0.25">
      <c r="A429" s="5" t="s">
        <v>4</v>
      </c>
      <c r="B429" s="5" t="s">
        <v>2773</v>
      </c>
      <c r="D429" s="5" t="s">
        <v>1372</v>
      </c>
      <c r="E429" s="5" t="s">
        <v>2774</v>
      </c>
      <c r="F429" s="5" t="s">
        <v>2775</v>
      </c>
      <c r="G429" s="6">
        <v>46112.37777777778</v>
      </c>
      <c r="H429" s="7">
        <v>46119</v>
      </c>
      <c r="I429" s="5" t="s">
        <v>2776</v>
      </c>
      <c r="J429" s="7">
        <v>46118</v>
      </c>
      <c r="K429" s="5" t="s">
        <v>1527</v>
      </c>
      <c r="L429" s="5" t="s">
        <v>1564</v>
      </c>
      <c r="M429" s="8">
        <v>531</v>
      </c>
      <c r="N429" s="5" t="s">
        <v>1536</v>
      </c>
      <c r="O429" s="7">
        <v>46118</v>
      </c>
    </row>
    <row r="430" spans="1:15" x14ac:dyDescent="0.25">
      <c r="A430" s="5" t="s">
        <v>4</v>
      </c>
      <c r="B430" s="5" t="s">
        <v>2777</v>
      </c>
      <c r="D430" s="5" t="s">
        <v>239</v>
      </c>
      <c r="E430" s="5" t="s">
        <v>2778</v>
      </c>
      <c r="F430" s="5" t="s">
        <v>1759</v>
      </c>
      <c r="G430" s="6">
        <v>46170.646527777775</v>
      </c>
      <c r="H430" s="7">
        <v>46183</v>
      </c>
      <c r="I430" s="5" t="s">
        <v>1533</v>
      </c>
      <c r="J430" s="5" t="s">
        <v>1533</v>
      </c>
      <c r="K430" s="5" t="s">
        <v>1534</v>
      </c>
      <c r="L430" s="5" t="s">
        <v>1564</v>
      </c>
      <c r="M430" s="8">
        <v>530</v>
      </c>
      <c r="N430" s="5" t="s">
        <v>1541</v>
      </c>
      <c r="O430" s="5" t="s">
        <v>1533</v>
      </c>
    </row>
    <row r="431" spans="1:15" x14ac:dyDescent="0.25">
      <c r="A431" s="5" t="s">
        <v>4</v>
      </c>
      <c r="B431" s="5" t="s">
        <v>2779</v>
      </c>
      <c r="D431" s="5" t="s">
        <v>190</v>
      </c>
      <c r="E431" s="5" t="s">
        <v>2780</v>
      </c>
      <c r="F431" s="5" t="s">
        <v>1548</v>
      </c>
      <c r="G431" s="6">
        <v>46034.439583333333</v>
      </c>
      <c r="H431" s="7">
        <v>46045</v>
      </c>
      <c r="I431" s="5" t="s">
        <v>2781</v>
      </c>
      <c r="J431" s="7">
        <v>46052</v>
      </c>
      <c r="K431" s="5" t="s">
        <v>1527</v>
      </c>
      <c r="L431" s="5" t="s">
        <v>1564</v>
      </c>
      <c r="M431" s="8">
        <v>528</v>
      </c>
      <c r="N431" s="5" t="s">
        <v>1536</v>
      </c>
      <c r="O431" s="7">
        <v>46052</v>
      </c>
    </row>
    <row r="432" spans="1:15" x14ac:dyDescent="0.25">
      <c r="A432" s="5" t="s">
        <v>4</v>
      </c>
      <c r="B432" s="5" t="s">
        <v>2782</v>
      </c>
      <c r="D432" s="5" t="s">
        <v>1509</v>
      </c>
      <c r="E432" s="5" t="s">
        <v>2783</v>
      </c>
      <c r="F432" s="5" t="s">
        <v>2784</v>
      </c>
      <c r="G432" s="6">
        <v>46141.688194444447</v>
      </c>
      <c r="H432" s="7">
        <v>46154</v>
      </c>
      <c r="I432" s="5" t="s">
        <v>2785</v>
      </c>
      <c r="J432" s="7">
        <v>46157</v>
      </c>
      <c r="K432" s="5" t="s">
        <v>1527</v>
      </c>
      <c r="L432" s="5" t="s">
        <v>1535</v>
      </c>
      <c r="M432" s="8">
        <v>528</v>
      </c>
      <c r="N432" s="5" t="s">
        <v>1529</v>
      </c>
      <c r="O432" s="7">
        <v>46157</v>
      </c>
    </row>
    <row r="433" spans="1:15" x14ac:dyDescent="0.25">
      <c r="A433" s="5" t="s">
        <v>4</v>
      </c>
      <c r="B433" s="5" t="s">
        <v>2786</v>
      </c>
      <c r="D433" s="5" t="s">
        <v>1402</v>
      </c>
      <c r="E433" s="5" t="s">
        <v>2787</v>
      </c>
      <c r="F433" s="5" t="s">
        <v>2118</v>
      </c>
      <c r="G433" s="6">
        <v>46085.714583333334</v>
      </c>
      <c r="H433" s="7">
        <v>46098</v>
      </c>
      <c r="I433" s="5" t="s">
        <v>2788</v>
      </c>
      <c r="J433" s="7">
        <v>46099</v>
      </c>
      <c r="K433" s="5" t="s">
        <v>1527</v>
      </c>
      <c r="L433" s="5" t="s">
        <v>1564</v>
      </c>
      <c r="M433" s="8">
        <v>525.25</v>
      </c>
      <c r="N433" s="5" t="s">
        <v>1536</v>
      </c>
      <c r="O433" s="7">
        <v>46099</v>
      </c>
    </row>
    <row r="434" spans="1:15" x14ac:dyDescent="0.25">
      <c r="A434" s="5" t="s">
        <v>4</v>
      </c>
      <c r="B434" s="5" t="s">
        <v>2789</v>
      </c>
      <c r="D434" s="5" t="s">
        <v>68</v>
      </c>
      <c r="E434" s="5" t="s">
        <v>2790</v>
      </c>
      <c r="F434" s="5" t="s">
        <v>2791</v>
      </c>
      <c r="G434" s="6">
        <v>46080.572916666664</v>
      </c>
      <c r="H434" s="7">
        <v>46101</v>
      </c>
      <c r="I434" s="6">
        <v>46101.633333333331</v>
      </c>
      <c r="J434" s="7">
        <v>46101</v>
      </c>
      <c r="K434" s="5" t="s">
        <v>1527</v>
      </c>
      <c r="L434" s="5" t="s">
        <v>1535</v>
      </c>
      <c r="M434" s="8">
        <v>525</v>
      </c>
      <c r="N434" s="5" t="s">
        <v>1536</v>
      </c>
      <c r="O434" s="7">
        <v>46101</v>
      </c>
    </row>
    <row r="435" spans="1:15" x14ac:dyDescent="0.25">
      <c r="A435" s="5" t="s">
        <v>4</v>
      </c>
      <c r="B435" s="5" t="s">
        <v>2792</v>
      </c>
      <c r="D435" s="5" t="s">
        <v>510</v>
      </c>
      <c r="E435" s="5" t="s">
        <v>2793</v>
      </c>
      <c r="F435" s="5" t="s">
        <v>1759</v>
      </c>
      <c r="G435" s="6">
        <v>46121.486111111109</v>
      </c>
      <c r="H435" s="7">
        <v>46134</v>
      </c>
      <c r="I435" s="6">
        <v>46129.592361111114</v>
      </c>
      <c r="J435" s="7">
        <v>46129</v>
      </c>
      <c r="K435" s="5" t="s">
        <v>1527</v>
      </c>
      <c r="L435" s="5" t="s">
        <v>1564</v>
      </c>
      <c r="M435" s="8">
        <v>522.02</v>
      </c>
      <c r="N435" s="5" t="s">
        <v>1536</v>
      </c>
      <c r="O435" s="7">
        <v>46129</v>
      </c>
    </row>
    <row r="436" spans="1:15" x14ac:dyDescent="0.25">
      <c r="A436" s="5" t="s">
        <v>4</v>
      </c>
      <c r="B436" s="5" t="s">
        <v>2794</v>
      </c>
      <c r="D436" s="5" t="s">
        <v>802</v>
      </c>
      <c r="E436" s="5" t="s">
        <v>2795</v>
      </c>
      <c r="F436" s="5" t="s">
        <v>1567</v>
      </c>
      <c r="G436" s="6">
        <v>46139.638888888891</v>
      </c>
      <c r="H436" s="7">
        <v>46142</v>
      </c>
      <c r="I436" s="6">
        <v>46142.647916666669</v>
      </c>
      <c r="J436" s="7">
        <v>46139</v>
      </c>
      <c r="K436" s="5" t="s">
        <v>1527</v>
      </c>
      <c r="L436" s="5" t="s">
        <v>1564</v>
      </c>
      <c r="M436" s="8">
        <v>521.79999999999995</v>
      </c>
      <c r="N436" s="5" t="s">
        <v>1536</v>
      </c>
      <c r="O436" s="7">
        <v>46139</v>
      </c>
    </row>
    <row r="437" spans="1:15" x14ac:dyDescent="0.25">
      <c r="A437" s="5" t="s">
        <v>4</v>
      </c>
      <c r="B437" s="5" t="s">
        <v>2796</v>
      </c>
      <c r="D437" s="5" t="s">
        <v>127</v>
      </c>
      <c r="E437" s="5" t="s">
        <v>2797</v>
      </c>
      <c r="F437" s="5" t="s">
        <v>1759</v>
      </c>
      <c r="G437" s="6">
        <v>46119.724305555559</v>
      </c>
      <c r="H437" s="7">
        <v>46132</v>
      </c>
      <c r="I437" s="6">
        <v>46126.634722222225</v>
      </c>
      <c r="J437" s="7">
        <v>46125</v>
      </c>
      <c r="K437" s="5" t="s">
        <v>1527</v>
      </c>
      <c r="L437" s="5" t="s">
        <v>1564</v>
      </c>
      <c r="M437" s="8">
        <v>521</v>
      </c>
      <c r="N437" s="5" t="s">
        <v>1536</v>
      </c>
      <c r="O437" s="7">
        <v>46125</v>
      </c>
    </row>
    <row r="438" spans="1:15" x14ac:dyDescent="0.25">
      <c r="A438" s="5" t="s">
        <v>4</v>
      </c>
      <c r="B438" s="5" t="s">
        <v>2798</v>
      </c>
      <c r="D438" s="5" t="s">
        <v>1031</v>
      </c>
      <c r="E438" s="5" t="s">
        <v>2799</v>
      </c>
      <c r="F438" s="5" t="s">
        <v>2800</v>
      </c>
      <c r="G438" s="6">
        <v>46149.652777777781</v>
      </c>
      <c r="H438" s="7">
        <v>46162</v>
      </c>
      <c r="I438" s="5" t="s">
        <v>2801</v>
      </c>
      <c r="J438" s="7">
        <v>46164</v>
      </c>
      <c r="K438" s="5" t="s">
        <v>1527</v>
      </c>
      <c r="L438" s="5" t="s">
        <v>1621</v>
      </c>
      <c r="M438" s="8">
        <v>520.04</v>
      </c>
      <c r="N438" s="5" t="s">
        <v>1536</v>
      </c>
      <c r="O438" s="7">
        <v>46164</v>
      </c>
    </row>
    <row r="439" spans="1:15" x14ac:dyDescent="0.25">
      <c r="A439" s="5" t="s">
        <v>4</v>
      </c>
      <c r="B439" s="5" t="s">
        <v>2802</v>
      </c>
      <c r="D439" s="5" t="s">
        <v>86</v>
      </c>
      <c r="E439" s="5" t="s">
        <v>2803</v>
      </c>
      <c r="F439" s="5" t="s">
        <v>2804</v>
      </c>
      <c r="G439" s="6">
        <v>46093.647222222222</v>
      </c>
      <c r="H439" s="7">
        <v>46105</v>
      </c>
      <c r="I439" s="5" t="s">
        <v>2805</v>
      </c>
      <c r="J439" s="7">
        <v>46111</v>
      </c>
      <c r="K439" s="5" t="s">
        <v>1527</v>
      </c>
      <c r="L439" s="5" t="s">
        <v>1535</v>
      </c>
      <c r="M439" s="8">
        <v>520</v>
      </c>
      <c r="N439" s="5" t="s">
        <v>1536</v>
      </c>
      <c r="O439" s="7">
        <v>46111</v>
      </c>
    </row>
    <row r="440" spans="1:15" ht="15" customHeight="1" x14ac:dyDescent="0.25">
      <c r="A440" s="5" t="s">
        <v>4</v>
      </c>
      <c r="B440" s="5" t="s">
        <v>2806</v>
      </c>
      <c r="D440" s="5" t="s">
        <v>253</v>
      </c>
      <c r="E440" s="5" t="s">
        <v>2807</v>
      </c>
      <c r="F440" s="5" t="s">
        <v>2808</v>
      </c>
      <c r="G440" s="6">
        <v>46105.651388888888</v>
      </c>
      <c r="H440" s="7">
        <v>46112</v>
      </c>
      <c r="I440" s="5" t="s">
        <v>2809</v>
      </c>
      <c r="J440" s="7">
        <v>46112</v>
      </c>
      <c r="K440" s="5" t="s">
        <v>1527</v>
      </c>
      <c r="L440" s="5" t="s">
        <v>1621</v>
      </c>
      <c r="M440" s="8">
        <v>520</v>
      </c>
      <c r="N440" s="5" t="s">
        <v>1536</v>
      </c>
      <c r="O440" s="7">
        <v>46112</v>
      </c>
    </row>
    <row r="441" spans="1:15" x14ac:dyDescent="0.25">
      <c r="A441" s="5" t="s">
        <v>4</v>
      </c>
      <c r="B441" s="5" t="s">
        <v>2810</v>
      </c>
      <c r="D441" s="5" t="s">
        <v>1150</v>
      </c>
      <c r="E441" s="5" t="s">
        <v>2811</v>
      </c>
      <c r="F441" s="5" t="s">
        <v>2812</v>
      </c>
      <c r="G441" s="6">
        <v>46086.359722222223</v>
      </c>
      <c r="H441" s="7">
        <v>46097</v>
      </c>
      <c r="I441" s="5" t="s">
        <v>2813</v>
      </c>
      <c r="J441" s="7">
        <v>46101</v>
      </c>
      <c r="K441" s="5" t="s">
        <v>1527</v>
      </c>
      <c r="L441" s="5" t="s">
        <v>1535</v>
      </c>
      <c r="M441" s="8">
        <v>519</v>
      </c>
      <c r="N441" s="5" t="s">
        <v>1536</v>
      </c>
      <c r="O441" s="7">
        <v>46101</v>
      </c>
    </row>
    <row r="442" spans="1:15" x14ac:dyDescent="0.25">
      <c r="A442" s="5" t="s">
        <v>4</v>
      </c>
      <c r="B442" s="5" t="s">
        <v>2814</v>
      </c>
      <c r="D442" s="5" t="s">
        <v>1410</v>
      </c>
      <c r="E442" s="5" t="s">
        <v>2815</v>
      </c>
      <c r="F442" s="5" t="s">
        <v>2816</v>
      </c>
      <c r="G442" s="6">
        <v>46161.613194444442</v>
      </c>
      <c r="H442" s="7">
        <v>46168</v>
      </c>
      <c r="I442" s="6">
        <v>46167.745833333334</v>
      </c>
      <c r="J442" s="7">
        <v>46167</v>
      </c>
      <c r="K442" s="5" t="s">
        <v>1527</v>
      </c>
      <c r="L442" s="5" t="s">
        <v>1621</v>
      </c>
      <c r="M442" s="9">
        <v>518.58000000000004</v>
      </c>
      <c r="N442" s="5" t="s">
        <v>1536</v>
      </c>
      <c r="O442" s="7">
        <v>46167</v>
      </c>
    </row>
    <row r="443" spans="1:15" hidden="1" x14ac:dyDescent="0.25">
      <c r="A443" s="5" t="s">
        <v>1522</v>
      </c>
      <c r="B443" s="5" t="s">
        <v>2817</v>
      </c>
      <c r="D443" s="5" t="s">
        <v>1494</v>
      </c>
      <c r="E443" s="5" t="s">
        <v>2125</v>
      </c>
      <c r="F443" s="5" t="s">
        <v>2818</v>
      </c>
      <c r="G443" s="6">
        <v>46028.698611111111</v>
      </c>
      <c r="H443" s="7">
        <v>46037</v>
      </c>
      <c r="I443" s="5" t="s">
        <v>2819</v>
      </c>
      <c r="J443" s="7">
        <v>46042</v>
      </c>
      <c r="K443" s="5" t="s">
        <v>1527</v>
      </c>
      <c r="L443" s="5" t="s">
        <v>1528</v>
      </c>
      <c r="M443" s="8">
        <v>515</v>
      </c>
      <c r="N443" s="5" t="s">
        <v>1536</v>
      </c>
      <c r="O443" s="7">
        <v>46042</v>
      </c>
    </row>
    <row r="444" spans="1:15" hidden="1" x14ac:dyDescent="0.25">
      <c r="A444" s="5" t="s">
        <v>1522</v>
      </c>
      <c r="B444" s="5" t="s">
        <v>2820</v>
      </c>
      <c r="D444" s="5" t="s">
        <v>1477</v>
      </c>
      <c r="E444" s="5" t="s">
        <v>2424</v>
      </c>
      <c r="F444" s="5" t="s">
        <v>2821</v>
      </c>
      <c r="G444" s="6">
        <v>46163.455555555556</v>
      </c>
      <c r="H444" s="7">
        <v>46171</v>
      </c>
      <c r="I444" s="5" t="s">
        <v>1533</v>
      </c>
      <c r="J444" s="5" t="s">
        <v>1533</v>
      </c>
      <c r="K444" s="5" t="s">
        <v>1534</v>
      </c>
      <c r="L444" s="5" t="s">
        <v>1528</v>
      </c>
      <c r="M444" s="8">
        <v>515</v>
      </c>
      <c r="N444" s="5" t="s">
        <v>1541</v>
      </c>
      <c r="O444" s="5" t="s">
        <v>1533</v>
      </c>
    </row>
    <row r="445" spans="1:15" hidden="1" x14ac:dyDescent="0.25">
      <c r="A445" s="5" t="s">
        <v>1522</v>
      </c>
      <c r="B445" s="5" t="s">
        <v>2822</v>
      </c>
      <c r="D445" s="5" t="s">
        <v>1475</v>
      </c>
      <c r="E445" s="5" t="s">
        <v>2424</v>
      </c>
      <c r="F445" s="5" t="s">
        <v>2823</v>
      </c>
      <c r="G445" s="6">
        <v>46163.460416666669</v>
      </c>
      <c r="H445" s="7">
        <v>46171</v>
      </c>
      <c r="I445" s="5" t="s">
        <v>1533</v>
      </c>
      <c r="J445" s="5" t="s">
        <v>1533</v>
      </c>
      <c r="K445" s="5" t="s">
        <v>1534</v>
      </c>
      <c r="L445" s="5" t="s">
        <v>1528</v>
      </c>
      <c r="M445" s="8">
        <v>515</v>
      </c>
      <c r="N445" s="5" t="s">
        <v>1541</v>
      </c>
      <c r="O445" s="5" t="s">
        <v>1533</v>
      </c>
    </row>
    <row r="446" spans="1:15" x14ac:dyDescent="0.25">
      <c r="A446" s="5" t="s">
        <v>4</v>
      </c>
      <c r="B446" s="5" t="s">
        <v>2824</v>
      </c>
      <c r="D446" s="5" t="s">
        <v>654</v>
      </c>
      <c r="E446" s="5" t="s">
        <v>2825</v>
      </c>
      <c r="F446" s="5" t="s">
        <v>2826</v>
      </c>
      <c r="G446" s="6">
        <v>46048.740972222222</v>
      </c>
      <c r="H446" s="7">
        <v>46057</v>
      </c>
      <c r="I446" s="5" t="s">
        <v>2827</v>
      </c>
      <c r="J446" s="7">
        <v>46052</v>
      </c>
      <c r="K446" s="5" t="s">
        <v>1527</v>
      </c>
      <c r="L446" s="5" t="s">
        <v>1621</v>
      </c>
      <c r="M446" s="8">
        <v>514.79999999999995</v>
      </c>
      <c r="N446" s="5" t="s">
        <v>1536</v>
      </c>
      <c r="O446" s="7">
        <v>46052</v>
      </c>
    </row>
    <row r="447" spans="1:15" x14ac:dyDescent="0.25">
      <c r="A447" s="5" t="s">
        <v>4</v>
      </c>
      <c r="B447" s="5" t="s">
        <v>2828</v>
      </c>
      <c r="D447" s="5" t="s">
        <v>1443</v>
      </c>
      <c r="E447" s="5" t="s">
        <v>1704</v>
      </c>
      <c r="F447" s="5" t="s">
        <v>2829</v>
      </c>
      <c r="G447" s="6">
        <v>46098.463888888888</v>
      </c>
      <c r="H447" s="7">
        <v>46111</v>
      </c>
      <c r="I447" s="5" t="s">
        <v>2830</v>
      </c>
      <c r="J447" s="7">
        <v>46114</v>
      </c>
      <c r="K447" s="5" t="s">
        <v>1527</v>
      </c>
      <c r="L447" s="5" t="s">
        <v>1535</v>
      </c>
      <c r="M447" s="9">
        <v>513.9</v>
      </c>
      <c r="N447" s="5" t="s">
        <v>1536</v>
      </c>
      <c r="O447" s="7">
        <v>46114</v>
      </c>
    </row>
    <row r="448" spans="1:15" x14ac:dyDescent="0.25">
      <c r="A448" s="5" t="s">
        <v>4</v>
      </c>
      <c r="B448" s="5" t="s">
        <v>2831</v>
      </c>
      <c r="D448" s="5" t="s">
        <v>1489</v>
      </c>
      <c r="E448" s="5" t="s">
        <v>2431</v>
      </c>
      <c r="F448" s="5" t="s">
        <v>1742</v>
      </c>
      <c r="G448" s="6">
        <v>46150.601388888892</v>
      </c>
      <c r="H448" s="7">
        <v>46162</v>
      </c>
      <c r="I448" s="5" t="s">
        <v>2832</v>
      </c>
      <c r="J448" s="7">
        <v>46163</v>
      </c>
      <c r="K448" s="5" t="s">
        <v>1527</v>
      </c>
      <c r="L448" s="5" t="s">
        <v>1535</v>
      </c>
      <c r="M448" s="8">
        <v>509.75</v>
      </c>
      <c r="N448" s="5" t="s">
        <v>1536</v>
      </c>
      <c r="O448" s="7">
        <v>46163</v>
      </c>
    </row>
    <row r="449" spans="1:15" x14ac:dyDescent="0.25">
      <c r="A449" s="5" t="s">
        <v>4</v>
      </c>
      <c r="B449" s="5" t="s">
        <v>2833</v>
      </c>
      <c r="D449" s="5" t="s">
        <v>502</v>
      </c>
      <c r="E449" s="5" t="s">
        <v>2834</v>
      </c>
      <c r="F449" s="5" t="s">
        <v>1548</v>
      </c>
      <c r="G449" s="6">
        <v>46050.493750000001</v>
      </c>
      <c r="H449" s="7">
        <v>46063</v>
      </c>
      <c r="I449" s="5" t="s">
        <v>2835</v>
      </c>
      <c r="J449" s="7">
        <v>46050</v>
      </c>
      <c r="K449" s="5" t="s">
        <v>1527</v>
      </c>
      <c r="L449" s="5" t="s">
        <v>1564</v>
      </c>
      <c r="M449" s="8">
        <v>508.8</v>
      </c>
      <c r="N449" s="5" t="s">
        <v>1536</v>
      </c>
      <c r="O449" s="7">
        <v>46050</v>
      </c>
    </row>
    <row r="450" spans="1:15" x14ac:dyDescent="0.25">
      <c r="A450" s="5" t="s">
        <v>4</v>
      </c>
      <c r="B450" s="5" t="s">
        <v>2836</v>
      </c>
      <c r="D450" s="5" t="s">
        <v>809</v>
      </c>
      <c r="E450" s="5" t="s">
        <v>2837</v>
      </c>
      <c r="F450" s="5" t="s">
        <v>1759</v>
      </c>
      <c r="G450" s="6">
        <v>46083.703472222223</v>
      </c>
      <c r="H450" s="7">
        <v>46094</v>
      </c>
      <c r="I450" s="6">
        <v>46093.597222222219</v>
      </c>
      <c r="J450" s="7">
        <v>46093</v>
      </c>
      <c r="K450" s="5" t="s">
        <v>1527</v>
      </c>
      <c r="L450" s="5" t="s">
        <v>1564</v>
      </c>
      <c r="M450" s="8">
        <v>507.2</v>
      </c>
      <c r="N450" s="5" t="s">
        <v>1536</v>
      </c>
      <c r="O450" s="7">
        <v>46093</v>
      </c>
    </row>
    <row r="451" spans="1:15" x14ac:dyDescent="0.25">
      <c r="A451" s="5" t="s">
        <v>4</v>
      </c>
      <c r="B451" s="5" t="s">
        <v>2838</v>
      </c>
      <c r="D451" s="5" t="s">
        <v>90</v>
      </c>
      <c r="E451" s="5" t="s">
        <v>2839</v>
      </c>
      <c r="F451" s="5" t="s">
        <v>2840</v>
      </c>
      <c r="G451" s="6">
        <v>46154.710416666669</v>
      </c>
      <c r="H451" s="7">
        <v>46163</v>
      </c>
      <c r="I451" s="5" t="s">
        <v>2841</v>
      </c>
      <c r="J451" s="7">
        <v>46164</v>
      </c>
      <c r="K451" s="5" t="s">
        <v>1527</v>
      </c>
      <c r="L451" s="5" t="s">
        <v>1621</v>
      </c>
      <c r="M451" s="8">
        <v>505.66</v>
      </c>
      <c r="N451" s="5" t="s">
        <v>1536</v>
      </c>
      <c r="O451" s="7">
        <v>46164</v>
      </c>
    </row>
    <row r="452" spans="1:15" x14ac:dyDescent="0.25">
      <c r="A452" s="5" t="s">
        <v>4</v>
      </c>
      <c r="B452" s="5" t="s">
        <v>2842</v>
      </c>
      <c r="D452" s="5" t="s">
        <v>1074</v>
      </c>
      <c r="E452" s="5" t="s">
        <v>2843</v>
      </c>
      <c r="F452" s="5" t="s">
        <v>2844</v>
      </c>
      <c r="G452" s="6">
        <v>46066.42291666667</v>
      </c>
      <c r="H452" s="7">
        <v>46092</v>
      </c>
      <c r="I452" s="5" t="s">
        <v>2845</v>
      </c>
      <c r="J452" s="7">
        <v>46093</v>
      </c>
      <c r="K452" s="5" t="s">
        <v>1527</v>
      </c>
      <c r="L452" s="5" t="s">
        <v>1564</v>
      </c>
      <c r="M452" s="8">
        <v>505</v>
      </c>
      <c r="N452" s="5" t="s">
        <v>1536</v>
      </c>
      <c r="O452" s="7">
        <v>46093</v>
      </c>
    </row>
    <row r="453" spans="1:15" x14ac:dyDescent="0.25">
      <c r="A453" s="5" t="s">
        <v>4</v>
      </c>
      <c r="B453" s="5" t="s">
        <v>2846</v>
      </c>
      <c r="D453" s="5" t="s">
        <v>908</v>
      </c>
      <c r="E453" s="5" t="s">
        <v>2847</v>
      </c>
      <c r="F453" s="5" t="s">
        <v>1759</v>
      </c>
      <c r="G453" s="6">
        <v>46113.624305555553</v>
      </c>
      <c r="H453" s="7">
        <v>46127</v>
      </c>
      <c r="I453" s="6">
        <v>46120.759722222225</v>
      </c>
      <c r="J453" s="7">
        <v>46120</v>
      </c>
      <c r="K453" s="5" t="s">
        <v>1527</v>
      </c>
      <c r="L453" s="5" t="s">
        <v>1564</v>
      </c>
      <c r="M453" s="8">
        <v>501.6</v>
      </c>
      <c r="N453" s="5" t="s">
        <v>1536</v>
      </c>
      <c r="O453" s="7">
        <v>46120</v>
      </c>
    </row>
    <row r="454" spans="1:15" x14ac:dyDescent="0.25">
      <c r="A454" s="5" t="s">
        <v>4</v>
      </c>
      <c r="B454" s="5" t="s">
        <v>2848</v>
      </c>
      <c r="D454" s="5" t="s">
        <v>1062</v>
      </c>
      <c r="E454" s="5" t="s">
        <v>2849</v>
      </c>
      <c r="F454" s="5" t="s">
        <v>2850</v>
      </c>
      <c r="G454" s="6">
        <v>46078.337500000001</v>
      </c>
      <c r="H454" s="7">
        <v>46091</v>
      </c>
      <c r="I454" s="6">
        <v>46087.701388888891</v>
      </c>
      <c r="J454" s="7">
        <v>46087</v>
      </c>
      <c r="K454" s="5" t="s">
        <v>1527</v>
      </c>
      <c r="L454" s="5" t="s">
        <v>1564</v>
      </c>
      <c r="M454" s="8">
        <v>501.1</v>
      </c>
      <c r="N454" s="5" t="s">
        <v>1536</v>
      </c>
      <c r="O454" s="7">
        <v>46087</v>
      </c>
    </row>
    <row r="455" spans="1:15" x14ac:dyDescent="0.25">
      <c r="A455" s="5" t="s">
        <v>4</v>
      </c>
      <c r="B455" s="5" t="s">
        <v>2851</v>
      </c>
      <c r="D455" s="5" t="s">
        <v>1357</v>
      </c>
      <c r="E455" s="5" t="s">
        <v>1747</v>
      </c>
      <c r="F455" s="5" t="s">
        <v>1813</v>
      </c>
      <c r="G455" s="6">
        <v>46125.438888888886</v>
      </c>
      <c r="H455" s="7">
        <v>46136</v>
      </c>
      <c r="I455" s="5" t="s">
        <v>2852</v>
      </c>
      <c r="J455" s="7">
        <v>46139</v>
      </c>
      <c r="K455" s="5" t="s">
        <v>1527</v>
      </c>
      <c r="L455" s="5" t="s">
        <v>1535</v>
      </c>
      <c r="M455" s="8">
        <v>500.4</v>
      </c>
      <c r="N455" s="5" t="s">
        <v>1536</v>
      </c>
      <c r="O455" s="7">
        <v>46139</v>
      </c>
    </row>
    <row r="456" spans="1:15" hidden="1" x14ac:dyDescent="0.25">
      <c r="A456" s="5" t="s">
        <v>1522</v>
      </c>
      <c r="B456" s="5" t="s">
        <v>2853</v>
      </c>
      <c r="D456" s="5" t="s">
        <v>1461</v>
      </c>
      <c r="E456" s="5" t="s">
        <v>2480</v>
      </c>
      <c r="F456" s="5" t="s">
        <v>1548</v>
      </c>
      <c r="G456" s="6">
        <v>46149.555555555555</v>
      </c>
      <c r="H456" s="7">
        <v>46150</v>
      </c>
      <c r="I456" s="5" t="s">
        <v>2854</v>
      </c>
      <c r="J456" s="7">
        <v>46150</v>
      </c>
      <c r="K456" s="5" t="s">
        <v>1527</v>
      </c>
      <c r="L456" s="5" t="s">
        <v>1528</v>
      </c>
      <c r="M456" s="8">
        <v>500</v>
      </c>
      <c r="N456" s="5" t="s">
        <v>1536</v>
      </c>
      <c r="O456" s="7">
        <v>46150</v>
      </c>
    </row>
    <row r="457" spans="1:15" hidden="1" x14ac:dyDescent="0.25">
      <c r="A457" s="5" t="s">
        <v>1522</v>
      </c>
      <c r="B457" s="5" t="s">
        <v>2855</v>
      </c>
      <c r="D457" s="5" t="s">
        <v>1376</v>
      </c>
      <c r="E457" s="5" t="s">
        <v>2141</v>
      </c>
      <c r="F457" s="5" t="s">
        <v>2142</v>
      </c>
      <c r="G457" s="6">
        <v>46163.698611111111</v>
      </c>
      <c r="H457" s="7">
        <v>46168</v>
      </c>
      <c r="I457" s="5" t="s">
        <v>2856</v>
      </c>
      <c r="J457" s="7">
        <v>46168</v>
      </c>
      <c r="K457" s="5" t="s">
        <v>1527</v>
      </c>
      <c r="L457" s="5" t="s">
        <v>1528</v>
      </c>
      <c r="M457" s="8">
        <v>500</v>
      </c>
      <c r="N457" s="5" t="s">
        <v>1536</v>
      </c>
      <c r="O457" s="7">
        <v>46168</v>
      </c>
    </row>
    <row r="458" spans="1:15" x14ac:dyDescent="0.25">
      <c r="A458" s="5" t="s">
        <v>4</v>
      </c>
      <c r="B458" s="5" t="s">
        <v>2857</v>
      </c>
      <c r="D458" s="5" t="s">
        <v>1372</v>
      </c>
      <c r="E458" s="5" t="s">
        <v>2774</v>
      </c>
      <c r="F458" s="5" t="s">
        <v>2775</v>
      </c>
      <c r="G458" s="6">
        <v>46113.374305555553</v>
      </c>
      <c r="H458" s="7">
        <v>46119</v>
      </c>
      <c r="I458" s="5" t="s">
        <v>2776</v>
      </c>
      <c r="J458" s="7">
        <v>46122</v>
      </c>
      <c r="K458" s="5" t="s">
        <v>1527</v>
      </c>
      <c r="L458" s="5" t="s">
        <v>1564</v>
      </c>
      <c r="M458" s="8">
        <v>500</v>
      </c>
      <c r="N458" s="5" t="s">
        <v>1536</v>
      </c>
      <c r="O458" s="7">
        <v>46122</v>
      </c>
    </row>
    <row r="459" spans="1:15" x14ac:dyDescent="0.25">
      <c r="A459" s="5" t="s">
        <v>4</v>
      </c>
      <c r="B459" s="5" t="s">
        <v>2858</v>
      </c>
      <c r="D459" s="5" t="s">
        <v>490</v>
      </c>
      <c r="E459" s="5" t="s">
        <v>2859</v>
      </c>
      <c r="F459" s="5" t="s">
        <v>2860</v>
      </c>
      <c r="G459" s="6">
        <v>46170.363888888889</v>
      </c>
      <c r="H459" s="7">
        <v>46183</v>
      </c>
      <c r="I459" s="6">
        <v>46178.490972222222</v>
      </c>
      <c r="J459" s="7">
        <v>46178</v>
      </c>
      <c r="K459" s="5" t="s">
        <v>1527</v>
      </c>
      <c r="L459" s="5" t="s">
        <v>1564</v>
      </c>
      <c r="M459" s="8">
        <v>500</v>
      </c>
      <c r="N459" s="5" t="s">
        <v>1536</v>
      </c>
      <c r="O459" s="7">
        <v>46178</v>
      </c>
    </row>
    <row r="460" spans="1:15" x14ac:dyDescent="0.25">
      <c r="A460" s="5" t="s">
        <v>4</v>
      </c>
      <c r="B460" s="5" t="s">
        <v>2861</v>
      </c>
      <c r="D460" s="5" t="s">
        <v>1153</v>
      </c>
      <c r="E460" s="5" t="s">
        <v>2862</v>
      </c>
      <c r="F460" s="5" t="s">
        <v>2863</v>
      </c>
      <c r="G460" s="6">
        <v>46154.637499999997</v>
      </c>
      <c r="H460" s="7">
        <v>46169</v>
      </c>
      <c r="I460" s="6">
        <v>46162.435416666667</v>
      </c>
      <c r="J460" s="7">
        <v>46162</v>
      </c>
      <c r="K460" s="5" t="s">
        <v>1527</v>
      </c>
      <c r="L460" s="5" t="s">
        <v>1621</v>
      </c>
      <c r="M460" s="8">
        <v>499.8</v>
      </c>
      <c r="N460" s="5" t="s">
        <v>1536</v>
      </c>
      <c r="O460" s="7">
        <v>46162</v>
      </c>
    </row>
    <row r="461" spans="1:15" x14ac:dyDescent="0.25">
      <c r="A461" s="5" t="s">
        <v>4</v>
      </c>
      <c r="B461" s="5" t="s">
        <v>2864</v>
      </c>
      <c r="D461" s="5" t="s">
        <v>1056</v>
      </c>
      <c r="E461" s="5" t="s">
        <v>2865</v>
      </c>
      <c r="F461" s="5" t="s">
        <v>1548</v>
      </c>
      <c r="G461" s="6">
        <v>46030.338194444441</v>
      </c>
      <c r="H461" s="7">
        <v>46042</v>
      </c>
      <c r="I461" s="5" t="s">
        <v>2866</v>
      </c>
      <c r="J461" s="7">
        <v>46045</v>
      </c>
      <c r="K461" s="5" t="s">
        <v>1527</v>
      </c>
      <c r="L461" s="5" t="s">
        <v>1564</v>
      </c>
      <c r="M461" s="8">
        <v>499.2</v>
      </c>
      <c r="N461" s="5" t="s">
        <v>1536</v>
      </c>
      <c r="O461" s="7">
        <v>46045</v>
      </c>
    </row>
    <row r="462" spans="1:15" x14ac:dyDescent="0.25">
      <c r="A462" s="5" t="s">
        <v>4</v>
      </c>
      <c r="B462" s="5" t="s">
        <v>2867</v>
      </c>
      <c r="D462" s="5" t="s">
        <v>799</v>
      </c>
      <c r="E462" s="5" t="s">
        <v>2868</v>
      </c>
      <c r="F462" s="5" t="s">
        <v>2869</v>
      </c>
      <c r="G462" s="6">
        <v>46161.511111111111</v>
      </c>
      <c r="H462" s="7">
        <v>46168</v>
      </c>
      <c r="I462" s="5" t="s">
        <v>2870</v>
      </c>
      <c r="J462" s="7">
        <v>46169</v>
      </c>
      <c r="K462" s="5" t="s">
        <v>1527</v>
      </c>
      <c r="L462" s="5" t="s">
        <v>1621</v>
      </c>
      <c r="M462" s="8">
        <v>498.89</v>
      </c>
      <c r="N462" s="5" t="s">
        <v>1536</v>
      </c>
      <c r="O462" s="7">
        <v>46169</v>
      </c>
    </row>
    <row r="463" spans="1:15" hidden="1" x14ac:dyDescent="0.25">
      <c r="A463" s="5" t="s">
        <v>1522</v>
      </c>
      <c r="B463" s="5" t="s">
        <v>2871</v>
      </c>
      <c r="D463" s="5" t="s">
        <v>1508</v>
      </c>
      <c r="E463" s="5" t="s">
        <v>2606</v>
      </c>
      <c r="F463" s="5" t="s">
        <v>2872</v>
      </c>
      <c r="G463" s="6">
        <v>46028.354861111111</v>
      </c>
      <c r="H463" s="7">
        <v>46031</v>
      </c>
      <c r="I463" s="6">
        <v>46031.652083333334</v>
      </c>
      <c r="J463" s="7">
        <v>46031</v>
      </c>
      <c r="K463" s="5" t="s">
        <v>1527</v>
      </c>
      <c r="L463" s="5" t="s">
        <v>1528</v>
      </c>
      <c r="M463" s="8">
        <v>498</v>
      </c>
      <c r="N463" s="5" t="s">
        <v>1536</v>
      </c>
      <c r="O463" s="7">
        <v>46031</v>
      </c>
    </row>
    <row r="464" spans="1:15" x14ac:dyDescent="0.25">
      <c r="A464" s="5" t="s">
        <v>4</v>
      </c>
      <c r="B464" s="5" t="s">
        <v>2873</v>
      </c>
      <c r="D464" s="5" t="s">
        <v>347</v>
      </c>
      <c r="E464" s="5" t="s">
        <v>2874</v>
      </c>
      <c r="F464" s="5" t="s">
        <v>2875</v>
      </c>
      <c r="G464" s="6">
        <v>46154.634722222225</v>
      </c>
      <c r="H464" s="7">
        <v>46163</v>
      </c>
      <c r="I464" s="5" t="s">
        <v>2876</v>
      </c>
      <c r="J464" s="7">
        <v>46169</v>
      </c>
      <c r="K464" s="5" t="s">
        <v>1527</v>
      </c>
      <c r="L464" s="5" t="s">
        <v>1535</v>
      </c>
      <c r="M464" s="8">
        <v>496</v>
      </c>
      <c r="N464" s="5" t="s">
        <v>1536</v>
      </c>
      <c r="O464" s="7">
        <v>46169</v>
      </c>
    </row>
    <row r="465" spans="1:15" x14ac:dyDescent="0.25">
      <c r="A465" s="5" t="s">
        <v>4</v>
      </c>
      <c r="B465" s="5" t="s">
        <v>2877</v>
      </c>
      <c r="D465" s="5" t="s">
        <v>817</v>
      </c>
      <c r="E465" s="5" t="s">
        <v>2878</v>
      </c>
      <c r="F465" s="5" t="s">
        <v>1813</v>
      </c>
      <c r="G465" s="6">
        <v>46087.586111111108</v>
      </c>
      <c r="H465" s="7">
        <v>46098</v>
      </c>
      <c r="I465" s="5" t="s">
        <v>2879</v>
      </c>
      <c r="J465" s="7">
        <v>46112</v>
      </c>
      <c r="K465" s="5" t="s">
        <v>1527</v>
      </c>
      <c r="L465" s="5" t="s">
        <v>1535</v>
      </c>
      <c r="M465" s="8">
        <v>495</v>
      </c>
      <c r="N465" s="5" t="s">
        <v>1536</v>
      </c>
      <c r="O465" s="7">
        <v>46112</v>
      </c>
    </row>
    <row r="466" spans="1:15" x14ac:dyDescent="0.25">
      <c r="A466" s="5" t="s">
        <v>4</v>
      </c>
      <c r="B466" s="5" t="s">
        <v>2880</v>
      </c>
      <c r="D466" s="5" t="s">
        <v>1295</v>
      </c>
      <c r="E466" s="5" t="s">
        <v>2881</v>
      </c>
      <c r="F466" s="5" t="s">
        <v>2882</v>
      </c>
      <c r="G466" s="6">
        <v>46134.604166666664</v>
      </c>
      <c r="H466" s="7">
        <v>46148</v>
      </c>
      <c r="I466" s="6">
        <v>46141.731944444444</v>
      </c>
      <c r="J466" s="7">
        <v>46139</v>
      </c>
      <c r="K466" s="5" t="s">
        <v>1527</v>
      </c>
      <c r="L466" s="5" t="s">
        <v>1564</v>
      </c>
      <c r="M466" s="8">
        <v>495</v>
      </c>
      <c r="N466" s="5" t="s">
        <v>1536</v>
      </c>
      <c r="O466" s="7">
        <v>46139</v>
      </c>
    </row>
    <row r="467" spans="1:15" x14ac:dyDescent="0.25">
      <c r="A467" s="5" t="s">
        <v>4</v>
      </c>
      <c r="B467" s="5" t="s">
        <v>2883</v>
      </c>
      <c r="D467" s="5" t="s">
        <v>1501</v>
      </c>
      <c r="E467" s="5" t="s">
        <v>2884</v>
      </c>
      <c r="F467" s="5" t="s">
        <v>1570</v>
      </c>
      <c r="G467" s="6">
        <v>46028.602777777778</v>
      </c>
      <c r="H467" s="7">
        <v>46038</v>
      </c>
      <c r="I467" s="6">
        <v>46035.730555555558</v>
      </c>
      <c r="J467" s="7">
        <v>46035</v>
      </c>
      <c r="K467" s="5" t="s">
        <v>1527</v>
      </c>
      <c r="L467" s="5" t="s">
        <v>1535</v>
      </c>
      <c r="M467" s="8">
        <v>494.7</v>
      </c>
      <c r="N467" s="5" t="s">
        <v>1536</v>
      </c>
      <c r="O467" s="7">
        <v>46035</v>
      </c>
    </row>
    <row r="468" spans="1:15" x14ac:dyDescent="0.25">
      <c r="A468" s="5" t="s">
        <v>4</v>
      </c>
      <c r="B468" s="5" t="s">
        <v>2885</v>
      </c>
      <c r="D468" s="5" t="s">
        <v>339</v>
      </c>
      <c r="E468" s="5" t="s">
        <v>2886</v>
      </c>
      <c r="F468" s="5" t="s">
        <v>1813</v>
      </c>
      <c r="G468" s="6">
        <v>46149.4375</v>
      </c>
      <c r="H468" s="7">
        <v>46161</v>
      </c>
      <c r="I468" s="6">
        <v>46153.594444444447</v>
      </c>
      <c r="J468" s="7">
        <v>46153</v>
      </c>
      <c r="K468" s="5" t="s">
        <v>1527</v>
      </c>
      <c r="L468" s="5" t="s">
        <v>1535</v>
      </c>
      <c r="M468" s="8">
        <v>491</v>
      </c>
      <c r="N468" s="5" t="s">
        <v>1536</v>
      </c>
      <c r="O468" s="7">
        <v>46153</v>
      </c>
    </row>
    <row r="469" spans="1:15" x14ac:dyDescent="0.25">
      <c r="A469" s="5" t="s">
        <v>4</v>
      </c>
      <c r="B469" s="5" t="s">
        <v>2887</v>
      </c>
      <c r="D469" s="5" t="s">
        <v>137</v>
      </c>
      <c r="E469" s="5" t="s">
        <v>2888</v>
      </c>
      <c r="F469" s="5" t="s">
        <v>1759</v>
      </c>
      <c r="G469" s="6">
        <v>46154.501388888886</v>
      </c>
      <c r="H469" s="7">
        <v>46167</v>
      </c>
      <c r="I469" s="6">
        <v>46161.415277777778</v>
      </c>
      <c r="J469" s="7">
        <v>46160</v>
      </c>
      <c r="K469" s="5" t="s">
        <v>1527</v>
      </c>
      <c r="L469" s="5" t="s">
        <v>1564</v>
      </c>
      <c r="M469" s="8">
        <v>490.8</v>
      </c>
      <c r="N469" s="5" t="s">
        <v>1536</v>
      </c>
      <c r="O469" s="7">
        <v>46160</v>
      </c>
    </row>
    <row r="470" spans="1:15" hidden="1" x14ac:dyDescent="0.25">
      <c r="A470" s="5" t="s">
        <v>1522</v>
      </c>
      <c r="B470" s="5">
        <v>39269</v>
      </c>
      <c r="D470" s="5" t="s">
        <v>1290</v>
      </c>
      <c r="E470" s="5" t="s">
        <v>2889</v>
      </c>
      <c r="F470" s="5" t="s">
        <v>2890</v>
      </c>
      <c r="G470" s="6">
        <v>46119.569444444445</v>
      </c>
      <c r="H470" s="7">
        <v>46126</v>
      </c>
      <c r="I470" s="6">
        <v>46123.338194444441</v>
      </c>
      <c r="J470" s="7">
        <v>46122</v>
      </c>
      <c r="K470" s="5" t="s">
        <v>1527</v>
      </c>
      <c r="L470" s="5" t="s">
        <v>1528</v>
      </c>
      <c r="M470" s="8">
        <v>490</v>
      </c>
      <c r="N470" s="5" t="s">
        <v>1536</v>
      </c>
      <c r="O470" s="7">
        <v>46122</v>
      </c>
    </row>
    <row r="471" spans="1:15" hidden="1" x14ac:dyDescent="0.25">
      <c r="A471" s="5" t="s">
        <v>1522</v>
      </c>
      <c r="B471" s="5" t="s">
        <v>2891</v>
      </c>
      <c r="D471" s="5" t="s">
        <v>1412</v>
      </c>
      <c r="E471" s="5" t="s">
        <v>2108</v>
      </c>
      <c r="F471" s="5" t="s">
        <v>2109</v>
      </c>
      <c r="G471" s="6">
        <v>46111.417361111111</v>
      </c>
      <c r="H471" s="7">
        <v>46114</v>
      </c>
      <c r="I471" s="5" t="s">
        <v>2892</v>
      </c>
      <c r="J471" s="7">
        <v>46119</v>
      </c>
      <c r="K471" s="5" t="s">
        <v>1527</v>
      </c>
      <c r="L471" s="5" t="s">
        <v>1528</v>
      </c>
      <c r="M471" s="8">
        <v>490</v>
      </c>
      <c r="N471" s="5" t="s">
        <v>1536</v>
      </c>
      <c r="O471" s="7">
        <v>46119</v>
      </c>
    </row>
    <row r="472" spans="1:15" x14ac:dyDescent="0.25">
      <c r="A472" s="5" t="s">
        <v>4</v>
      </c>
      <c r="B472" s="5" t="s">
        <v>2893</v>
      </c>
      <c r="D472" s="5" t="s">
        <v>1175</v>
      </c>
      <c r="E472" s="5" t="s">
        <v>2894</v>
      </c>
      <c r="F472" s="5" t="s">
        <v>2895</v>
      </c>
      <c r="G472" s="6">
        <v>46157.659722222219</v>
      </c>
      <c r="H472" s="7">
        <v>46164</v>
      </c>
      <c r="I472" s="5" t="s">
        <v>2896</v>
      </c>
      <c r="J472" s="7">
        <v>46171</v>
      </c>
      <c r="K472" s="5" t="s">
        <v>1527</v>
      </c>
      <c r="L472" s="5" t="s">
        <v>1621</v>
      </c>
      <c r="M472" s="8">
        <v>489.74</v>
      </c>
      <c r="N472" s="5" t="s">
        <v>1536</v>
      </c>
      <c r="O472" s="7">
        <v>46171</v>
      </c>
    </row>
    <row r="473" spans="1:15" x14ac:dyDescent="0.25">
      <c r="A473" s="5" t="s">
        <v>4</v>
      </c>
      <c r="B473" s="5" t="s">
        <v>2897</v>
      </c>
      <c r="D473" s="5" t="s">
        <v>1143</v>
      </c>
      <c r="E473" s="5" t="s">
        <v>2898</v>
      </c>
      <c r="F473" s="5" t="s">
        <v>1770</v>
      </c>
      <c r="G473" s="6">
        <v>46105.604861111111</v>
      </c>
      <c r="H473" s="7">
        <v>46119</v>
      </c>
      <c r="I473" s="6">
        <v>46112.731944444444</v>
      </c>
      <c r="J473" s="7">
        <v>46112</v>
      </c>
      <c r="K473" s="5" t="s">
        <v>1527</v>
      </c>
      <c r="L473" s="5" t="s">
        <v>1564</v>
      </c>
      <c r="M473" s="8">
        <v>488.6</v>
      </c>
      <c r="N473" s="5" t="s">
        <v>1536</v>
      </c>
      <c r="O473" s="7">
        <v>46112</v>
      </c>
    </row>
    <row r="474" spans="1:15" x14ac:dyDescent="0.25">
      <c r="A474" s="5" t="s">
        <v>4</v>
      </c>
      <c r="B474" s="5" t="s">
        <v>2899</v>
      </c>
      <c r="D474" s="5" t="s">
        <v>1443</v>
      </c>
      <c r="E474" s="5" t="s">
        <v>1704</v>
      </c>
      <c r="F474" s="5" t="s">
        <v>2900</v>
      </c>
      <c r="G474" s="6">
        <v>46098.466666666667</v>
      </c>
      <c r="H474" s="7">
        <v>46111</v>
      </c>
      <c r="I474" s="6">
        <v>46107.697916666664</v>
      </c>
      <c r="J474" s="7">
        <v>46107</v>
      </c>
      <c r="K474" s="5" t="s">
        <v>1527</v>
      </c>
      <c r="L474" s="5" t="s">
        <v>1535</v>
      </c>
      <c r="M474" s="8">
        <v>488</v>
      </c>
      <c r="N474" s="5" t="s">
        <v>1536</v>
      </c>
      <c r="O474" s="7">
        <v>46107</v>
      </c>
    </row>
    <row r="475" spans="1:15" x14ac:dyDescent="0.25">
      <c r="A475" s="5" t="s">
        <v>4</v>
      </c>
      <c r="B475" s="5" t="s">
        <v>2901</v>
      </c>
      <c r="D475" s="5" t="s">
        <v>1443</v>
      </c>
      <c r="E475" s="5" t="s">
        <v>1704</v>
      </c>
      <c r="F475" s="5" t="s">
        <v>2902</v>
      </c>
      <c r="G475" s="6">
        <v>46098.47152777778</v>
      </c>
      <c r="H475" s="7">
        <v>46111</v>
      </c>
      <c r="I475" s="6">
        <v>46106.669444444444</v>
      </c>
      <c r="J475" s="7">
        <v>46107</v>
      </c>
      <c r="K475" s="5" t="s">
        <v>1527</v>
      </c>
      <c r="L475" s="5" t="s">
        <v>1535</v>
      </c>
      <c r="M475" s="8">
        <v>488</v>
      </c>
      <c r="N475" s="5" t="s">
        <v>1536</v>
      </c>
      <c r="O475" s="7">
        <v>46107</v>
      </c>
    </row>
    <row r="476" spans="1:15" x14ac:dyDescent="0.25">
      <c r="A476" s="5" t="s">
        <v>4</v>
      </c>
      <c r="B476" s="5" t="s">
        <v>2903</v>
      </c>
      <c r="D476" s="5" t="s">
        <v>571</v>
      </c>
      <c r="E476" s="5" t="s">
        <v>2904</v>
      </c>
      <c r="F476" s="5" t="s">
        <v>2905</v>
      </c>
      <c r="G476" s="6">
        <v>46064.464583333334</v>
      </c>
      <c r="H476" s="7">
        <v>46078</v>
      </c>
      <c r="I476" s="5" t="s">
        <v>2906</v>
      </c>
      <c r="J476" s="7">
        <v>46085</v>
      </c>
      <c r="K476" s="5" t="s">
        <v>1527</v>
      </c>
      <c r="L476" s="5" t="s">
        <v>1564</v>
      </c>
      <c r="M476" s="8">
        <v>485</v>
      </c>
      <c r="N476" s="5" t="s">
        <v>1536</v>
      </c>
      <c r="O476" s="7">
        <v>46085</v>
      </c>
    </row>
    <row r="477" spans="1:15" x14ac:dyDescent="0.25">
      <c r="A477" s="5" t="s">
        <v>4</v>
      </c>
      <c r="B477" s="5" t="s">
        <v>2907</v>
      </c>
      <c r="D477" s="5" t="s">
        <v>552</v>
      </c>
      <c r="E477" s="5" t="s">
        <v>2908</v>
      </c>
      <c r="F477" s="5" t="s">
        <v>2118</v>
      </c>
      <c r="G477" s="6">
        <v>46093.339583333334</v>
      </c>
      <c r="H477" s="7">
        <v>46106</v>
      </c>
      <c r="I477" s="6">
        <v>46106.669444444444</v>
      </c>
      <c r="J477" s="7">
        <v>46106</v>
      </c>
      <c r="K477" s="5" t="s">
        <v>1527</v>
      </c>
      <c r="L477" s="5" t="s">
        <v>1564</v>
      </c>
      <c r="M477" s="8">
        <v>485</v>
      </c>
      <c r="N477" s="5" t="s">
        <v>1536</v>
      </c>
      <c r="O477" s="7">
        <v>46106</v>
      </c>
    </row>
    <row r="478" spans="1:15" x14ac:dyDescent="0.25">
      <c r="A478" s="5" t="s">
        <v>4</v>
      </c>
      <c r="B478" s="5" t="s">
        <v>2909</v>
      </c>
      <c r="D478" s="5" t="s">
        <v>711</v>
      </c>
      <c r="E478" s="5" t="s">
        <v>2910</v>
      </c>
      <c r="F478" s="5" t="s">
        <v>2911</v>
      </c>
      <c r="G478" s="6">
        <v>46112.699305555558</v>
      </c>
      <c r="H478" s="7">
        <v>46126</v>
      </c>
      <c r="I478" s="6">
        <v>46125.470138888886</v>
      </c>
      <c r="J478" s="7">
        <v>46121</v>
      </c>
      <c r="K478" s="5" t="s">
        <v>1527</v>
      </c>
      <c r="L478" s="5" t="s">
        <v>1564</v>
      </c>
      <c r="M478" s="8">
        <v>485</v>
      </c>
      <c r="N478" s="5" t="s">
        <v>1536</v>
      </c>
      <c r="O478" s="7">
        <v>46121</v>
      </c>
    </row>
    <row r="479" spans="1:15" hidden="1" x14ac:dyDescent="0.25">
      <c r="A479" s="5" t="s">
        <v>1522</v>
      </c>
      <c r="B479" s="5" t="s">
        <v>2912</v>
      </c>
      <c r="D479" s="5" t="s">
        <v>1481</v>
      </c>
      <c r="E479" s="5" t="s">
        <v>2220</v>
      </c>
      <c r="F479" s="5" t="s">
        <v>1548</v>
      </c>
      <c r="G479" s="6">
        <v>46113.640277777777</v>
      </c>
      <c r="H479" s="7">
        <v>46122</v>
      </c>
      <c r="I479" s="5" t="s">
        <v>2913</v>
      </c>
      <c r="J479" s="7">
        <v>46120</v>
      </c>
      <c r="K479" s="5" t="s">
        <v>1527</v>
      </c>
      <c r="L479" s="5" t="s">
        <v>1528</v>
      </c>
      <c r="M479" s="8">
        <v>482.7</v>
      </c>
      <c r="N479" s="5" t="s">
        <v>1536</v>
      </c>
      <c r="O479" s="7">
        <v>46120</v>
      </c>
    </row>
    <row r="480" spans="1:15" x14ac:dyDescent="0.25">
      <c r="A480" s="5" t="s">
        <v>4</v>
      </c>
      <c r="B480" s="5" t="s">
        <v>2914</v>
      </c>
      <c r="D480" s="5" t="s">
        <v>8</v>
      </c>
      <c r="E480" s="5" t="s">
        <v>2915</v>
      </c>
      <c r="F480" s="5" t="s">
        <v>2916</v>
      </c>
      <c r="G480" s="6">
        <v>46076.65</v>
      </c>
      <c r="H480" s="7">
        <v>46083</v>
      </c>
      <c r="I480" s="5" t="s">
        <v>2917</v>
      </c>
      <c r="J480" s="7">
        <v>46086</v>
      </c>
      <c r="K480" s="5" t="s">
        <v>1527</v>
      </c>
      <c r="L480" s="5" t="s">
        <v>1621</v>
      </c>
      <c r="M480" s="8">
        <v>481.52</v>
      </c>
      <c r="N480" s="5" t="s">
        <v>1536</v>
      </c>
      <c r="O480" s="7">
        <v>46086</v>
      </c>
    </row>
    <row r="481" spans="1:15" hidden="1" x14ac:dyDescent="0.25">
      <c r="A481" s="5" t="s">
        <v>1522</v>
      </c>
      <c r="B481" s="5" t="s">
        <v>2918</v>
      </c>
      <c r="D481" s="5" t="s">
        <v>150</v>
      </c>
      <c r="E481" s="5" t="s">
        <v>2919</v>
      </c>
      <c r="F481" s="5" t="s">
        <v>1548</v>
      </c>
      <c r="G481" s="6">
        <v>46049.440972222219</v>
      </c>
      <c r="H481" s="7">
        <v>46062</v>
      </c>
      <c r="I481" s="5" t="s">
        <v>2920</v>
      </c>
      <c r="J481" s="7">
        <v>46076</v>
      </c>
      <c r="K481" s="5" t="s">
        <v>1527</v>
      </c>
      <c r="L481" s="5" t="s">
        <v>1528</v>
      </c>
      <c r="M481" s="8">
        <v>480.1</v>
      </c>
      <c r="N481" s="5" t="s">
        <v>1536</v>
      </c>
      <c r="O481" s="7">
        <v>46076</v>
      </c>
    </row>
    <row r="482" spans="1:15" x14ac:dyDescent="0.25">
      <c r="A482" s="5" t="s">
        <v>4</v>
      </c>
      <c r="B482" s="5" t="s">
        <v>2921</v>
      </c>
      <c r="D482" s="5" t="s">
        <v>121</v>
      </c>
      <c r="E482" s="5" t="s">
        <v>2922</v>
      </c>
      <c r="F482" s="5" t="s">
        <v>1759</v>
      </c>
      <c r="G482" s="6">
        <v>46111.644444444442</v>
      </c>
      <c r="H482" s="7">
        <v>46125</v>
      </c>
      <c r="I482" s="6">
        <v>46125.415972222225</v>
      </c>
      <c r="J482" s="7">
        <v>46119</v>
      </c>
      <c r="K482" s="5" t="s">
        <v>1527</v>
      </c>
      <c r="L482" s="5" t="s">
        <v>1564</v>
      </c>
      <c r="M482" s="8">
        <v>480</v>
      </c>
      <c r="N482" s="5" t="s">
        <v>1536</v>
      </c>
      <c r="O482" s="7">
        <v>46119</v>
      </c>
    </row>
    <row r="483" spans="1:15" hidden="1" x14ac:dyDescent="0.25">
      <c r="A483" s="5" t="s">
        <v>1522</v>
      </c>
      <c r="B483" s="5" t="s">
        <v>2923</v>
      </c>
      <c r="D483" s="5" t="s">
        <v>1481</v>
      </c>
      <c r="E483" s="5" t="s">
        <v>2220</v>
      </c>
      <c r="F483" s="5" t="s">
        <v>1548</v>
      </c>
      <c r="G483" s="6">
        <v>46079.714583333334</v>
      </c>
      <c r="H483" s="7">
        <v>46087</v>
      </c>
      <c r="I483" s="6">
        <v>46087.698611111111</v>
      </c>
      <c r="J483" s="7">
        <v>46085</v>
      </c>
      <c r="K483" s="5" t="s">
        <v>1527</v>
      </c>
      <c r="L483" s="5" t="s">
        <v>1528</v>
      </c>
      <c r="M483" s="8">
        <v>475.5</v>
      </c>
      <c r="N483" s="5" t="s">
        <v>1536</v>
      </c>
      <c r="O483" s="7">
        <v>46085</v>
      </c>
    </row>
    <row r="484" spans="1:15" x14ac:dyDescent="0.25">
      <c r="A484" s="5" t="s">
        <v>4</v>
      </c>
      <c r="B484" s="5" t="s">
        <v>2924</v>
      </c>
      <c r="D484" s="5" t="s">
        <v>1023</v>
      </c>
      <c r="E484" s="5" t="s">
        <v>2925</v>
      </c>
      <c r="F484" s="5" t="s">
        <v>1548</v>
      </c>
      <c r="G484" s="6">
        <v>46044.555555555555</v>
      </c>
      <c r="H484" s="7">
        <v>46069</v>
      </c>
      <c r="I484" s="5" t="s">
        <v>2926</v>
      </c>
      <c r="J484" s="7">
        <v>46072</v>
      </c>
      <c r="K484" s="5" t="s">
        <v>1527</v>
      </c>
      <c r="L484" s="5" t="s">
        <v>1564</v>
      </c>
      <c r="M484" s="8">
        <v>475</v>
      </c>
      <c r="N484" s="5" t="s">
        <v>1536</v>
      </c>
      <c r="O484" s="7">
        <v>46072</v>
      </c>
    </row>
    <row r="485" spans="1:15" x14ac:dyDescent="0.25">
      <c r="A485" s="5" t="s">
        <v>4</v>
      </c>
      <c r="B485" s="5" t="s">
        <v>2927</v>
      </c>
      <c r="D485" s="5" t="s">
        <v>1335</v>
      </c>
      <c r="E485" s="5" t="s">
        <v>2322</v>
      </c>
      <c r="F485" s="5" t="s">
        <v>1759</v>
      </c>
      <c r="G485" s="6">
        <v>46062.396527777775</v>
      </c>
      <c r="H485" s="7">
        <v>46073</v>
      </c>
      <c r="I485" s="6">
        <v>46071.616666666669</v>
      </c>
      <c r="J485" s="7">
        <v>46071</v>
      </c>
      <c r="K485" s="5" t="s">
        <v>1527</v>
      </c>
      <c r="L485" s="5" t="s">
        <v>1564</v>
      </c>
      <c r="M485" s="8">
        <v>475</v>
      </c>
      <c r="N485" s="5" t="s">
        <v>1536</v>
      </c>
      <c r="O485" s="7">
        <v>46071</v>
      </c>
    </row>
    <row r="486" spans="1:15" x14ac:dyDescent="0.25">
      <c r="A486" s="5" t="s">
        <v>4</v>
      </c>
      <c r="B486" s="5" t="s">
        <v>2928</v>
      </c>
      <c r="D486" s="5" t="s">
        <v>917</v>
      </c>
      <c r="E486" s="5" t="s">
        <v>2929</v>
      </c>
      <c r="F486" s="5" t="s">
        <v>2930</v>
      </c>
      <c r="G486" s="6">
        <v>46076.707638888889</v>
      </c>
      <c r="H486" s="7">
        <v>46083</v>
      </c>
      <c r="I486" s="6">
        <v>46079.619444444441</v>
      </c>
      <c r="J486" s="7">
        <v>46079</v>
      </c>
      <c r="K486" s="5" t="s">
        <v>1527</v>
      </c>
      <c r="L486" s="5" t="s">
        <v>1621</v>
      </c>
      <c r="M486" s="8">
        <v>474.42</v>
      </c>
      <c r="N486" s="5" t="s">
        <v>1536</v>
      </c>
      <c r="O486" s="7">
        <v>46079</v>
      </c>
    </row>
    <row r="487" spans="1:15" x14ac:dyDescent="0.25">
      <c r="A487" s="5" t="s">
        <v>4</v>
      </c>
      <c r="B487" s="5" t="s">
        <v>2931</v>
      </c>
      <c r="D487" s="5" t="s">
        <v>1176</v>
      </c>
      <c r="E487" s="5" t="s">
        <v>2932</v>
      </c>
      <c r="F487" s="5" t="s">
        <v>1673</v>
      </c>
      <c r="G487" s="6">
        <v>46098.688888888886</v>
      </c>
      <c r="H487" s="7">
        <v>46111</v>
      </c>
      <c r="I487" s="6">
        <v>46111.60833333333</v>
      </c>
      <c r="J487" s="7">
        <v>46111</v>
      </c>
      <c r="K487" s="5" t="s">
        <v>1527</v>
      </c>
      <c r="L487" s="5" t="s">
        <v>1564</v>
      </c>
      <c r="M487" s="8">
        <v>474</v>
      </c>
      <c r="N487" s="5" t="s">
        <v>1536</v>
      </c>
      <c r="O487" s="7">
        <v>46111</v>
      </c>
    </row>
    <row r="488" spans="1:15" x14ac:dyDescent="0.25">
      <c r="A488" s="5" t="s">
        <v>4</v>
      </c>
      <c r="B488" s="5" t="s">
        <v>2933</v>
      </c>
      <c r="D488" s="5" t="s">
        <v>1385</v>
      </c>
      <c r="E488" s="5" t="s">
        <v>1983</v>
      </c>
      <c r="F488" s="5" t="s">
        <v>1532</v>
      </c>
      <c r="G488" s="6">
        <v>46149.648611111108</v>
      </c>
      <c r="H488" s="7">
        <v>46161</v>
      </c>
      <c r="I488" s="6">
        <v>46154.584722222222</v>
      </c>
      <c r="J488" s="7">
        <v>46154</v>
      </c>
      <c r="K488" s="5" t="s">
        <v>1527</v>
      </c>
      <c r="L488" s="5" t="s">
        <v>1535</v>
      </c>
      <c r="M488" s="8">
        <v>474</v>
      </c>
      <c r="N488" s="5" t="s">
        <v>1536</v>
      </c>
      <c r="O488" s="7">
        <v>46154</v>
      </c>
    </row>
    <row r="489" spans="1:15" x14ac:dyDescent="0.25">
      <c r="A489" s="5" t="s">
        <v>4</v>
      </c>
      <c r="B489" s="5" t="s">
        <v>2934</v>
      </c>
      <c r="D489" s="5" t="s">
        <v>604</v>
      </c>
      <c r="E489" s="5" t="s">
        <v>2935</v>
      </c>
      <c r="F489" s="5" t="s">
        <v>1813</v>
      </c>
      <c r="G489" s="6">
        <v>46058.6</v>
      </c>
      <c r="H489" s="7">
        <v>46070</v>
      </c>
      <c r="I489" s="5" t="s">
        <v>2936</v>
      </c>
      <c r="J489" s="7">
        <v>46071</v>
      </c>
      <c r="K489" s="5" t="s">
        <v>1527</v>
      </c>
      <c r="L489" s="5" t="s">
        <v>1535</v>
      </c>
      <c r="M489" s="8">
        <v>473.8</v>
      </c>
      <c r="N489" s="5" t="s">
        <v>1536</v>
      </c>
      <c r="O489" s="7">
        <v>46071</v>
      </c>
    </row>
    <row r="490" spans="1:15" x14ac:dyDescent="0.25">
      <c r="A490" s="5" t="s">
        <v>4</v>
      </c>
      <c r="B490" s="5" t="s">
        <v>2937</v>
      </c>
      <c r="D490" s="5" t="s">
        <v>1134</v>
      </c>
      <c r="E490" s="5" t="s">
        <v>2938</v>
      </c>
      <c r="F490" s="5" t="s">
        <v>1548</v>
      </c>
      <c r="G490" s="6">
        <v>46073.467361111114</v>
      </c>
      <c r="H490" s="7">
        <v>46084</v>
      </c>
      <c r="I490" s="6">
        <v>46084.617361111108</v>
      </c>
      <c r="J490" s="7">
        <v>46083</v>
      </c>
      <c r="K490" s="5" t="s">
        <v>1527</v>
      </c>
      <c r="L490" s="5" t="s">
        <v>1535</v>
      </c>
      <c r="M490" s="8">
        <v>472</v>
      </c>
      <c r="N490" s="5" t="s">
        <v>1536</v>
      </c>
      <c r="O490" s="7">
        <v>46083</v>
      </c>
    </row>
    <row r="491" spans="1:15" x14ac:dyDescent="0.25">
      <c r="A491" s="5" t="s">
        <v>4</v>
      </c>
      <c r="B491" s="5" t="s">
        <v>2939</v>
      </c>
      <c r="D491" s="5" t="s">
        <v>732</v>
      </c>
      <c r="E491" s="5" t="s">
        <v>2940</v>
      </c>
      <c r="F491" s="5" t="s">
        <v>2941</v>
      </c>
      <c r="G491" s="6">
        <v>46092.499305555553</v>
      </c>
      <c r="H491" s="7">
        <v>46105</v>
      </c>
      <c r="I491" s="5" t="s">
        <v>2942</v>
      </c>
      <c r="J491" s="7">
        <v>46106</v>
      </c>
      <c r="K491" s="5" t="s">
        <v>1527</v>
      </c>
      <c r="L491" s="5" t="s">
        <v>1564</v>
      </c>
      <c r="M491" s="8">
        <v>472</v>
      </c>
      <c r="N491" s="5" t="s">
        <v>1536</v>
      </c>
      <c r="O491" s="7">
        <v>46106</v>
      </c>
    </row>
    <row r="492" spans="1:15" x14ac:dyDescent="0.25">
      <c r="A492" s="5" t="s">
        <v>4</v>
      </c>
      <c r="B492" s="5" t="s">
        <v>2943</v>
      </c>
      <c r="D492" s="5" t="s">
        <v>996</v>
      </c>
      <c r="E492" s="5" t="s">
        <v>2944</v>
      </c>
      <c r="F492" s="5" t="s">
        <v>1532</v>
      </c>
      <c r="G492" s="6">
        <v>46160.356249999997</v>
      </c>
      <c r="H492" s="7">
        <v>46169</v>
      </c>
      <c r="I492" s="6">
        <v>46169.736805555556</v>
      </c>
      <c r="J492" s="7">
        <v>46169</v>
      </c>
      <c r="K492" s="5" t="s">
        <v>1527</v>
      </c>
      <c r="L492" s="5" t="s">
        <v>1535</v>
      </c>
      <c r="M492" s="8">
        <v>470.4</v>
      </c>
      <c r="N492" s="5" t="s">
        <v>1529</v>
      </c>
      <c r="O492" s="7">
        <v>46169</v>
      </c>
    </row>
    <row r="493" spans="1:15" x14ac:dyDescent="0.25">
      <c r="A493" s="5" t="s">
        <v>4</v>
      </c>
      <c r="B493" s="5" t="s">
        <v>2945</v>
      </c>
      <c r="D493" s="5" t="s">
        <v>1462</v>
      </c>
      <c r="E493" s="5" t="s">
        <v>2946</v>
      </c>
      <c r="F493" s="5" t="s">
        <v>1548</v>
      </c>
      <c r="G493" s="6">
        <v>46055.706944444442</v>
      </c>
      <c r="H493" s="7">
        <v>46066</v>
      </c>
      <c r="I493" s="5" t="s">
        <v>1533</v>
      </c>
      <c r="J493" s="7">
        <v>46071</v>
      </c>
      <c r="K493" s="5" t="s">
        <v>1534</v>
      </c>
      <c r="L493" s="5" t="s">
        <v>1564</v>
      </c>
      <c r="M493" s="8">
        <v>470.04</v>
      </c>
      <c r="N493" s="5" t="s">
        <v>1536</v>
      </c>
      <c r="O493" s="7">
        <v>46071</v>
      </c>
    </row>
    <row r="494" spans="1:15" x14ac:dyDescent="0.25">
      <c r="A494" s="5" t="s">
        <v>4</v>
      </c>
      <c r="B494" s="5" t="s">
        <v>2947</v>
      </c>
      <c r="D494" s="5" t="s">
        <v>936</v>
      </c>
      <c r="E494" s="5" t="s">
        <v>2948</v>
      </c>
      <c r="F494" s="5" t="s">
        <v>2949</v>
      </c>
      <c r="G494" s="6">
        <v>46162.630555555559</v>
      </c>
      <c r="H494" s="7">
        <v>46175</v>
      </c>
      <c r="I494" s="6">
        <v>46171.624305555553</v>
      </c>
      <c r="J494" s="7">
        <v>46170</v>
      </c>
      <c r="K494" s="5" t="s">
        <v>1527</v>
      </c>
      <c r="L494" s="5" t="s">
        <v>1564</v>
      </c>
      <c r="M494" s="8">
        <v>469.6</v>
      </c>
      <c r="N494" s="5" t="s">
        <v>1536</v>
      </c>
      <c r="O494" s="7">
        <v>46170</v>
      </c>
    </row>
    <row r="495" spans="1:15" x14ac:dyDescent="0.25">
      <c r="A495" s="5" t="s">
        <v>4</v>
      </c>
      <c r="B495" s="5" t="s">
        <v>2950</v>
      </c>
      <c r="D495" s="5" t="s">
        <v>812</v>
      </c>
      <c r="E495" s="5" t="s">
        <v>2951</v>
      </c>
      <c r="F495" s="5" t="s">
        <v>1813</v>
      </c>
      <c r="G495" s="6">
        <v>46146.453472222223</v>
      </c>
      <c r="H495" s="7">
        <v>46156</v>
      </c>
      <c r="I495" s="6">
        <v>46153.594444444447</v>
      </c>
      <c r="J495" s="7">
        <v>46153</v>
      </c>
      <c r="K495" s="5" t="s">
        <v>1527</v>
      </c>
      <c r="L495" s="5" t="s">
        <v>1535</v>
      </c>
      <c r="M495" s="8">
        <v>469.2</v>
      </c>
      <c r="N495" s="5" t="s">
        <v>1536</v>
      </c>
      <c r="O495" s="7">
        <v>46153</v>
      </c>
    </row>
    <row r="496" spans="1:15" x14ac:dyDescent="0.25">
      <c r="A496" s="5" t="s">
        <v>4</v>
      </c>
      <c r="B496" s="5" t="s">
        <v>2952</v>
      </c>
      <c r="D496" s="5" t="s">
        <v>1321</v>
      </c>
      <c r="E496" s="5" t="s">
        <v>2953</v>
      </c>
      <c r="F496" s="5" t="s">
        <v>1548</v>
      </c>
      <c r="G496" s="6">
        <v>46042.370138888888</v>
      </c>
      <c r="H496" s="7">
        <v>46045</v>
      </c>
      <c r="I496" s="5" t="s">
        <v>2954</v>
      </c>
      <c r="J496" s="7">
        <v>46049</v>
      </c>
      <c r="K496" s="5" t="s">
        <v>1527</v>
      </c>
      <c r="L496" s="5" t="s">
        <v>1535</v>
      </c>
      <c r="M496" s="8">
        <v>468</v>
      </c>
      <c r="N496" s="5" t="s">
        <v>1536</v>
      </c>
      <c r="O496" s="7">
        <v>46049</v>
      </c>
    </row>
    <row r="497" spans="1:15" x14ac:dyDescent="0.25">
      <c r="A497" s="5" t="s">
        <v>4</v>
      </c>
      <c r="B497" s="5" t="s">
        <v>2955</v>
      </c>
      <c r="D497" s="5" t="s">
        <v>786</v>
      </c>
      <c r="E497" s="5" t="s">
        <v>2956</v>
      </c>
      <c r="F497" s="5" t="s">
        <v>1770</v>
      </c>
      <c r="G497" s="6">
        <v>46090.544444444444</v>
      </c>
      <c r="H497" s="7">
        <v>46101</v>
      </c>
      <c r="I497" s="5" t="s">
        <v>2957</v>
      </c>
      <c r="J497" s="7">
        <v>46106</v>
      </c>
      <c r="K497" s="5" t="s">
        <v>1527</v>
      </c>
      <c r="L497" s="5" t="s">
        <v>1564</v>
      </c>
      <c r="M497" s="8">
        <v>467.6</v>
      </c>
      <c r="N497" s="5" t="s">
        <v>1536</v>
      </c>
      <c r="O497" s="7">
        <v>46106</v>
      </c>
    </row>
    <row r="498" spans="1:15" x14ac:dyDescent="0.25">
      <c r="A498" s="5" t="s">
        <v>4</v>
      </c>
      <c r="B498" s="5" t="s">
        <v>2958</v>
      </c>
      <c r="D498" s="5" t="s">
        <v>939</v>
      </c>
      <c r="E498" s="5" t="s">
        <v>2959</v>
      </c>
      <c r="F498" s="5" t="s">
        <v>2960</v>
      </c>
      <c r="G498" s="6">
        <v>46086.619444444441</v>
      </c>
      <c r="H498" s="7">
        <v>46097</v>
      </c>
      <c r="I498" s="6">
        <v>46091.50277777778</v>
      </c>
      <c r="J498" s="7">
        <v>46091</v>
      </c>
      <c r="K498" s="5" t="s">
        <v>1527</v>
      </c>
      <c r="L498" s="5" t="s">
        <v>1535</v>
      </c>
      <c r="M498" s="8">
        <v>465.7</v>
      </c>
      <c r="N498" s="5" t="s">
        <v>1536</v>
      </c>
      <c r="O498" s="7">
        <v>46091</v>
      </c>
    </row>
    <row r="499" spans="1:15" x14ac:dyDescent="0.25">
      <c r="A499" s="5" t="s">
        <v>4</v>
      </c>
      <c r="B499" s="5" t="s">
        <v>2961</v>
      </c>
      <c r="D499" s="5" t="s">
        <v>471</v>
      </c>
      <c r="E499" s="5" t="s">
        <v>2962</v>
      </c>
      <c r="F499" s="5" t="s">
        <v>1548</v>
      </c>
      <c r="G499" s="6">
        <v>46034.65</v>
      </c>
      <c r="H499" s="7">
        <v>46045</v>
      </c>
      <c r="I499" s="6">
        <v>46045.694444444445</v>
      </c>
      <c r="J499" s="7">
        <v>46045</v>
      </c>
      <c r="K499" s="5" t="s">
        <v>1527</v>
      </c>
      <c r="L499" s="5" t="s">
        <v>1564</v>
      </c>
      <c r="M499" s="8">
        <v>465</v>
      </c>
      <c r="N499" s="5" t="s">
        <v>1536</v>
      </c>
      <c r="O499" s="7">
        <v>46045</v>
      </c>
    </row>
    <row r="500" spans="1:15" x14ac:dyDescent="0.25">
      <c r="A500" s="5" t="s">
        <v>4</v>
      </c>
      <c r="B500" s="5" t="s">
        <v>5</v>
      </c>
      <c r="D500" s="5" t="s">
        <v>6</v>
      </c>
      <c r="E500" s="5" t="s">
        <v>2963</v>
      </c>
      <c r="F500" s="5" t="s">
        <v>1548</v>
      </c>
      <c r="G500" s="6">
        <v>46036.45208333333</v>
      </c>
      <c r="H500" s="7">
        <v>46038</v>
      </c>
      <c r="I500" s="5" t="s">
        <v>2964</v>
      </c>
      <c r="J500" s="7">
        <v>46045</v>
      </c>
      <c r="K500" s="5" t="s">
        <v>1527</v>
      </c>
      <c r="L500" s="5" t="s">
        <v>1564</v>
      </c>
      <c r="M500" s="8">
        <v>465</v>
      </c>
      <c r="N500" s="5" t="s">
        <v>1536</v>
      </c>
      <c r="O500" s="7">
        <v>46045</v>
      </c>
    </row>
    <row r="501" spans="1:15" x14ac:dyDescent="0.25">
      <c r="A501" s="5" t="s">
        <v>4</v>
      </c>
      <c r="B501" s="5" t="s">
        <v>2965</v>
      </c>
      <c r="D501" s="5" t="s">
        <v>1375</v>
      </c>
      <c r="E501" s="5" t="s">
        <v>2966</v>
      </c>
      <c r="F501" s="5" t="s">
        <v>2967</v>
      </c>
      <c r="G501" s="6">
        <v>46080.45208333333</v>
      </c>
      <c r="H501" s="7">
        <v>46093</v>
      </c>
      <c r="I501" s="5" t="s">
        <v>2968</v>
      </c>
      <c r="J501" s="7">
        <v>46099</v>
      </c>
      <c r="K501" s="5" t="s">
        <v>1527</v>
      </c>
      <c r="L501" s="5" t="s">
        <v>1564</v>
      </c>
      <c r="M501" s="8">
        <v>464.4</v>
      </c>
      <c r="N501" s="5" t="s">
        <v>1536</v>
      </c>
      <c r="O501" s="7">
        <v>46099</v>
      </c>
    </row>
    <row r="502" spans="1:15" x14ac:dyDescent="0.25">
      <c r="A502" s="5" t="s">
        <v>4</v>
      </c>
      <c r="B502" s="5" t="s">
        <v>2969</v>
      </c>
      <c r="D502" s="5" t="s">
        <v>1465</v>
      </c>
      <c r="E502" s="5" t="s">
        <v>2970</v>
      </c>
      <c r="F502" s="5" t="s">
        <v>2971</v>
      </c>
      <c r="G502" s="6">
        <v>46112.518750000003</v>
      </c>
      <c r="H502" s="7">
        <v>46126</v>
      </c>
      <c r="I502" s="6">
        <v>46125.472222222219</v>
      </c>
      <c r="J502" s="7">
        <v>46122</v>
      </c>
      <c r="K502" s="5" t="s">
        <v>1527</v>
      </c>
      <c r="L502" s="5" t="s">
        <v>1564</v>
      </c>
      <c r="M502" s="8">
        <v>462.14</v>
      </c>
      <c r="N502" s="5" t="s">
        <v>1536</v>
      </c>
      <c r="O502" s="7">
        <v>46122</v>
      </c>
    </row>
    <row r="503" spans="1:15" x14ac:dyDescent="0.25">
      <c r="A503" s="5" t="s">
        <v>4</v>
      </c>
      <c r="B503" s="5" t="s">
        <v>2972</v>
      </c>
      <c r="D503" s="5" t="s">
        <v>698</v>
      </c>
      <c r="E503" s="5" t="s">
        <v>2973</v>
      </c>
      <c r="F503" s="5" t="s">
        <v>1548</v>
      </c>
      <c r="G503" s="6">
        <v>46044.698611111111</v>
      </c>
      <c r="H503" s="7">
        <v>46064</v>
      </c>
      <c r="I503" s="5" t="s">
        <v>2974</v>
      </c>
      <c r="J503" s="7">
        <v>46076</v>
      </c>
      <c r="K503" s="5" t="s">
        <v>1527</v>
      </c>
      <c r="L503" s="5" t="s">
        <v>1564</v>
      </c>
      <c r="M503" s="8">
        <v>461</v>
      </c>
      <c r="N503" s="5" t="s">
        <v>1536</v>
      </c>
      <c r="O503" s="7">
        <v>46076</v>
      </c>
    </row>
    <row r="504" spans="1:15" x14ac:dyDescent="0.25">
      <c r="A504" s="5" t="s">
        <v>4</v>
      </c>
      <c r="B504" s="5" t="s">
        <v>2975</v>
      </c>
      <c r="D504" s="5" t="s">
        <v>220</v>
      </c>
      <c r="E504" s="5" t="s">
        <v>2976</v>
      </c>
      <c r="F504" s="5" t="s">
        <v>1532</v>
      </c>
      <c r="G504" s="6">
        <v>46162.588888888888</v>
      </c>
      <c r="H504" s="7">
        <v>46171</v>
      </c>
      <c r="I504" s="6">
        <v>46169.736805555556</v>
      </c>
      <c r="J504" s="7">
        <v>46169</v>
      </c>
      <c r="K504" s="5" t="s">
        <v>1527</v>
      </c>
      <c r="L504" s="5" t="s">
        <v>1535</v>
      </c>
      <c r="M504" s="8">
        <v>460.9</v>
      </c>
      <c r="N504" s="5" t="s">
        <v>1536</v>
      </c>
      <c r="O504" s="7">
        <v>46169</v>
      </c>
    </row>
    <row r="505" spans="1:15" hidden="1" x14ac:dyDescent="0.25">
      <c r="A505" s="5" t="s">
        <v>1522</v>
      </c>
      <c r="B505" s="5" t="s">
        <v>2977</v>
      </c>
      <c r="D505" s="5" t="s">
        <v>1492</v>
      </c>
      <c r="E505" s="5" t="s">
        <v>2344</v>
      </c>
      <c r="F505" s="5" t="s">
        <v>2978</v>
      </c>
      <c r="G505" s="6">
        <v>46098.636111111111</v>
      </c>
      <c r="H505" s="7">
        <v>46106</v>
      </c>
      <c r="I505" s="5" t="s">
        <v>2979</v>
      </c>
      <c r="J505" s="7">
        <v>46108</v>
      </c>
      <c r="K505" s="5" t="s">
        <v>1527</v>
      </c>
      <c r="L505" s="5" t="s">
        <v>1528</v>
      </c>
      <c r="M505" s="8">
        <v>460</v>
      </c>
      <c r="N505" s="5" t="s">
        <v>1536</v>
      </c>
      <c r="O505" s="7">
        <v>46108</v>
      </c>
    </row>
    <row r="506" spans="1:15" hidden="1" x14ac:dyDescent="0.25">
      <c r="A506" s="5" t="s">
        <v>1522</v>
      </c>
      <c r="B506" s="5" t="s">
        <v>2980</v>
      </c>
      <c r="D506" s="5" t="s">
        <v>1496</v>
      </c>
      <c r="E506" s="5" t="s">
        <v>1885</v>
      </c>
      <c r="F506" s="5" t="s">
        <v>2981</v>
      </c>
      <c r="G506" s="6">
        <v>46113.506249999999</v>
      </c>
      <c r="H506" s="7">
        <v>46121</v>
      </c>
      <c r="I506" s="6">
        <v>46119.682638888888</v>
      </c>
      <c r="J506" s="7">
        <v>46127</v>
      </c>
      <c r="K506" s="5" t="s">
        <v>1527</v>
      </c>
      <c r="L506" s="5" t="s">
        <v>1528</v>
      </c>
      <c r="M506" s="8">
        <v>460</v>
      </c>
      <c r="N506" s="5" t="s">
        <v>1536</v>
      </c>
      <c r="O506" s="7">
        <v>46127</v>
      </c>
    </row>
    <row r="507" spans="1:15" hidden="1" x14ac:dyDescent="0.25">
      <c r="A507" s="5" t="s">
        <v>1522</v>
      </c>
      <c r="B507" s="5" t="s">
        <v>2982</v>
      </c>
      <c r="D507" s="5" t="s">
        <v>1480</v>
      </c>
      <c r="E507" s="5" t="s">
        <v>1524</v>
      </c>
      <c r="F507" s="5" t="s">
        <v>2983</v>
      </c>
      <c r="G507" s="6">
        <v>46168.762499999997</v>
      </c>
      <c r="H507" s="7">
        <v>46175</v>
      </c>
      <c r="I507" s="5" t="s">
        <v>2984</v>
      </c>
      <c r="J507" s="7">
        <v>46176</v>
      </c>
      <c r="K507" s="5" t="s">
        <v>1527</v>
      </c>
      <c r="L507" s="5" t="s">
        <v>1528</v>
      </c>
      <c r="M507" s="8">
        <v>460</v>
      </c>
      <c r="N507" s="5" t="s">
        <v>1529</v>
      </c>
      <c r="O507" s="7">
        <v>46176</v>
      </c>
    </row>
    <row r="508" spans="1:15" x14ac:dyDescent="0.25">
      <c r="A508" s="5" t="s">
        <v>4</v>
      </c>
      <c r="B508" s="5" t="s">
        <v>2985</v>
      </c>
      <c r="D508" s="5" t="s">
        <v>586</v>
      </c>
      <c r="E508" s="5" t="s">
        <v>2986</v>
      </c>
      <c r="F508" s="5" t="s">
        <v>2987</v>
      </c>
      <c r="G508" s="6">
        <v>46092.626388888886</v>
      </c>
      <c r="H508" s="7">
        <v>46092</v>
      </c>
      <c r="I508" s="5" t="s">
        <v>2988</v>
      </c>
      <c r="J508" s="7">
        <v>46092</v>
      </c>
      <c r="K508" s="5" t="s">
        <v>1527</v>
      </c>
      <c r="L508" s="5" t="s">
        <v>1564</v>
      </c>
      <c r="M508" s="8">
        <v>460</v>
      </c>
      <c r="N508" s="5" t="s">
        <v>1536</v>
      </c>
      <c r="O508" s="7">
        <v>46092</v>
      </c>
    </row>
    <row r="509" spans="1:15" x14ac:dyDescent="0.25">
      <c r="A509" s="5" t="s">
        <v>4</v>
      </c>
      <c r="B509" s="5" t="s">
        <v>2989</v>
      </c>
      <c r="D509" s="5" t="s">
        <v>1129</v>
      </c>
      <c r="E509" s="5" t="s">
        <v>2990</v>
      </c>
      <c r="F509" s="5" t="s">
        <v>1738</v>
      </c>
      <c r="G509" s="6">
        <v>46125.481944444444</v>
      </c>
      <c r="H509" s="7">
        <v>46139</v>
      </c>
      <c r="I509" s="6">
        <v>46134.628472222219</v>
      </c>
      <c r="J509" s="7">
        <v>46134</v>
      </c>
      <c r="K509" s="5" t="s">
        <v>1527</v>
      </c>
      <c r="L509" s="5" t="s">
        <v>1564</v>
      </c>
      <c r="M509" s="8">
        <v>460</v>
      </c>
      <c r="N509" s="5" t="s">
        <v>1536</v>
      </c>
      <c r="O509" s="7">
        <v>46134</v>
      </c>
    </row>
    <row r="510" spans="1:15" x14ac:dyDescent="0.25">
      <c r="A510" s="5" t="s">
        <v>4</v>
      </c>
      <c r="B510" s="5" t="s">
        <v>2991</v>
      </c>
      <c r="D510" s="5" t="s">
        <v>1478</v>
      </c>
      <c r="E510" s="5" t="s">
        <v>2992</v>
      </c>
      <c r="F510" s="5" t="s">
        <v>2993</v>
      </c>
      <c r="G510" s="6">
        <v>46163.370138888888</v>
      </c>
      <c r="H510" s="7">
        <v>46163</v>
      </c>
      <c r="I510" s="6">
        <v>46163.787499999999</v>
      </c>
      <c r="J510" s="7">
        <v>46163</v>
      </c>
      <c r="K510" s="5" t="s">
        <v>1527</v>
      </c>
      <c r="L510" s="5" t="s">
        <v>1564</v>
      </c>
      <c r="M510" s="8">
        <v>459.7</v>
      </c>
      <c r="N510" s="5" t="s">
        <v>1536</v>
      </c>
      <c r="O510" s="7">
        <v>46163</v>
      </c>
    </row>
    <row r="511" spans="1:15" hidden="1" x14ac:dyDescent="0.25">
      <c r="A511" s="5" t="s">
        <v>1522</v>
      </c>
      <c r="B511" s="5" t="s">
        <v>2994</v>
      </c>
      <c r="D511" s="5" t="s">
        <v>1510</v>
      </c>
      <c r="E511" s="5" t="s">
        <v>2466</v>
      </c>
      <c r="F511" s="5" t="s">
        <v>2467</v>
      </c>
      <c r="G511" s="6">
        <v>46132.583333333336</v>
      </c>
      <c r="H511" s="7">
        <v>46134</v>
      </c>
      <c r="I511" s="6">
        <v>46134.627083333333</v>
      </c>
      <c r="J511" s="7">
        <v>46134</v>
      </c>
      <c r="K511" s="5" t="s">
        <v>1527</v>
      </c>
      <c r="L511" s="5" t="s">
        <v>1621</v>
      </c>
      <c r="M511" s="8">
        <v>456</v>
      </c>
      <c r="N511" s="5" t="s">
        <v>1529</v>
      </c>
      <c r="O511" s="7">
        <v>46134</v>
      </c>
    </row>
    <row r="512" spans="1:15" hidden="1" x14ac:dyDescent="0.25">
      <c r="A512" s="5" t="s">
        <v>1522</v>
      </c>
      <c r="B512" s="5" t="s">
        <v>2995</v>
      </c>
      <c r="D512" s="5" t="s">
        <v>1510</v>
      </c>
      <c r="E512" s="5" t="s">
        <v>2466</v>
      </c>
      <c r="F512" s="5" t="s">
        <v>2467</v>
      </c>
      <c r="G512" s="6">
        <v>46170.643055555556</v>
      </c>
      <c r="H512" s="7">
        <v>46174</v>
      </c>
      <c r="I512" s="6">
        <v>46174.788888888892</v>
      </c>
      <c r="J512" s="7">
        <v>46174</v>
      </c>
      <c r="K512" s="5" t="s">
        <v>1527</v>
      </c>
      <c r="L512" s="5" t="s">
        <v>1621</v>
      </c>
      <c r="M512" s="8">
        <v>456</v>
      </c>
      <c r="N512" s="5" t="s">
        <v>1529</v>
      </c>
      <c r="O512" s="7">
        <v>46174</v>
      </c>
    </row>
    <row r="513" spans="1:15" x14ac:dyDescent="0.25">
      <c r="A513" s="5" t="s">
        <v>4</v>
      </c>
      <c r="B513" s="5" t="s">
        <v>2996</v>
      </c>
      <c r="D513" s="5" t="s">
        <v>1072</v>
      </c>
      <c r="E513" s="5" t="s">
        <v>2997</v>
      </c>
      <c r="F513" s="5" t="s">
        <v>2998</v>
      </c>
      <c r="G513" s="6">
        <v>46150.665277777778</v>
      </c>
      <c r="H513" s="7">
        <v>46161</v>
      </c>
      <c r="I513" s="5" t="s">
        <v>2999</v>
      </c>
      <c r="J513" s="7">
        <v>46163</v>
      </c>
      <c r="K513" s="5" t="s">
        <v>1527</v>
      </c>
      <c r="L513" s="5" t="s">
        <v>1621</v>
      </c>
      <c r="M513" s="8">
        <v>456</v>
      </c>
      <c r="N513" s="5" t="s">
        <v>1536</v>
      </c>
      <c r="O513" s="7">
        <v>46163</v>
      </c>
    </row>
    <row r="514" spans="1:15" hidden="1" x14ac:dyDescent="0.25">
      <c r="A514" s="5" t="s">
        <v>1522</v>
      </c>
      <c r="B514" s="5" t="s">
        <v>3000</v>
      </c>
      <c r="D514" s="5" t="s">
        <v>796</v>
      </c>
      <c r="E514" s="5" t="s">
        <v>3001</v>
      </c>
      <c r="F514" s="5" t="s">
        <v>3002</v>
      </c>
      <c r="G514" s="6">
        <v>46090.444444444445</v>
      </c>
      <c r="H514" s="7">
        <v>46094</v>
      </c>
      <c r="I514" s="5" t="s">
        <v>3003</v>
      </c>
      <c r="J514" s="7">
        <v>46098</v>
      </c>
      <c r="K514" s="5" t="s">
        <v>1527</v>
      </c>
      <c r="L514" s="5" t="s">
        <v>1528</v>
      </c>
      <c r="M514" s="8">
        <v>455.33</v>
      </c>
      <c r="N514" s="5" t="s">
        <v>1536</v>
      </c>
      <c r="O514" s="7">
        <v>46098</v>
      </c>
    </row>
    <row r="515" spans="1:15" x14ac:dyDescent="0.25">
      <c r="A515" s="5" t="s">
        <v>4</v>
      </c>
      <c r="B515" s="5" t="s">
        <v>3004</v>
      </c>
      <c r="D515" s="5" t="s">
        <v>1437</v>
      </c>
      <c r="E515" s="5" t="s">
        <v>2758</v>
      </c>
      <c r="F515" s="5" t="s">
        <v>1759</v>
      </c>
      <c r="G515" s="6">
        <v>46093.701388888891</v>
      </c>
      <c r="H515" s="7">
        <v>46106</v>
      </c>
      <c r="I515" s="6">
        <v>46105.716666666667</v>
      </c>
      <c r="J515" s="7">
        <v>46104</v>
      </c>
      <c r="K515" s="5" t="s">
        <v>1527</v>
      </c>
      <c r="L515" s="5" t="s">
        <v>1564</v>
      </c>
      <c r="M515" s="8">
        <v>455.28</v>
      </c>
      <c r="N515" s="5" t="s">
        <v>1536</v>
      </c>
      <c r="O515" s="7">
        <v>46104</v>
      </c>
    </row>
    <row r="516" spans="1:15" hidden="1" x14ac:dyDescent="0.25">
      <c r="A516" s="5" t="s">
        <v>1522</v>
      </c>
      <c r="B516" s="5" t="s">
        <v>3005</v>
      </c>
      <c r="D516" s="5" t="s">
        <v>1499</v>
      </c>
      <c r="E516" s="5" t="s">
        <v>1712</v>
      </c>
      <c r="F516" s="5" t="s">
        <v>1548</v>
      </c>
      <c r="G516" s="6">
        <v>46098.366666666669</v>
      </c>
      <c r="H516" s="7">
        <v>46108</v>
      </c>
      <c r="I516" s="6">
        <v>46107.697222222225</v>
      </c>
      <c r="J516" s="7">
        <v>46107</v>
      </c>
      <c r="K516" s="5" t="s">
        <v>1527</v>
      </c>
      <c r="L516" s="5" t="s">
        <v>1528</v>
      </c>
      <c r="M516" s="8">
        <v>452</v>
      </c>
      <c r="N516" s="5" t="s">
        <v>1536</v>
      </c>
      <c r="O516" s="7">
        <v>46107</v>
      </c>
    </row>
    <row r="517" spans="1:15" x14ac:dyDescent="0.25">
      <c r="A517" s="5" t="s">
        <v>4</v>
      </c>
      <c r="B517" s="5" t="s">
        <v>3006</v>
      </c>
      <c r="D517" s="5" t="s">
        <v>839</v>
      </c>
      <c r="E517" s="5" t="s">
        <v>3007</v>
      </c>
      <c r="F517" s="5" t="s">
        <v>1548</v>
      </c>
      <c r="G517" s="6">
        <v>46034.65625</v>
      </c>
      <c r="H517" s="7">
        <v>46045</v>
      </c>
      <c r="I517" s="5" t="s">
        <v>3008</v>
      </c>
      <c r="J517" s="7">
        <v>46051</v>
      </c>
      <c r="K517" s="5" t="s">
        <v>1527</v>
      </c>
      <c r="L517" s="5" t="s">
        <v>1564</v>
      </c>
      <c r="M517" s="8">
        <v>451</v>
      </c>
      <c r="N517" s="5" t="s">
        <v>1536</v>
      </c>
      <c r="O517" s="7">
        <v>46051</v>
      </c>
    </row>
    <row r="518" spans="1:15" x14ac:dyDescent="0.25">
      <c r="A518" s="5" t="s">
        <v>4</v>
      </c>
      <c r="B518" s="5" t="s">
        <v>3009</v>
      </c>
      <c r="D518" s="5" t="s">
        <v>667</v>
      </c>
      <c r="E518" s="5" t="s">
        <v>3010</v>
      </c>
      <c r="F518" s="5" t="s">
        <v>3011</v>
      </c>
      <c r="G518" s="6">
        <v>46121.323611111111</v>
      </c>
      <c r="H518" s="7">
        <v>46134</v>
      </c>
      <c r="I518" s="6">
        <v>46128.623611111114</v>
      </c>
      <c r="J518" s="7">
        <v>46128</v>
      </c>
      <c r="K518" s="5" t="s">
        <v>1527</v>
      </c>
      <c r="L518" s="5" t="s">
        <v>1564</v>
      </c>
      <c r="M518" s="8">
        <v>450.5</v>
      </c>
      <c r="N518" s="5" t="s">
        <v>1536</v>
      </c>
      <c r="O518" s="7">
        <v>46128</v>
      </c>
    </row>
    <row r="519" spans="1:15" hidden="1" x14ac:dyDescent="0.25">
      <c r="A519" s="5" t="s">
        <v>1522</v>
      </c>
      <c r="B519" s="5" t="s">
        <v>3012</v>
      </c>
      <c r="D519" s="5" t="s">
        <v>1492</v>
      </c>
      <c r="E519" s="5" t="s">
        <v>2344</v>
      </c>
      <c r="F519" s="5" t="s">
        <v>3013</v>
      </c>
      <c r="G519" s="6">
        <v>46036.714583333334</v>
      </c>
      <c r="H519" s="7">
        <v>46048</v>
      </c>
      <c r="I519" s="5" t="s">
        <v>3014</v>
      </c>
      <c r="J519" s="7">
        <v>46043</v>
      </c>
      <c r="K519" s="5" t="s">
        <v>1527</v>
      </c>
      <c r="L519" s="5" t="s">
        <v>1528</v>
      </c>
      <c r="M519" s="8">
        <v>450</v>
      </c>
      <c r="N519" s="5" t="s">
        <v>1536</v>
      </c>
      <c r="O519" s="7">
        <v>46043</v>
      </c>
    </row>
    <row r="520" spans="1:15" hidden="1" x14ac:dyDescent="0.25">
      <c r="A520" s="5" t="s">
        <v>1522</v>
      </c>
      <c r="B520" s="5" t="s">
        <v>3015</v>
      </c>
      <c r="D520" s="5" t="s">
        <v>1494</v>
      </c>
      <c r="E520" s="5" t="s">
        <v>2125</v>
      </c>
      <c r="F520" s="5" t="s">
        <v>3016</v>
      </c>
      <c r="G520" s="6">
        <v>46077.418749999997</v>
      </c>
      <c r="H520" s="7">
        <v>46084</v>
      </c>
      <c r="I520" s="6">
        <v>46084.755555555559</v>
      </c>
      <c r="J520" s="7">
        <v>46083</v>
      </c>
      <c r="K520" s="5" t="s">
        <v>1527</v>
      </c>
      <c r="L520" s="5" t="s">
        <v>1528</v>
      </c>
      <c r="M520" s="8">
        <v>450</v>
      </c>
      <c r="N520" s="5" t="s">
        <v>1536</v>
      </c>
      <c r="O520" s="7">
        <v>46083</v>
      </c>
    </row>
    <row r="521" spans="1:15" hidden="1" x14ac:dyDescent="0.25">
      <c r="A521" s="5" t="s">
        <v>1522</v>
      </c>
      <c r="B521" s="5" t="s">
        <v>3017</v>
      </c>
      <c r="D521" s="5" t="s">
        <v>1494</v>
      </c>
      <c r="E521" s="5" t="s">
        <v>2125</v>
      </c>
      <c r="F521" s="5" t="s">
        <v>3016</v>
      </c>
      <c r="G521" s="6">
        <v>46147.363194444442</v>
      </c>
      <c r="H521" s="7">
        <v>46153</v>
      </c>
      <c r="I521" s="6">
        <v>46153.707638888889</v>
      </c>
      <c r="J521" s="7">
        <v>46150</v>
      </c>
      <c r="K521" s="5" t="s">
        <v>1527</v>
      </c>
      <c r="L521" s="5" t="s">
        <v>1528</v>
      </c>
      <c r="M521" s="8">
        <v>450</v>
      </c>
      <c r="N521" s="5" t="s">
        <v>1536</v>
      </c>
      <c r="O521" s="7">
        <v>46150</v>
      </c>
    </row>
    <row r="522" spans="1:15" x14ac:dyDescent="0.25">
      <c r="A522" s="5" t="s">
        <v>4</v>
      </c>
      <c r="B522" s="5" t="s">
        <v>3018</v>
      </c>
      <c r="D522" s="5" t="s">
        <v>446</v>
      </c>
      <c r="E522" s="5" t="s">
        <v>3019</v>
      </c>
      <c r="F522" s="5" t="s">
        <v>1813</v>
      </c>
      <c r="G522" s="6">
        <v>46147.590277777781</v>
      </c>
      <c r="H522" s="7">
        <v>46155</v>
      </c>
      <c r="I522" s="6">
        <v>46150.706250000003</v>
      </c>
      <c r="J522" s="7">
        <v>46161</v>
      </c>
      <c r="K522" s="5" t="s">
        <v>1527</v>
      </c>
      <c r="L522" s="5" t="s">
        <v>1535</v>
      </c>
      <c r="M522" s="8">
        <v>450</v>
      </c>
      <c r="N522" s="5" t="s">
        <v>1536</v>
      </c>
      <c r="O522" s="7">
        <v>46161</v>
      </c>
    </row>
    <row r="523" spans="1:15" x14ac:dyDescent="0.25">
      <c r="A523" s="5" t="s">
        <v>4</v>
      </c>
      <c r="B523" s="5" t="s">
        <v>3020</v>
      </c>
      <c r="D523" s="5" t="s">
        <v>56</v>
      </c>
      <c r="E523" s="5" t="s">
        <v>3021</v>
      </c>
      <c r="F523" s="5" t="s">
        <v>3022</v>
      </c>
      <c r="G523" s="6">
        <v>46167.422222222223</v>
      </c>
      <c r="H523" s="7">
        <v>46170</v>
      </c>
      <c r="I523" s="5" t="s">
        <v>1533</v>
      </c>
      <c r="J523" s="7">
        <v>46170</v>
      </c>
      <c r="K523" s="5" t="s">
        <v>1540</v>
      </c>
      <c r="L523" s="5" t="s">
        <v>1535</v>
      </c>
      <c r="M523" s="8">
        <v>450</v>
      </c>
      <c r="N523" s="5" t="s">
        <v>1536</v>
      </c>
      <c r="O523" s="7">
        <v>46170</v>
      </c>
    </row>
    <row r="524" spans="1:15" x14ac:dyDescent="0.25">
      <c r="A524" s="5" t="s">
        <v>4</v>
      </c>
      <c r="B524" s="5" t="s">
        <v>3023</v>
      </c>
      <c r="D524" s="5" t="s">
        <v>1509</v>
      </c>
      <c r="E524" s="5" t="s">
        <v>3024</v>
      </c>
      <c r="F524" s="5" t="s">
        <v>3025</v>
      </c>
      <c r="G524" s="6">
        <v>46168.640277777777</v>
      </c>
      <c r="H524" s="7">
        <v>46181</v>
      </c>
      <c r="I524" s="6">
        <v>46181.780555555553</v>
      </c>
      <c r="J524" s="7">
        <v>46181</v>
      </c>
      <c r="K524" s="5" t="s">
        <v>1527</v>
      </c>
      <c r="L524" s="5" t="s">
        <v>1535</v>
      </c>
      <c r="M524" s="8">
        <v>450</v>
      </c>
      <c r="N524" s="5" t="s">
        <v>1529</v>
      </c>
      <c r="O524" s="7">
        <v>46181</v>
      </c>
    </row>
    <row r="525" spans="1:15" x14ac:dyDescent="0.25">
      <c r="A525" s="5" t="s">
        <v>4</v>
      </c>
      <c r="B525" s="5" t="s">
        <v>3026</v>
      </c>
      <c r="D525" s="5" t="s">
        <v>343</v>
      </c>
      <c r="E525" s="5" t="s">
        <v>3027</v>
      </c>
      <c r="F525" s="5" t="s">
        <v>3028</v>
      </c>
      <c r="G525" s="6">
        <v>46077.726388888892</v>
      </c>
      <c r="H525" s="7">
        <v>46084</v>
      </c>
      <c r="I525" s="5" t="s">
        <v>2123</v>
      </c>
      <c r="J525" s="7">
        <v>46085</v>
      </c>
      <c r="K525" s="5" t="s">
        <v>1527</v>
      </c>
      <c r="L525" s="5" t="s">
        <v>1621</v>
      </c>
      <c r="M525" s="8">
        <v>446.49</v>
      </c>
      <c r="N525" s="5" t="s">
        <v>1536</v>
      </c>
      <c r="O525" s="7">
        <v>46085</v>
      </c>
    </row>
    <row r="526" spans="1:15" hidden="1" x14ac:dyDescent="0.25">
      <c r="A526" s="5" t="s">
        <v>1522</v>
      </c>
      <c r="B526" s="5" t="s">
        <v>3029</v>
      </c>
      <c r="D526" s="5" t="s">
        <v>1506</v>
      </c>
      <c r="E526" s="5" t="s">
        <v>1942</v>
      </c>
      <c r="F526" s="5" t="s">
        <v>3030</v>
      </c>
      <c r="G526" s="6">
        <v>46051.602777777778</v>
      </c>
      <c r="H526" s="7">
        <v>46062</v>
      </c>
      <c r="I526" s="6">
        <v>46062.654166666667</v>
      </c>
      <c r="J526" s="7">
        <v>46062</v>
      </c>
      <c r="K526" s="5" t="s">
        <v>1527</v>
      </c>
      <c r="L526" s="5" t="s">
        <v>1528</v>
      </c>
      <c r="M526" s="8">
        <v>445.15</v>
      </c>
      <c r="N526" s="5" t="s">
        <v>1536</v>
      </c>
      <c r="O526" s="7">
        <v>46062</v>
      </c>
    </row>
    <row r="527" spans="1:15" x14ac:dyDescent="0.25">
      <c r="A527" s="5" t="s">
        <v>4</v>
      </c>
      <c r="B527" s="5" t="s">
        <v>3031</v>
      </c>
      <c r="D527" s="5" t="s">
        <v>1225</v>
      </c>
      <c r="E527" s="5" t="s">
        <v>3032</v>
      </c>
      <c r="F527" s="5" t="s">
        <v>2118</v>
      </c>
      <c r="G527" s="6">
        <v>46135.512499999997</v>
      </c>
      <c r="H527" s="7">
        <v>46149</v>
      </c>
      <c r="I527" s="6">
        <v>46141.345138888886</v>
      </c>
      <c r="J527" s="7">
        <v>46140</v>
      </c>
      <c r="K527" s="5" t="s">
        <v>1527</v>
      </c>
      <c r="L527" s="5" t="s">
        <v>1564</v>
      </c>
      <c r="M527" s="8">
        <v>445</v>
      </c>
      <c r="N527" s="5" t="s">
        <v>1536</v>
      </c>
      <c r="O527" s="7">
        <v>46140</v>
      </c>
    </row>
    <row r="528" spans="1:15" x14ac:dyDescent="0.25">
      <c r="A528" s="5" t="s">
        <v>4</v>
      </c>
      <c r="B528" s="5" t="s">
        <v>3033</v>
      </c>
      <c r="D528" s="5" t="s">
        <v>504</v>
      </c>
      <c r="E528" s="5" t="s">
        <v>3034</v>
      </c>
      <c r="F528" s="5" t="s">
        <v>3035</v>
      </c>
      <c r="G528" s="6">
        <v>46129.418749999997</v>
      </c>
      <c r="H528" s="7">
        <v>46146</v>
      </c>
      <c r="I528" s="6">
        <v>46141.614583333336</v>
      </c>
      <c r="J528" s="7">
        <v>46129</v>
      </c>
      <c r="K528" s="5" t="s">
        <v>1527</v>
      </c>
      <c r="L528" s="5" t="s">
        <v>1564</v>
      </c>
      <c r="M528" s="8">
        <v>444</v>
      </c>
      <c r="N528" s="5" t="s">
        <v>1536</v>
      </c>
      <c r="O528" s="7">
        <v>46129</v>
      </c>
    </row>
    <row r="529" spans="1:15" x14ac:dyDescent="0.25">
      <c r="A529" s="5" t="s">
        <v>4</v>
      </c>
      <c r="B529" s="5" t="s">
        <v>3036</v>
      </c>
      <c r="D529" s="5" t="s">
        <v>1079</v>
      </c>
      <c r="E529" s="5" t="s">
        <v>3037</v>
      </c>
      <c r="F529" s="5" t="s">
        <v>1532</v>
      </c>
      <c r="G529" s="6">
        <v>46037.711805555555</v>
      </c>
      <c r="H529" s="7">
        <v>46048</v>
      </c>
      <c r="I529" s="5" t="s">
        <v>3038</v>
      </c>
      <c r="J529" s="7">
        <v>46064</v>
      </c>
      <c r="K529" s="5" t="s">
        <v>1527</v>
      </c>
      <c r="L529" s="5" t="s">
        <v>1535</v>
      </c>
      <c r="M529" s="8">
        <v>442</v>
      </c>
      <c r="N529" s="5" t="s">
        <v>1536</v>
      </c>
      <c r="O529" s="7">
        <v>46064</v>
      </c>
    </row>
    <row r="530" spans="1:15" x14ac:dyDescent="0.25">
      <c r="A530" s="5" t="s">
        <v>4</v>
      </c>
      <c r="B530" s="5" t="s">
        <v>3039</v>
      </c>
      <c r="D530" s="5" t="s">
        <v>500</v>
      </c>
      <c r="E530" s="5" t="s">
        <v>3040</v>
      </c>
      <c r="F530" s="5" t="s">
        <v>3041</v>
      </c>
      <c r="G530" s="6">
        <v>46052.680555555555</v>
      </c>
      <c r="H530" s="7">
        <v>46063</v>
      </c>
      <c r="I530" s="5" t="s">
        <v>3042</v>
      </c>
      <c r="J530" s="7">
        <v>46064</v>
      </c>
      <c r="K530" s="5" t="s">
        <v>1527</v>
      </c>
      <c r="L530" s="5" t="s">
        <v>1535</v>
      </c>
      <c r="M530" s="8">
        <v>441</v>
      </c>
      <c r="N530" s="5" t="s">
        <v>1536</v>
      </c>
      <c r="O530" s="7">
        <v>46064</v>
      </c>
    </row>
    <row r="531" spans="1:15" hidden="1" x14ac:dyDescent="0.25">
      <c r="A531" s="5" t="s">
        <v>1522</v>
      </c>
      <c r="B531" s="5" t="s">
        <v>3043</v>
      </c>
      <c r="D531" s="5" t="s">
        <v>1368</v>
      </c>
      <c r="E531" s="5" t="s">
        <v>2666</v>
      </c>
      <c r="F531" s="5" t="s">
        <v>1548</v>
      </c>
      <c r="G531" s="6">
        <v>46155.642361111109</v>
      </c>
      <c r="H531" s="7">
        <v>46163</v>
      </c>
      <c r="I531" s="5" t="s">
        <v>3044</v>
      </c>
      <c r="J531" s="7">
        <v>46163</v>
      </c>
      <c r="K531" s="5" t="s">
        <v>1527</v>
      </c>
      <c r="L531" s="5" t="s">
        <v>1528</v>
      </c>
      <c r="M531" s="8">
        <v>440</v>
      </c>
      <c r="N531" s="5" t="s">
        <v>1536</v>
      </c>
      <c r="O531" s="7">
        <v>46163</v>
      </c>
    </row>
    <row r="532" spans="1:15" x14ac:dyDescent="0.25">
      <c r="A532" s="5" t="s">
        <v>4</v>
      </c>
      <c r="B532" s="5" t="s">
        <v>3045</v>
      </c>
      <c r="D532" s="5" t="s">
        <v>708</v>
      </c>
      <c r="E532" s="5" t="s">
        <v>3046</v>
      </c>
      <c r="F532" s="5" t="s">
        <v>3047</v>
      </c>
      <c r="G532" s="6">
        <v>46085.595833333333</v>
      </c>
      <c r="H532" s="7">
        <v>46091</v>
      </c>
      <c r="I532" s="6">
        <v>46087.700694444444</v>
      </c>
      <c r="J532" s="7">
        <v>46087</v>
      </c>
      <c r="K532" s="5" t="s">
        <v>1527</v>
      </c>
      <c r="L532" s="5" t="s">
        <v>1564</v>
      </c>
      <c r="M532" s="8">
        <v>439.8</v>
      </c>
      <c r="N532" s="5" t="s">
        <v>1536</v>
      </c>
      <c r="O532" s="7">
        <v>46087</v>
      </c>
    </row>
    <row r="533" spans="1:15" x14ac:dyDescent="0.25">
      <c r="A533" s="5" t="s">
        <v>4</v>
      </c>
      <c r="B533" s="5" t="s">
        <v>3048</v>
      </c>
      <c r="D533" s="5" t="s">
        <v>907</v>
      </c>
      <c r="E533" s="5" t="s">
        <v>3049</v>
      </c>
      <c r="F533" s="5" t="s">
        <v>1548</v>
      </c>
      <c r="G533" s="6">
        <v>46036.642361111109</v>
      </c>
      <c r="H533" s="7">
        <v>46049</v>
      </c>
      <c r="I533" s="6">
        <v>46044.67083333333</v>
      </c>
      <c r="J533" s="7">
        <v>46044</v>
      </c>
      <c r="K533" s="5" t="s">
        <v>1527</v>
      </c>
      <c r="L533" s="5" t="s">
        <v>1564</v>
      </c>
      <c r="M533" s="8">
        <v>439.2</v>
      </c>
      <c r="N533" s="5" t="s">
        <v>1536</v>
      </c>
      <c r="O533" s="7">
        <v>46044</v>
      </c>
    </row>
    <row r="534" spans="1:15" hidden="1" x14ac:dyDescent="0.25">
      <c r="A534" s="5" t="s">
        <v>1522</v>
      </c>
      <c r="B534" s="5" t="s">
        <v>3050</v>
      </c>
      <c r="D534" s="5" t="s">
        <v>1395</v>
      </c>
      <c r="E534" s="5" t="s">
        <v>2624</v>
      </c>
      <c r="F534" s="5" t="s">
        <v>2625</v>
      </c>
      <c r="G534" s="6">
        <v>46113.689583333333</v>
      </c>
      <c r="H534" s="7">
        <v>46125</v>
      </c>
      <c r="I534" s="5" t="s">
        <v>3051</v>
      </c>
      <c r="J534" s="7">
        <v>46126</v>
      </c>
      <c r="K534" s="5" t="s">
        <v>1527</v>
      </c>
      <c r="L534" s="5" t="s">
        <v>1528</v>
      </c>
      <c r="M534" s="8">
        <v>438</v>
      </c>
      <c r="N534" s="5" t="s">
        <v>1536</v>
      </c>
      <c r="O534" s="7">
        <v>46126</v>
      </c>
    </row>
    <row r="535" spans="1:15" x14ac:dyDescent="0.25">
      <c r="A535" s="5" t="s">
        <v>4</v>
      </c>
      <c r="B535" s="5" t="s">
        <v>3052</v>
      </c>
      <c r="D535" s="5" t="s">
        <v>1389</v>
      </c>
      <c r="E535" s="5" t="s">
        <v>1747</v>
      </c>
      <c r="F535" s="5" t="s">
        <v>1813</v>
      </c>
      <c r="G535" s="6">
        <v>46125.433333333334</v>
      </c>
      <c r="H535" s="7">
        <v>46136</v>
      </c>
      <c r="I535" s="5" t="s">
        <v>3053</v>
      </c>
      <c r="J535" s="7">
        <v>46141</v>
      </c>
      <c r="K535" s="5" t="s">
        <v>1527</v>
      </c>
      <c r="L535" s="5" t="s">
        <v>1535</v>
      </c>
      <c r="M535" s="8">
        <v>435</v>
      </c>
      <c r="N535" s="5" t="s">
        <v>1536</v>
      </c>
      <c r="O535" s="7">
        <v>46141</v>
      </c>
    </row>
    <row r="536" spans="1:15" x14ac:dyDescent="0.25">
      <c r="A536" s="5" t="s">
        <v>4</v>
      </c>
      <c r="B536" s="5" t="s">
        <v>3054</v>
      </c>
      <c r="D536" s="5" t="s">
        <v>70</v>
      </c>
      <c r="E536" s="5" t="s">
        <v>3055</v>
      </c>
      <c r="F536" s="5" t="s">
        <v>2637</v>
      </c>
      <c r="G536" s="6">
        <v>46072.661805555559</v>
      </c>
      <c r="H536" s="7">
        <v>46078</v>
      </c>
      <c r="I536" s="6">
        <v>46078.690972222219</v>
      </c>
      <c r="J536" s="7">
        <v>46078</v>
      </c>
      <c r="K536" s="5" t="s">
        <v>1527</v>
      </c>
      <c r="L536" s="5" t="s">
        <v>1564</v>
      </c>
      <c r="M536" s="8">
        <v>434.8</v>
      </c>
      <c r="N536" s="5" t="s">
        <v>1536</v>
      </c>
      <c r="O536" s="7">
        <v>46078</v>
      </c>
    </row>
    <row r="537" spans="1:15" hidden="1" x14ac:dyDescent="0.25">
      <c r="A537" s="5" t="s">
        <v>1522</v>
      </c>
      <c r="B537" s="5" t="s">
        <v>3056</v>
      </c>
      <c r="D537" s="5" t="s">
        <v>1289</v>
      </c>
      <c r="E537" s="5" t="s">
        <v>1665</v>
      </c>
      <c r="F537" s="5" t="s">
        <v>1666</v>
      </c>
      <c r="G537" s="6">
        <v>46150.340277777781</v>
      </c>
      <c r="H537" s="7">
        <v>46157</v>
      </c>
      <c r="I537" s="6">
        <v>46156.643055555556</v>
      </c>
      <c r="J537" s="7">
        <v>46156</v>
      </c>
      <c r="K537" s="5" t="s">
        <v>1527</v>
      </c>
      <c r="L537" s="5" t="s">
        <v>1528</v>
      </c>
      <c r="M537" s="8">
        <v>430</v>
      </c>
      <c r="N537" s="5" t="s">
        <v>1536</v>
      </c>
      <c r="O537" s="7">
        <v>46156</v>
      </c>
    </row>
    <row r="538" spans="1:15" x14ac:dyDescent="0.25">
      <c r="A538" s="5" t="s">
        <v>4</v>
      </c>
      <c r="B538" s="5" t="s">
        <v>3057</v>
      </c>
      <c r="D538" s="5" t="s">
        <v>794</v>
      </c>
      <c r="E538" s="5" t="s">
        <v>3058</v>
      </c>
      <c r="F538" s="5" t="s">
        <v>1548</v>
      </c>
      <c r="G538" s="6">
        <v>46048.675694444442</v>
      </c>
      <c r="H538" s="7">
        <v>46059</v>
      </c>
      <c r="I538" s="5" t="s">
        <v>3059</v>
      </c>
      <c r="J538" s="7">
        <v>46063</v>
      </c>
      <c r="K538" s="5" t="s">
        <v>1527</v>
      </c>
      <c r="L538" s="5" t="s">
        <v>1564</v>
      </c>
      <c r="M538" s="8">
        <v>430</v>
      </c>
      <c r="N538" s="5" t="s">
        <v>1536</v>
      </c>
      <c r="O538" s="7">
        <v>46063</v>
      </c>
    </row>
    <row r="539" spans="1:15" x14ac:dyDescent="0.25">
      <c r="A539" s="5" t="s">
        <v>4</v>
      </c>
      <c r="B539" s="5" t="s">
        <v>3060</v>
      </c>
      <c r="D539" s="5" t="s">
        <v>1331</v>
      </c>
      <c r="E539" s="5" t="s">
        <v>3061</v>
      </c>
      <c r="F539" s="5" t="s">
        <v>3062</v>
      </c>
      <c r="G539" s="6">
        <v>46066.619444444441</v>
      </c>
      <c r="H539" s="7">
        <v>46080</v>
      </c>
      <c r="I539" s="6">
        <v>46079.619444444441</v>
      </c>
      <c r="J539" s="7">
        <v>46079</v>
      </c>
      <c r="K539" s="5" t="s">
        <v>1527</v>
      </c>
      <c r="L539" s="5" t="s">
        <v>1535</v>
      </c>
      <c r="M539" s="8">
        <v>430</v>
      </c>
      <c r="N539" s="5" t="s">
        <v>1536</v>
      </c>
      <c r="O539" s="7">
        <v>46079</v>
      </c>
    </row>
    <row r="540" spans="1:15" x14ac:dyDescent="0.25">
      <c r="A540" s="5" t="s">
        <v>4</v>
      </c>
      <c r="B540" s="5" t="s">
        <v>3063</v>
      </c>
      <c r="D540" s="5" t="s">
        <v>1379</v>
      </c>
      <c r="E540" s="5" t="s">
        <v>2244</v>
      </c>
      <c r="F540" s="5" t="s">
        <v>1532</v>
      </c>
      <c r="G540" s="6">
        <v>46084.703472222223</v>
      </c>
      <c r="H540" s="7">
        <v>46094</v>
      </c>
      <c r="I540" s="5" t="s">
        <v>3064</v>
      </c>
      <c r="J540" s="7">
        <v>46106</v>
      </c>
      <c r="K540" s="5" t="s">
        <v>1527</v>
      </c>
      <c r="L540" s="5" t="s">
        <v>1535</v>
      </c>
      <c r="M540" s="8">
        <v>430</v>
      </c>
      <c r="N540" s="5" t="s">
        <v>1536</v>
      </c>
      <c r="O540" s="7">
        <v>46106</v>
      </c>
    </row>
    <row r="541" spans="1:15" x14ac:dyDescent="0.25">
      <c r="A541" s="5" t="s">
        <v>4</v>
      </c>
      <c r="B541" s="5" t="s">
        <v>3065</v>
      </c>
      <c r="D541" s="5" t="s">
        <v>642</v>
      </c>
      <c r="E541" s="5" t="s">
        <v>3066</v>
      </c>
      <c r="F541" s="5" t="s">
        <v>1759</v>
      </c>
      <c r="G541" s="6">
        <v>46112.486111111109</v>
      </c>
      <c r="H541" s="7">
        <v>46126</v>
      </c>
      <c r="I541" s="6">
        <v>46125.472916666666</v>
      </c>
      <c r="J541" s="7">
        <v>46122</v>
      </c>
      <c r="K541" s="5" t="s">
        <v>1527</v>
      </c>
      <c r="L541" s="5" t="s">
        <v>1564</v>
      </c>
      <c r="M541" s="8">
        <v>430</v>
      </c>
      <c r="N541" s="5" t="s">
        <v>1536</v>
      </c>
      <c r="O541" s="7">
        <v>46122</v>
      </c>
    </row>
    <row r="542" spans="1:15" x14ac:dyDescent="0.25">
      <c r="A542" s="5" t="s">
        <v>4</v>
      </c>
      <c r="B542" s="5" t="s">
        <v>3067</v>
      </c>
      <c r="D542" s="5" t="s">
        <v>816</v>
      </c>
      <c r="E542" s="5" t="s">
        <v>3068</v>
      </c>
      <c r="F542" s="5" t="s">
        <v>1532</v>
      </c>
      <c r="G542" s="6">
        <v>46157.589583333334</v>
      </c>
      <c r="H542" s="7">
        <v>46168</v>
      </c>
      <c r="I542" s="5" t="s">
        <v>1533</v>
      </c>
      <c r="J542" s="7">
        <v>46183</v>
      </c>
      <c r="K542" s="5" t="s">
        <v>1534</v>
      </c>
      <c r="L542" s="5" t="s">
        <v>1535</v>
      </c>
      <c r="M542" s="8">
        <v>429</v>
      </c>
      <c r="N542" s="5" t="s">
        <v>1529</v>
      </c>
      <c r="O542" s="7">
        <v>46183</v>
      </c>
    </row>
    <row r="543" spans="1:15" x14ac:dyDescent="0.25">
      <c r="A543" s="5" t="s">
        <v>4</v>
      </c>
      <c r="B543" s="5" t="s">
        <v>3069</v>
      </c>
      <c r="D543" s="5" t="s">
        <v>225</v>
      </c>
      <c r="E543" s="5" t="s">
        <v>3070</v>
      </c>
      <c r="F543" s="5" t="s">
        <v>3071</v>
      </c>
      <c r="G543" s="6">
        <v>46063.788888888892</v>
      </c>
      <c r="H543" s="7">
        <v>46069</v>
      </c>
      <c r="I543" s="5" t="s">
        <v>2242</v>
      </c>
      <c r="J543" s="7">
        <v>46077</v>
      </c>
      <c r="K543" s="5" t="s">
        <v>1527</v>
      </c>
      <c r="L543" s="5" t="s">
        <v>1564</v>
      </c>
      <c r="M543" s="8">
        <v>428.38</v>
      </c>
      <c r="N543" s="5" t="s">
        <v>1536</v>
      </c>
      <c r="O543" s="7">
        <v>46077</v>
      </c>
    </row>
    <row r="544" spans="1:15" x14ac:dyDescent="0.25">
      <c r="A544" s="5" t="s">
        <v>4</v>
      </c>
      <c r="B544" s="5" t="s">
        <v>3072</v>
      </c>
      <c r="D544" s="5" t="s">
        <v>1509</v>
      </c>
      <c r="E544" s="5" t="s">
        <v>1543</v>
      </c>
      <c r="F544" s="5" t="s">
        <v>3073</v>
      </c>
      <c r="G544" s="6">
        <v>46066.665277777778</v>
      </c>
      <c r="H544" s="7">
        <v>46073</v>
      </c>
      <c r="I544" s="5" t="s">
        <v>3074</v>
      </c>
      <c r="J544" s="7">
        <v>46093</v>
      </c>
      <c r="K544" s="5" t="s">
        <v>1527</v>
      </c>
      <c r="L544" s="5" t="s">
        <v>1535</v>
      </c>
      <c r="M544" s="8">
        <v>428</v>
      </c>
      <c r="N544" s="5" t="s">
        <v>1536</v>
      </c>
      <c r="O544" s="7">
        <v>46093</v>
      </c>
    </row>
    <row r="545" spans="1:15" x14ac:dyDescent="0.25">
      <c r="A545" s="5" t="s">
        <v>4</v>
      </c>
      <c r="B545" s="5" t="s">
        <v>3075</v>
      </c>
      <c r="D545" s="5" t="s">
        <v>1322</v>
      </c>
      <c r="E545" s="5" t="s">
        <v>3076</v>
      </c>
      <c r="F545" s="5" t="s">
        <v>3077</v>
      </c>
      <c r="G545" s="6">
        <v>46114.532638888886</v>
      </c>
      <c r="H545" s="7">
        <v>46118</v>
      </c>
      <c r="I545" s="5" t="s">
        <v>3078</v>
      </c>
      <c r="J545" s="7">
        <v>46120</v>
      </c>
      <c r="K545" s="5" t="s">
        <v>1527</v>
      </c>
      <c r="L545" s="5" t="s">
        <v>1564</v>
      </c>
      <c r="M545" s="8">
        <v>427.85</v>
      </c>
      <c r="N545" s="5" t="s">
        <v>1536</v>
      </c>
      <c r="O545" s="7">
        <v>46120</v>
      </c>
    </row>
    <row r="546" spans="1:15" x14ac:dyDescent="0.25">
      <c r="A546" s="5" t="s">
        <v>4</v>
      </c>
      <c r="B546" s="5" t="s">
        <v>3079</v>
      </c>
      <c r="D546" s="5" t="s">
        <v>656</v>
      </c>
      <c r="E546" s="5" t="s">
        <v>3080</v>
      </c>
      <c r="F546" s="5" t="s">
        <v>3081</v>
      </c>
      <c r="G546" s="6">
        <v>46105.732638888891</v>
      </c>
      <c r="H546" s="7">
        <v>46111</v>
      </c>
      <c r="I546" s="5" t="s">
        <v>3082</v>
      </c>
      <c r="J546" s="7">
        <v>46125</v>
      </c>
      <c r="K546" s="5" t="s">
        <v>1527</v>
      </c>
      <c r="L546" s="5" t="s">
        <v>1621</v>
      </c>
      <c r="M546" s="8">
        <v>425.35</v>
      </c>
      <c r="N546" s="5" t="s">
        <v>1536</v>
      </c>
      <c r="O546" s="7">
        <v>46125</v>
      </c>
    </row>
    <row r="547" spans="1:15" hidden="1" x14ac:dyDescent="0.25">
      <c r="A547" s="5" t="s">
        <v>1522</v>
      </c>
      <c r="B547" s="5" t="s">
        <v>3083</v>
      </c>
      <c r="D547" s="5" t="s">
        <v>1492</v>
      </c>
      <c r="E547" s="5" t="s">
        <v>2344</v>
      </c>
      <c r="F547" s="5" t="s">
        <v>2978</v>
      </c>
      <c r="G547" s="6">
        <v>46049.418055555558</v>
      </c>
      <c r="H547" s="7">
        <v>46057</v>
      </c>
      <c r="I547" s="6">
        <v>46056.661805555559</v>
      </c>
      <c r="J547" s="7">
        <v>46056</v>
      </c>
      <c r="K547" s="5" t="s">
        <v>1527</v>
      </c>
      <c r="L547" s="5" t="s">
        <v>1528</v>
      </c>
      <c r="M547" s="8">
        <v>425</v>
      </c>
      <c r="N547" s="5" t="s">
        <v>1536</v>
      </c>
      <c r="O547" s="7">
        <v>46056</v>
      </c>
    </row>
    <row r="548" spans="1:15" x14ac:dyDescent="0.25">
      <c r="A548" s="5" t="s">
        <v>4</v>
      </c>
      <c r="B548" s="5" t="s">
        <v>3084</v>
      </c>
      <c r="D548" s="5" t="s">
        <v>1509</v>
      </c>
      <c r="E548" s="5" t="s">
        <v>1543</v>
      </c>
      <c r="F548" s="5" t="s">
        <v>3085</v>
      </c>
      <c r="G548" s="6">
        <v>46154.480555555558</v>
      </c>
      <c r="H548" s="7">
        <v>46164</v>
      </c>
      <c r="I548" s="5" t="s">
        <v>3086</v>
      </c>
      <c r="J548" s="7">
        <v>46163</v>
      </c>
      <c r="K548" s="5" t="s">
        <v>1527</v>
      </c>
      <c r="L548" s="5" t="s">
        <v>1535</v>
      </c>
      <c r="M548" s="8">
        <v>425</v>
      </c>
      <c r="N548" s="5" t="s">
        <v>1529</v>
      </c>
      <c r="O548" s="7">
        <v>46163</v>
      </c>
    </row>
    <row r="549" spans="1:15" x14ac:dyDescent="0.25">
      <c r="A549" s="5" t="s">
        <v>4</v>
      </c>
      <c r="B549" s="5" t="s">
        <v>3087</v>
      </c>
      <c r="D549" s="5" t="s">
        <v>625</v>
      </c>
      <c r="E549" s="5" t="s">
        <v>3088</v>
      </c>
      <c r="F549" s="5" t="s">
        <v>3089</v>
      </c>
      <c r="G549" s="6">
        <v>46154.397222222222</v>
      </c>
      <c r="H549" s="7">
        <v>46160</v>
      </c>
      <c r="I549" s="5" t="s">
        <v>3090</v>
      </c>
      <c r="J549" s="7">
        <v>46160</v>
      </c>
      <c r="K549" s="5" t="s">
        <v>1527</v>
      </c>
      <c r="L549" s="5" t="s">
        <v>1564</v>
      </c>
      <c r="M549" s="8">
        <v>424.9</v>
      </c>
      <c r="N549" s="5" t="s">
        <v>1529</v>
      </c>
      <c r="O549" s="7">
        <v>46160</v>
      </c>
    </row>
    <row r="550" spans="1:15" x14ac:dyDescent="0.25">
      <c r="A550" s="5" t="s">
        <v>4</v>
      </c>
      <c r="B550" s="5" t="s">
        <v>3091</v>
      </c>
      <c r="D550" s="5" t="s">
        <v>1217</v>
      </c>
      <c r="E550" s="5" t="s">
        <v>3092</v>
      </c>
      <c r="F550" s="5" t="s">
        <v>1770</v>
      </c>
      <c r="G550" s="6">
        <v>46101.497916666667</v>
      </c>
      <c r="H550" s="7">
        <v>46115</v>
      </c>
      <c r="I550" s="6">
        <v>46112.732638888891</v>
      </c>
      <c r="J550" s="7">
        <v>46112</v>
      </c>
      <c r="K550" s="5" t="s">
        <v>1527</v>
      </c>
      <c r="L550" s="5" t="s">
        <v>1564</v>
      </c>
      <c r="M550" s="8">
        <v>424.5</v>
      </c>
      <c r="N550" s="5" t="s">
        <v>1536</v>
      </c>
      <c r="O550" s="7">
        <v>46112</v>
      </c>
    </row>
    <row r="551" spans="1:15" x14ac:dyDescent="0.25">
      <c r="A551" s="5" t="s">
        <v>4</v>
      </c>
      <c r="B551" s="5" t="s">
        <v>3093</v>
      </c>
      <c r="D551" s="5" t="s">
        <v>1339</v>
      </c>
      <c r="E551" s="5" t="s">
        <v>3094</v>
      </c>
      <c r="F551" s="5" t="s">
        <v>2118</v>
      </c>
      <c r="G551" s="6">
        <v>46064.668749999997</v>
      </c>
      <c r="H551" s="7">
        <v>46078</v>
      </c>
      <c r="I551" s="6">
        <v>46070.487500000003</v>
      </c>
      <c r="J551" s="7">
        <v>46070</v>
      </c>
      <c r="K551" s="5" t="s">
        <v>1527</v>
      </c>
      <c r="L551" s="5" t="s">
        <v>1564</v>
      </c>
      <c r="M551" s="8">
        <v>423.7</v>
      </c>
      <c r="N551" s="5" t="s">
        <v>1536</v>
      </c>
      <c r="O551" s="7">
        <v>46070</v>
      </c>
    </row>
    <row r="552" spans="1:15" x14ac:dyDescent="0.25">
      <c r="A552" s="5" t="s">
        <v>4</v>
      </c>
      <c r="B552" s="5" t="s">
        <v>3095</v>
      </c>
      <c r="D552" s="5" t="s">
        <v>45</v>
      </c>
      <c r="E552" s="5" t="s">
        <v>3096</v>
      </c>
      <c r="F552" s="5" t="s">
        <v>2118</v>
      </c>
      <c r="G552" s="6">
        <v>46112.680555555555</v>
      </c>
      <c r="H552" s="7">
        <v>46126</v>
      </c>
      <c r="I552" s="6">
        <v>46126.634722222225</v>
      </c>
      <c r="J552" s="7">
        <v>46125</v>
      </c>
      <c r="K552" s="5" t="s">
        <v>1527</v>
      </c>
      <c r="L552" s="5" t="s">
        <v>1564</v>
      </c>
      <c r="M552" s="8">
        <v>421</v>
      </c>
      <c r="N552" s="5" t="s">
        <v>1536</v>
      </c>
      <c r="O552" s="7">
        <v>46125</v>
      </c>
    </row>
    <row r="553" spans="1:15" hidden="1" x14ac:dyDescent="0.25">
      <c r="A553" s="5" t="s">
        <v>1522</v>
      </c>
      <c r="B553" s="5" t="s">
        <v>3097</v>
      </c>
      <c r="D553" s="5" t="s">
        <v>1028</v>
      </c>
      <c r="E553" s="5" t="s">
        <v>3098</v>
      </c>
      <c r="F553" s="5" t="s">
        <v>3099</v>
      </c>
      <c r="G553" s="6">
        <v>46168.453472222223</v>
      </c>
      <c r="H553" s="7">
        <v>46171</v>
      </c>
      <c r="I553" s="6">
        <v>46171.715277777781</v>
      </c>
      <c r="J553" s="7">
        <v>46171</v>
      </c>
      <c r="K553" s="5" t="s">
        <v>1527</v>
      </c>
      <c r="L553" s="5" t="s">
        <v>1528</v>
      </c>
      <c r="M553" s="8">
        <v>420</v>
      </c>
      <c r="N553" s="5" t="s">
        <v>1536</v>
      </c>
      <c r="O553" s="7">
        <v>46171</v>
      </c>
    </row>
    <row r="554" spans="1:15" x14ac:dyDescent="0.25">
      <c r="A554" s="5" t="s">
        <v>4</v>
      </c>
      <c r="B554" s="5" t="s">
        <v>3100</v>
      </c>
      <c r="D554" s="5" t="s">
        <v>1509</v>
      </c>
      <c r="E554" s="5" t="s">
        <v>1538</v>
      </c>
      <c r="F554" s="5" t="s">
        <v>3101</v>
      </c>
      <c r="G554" s="6">
        <v>46050.447222222225</v>
      </c>
      <c r="H554" s="7">
        <v>46059</v>
      </c>
      <c r="I554" s="5" t="s">
        <v>3102</v>
      </c>
      <c r="J554" s="7">
        <v>46063</v>
      </c>
      <c r="K554" s="5" t="s">
        <v>1527</v>
      </c>
      <c r="L554" s="5" t="s">
        <v>1535</v>
      </c>
      <c r="M554" s="8">
        <v>420</v>
      </c>
      <c r="N554" s="5" t="s">
        <v>1536</v>
      </c>
      <c r="O554" s="7">
        <v>46063</v>
      </c>
    </row>
    <row r="555" spans="1:15" x14ac:dyDescent="0.25">
      <c r="A555" s="5" t="s">
        <v>4</v>
      </c>
      <c r="B555" s="5" t="s">
        <v>3103</v>
      </c>
      <c r="D555" s="5" t="s">
        <v>241</v>
      </c>
      <c r="E555" s="5" t="s">
        <v>3104</v>
      </c>
      <c r="F555" s="5" t="s">
        <v>3105</v>
      </c>
      <c r="G555" s="6">
        <v>46071.614583333336</v>
      </c>
      <c r="H555" s="7">
        <v>46080</v>
      </c>
      <c r="I555" s="5" t="s">
        <v>3106</v>
      </c>
      <c r="J555" s="7">
        <v>46080</v>
      </c>
      <c r="K555" s="5" t="s">
        <v>1527</v>
      </c>
      <c r="L555" s="5" t="s">
        <v>1535</v>
      </c>
      <c r="M555" s="8">
        <v>420</v>
      </c>
      <c r="N555" s="5" t="s">
        <v>1536</v>
      </c>
      <c r="O555" s="7">
        <v>46080</v>
      </c>
    </row>
    <row r="556" spans="1:15" x14ac:dyDescent="0.25">
      <c r="A556" s="5" t="s">
        <v>4</v>
      </c>
      <c r="B556" s="5" t="s">
        <v>3107</v>
      </c>
      <c r="D556" s="5" t="s">
        <v>436</v>
      </c>
      <c r="E556" s="5" t="s">
        <v>3108</v>
      </c>
      <c r="F556" s="5" t="s">
        <v>1548</v>
      </c>
      <c r="G556" s="6">
        <v>46036.621527777781</v>
      </c>
      <c r="H556" s="7">
        <v>46049</v>
      </c>
      <c r="I556" s="5" t="s">
        <v>3109</v>
      </c>
      <c r="J556" s="7">
        <v>46052</v>
      </c>
      <c r="K556" s="5" t="s">
        <v>1527</v>
      </c>
      <c r="L556" s="5" t="s">
        <v>1564</v>
      </c>
      <c r="M556" s="8">
        <v>419.8</v>
      </c>
      <c r="N556" s="5" t="s">
        <v>1536</v>
      </c>
      <c r="O556" s="7">
        <v>46052</v>
      </c>
    </row>
    <row r="557" spans="1:15" x14ac:dyDescent="0.25">
      <c r="A557" s="5" t="s">
        <v>4</v>
      </c>
      <c r="B557" s="5" t="s">
        <v>3110</v>
      </c>
      <c r="D557" s="5" t="s">
        <v>1434</v>
      </c>
      <c r="E557" s="5" t="s">
        <v>1662</v>
      </c>
      <c r="F557" s="5" t="s">
        <v>1663</v>
      </c>
      <c r="G557" s="6">
        <v>46169.554861111108</v>
      </c>
      <c r="H557" s="7">
        <v>46178</v>
      </c>
      <c r="I557" s="6">
        <v>46178.493055555555</v>
      </c>
      <c r="J557" s="7">
        <v>46178</v>
      </c>
      <c r="K557" s="5" t="s">
        <v>1527</v>
      </c>
      <c r="L557" s="5" t="s">
        <v>1564</v>
      </c>
      <c r="M557" s="8">
        <v>419</v>
      </c>
      <c r="N557" s="5" t="s">
        <v>1529</v>
      </c>
      <c r="O557" s="7">
        <v>46178</v>
      </c>
    </row>
    <row r="558" spans="1:15" x14ac:dyDescent="0.25">
      <c r="A558" s="5" t="s">
        <v>4</v>
      </c>
      <c r="B558" s="5" t="s">
        <v>3111</v>
      </c>
      <c r="D558" s="5" t="s">
        <v>1237</v>
      </c>
      <c r="E558" s="5" t="s">
        <v>3112</v>
      </c>
      <c r="F558" s="5" t="s">
        <v>3113</v>
      </c>
      <c r="G558" s="6">
        <v>46086.661111111112</v>
      </c>
      <c r="H558" s="7">
        <v>46092</v>
      </c>
      <c r="I558" s="5" t="s">
        <v>3114</v>
      </c>
      <c r="J558" s="7">
        <v>46094</v>
      </c>
      <c r="K558" s="5" t="s">
        <v>1527</v>
      </c>
      <c r="L558" s="5" t="s">
        <v>1621</v>
      </c>
      <c r="M558" s="8">
        <v>418.69</v>
      </c>
      <c r="N558" s="5" t="s">
        <v>1536</v>
      </c>
      <c r="O558" s="7">
        <v>46094</v>
      </c>
    </row>
    <row r="559" spans="1:15" hidden="1" x14ac:dyDescent="0.25">
      <c r="A559" s="5" t="s">
        <v>1522</v>
      </c>
      <c r="B559" s="5" t="s">
        <v>3115</v>
      </c>
      <c r="D559" s="5" t="s">
        <v>1491</v>
      </c>
      <c r="E559" s="5" t="s">
        <v>1576</v>
      </c>
      <c r="F559" s="5" t="s">
        <v>3116</v>
      </c>
      <c r="G559" s="6">
        <v>46062.407638888886</v>
      </c>
      <c r="H559" s="7">
        <v>46066</v>
      </c>
      <c r="I559" s="6">
        <v>46066.706944444442</v>
      </c>
      <c r="J559" s="7">
        <v>46066</v>
      </c>
      <c r="K559" s="5" t="s">
        <v>1527</v>
      </c>
      <c r="L559" s="5" t="s">
        <v>1528</v>
      </c>
      <c r="M559" s="8">
        <v>417.85</v>
      </c>
      <c r="N559" s="5" t="s">
        <v>1536</v>
      </c>
      <c r="O559" s="7">
        <v>46066</v>
      </c>
    </row>
    <row r="560" spans="1:15" x14ac:dyDescent="0.25">
      <c r="A560" s="5" t="s">
        <v>4</v>
      </c>
      <c r="B560" s="5" t="s">
        <v>3117</v>
      </c>
      <c r="D560" s="5" t="s">
        <v>1473</v>
      </c>
      <c r="E560" s="5" t="s">
        <v>2236</v>
      </c>
      <c r="F560" s="5" t="s">
        <v>1759</v>
      </c>
      <c r="G560" s="6">
        <v>46086.627083333333</v>
      </c>
      <c r="H560" s="7">
        <v>46099</v>
      </c>
      <c r="I560" s="6">
        <v>46098.661111111112</v>
      </c>
      <c r="J560" s="7">
        <v>46098</v>
      </c>
      <c r="K560" s="5" t="s">
        <v>1527</v>
      </c>
      <c r="L560" s="5" t="s">
        <v>1564</v>
      </c>
      <c r="M560" s="8">
        <v>416.15</v>
      </c>
      <c r="N560" s="5" t="s">
        <v>1536</v>
      </c>
      <c r="O560" s="7">
        <v>46098</v>
      </c>
    </row>
    <row r="561" spans="1:15" hidden="1" x14ac:dyDescent="0.25">
      <c r="A561" s="5" t="s">
        <v>1522</v>
      </c>
      <c r="B561" s="5" t="s">
        <v>3118</v>
      </c>
      <c r="D561" s="5" t="s">
        <v>1342</v>
      </c>
      <c r="E561" s="5" t="s">
        <v>3119</v>
      </c>
      <c r="F561" s="5" t="s">
        <v>3120</v>
      </c>
      <c r="G561" s="6">
        <v>46051.5</v>
      </c>
      <c r="H561" s="7">
        <v>46063</v>
      </c>
      <c r="I561" s="5" t="s">
        <v>3121</v>
      </c>
      <c r="J561" s="7">
        <v>46064</v>
      </c>
      <c r="K561" s="5" t="s">
        <v>1527</v>
      </c>
      <c r="L561" s="5" t="s">
        <v>1528</v>
      </c>
      <c r="M561" s="8">
        <v>414.9</v>
      </c>
      <c r="N561" s="5" t="s">
        <v>1536</v>
      </c>
      <c r="O561" s="7">
        <v>46064</v>
      </c>
    </row>
    <row r="562" spans="1:15" hidden="1" x14ac:dyDescent="0.25">
      <c r="A562" s="5" t="s">
        <v>1522</v>
      </c>
      <c r="B562" s="5" t="s">
        <v>3122</v>
      </c>
      <c r="D562" s="5" t="s">
        <v>1342</v>
      </c>
      <c r="E562" s="5" t="s">
        <v>3119</v>
      </c>
      <c r="F562" s="5" t="s">
        <v>3120</v>
      </c>
      <c r="G562" s="6">
        <v>46126.633333333331</v>
      </c>
      <c r="H562" s="7">
        <v>46135</v>
      </c>
      <c r="I562" s="6">
        <v>46129.593055555553</v>
      </c>
      <c r="J562" s="7">
        <v>46129</v>
      </c>
      <c r="K562" s="5" t="s">
        <v>1527</v>
      </c>
      <c r="L562" s="5" t="s">
        <v>1528</v>
      </c>
      <c r="M562" s="8">
        <v>414.9</v>
      </c>
      <c r="N562" s="5" t="s">
        <v>1536</v>
      </c>
      <c r="O562" s="7">
        <v>46129</v>
      </c>
    </row>
    <row r="563" spans="1:15" x14ac:dyDescent="0.25">
      <c r="A563" s="5" t="s">
        <v>4</v>
      </c>
      <c r="B563" s="5" t="s">
        <v>3123</v>
      </c>
      <c r="D563" s="5" t="s">
        <v>1344</v>
      </c>
      <c r="E563" s="5" t="s">
        <v>3124</v>
      </c>
      <c r="F563" s="5" t="s">
        <v>3125</v>
      </c>
      <c r="G563" s="6">
        <v>46161.361805555556</v>
      </c>
      <c r="H563" s="7">
        <v>46168</v>
      </c>
      <c r="I563" s="6">
        <v>46167.745833333334</v>
      </c>
      <c r="J563" s="7">
        <v>46167</v>
      </c>
      <c r="K563" s="5" t="s">
        <v>1527</v>
      </c>
      <c r="L563" s="5" t="s">
        <v>1621</v>
      </c>
      <c r="M563" s="8">
        <v>411.7</v>
      </c>
      <c r="N563" s="5" t="s">
        <v>1536</v>
      </c>
      <c r="O563" s="7">
        <v>46167</v>
      </c>
    </row>
    <row r="564" spans="1:15" x14ac:dyDescent="0.25">
      <c r="A564" s="5" t="s">
        <v>4</v>
      </c>
      <c r="B564" s="5" t="s">
        <v>3126</v>
      </c>
      <c r="D564" s="5" t="s">
        <v>342</v>
      </c>
      <c r="E564" s="5" t="s">
        <v>3127</v>
      </c>
      <c r="F564" s="5" t="s">
        <v>3128</v>
      </c>
      <c r="G564" s="6">
        <v>46038.65</v>
      </c>
      <c r="H564" s="7">
        <v>46045</v>
      </c>
      <c r="I564" s="5" t="s">
        <v>3129</v>
      </c>
      <c r="J564" s="7">
        <v>46050</v>
      </c>
      <c r="K564" s="5" t="s">
        <v>1527</v>
      </c>
      <c r="L564" s="5" t="s">
        <v>1621</v>
      </c>
      <c r="M564" s="8">
        <v>410.98</v>
      </c>
      <c r="N564" s="5" t="s">
        <v>1536</v>
      </c>
      <c r="O564" s="7">
        <v>46050</v>
      </c>
    </row>
    <row r="565" spans="1:15" hidden="1" x14ac:dyDescent="0.25">
      <c r="A565" s="5" t="s">
        <v>1522</v>
      </c>
      <c r="B565" s="5" t="s">
        <v>3130</v>
      </c>
      <c r="D565" s="5" t="s">
        <v>1282</v>
      </c>
      <c r="E565" s="5" t="s">
        <v>3131</v>
      </c>
      <c r="F565" s="5" t="s">
        <v>3132</v>
      </c>
      <c r="G565" s="6">
        <v>46140.443749999999</v>
      </c>
      <c r="H565" s="7">
        <v>46150</v>
      </c>
      <c r="I565" s="6">
        <v>46148.597916666666</v>
      </c>
      <c r="J565" s="7">
        <v>46161</v>
      </c>
      <c r="K565" s="5" t="s">
        <v>1527</v>
      </c>
      <c r="L565" s="5" t="s">
        <v>1528</v>
      </c>
      <c r="M565" s="8">
        <v>410</v>
      </c>
      <c r="N565" s="5" t="s">
        <v>1536</v>
      </c>
      <c r="O565" s="7">
        <v>46161</v>
      </c>
    </row>
    <row r="566" spans="1:15" hidden="1" x14ac:dyDescent="0.25">
      <c r="A566" s="5" t="s">
        <v>1522</v>
      </c>
      <c r="B566" s="5" t="s">
        <v>3133</v>
      </c>
      <c r="D566" s="5" t="s">
        <v>715</v>
      </c>
      <c r="E566" s="5" t="s">
        <v>3134</v>
      </c>
      <c r="F566" s="5" t="s">
        <v>1548</v>
      </c>
      <c r="G566" s="6">
        <v>46156.480555555558</v>
      </c>
      <c r="H566" s="7">
        <v>46167</v>
      </c>
      <c r="I566" s="6">
        <v>46164.697916666664</v>
      </c>
      <c r="J566" s="7">
        <v>46164</v>
      </c>
      <c r="K566" s="5" t="s">
        <v>1527</v>
      </c>
      <c r="L566" s="5" t="s">
        <v>1528</v>
      </c>
      <c r="M566" s="8">
        <v>410</v>
      </c>
      <c r="N566" s="5" t="s">
        <v>1536</v>
      </c>
      <c r="O566" s="7">
        <v>46164</v>
      </c>
    </row>
    <row r="567" spans="1:15" x14ac:dyDescent="0.25">
      <c r="A567" s="5" t="s">
        <v>4</v>
      </c>
      <c r="B567" s="5" t="s">
        <v>3135</v>
      </c>
      <c r="D567" s="5" t="s">
        <v>887</v>
      </c>
      <c r="E567" s="5" t="s">
        <v>3136</v>
      </c>
      <c r="F567" s="5" t="s">
        <v>1548</v>
      </c>
      <c r="G567" s="6">
        <v>46030.7</v>
      </c>
      <c r="H567" s="7">
        <v>46042</v>
      </c>
      <c r="I567" s="6">
        <v>46035.731249999997</v>
      </c>
      <c r="J567" s="7">
        <v>46035</v>
      </c>
      <c r="K567" s="5" t="s">
        <v>1527</v>
      </c>
      <c r="L567" s="5" t="s">
        <v>1564</v>
      </c>
      <c r="M567" s="8">
        <v>410</v>
      </c>
      <c r="N567" s="5" t="s">
        <v>1536</v>
      </c>
      <c r="O567" s="7">
        <v>46035</v>
      </c>
    </row>
    <row r="568" spans="1:15" x14ac:dyDescent="0.25">
      <c r="A568" s="5" t="s">
        <v>4</v>
      </c>
      <c r="B568" s="5" t="s">
        <v>3137</v>
      </c>
      <c r="D568" s="5" t="s">
        <v>1149</v>
      </c>
      <c r="E568" s="5" t="s">
        <v>3138</v>
      </c>
      <c r="F568" s="5" t="s">
        <v>1759</v>
      </c>
      <c r="G568" s="6">
        <v>46122.652777777781</v>
      </c>
      <c r="H568" s="7">
        <v>46136</v>
      </c>
      <c r="I568" s="6">
        <v>46132.618750000001</v>
      </c>
      <c r="J568" s="7">
        <v>46132</v>
      </c>
      <c r="K568" s="5" t="s">
        <v>1527</v>
      </c>
      <c r="L568" s="5" t="s">
        <v>1564</v>
      </c>
      <c r="M568" s="8">
        <v>410</v>
      </c>
      <c r="N568" s="5" t="s">
        <v>1536</v>
      </c>
      <c r="O568" s="7">
        <v>46132</v>
      </c>
    </row>
    <row r="569" spans="1:15" x14ac:dyDescent="0.25">
      <c r="A569" s="5" t="s">
        <v>4</v>
      </c>
      <c r="B569" s="5" t="s">
        <v>3139</v>
      </c>
      <c r="D569" s="5" t="s">
        <v>655</v>
      </c>
      <c r="E569" s="5" t="s">
        <v>3140</v>
      </c>
      <c r="F569" s="5" t="s">
        <v>3141</v>
      </c>
      <c r="G569" s="6">
        <v>46093.435416666667</v>
      </c>
      <c r="H569" s="7">
        <v>46112</v>
      </c>
      <c r="I569" s="5" t="s">
        <v>3142</v>
      </c>
      <c r="J569" s="7">
        <v>46107</v>
      </c>
      <c r="K569" s="5" t="s">
        <v>1527</v>
      </c>
      <c r="L569" s="5" t="s">
        <v>1535</v>
      </c>
      <c r="M569" s="8">
        <v>408</v>
      </c>
      <c r="N569" s="5" t="s">
        <v>1536</v>
      </c>
      <c r="O569" s="7">
        <v>46107</v>
      </c>
    </row>
    <row r="570" spans="1:15" x14ac:dyDescent="0.25">
      <c r="A570" s="5" t="s">
        <v>4</v>
      </c>
      <c r="B570" s="5" t="s">
        <v>3143</v>
      </c>
      <c r="D570" s="5" t="s">
        <v>267</v>
      </c>
      <c r="E570" s="5" t="s">
        <v>3144</v>
      </c>
      <c r="F570" s="5" t="s">
        <v>3145</v>
      </c>
      <c r="G570" s="6">
        <v>46073.672222222223</v>
      </c>
      <c r="H570" s="7">
        <v>46080</v>
      </c>
      <c r="I570" s="5" t="s">
        <v>3146</v>
      </c>
      <c r="J570" s="7">
        <v>46093</v>
      </c>
      <c r="K570" s="5" t="s">
        <v>1527</v>
      </c>
      <c r="L570" s="5" t="s">
        <v>1621</v>
      </c>
      <c r="M570" s="8">
        <v>407.55</v>
      </c>
      <c r="N570" s="5" t="s">
        <v>1536</v>
      </c>
      <c r="O570" s="7">
        <v>46093</v>
      </c>
    </row>
    <row r="571" spans="1:15" x14ac:dyDescent="0.25">
      <c r="A571" s="5" t="s">
        <v>4</v>
      </c>
      <c r="B571" s="5" t="s">
        <v>3147</v>
      </c>
      <c r="D571" s="5" t="s">
        <v>720</v>
      </c>
      <c r="E571" s="5" t="s">
        <v>3148</v>
      </c>
      <c r="F571" s="5" t="s">
        <v>3149</v>
      </c>
      <c r="G571" s="6">
        <v>46093.544444444444</v>
      </c>
      <c r="H571" s="7">
        <v>46100</v>
      </c>
      <c r="I571" s="6">
        <v>46100.627083333333</v>
      </c>
      <c r="J571" s="7">
        <v>46100</v>
      </c>
      <c r="K571" s="5" t="s">
        <v>1527</v>
      </c>
      <c r="L571" s="5" t="s">
        <v>1564</v>
      </c>
      <c r="M571" s="8">
        <v>407.5</v>
      </c>
      <c r="N571" s="5" t="s">
        <v>1536</v>
      </c>
      <c r="O571" s="7">
        <v>46100</v>
      </c>
    </row>
    <row r="572" spans="1:15" x14ac:dyDescent="0.25">
      <c r="A572" s="5" t="s">
        <v>4</v>
      </c>
      <c r="B572" s="5" t="s">
        <v>3150</v>
      </c>
      <c r="D572" s="5" t="s">
        <v>878</v>
      </c>
      <c r="E572" s="5" t="s">
        <v>3151</v>
      </c>
      <c r="F572" s="5" t="s">
        <v>2740</v>
      </c>
      <c r="G572" s="6">
        <v>46111.465277777781</v>
      </c>
      <c r="H572" s="7">
        <v>46113</v>
      </c>
      <c r="I572" s="5" t="s">
        <v>3152</v>
      </c>
      <c r="J572" s="7">
        <v>46162</v>
      </c>
      <c r="K572" s="5" t="s">
        <v>1527</v>
      </c>
      <c r="L572" s="5" t="s">
        <v>1564</v>
      </c>
      <c r="M572" s="8">
        <v>406.84</v>
      </c>
      <c r="N572" s="5" t="s">
        <v>1536</v>
      </c>
      <c r="O572" s="7">
        <v>46162</v>
      </c>
    </row>
    <row r="573" spans="1:15" x14ac:dyDescent="0.25">
      <c r="A573" s="5" t="s">
        <v>4</v>
      </c>
      <c r="B573" s="5" t="s">
        <v>3153</v>
      </c>
      <c r="D573" s="5" t="s">
        <v>696</v>
      </c>
      <c r="E573" s="5" t="s">
        <v>3154</v>
      </c>
      <c r="F573" s="5" t="s">
        <v>1548</v>
      </c>
      <c r="G573" s="6">
        <v>46055.719444444447</v>
      </c>
      <c r="H573" s="7">
        <v>46064</v>
      </c>
      <c r="I573" s="5" t="s">
        <v>3155</v>
      </c>
      <c r="J573" s="7">
        <v>46069</v>
      </c>
      <c r="K573" s="5" t="s">
        <v>1527</v>
      </c>
      <c r="L573" s="5" t="s">
        <v>1535</v>
      </c>
      <c r="M573" s="8">
        <v>406</v>
      </c>
      <c r="N573" s="5" t="s">
        <v>1536</v>
      </c>
      <c r="O573" s="7">
        <v>46069</v>
      </c>
    </row>
    <row r="574" spans="1:15" hidden="1" x14ac:dyDescent="0.25">
      <c r="A574" s="5" t="s">
        <v>1522</v>
      </c>
      <c r="B574" s="5">
        <v>39191</v>
      </c>
      <c r="D574" s="5" t="s">
        <v>937</v>
      </c>
      <c r="E574" s="5" t="s">
        <v>3156</v>
      </c>
      <c r="F574" s="5" t="s">
        <v>3157</v>
      </c>
      <c r="G574" s="6">
        <v>46113.334027777775</v>
      </c>
      <c r="H574" s="7">
        <v>46122</v>
      </c>
      <c r="I574" s="5" t="s">
        <v>3158</v>
      </c>
      <c r="J574" s="7">
        <v>46127</v>
      </c>
      <c r="K574" s="5" t="s">
        <v>1527</v>
      </c>
      <c r="L574" s="5" t="s">
        <v>1528</v>
      </c>
      <c r="M574" s="8">
        <v>405</v>
      </c>
      <c r="N574" s="5" t="s">
        <v>1536</v>
      </c>
      <c r="O574" s="7">
        <v>46127</v>
      </c>
    </row>
    <row r="575" spans="1:15" hidden="1" x14ac:dyDescent="0.25">
      <c r="A575" s="5" t="s">
        <v>1522</v>
      </c>
      <c r="B575" s="5" t="s">
        <v>3159</v>
      </c>
      <c r="D575" s="5" t="s">
        <v>1445</v>
      </c>
      <c r="E575" s="5" t="s">
        <v>3160</v>
      </c>
      <c r="F575" s="5" t="s">
        <v>1548</v>
      </c>
      <c r="G575" s="6">
        <v>46049.688888888886</v>
      </c>
      <c r="H575" s="7">
        <v>46059</v>
      </c>
      <c r="I575" s="5" t="s">
        <v>3161</v>
      </c>
      <c r="J575" s="7">
        <v>46063</v>
      </c>
      <c r="K575" s="5" t="s">
        <v>1527</v>
      </c>
      <c r="L575" s="5" t="s">
        <v>1528</v>
      </c>
      <c r="M575" s="8">
        <v>405</v>
      </c>
      <c r="N575" s="5" t="s">
        <v>1536</v>
      </c>
      <c r="O575" s="7">
        <v>46063</v>
      </c>
    </row>
    <row r="576" spans="1:15" x14ac:dyDescent="0.25">
      <c r="A576" s="5" t="s">
        <v>4</v>
      </c>
      <c r="B576" s="5" t="s">
        <v>3162</v>
      </c>
      <c r="D576" s="5" t="s">
        <v>1366</v>
      </c>
      <c r="E576" s="5" t="s">
        <v>3163</v>
      </c>
      <c r="F576" s="5" t="s">
        <v>1532</v>
      </c>
      <c r="G576" s="6">
        <v>46055.591666666667</v>
      </c>
      <c r="H576" s="7">
        <v>46064</v>
      </c>
      <c r="I576" s="5" t="s">
        <v>3155</v>
      </c>
      <c r="J576" s="7">
        <v>46069</v>
      </c>
      <c r="K576" s="5" t="s">
        <v>1527</v>
      </c>
      <c r="L576" s="5" t="s">
        <v>1535</v>
      </c>
      <c r="M576" s="8">
        <v>405</v>
      </c>
      <c r="N576" s="5" t="s">
        <v>1536</v>
      </c>
      <c r="O576" s="7">
        <v>46069</v>
      </c>
    </row>
    <row r="577" spans="1:15" x14ac:dyDescent="0.25">
      <c r="A577" s="5" t="s">
        <v>4</v>
      </c>
      <c r="B577" s="5" t="s">
        <v>3164</v>
      </c>
      <c r="D577" s="5" t="s">
        <v>1242</v>
      </c>
      <c r="E577" s="5" t="s">
        <v>3165</v>
      </c>
      <c r="F577" s="5" t="s">
        <v>3166</v>
      </c>
      <c r="G577" s="6">
        <v>46119.442361111112</v>
      </c>
      <c r="H577" s="7">
        <v>46132</v>
      </c>
      <c r="I577" s="5" t="s">
        <v>3167</v>
      </c>
      <c r="J577" s="7">
        <v>46125</v>
      </c>
      <c r="K577" s="5" t="s">
        <v>1527</v>
      </c>
      <c r="L577" s="5" t="s">
        <v>1564</v>
      </c>
      <c r="M577" s="8">
        <v>404.9</v>
      </c>
      <c r="N577" s="5" t="s">
        <v>1536</v>
      </c>
      <c r="O577" s="7">
        <v>46125</v>
      </c>
    </row>
    <row r="578" spans="1:15" x14ac:dyDescent="0.25">
      <c r="A578" s="5" t="s">
        <v>4</v>
      </c>
      <c r="B578" s="5" t="s">
        <v>3168</v>
      </c>
      <c r="D578" s="5" t="s">
        <v>281</v>
      </c>
      <c r="E578" s="5" t="s">
        <v>3169</v>
      </c>
      <c r="F578" s="5" t="s">
        <v>1548</v>
      </c>
      <c r="G578" s="6">
        <v>46045.410416666666</v>
      </c>
      <c r="H578" s="7">
        <v>46058</v>
      </c>
      <c r="I578" s="5" t="s">
        <v>2352</v>
      </c>
      <c r="J578" s="7">
        <v>46064</v>
      </c>
      <c r="K578" s="5" t="s">
        <v>1527</v>
      </c>
      <c r="L578" s="5" t="s">
        <v>1564</v>
      </c>
      <c r="M578" s="8">
        <v>403.08</v>
      </c>
      <c r="N578" s="5" t="s">
        <v>1536</v>
      </c>
      <c r="O578" s="7">
        <v>46064</v>
      </c>
    </row>
    <row r="579" spans="1:15" hidden="1" x14ac:dyDescent="0.25">
      <c r="A579" s="5" t="s">
        <v>1522</v>
      </c>
      <c r="B579" s="5" t="s">
        <v>3170</v>
      </c>
      <c r="D579" s="5" t="s">
        <v>80</v>
      </c>
      <c r="E579" s="5" t="s">
        <v>3171</v>
      </c>
      <c r="F579" s="5" t="s">
        <v>3172</v>
      </c>
      <c r="G579" s="6">
        <v>46170.463888888888</v>
      </c>
      <c r="H579" s="7">
        <v>46170</v>
      </c>
      <c r="I579" s="5" t="s">
        <v>3173</v>
      </c>
      <c r="J579" s="7">
        <v>46170</v>
      </c>
      <c r="K579" s="5" t="s">
        <v>1527</v>
      </c>
      <c r="L579" s="5" t="s">
        <v>1528</v>
      </c>
      <c r="M579" s="9">
        <v>400</v>
      </c>
      <c r="N579" s="5" t="s">
        <v>1536</v>
      </c>
      <c r="O579" s="7">
        <v>46170</v>
      </c>
    </row>
    <row r="580" spans="1:15" x14ac:dyDescent="0.25">
      <c r="A580" s="5" t="s">
        <v>4</v>
      </c>
      <c r="B580" s="5" t="s">
        <v>3174</v>
      </c>
      <c r="D580" s="5" t="s">
        <v>1160</v>
      </c>
      <c r="E580" s="5" t="s">
        <v>3175</v>
      </c>
      <c r="F580" s="5" t="s">
        <v>1663</v>
      </c>
      <c r="G580" s="6">
        <v>46139.324305555558</v>
      </c>
      <c r="H580" s="7">
        <v>46153</v>
      </c>
      <c r="I580" s="6">
        <v>46141.612500000003</v>
      </c>
      <c r="J580" s="7">
        <v>46141</v>
      </c>
      <c r="K580" s="5" t="s">
        <v>1527</v>
      </c>
      <c r="L580" s="5" t="s">
        <v>1564</v>
      </c>
      <c r="M580" s="8">
        <v>400</v>
      </c>
      <c r="N580" s="5" t="s">
        <v>1536</v>
      </c>
      <c r="O580" s="7">
        <v>46141</v>
      </c>
    </row>
    <row r="581" spans="1:15" x14ac:dyDescent="0.25">
      <c r="A581" s="5" t="s">
        <v>4</v>
      </c>
      <c r="B581" s="5" t="s">
        <v>3176</v>
      </c>
      <c r="D581" s="5" t="s">
        <v>548</v>
      </c>
      <c r="E581" s="5" t="s">
        <v>3177</v>
      </c>
      <c r="F581" s="5" t="s">
        <v>3178</v>
      </c>
      <c r="G581" s="6">
        <v>46048.429166666669</v>
      </c>
      <c r="H581" s="7">
        <v>46057</v>
      </c>
      <c r="I581" s="5" t="s">
        <v>3179</v>
      </c>
      <c r="J581" s="7">
        <v>46055</v>
      </c>
      <c r="K581" s="5" t="s">
        <v>1527</v>
      </c>
      <c r="L581" s="5" t="s">
        <v>1535</v>
      </c>
      <c r="M581" s="8">
        <v>399.2</v>
      </c>
      <c r="N581" s="5" t="s">
        <v>1536</v>
      </c>
      <c r="O581" s="7">
        <v>46055</v>
      </c>
    </row>
    <row r="582" spans="1:15" x14ac:dyDescent="0.25">
      <c r="A582" s="5" t="s">
        <v>4</v>
      </c>
      <c r="B582" s="5" t="s">
        <v>3180</v>
      </c>
      <c r="D582" s="5" t="s">
        <v>1003</v>
      </c>
      <c r="E582" s="5" t="s">
        <v>3181</v>
      </c>
      <c r="F582" s="5" t="s">
        <v>1548</v>
      </c>
      <c r="G582" s="6">
        <v>46029.685416666667</v>
      </c>
      <c r="H582" s="7">
        <v>46041</v>
      </c>
      <c r="I582" s="5" t="s">
        <v>3182</v>
      </c>
      <c r="J582" s="7">
        <v>46042</v>
      </c>
      <c r="K582" s="5" t="s">
        <v>1527</v>
      </c>
      <c r="L582" s="5" t="s">
        <v>1564</v>
      </c>
      <c r="M582" s="8">
        <v>399.1</v>
      </c>
      <c r="N582" s="5" t="s">
        <v>1536</v>
      </c>
      <c r="O582" s="7">
        <v>46042</v>
      </c>
    </row>
    <row r="583" spans="1:15" x14ac:dyDescent="0.25">
      <c r="A583" s="5" t="s">
        <v>4</v>
      </c>
      <c r="B583" s="5" t="s">
        <v>3183</v>
      </c>
      <c r="D583" s="5" t="s">
        <v>247</v>
      </c>
      <c r="E583" s="5" t="s">
        <v>3184</v>
      </c>
      <c r="F583" s="5" t="s">
        <v>1548</v>
      </c>
      <c r="G583" s="6">
        <v>46062.719444444447</v>
      </c>
      <c r="H583" s="7">
        <v>46063</v>
      </c>
      <c r="I583" s="6">
        <v>46063.667361111111</v>
      </c>
      <c r="J583" s="7">
        <v>46063</v>
      </c>
      <c r="K583" s="5" t="s">
        <v>1527</v>
      </c>
      <c r="L583" s="5" t="s">
        <v>1554</v>
      </c>
      <c r="M583" s="8">
        <v>398.9</v>
      </c>
      <c r="N583" s="5" t="s">
        <v>1536</v>
      </c>
      <c r="O583" s="7">
        <v>46063</v>
      </c>
    </row>
    <row r="584" spans="1:15" x14ac:dyDescent="0.25">
      <c r="A584" s="5" t="s">
        <v>4</v>
      </c>
      <c r="B584" s="5" t="s">
        <v>3185</v>
      </c>
      <c r="D584" s="5" t="s">
        <v>897</v>
      </c>
      <c r="E584" s="5" t="s">
        <v>3186</v>
      </c>
      <c r="F584" s="5" t="s">
        <v>3187</v>
      </c>
      <c r="G584" s="6">
        <v>46161.56527777778</v>
      </c>
      <c r="H584" s="7">
        <v>46164</v>
      </c>
      <c r="I584" s="5" t="s">
        <v>1533</v>
      </c>
      <c r="J584" s="7">
        <v>46164</v>
      </c>
      <c r="K584" s="5" t="s">
        <v>1534</v>
      </c>
      <c r="L584" s="5" t="s">
        <v>1535</v>
      </c>
      <c r="M584" s="8">
        <v>397.8</v>
      </c>
      <c r="N584" s="5" t="s">
        <v>1536</v>
      </c>
      <c r="O584" s="7">
        <v>46164</v>
      </c>
    </row>
    <row r="585" spans="1:15" hidden="1" x14ac:dyDescent="0.25">
      <c r="A585" s="5" t="s">
        <v>1522</v>
      </c>
      <c r="B585" s="5" t="s">
        <v>3188</v>
      </c>
      <c r="D585" s="5" t="s">
        <v>1506</v>
      </c>
      <c r="E585" s="5" t="s">
        <v>3189</v>
      </c>
      <c r="F585" s="5" t="s">
        <v>3157</v>
      </c>
      <c r="G585" s="6">
        <v>46065.714583333334</v>
      </c>
      <c r="H585" s="7">
        <v>46077</v>
      </c>
      <c r="I585" s="5" t="s">
        <v>3190</v>
      </c>
      <c r="J585" s="7">
        <v>46077</v>
      </c>
      <c r="K585" s="5" t="s">
        <v>1527</v>
      </c>
      <c r="L585" s="5" t="s">
        <v>1528</v>
      </c>
      <c r="M585" s="8">
        <v>397.76</v>
      </c>
      <c r="N585" s="5" t="s">
        <v>1536</v>
      </c>
      <c r="O585" s="7">
        <v>46077</v>
      </c>
    </row>
    <row r="586" spans="1:15" hidden="1" x14ac:dyDescent="0.25">
      <c r="A586" s="5" t="s">
        <v>1522</v>
      </c>
      <c r="B586" s="5" t="s">
        <v>3191</v>
      </c>
      <c r="D586" s="5" t="s">
        <v>1486</v>
      </c>
      <c r="E586" s="5" t="s">
        <v>1647</v>
      </c>
      <c r="F586" s="5" t="s">
        <v>3192</v>
      </c>
      <c r="G586" s="6">
        <v>46125.449305555558</v>
      </c>
      <c r="H586" s="7">
        <v>46129</v>
      </c>
      <c r="I586" s="6">
        <v>46127.738888888889</v>
      </c>
      <c r="J586" s="7">
        <v>46127</v>
      </c>
      <c r="K586" s="5" t="s">
        <v>1527</v>
      </c>
      <c r="L586" s="5" t="s">
        <v>1528</v>
      </c>
      <c r="M586" s="8">
        <v>396</v>
      </c>
      <c r="N586" s="5" t="s">
        <v>1536</v>
      </c>
      <c r="O586" s="7">
        <v>46127</v>
      </c>
    </row>
    <row r="587" spans="1:15" x14ac:dyDescent="0.25">
      <c r="A587" s="5" t="s">
        <v>4</v>
      </c>
      <c r="B587" s="5" t="s">
        <v>3193</v>
      </c>
      <c r="D587" s="5" t="s">
        <v>1030</v>
      </c>
      <c r="E587" s="5" t="s">
        <v>3194</v>
      </c>
      <c r="F587" s="5" t="s">
        <v>1663</v>
      </c>
      <c r="G587" s="6">
        <v>46093.481944444444</v>
      </c>
      <c r="H587" s="7">
        <v>46106</v>
      </c>
      <c r="I587" s="6">
        <v>46106.670138888891</v>
      </c>
      <c r="J587" s="7">
        <v>46106</v>
      </c>
      <c r="K587" s="5" t="s">
        <v>1527</v>
      </c>
      <c r="L587" s="5" t="s">
        <v>1564</v>
      </c>
      <c r="M587" s="8">
        <v>396</v>
      </c>
      <c r="N587" s="5" t="s">
        <v>1536</v>
      </c>
      <c r="O587" s="7">
        <v>46106</v>
      </c>
    </row>
    <row r="588" spans="1:15" x14ac:dyDescent="0.25">
      <c r="A588" s="5" t="s">
        <v>4</v>
      </c>
      <c r="B588" s="5" t="s">
        <v>3195</v>
      </c>
      <c r="D588" s="5" t="s">
        <v>1011</v>
      </c>
      <c r="E588" s="5" t="s">
        <v>3196</v>
      </c>
      <c r="F588" s="5" t="s">
        <v>1567</v>
      </c>
      <c r="G588" s="6">
        <v>46168.406944444447</v>
      </c>
      <c r="H588" s="7">
        <v>46171</v>
      </c>
      <c r="I588" s="5" t="s">
        <v>3197</v>
      </c>
      <c r="J588" s="7">
        <v>46174</v>
      </c>
      <c r="K588" s="5" t="s">
        <v>1527</v>
      </c>
      <c r="L588" s="5" t="s">
        <v>1564</v>
      </c>
      <c r="M588" s="8">
        <v>396</v>
      </c>
      <c r="N588" s="5" t="s">
        <v>1529</v>
      </c>
      <c r="O588" s="7">
        <v>46174</v>
      </c>
    </row>
    <row r="589" spans="1:15" x14ac:dyDescent="0.25">
      <c r="A589" s="5" t="s">
        <v>4</v>
      </c>
      <c r="B589" s="5" t="s">
        <v>3198</v>
      </c>
      <c r="D589" s="5" t="s">
        <v>622</v>
      </c>
      <c r="E589" s="5" t="s">
        <v>3199</v>
      </c>
      <c r="F589" s="5" t="s">
        <v>2306</v>
      </c>
      <c r="G589" s="6">
        <v>46107.563194444447</v>
      </c>
      <c r="H589" s="7">
        <v>46121</v>
      </c>
      <c r="I589" s="6">
        <v>46119.683333333334</v>
      </c>
      <c r="J589" s="7">
        <v>46118</v>
      </c>
      <c r="K589" s="5" t="s">
        <v>1527</v>
      </c>
      <c r="L589" s="5" t="s">
        <v>1564</v>
      </c>
      <c r="M589" s="8">
        <v>395</v>
      </c>
      <c r="N589" s="5" t="s">
        <v>1536</v>
      </c>
      <c r="O589" s="7">
        <v>46118</v>
      </c>
    </row>
    <row r="590" spans="1:15" x14ac:dyDescent="0.25">
      <c r="A590" s="5" t="s">
        <v>4</v>
      </c>
      <c r="B590" s="5" t="s">
        <v>3200</v>
      </c>
      <c r="D590" s="5" t="s">
        <v>1391</v>
      </c>
      <c r="E590" s="5" t="s">
        <v>3201</v>
      </c>
      <c r="F590" s="5" t="s">
        <v>3202</v>
      </c>
      <c r="G590" s="6">
        <v>46140.442361111112</v>
      </c>
      <c r="H590" s="7">
        <v>46147</v>
      </c>
      <c r="I590" s="6">
        <v>46141.612500000003</v>
      </c>
      <c r="J590" s="7">
        <v>46141</v>
      </c>
      <c r="K590" s="5" t="s">
        <v>1527</v>
      </c>
      <c r="L590" s="5" t="s">
        <v>1564</v>
      </c>
      <c r="M590" s="8">
        <v>394.8</v>
      </c>
      <c r="N590" s="5" t="s">
        <v>1536</v>
      </c>
      <c r="O590" s="7">
        <v>46141</v>
      </c>
    </row>
    <row r="591" spans="1:15" x14ac:dyDescent="0.25">
      <c r="A591" s="5" t="s">
        <v>4</v>
      </c>
      <c r="B591" s="5" t="s">
        <v>3203</v>
      </c>
      <c r="D591" s="5" t="s">
        <v>478</v>
      </c>
      <c r="E591" s="5" t="s">
        <v>3204</v>
      </c>
      <c r="F591" s="5" t="s">
        <v>1813</v>
      </c>
      <c r="G591" s="6">
        <v>46084.692361111112</v>
      </c>
      <c r="H591" s="7">
        <v>46094</v>
      </c>
      <c r="I591" s="5" t="s">
        <v>3205</v>
      </c>
      <c r="J591" s="7">
        <v>46118</v>
      </c>
      <c r="K591" s="5" t="s">
        <v>1527</v>
      </c>
      <c r="L591" s="5" t="s">
        <v>1535</v>
      </c>
      <c r="M591" s="8">
        <v>394.5</v>
      </c>
      <c r="N591" s="5" t="s">
        <v>1536</v>
      </c>
      <c r="O591" s="7">
        <v>46118</v>
      </c>
    </row>
    <row r="592" spans="1:15" x14ac:dyDescent="0.25">
      <c r="A592" s="5" t="s">
        <v>4</v>
      </c>
      <c r="B592" s="5" t="s">
        <v>3206</v>
      </c>
      <c r="D592" s="5" t="s">
        <v>1020</v>
      </c>
      <c r="E592" s="5" t="s">
        <v>3207</v>
      </c>
      <c r="F592" s="5" t="s">
        <v>1813</v>
      </c>
      <c r="G592" s="6">
        <v>46077.713888888888</v>
      </c>
      <c r="H592" s="7">
        <v>46087</v>
      </c>
      <c r="I592" s="6">
        <v>46086.508333333331</v>
      </c>
      <c r="J592" s="7">
        <v>46086</v>
      </c>
      <c r="K592" s="5" t="s">
        <v>1527</v>
      </c>
      <c r="L592" s="5" t="s">
        <v>1535</v>
      </c>
      <c r="M592" s="8">
        <v>394.3</v>
      </c>
      <c r="N592" s="5" t="s">
        <v>1536</v>
      </c>
      <c r="O592" s="7">
        <v>46086</v>
      </c>
    </row>
    <row r="593" spans="1:15" x14ac:dyDescent="0.25">
      <c r="A593" s="5" t="s">
        <v>4</v>
      </c>
      <c r="B593" s="5" t="s">
        <v>3208</v>
      </c>
      <c r="D593" s="5" t="s">
        <v>1471</v>
      </c>
      <c r="E593" s="5" t="s">
        <v>3209</v>
      </c>
      <c r="F593" s="5" t="s">
        <v>3210</v>
      </c>
      <c r="G593" s="6">
        <v>46093.443055555559</v>
      </c>
      <c r="H593" s="7">
        <v>46099</v>
      </c>
      <c r="I593" s="5" t="s">
        <v>1533</v>
      </c>
      <c r="J593" s="7">
        <v>46101</v>
      </c>
      <c r="K593" s="5" t="s">
        <v>1534</v>
      </c>
      <c r="L593" s="5" t="s">
        <v>1621</v>
      </c>
      <c r="M593" s="8">
        <v>392.97</v>
      </c>
      <c r="N593" s="5" t="s">
        <v>1536</v>
      </c>
      <c r="O593" s="7">
        <v>46101</v>
      </c>
    </row>
    <row r="594" spans="1:15" x14ac:dyDescent="0.25">
      <c r="A594" s="5" t="s">
        <v>4</v>
      </c>
      <c r="B594" s="5" t="s">
        <v>3211</v>
      </c>
      <c r="D594" s="5" t="s">
        <v>593</v>
      </c>
      <c r="E594" s="5" t="s">
        <v>3212</v>
      </c>
      <c r="F594" s="5" t="s">
        <v>3213</v>
      </c>
      <c r="G594" s="6">
        <v>46167.65347222222</v>
      </c>
      <c r="H594" s="7">
        <v>46174</v>
      </c>
      <c r="I594" s="5" t="s">
        <v>3214</v>
      </c>
      <c r="J594" s="7">
        <v>46171</v>
      </c>
      <c r="K594" s="5" t="s">
        <v>1527</v>
      </c>
      <c r="L594" s="5" t="s">
        <v>1621</v>
      </c>
      <c r="M594" s="8">
        <v>392.91</v>
      </c>
      <c r="N594" s="5" t="s">
        <v>1536</v>
      </c>
      <c r="O594" s="7">
        <v>46171</v>
      </c>
    </row>
    <row r="595" spans="1:15" hidden="1" x14ac:dyDescent="0.25">
      <c r="A595" s="5" t="s">
        <v>1522</v>
      </c>
      <c r="B595" s="5" t="s">
        <v>3215</v>
      </c>
      <c r="D595" s="5" t="s">
        <v>1508</v>
      </c>
      <c r="E595" s="5" t="s">
        <v>2606</v>
      </c>
      <c r="F595" s="5" t="s">
        <v>3216</v>
      </c>
      <c r="G595" s="6">
        <v>46128.638194444444</v>
      </c>
      <c r="H595" s="7">
        <v>46134</v>
      </c>
      <c r="I595" s="5" t="s">
        <v>3217</v>
      </c>
      <c r="J595" s="7">
        <v>46142</v>
      </c>
      <c r="K595" s="5" t="s">
        <v>1527</v>
      </c>
      <c r="L595" s="5" t="s">
        <v>1528</v>
      </c>
      <c r="M595" s="8">
        <v>392.85</v>
      </c>
      <c r="N595" s="5" t="s">
        <v>1536</v>
      </c>
      <c r="O595" s="7">
        <v>46142</v>
      </c>
    </row>
    <row r="596" spans="1:15" x14ac:dyDescent="0.25">
      <c r="A596" s="5" t="s">
        <v>4</v>
      </c>
      <c r="B596" s="5" t="s">
        <v>3218</v>
      </c>
      <c r="D596" s="5" t="s">
        <v>712</v>
      </c>
      <c r="E596" s="5" t="s">
        <v>3219</v>
      </c>
      <c r="F596" s="5" t="s">
        <v>1813</v>
      </c>
      <c r="G596" s="6">
        <v>46043.692361111112</v>
      </c>
      <c r="H596" s="7">
        <v>46052</v>
      </c>
      <c r="I596" s="5" t="s">
        <v>1608</v>
      </c>
      <c r="J596" s="7">
        <v>46052</v>
      </c>
      <c r="K596" s="5" t="s">
        <v>1527</v>
      </c>
      <c r="L596" s="5" t="s">
        <v>1535</v>
      </c>
      <c r="M596" s="8">
        <v>392</v>
      </c>
      <c r="N596" s="5" t="s">
        <v>1536</v>
      </c>
      <c r="O596" s="7">
        <v>46052</v>
      </c>
    </row>
    <row r="597" spans="1:15" x14ac:dyDescent="0.25">
      <c r="A597" s="5" t="s">
        <v>4</v>
      </c>
      <c r="B597" s="5" t="s">
        <v>3220</v>
      </c>
      <c r="D597" s="5" t="s">
        <v>999</v>
      </c>
      <c r="E597" s="5" t="s">
        <v>3221</v>
      </c>
      <c r="F597" s="5" t="s">
        <v>3222</v>
      </c>
      <c r="G597" s="6">
        <v>46148.554166666669</v>
      </c>
      <c r="H597" s="7">
        <v>46156</v>
      </c>
      <c r="I597" s="5" t="s">
        <v>3223</v>
      </c>
      <c r="J597" s="7">
        <v>46160</v>
      </c>
      <c r="K597" s="5" t="s">
        <v>1527</v>
      </c>
      <c r="L597" s="5" t="s">
        <v>1535</v>
      </c>
      <c r="M597" s="8">
        <v>392</v>
      </c>
      <c r="N597" s="5" t="s">
        <v>1536</v>
      </c>
      <c r="O597" s="7">
        <v>46160</v>
      </c>
    </row>
    <row r="598" spans="1:15" x14ac:dyDescent="0.25">
      <c r="A598" s="5" t="s">
        <v>4</v>
      </c>
      <c r="B598" s="5" t="s">
        <v>3224</v>
      </c>
      <c r="D598" s="5" t="s">
        <v>1392</v>
      </c>
      <c r="E598" s="5" t="s">
        <v>3225</v>
      </c>
      <c r="F598" s="5" t="s">
        <v>1548</v>
      </c>
      <c r="G598" s="6">
        <v>46050.738888888889</v>
      </c>
      <c r="H598" s="7">
        <v>46063</v>
      </c>
      <c r="I598" s="5" t="s">
        <v>2835</v>
      </c>
      <c r="J598" s="7">
        <v>46065</v>
      </c>
      <c r="K598" s="5" t="s">
        <v>1527</v>
      </c>
      <c r="L598" s="5" t="s">
        <v>1564</v>
      </c>
      <c r="M598" s="8">
        <v>390</v>
      </c>
      <c r="N598" s="5" t="s">
        <v>1536</v>
      </c>
      <c r="O598" s="7">
        <v>46065</v>
      </c>
    </row>
    <row r="599" spans="1:15" x14ac:dyDescent="0.25">
      <c r="A599" s="5" t="s">
        <v>4</v>
      </c>
      <c r="B599" s="5" t="s">
        <v>3226</v>
      </c>
      <c r="D599" s="5" t="s">
        <v>379</v>
      </c>
      <c r="E599" s="5" t="s">
        <v>3227</v>
      </c>
      <c r="F599" s="5" t="s">
        <v>1738</v>
      </c>
      <c r="G599" s="6">
        <v>46135.45</v>
      </c>
      <c r="H599" s="7">
        <v>46149</v>
      </c>
      <c r="I599" s="6">
        <v>46141.613888888889</v>
      </c>
      <c r="J599" s="7">
        <v>46141</v>
      </c>
      <c r="K599" s="5" t="s">
        <v>1527</v>
      </c>
      <c r="L599" s="5" t="s">
        <v>1564</v>
      </c>
      <c r="M599" s="8">
        <v>390</v>
      </c>
      <c r="N599" s="5" t="s">
        <v>1536</v>
      </c>
      <c r="O599" s="7">
        <v>46141</v>
      </c>
    </row>
    <row r="600" spans="1:15" x14ac:dyDescent="0.25">
      <c r="A600" s="5" t="s">
        <v>4</v>
      </c>
      <c r="B600" s="5" t="s">
        <v>3228</v>
      </c>
      <c r="D600" s="5" t="s">
        <v>1148</v>
      </c>
      <c r="E600" s="5" t="s">
        <v>3229</v>
      </c>
      <c r="F600" s="5" t="s">
        <v>3230</v>
      </c>
      <c r="G600" s="6">
        <v>46171.538888888892</v>
      </c>
      <c r="H600" s="7">
        <v>46181</v>
      </c>
      <c r="I600" s="6">
        <v>46178.494444444441</v>
      </c>
      <c r="J600" s="7">
        <v>46178</v>
      </c>
      <c r="K600" s="5" t="s">
        <v>1527</v>
      </c>
      <c r="L600" s="5" t="s">
        <v>1564</v>
      </c>
      <c r="M600" s="8">
        <v>390</v>
      </c>
      <c r="N600" s="5" t="s">
        <v>1529</v>
      </c>
      <c r="O600" s="7">
        <v>46178</v>
      </c>
    </row>
    <row r="601" spans="1:15" x14ac:dyDescent="0.25">
      <c r="A601" s="5" t="s">
        <v>4</v>
      </c>
      <c r="B601" s="5" t="s">
        <v>3231</v>
      </c>
      <c r="D601" s="5" t="s">
        <v>914</v>
      </c>
      <c r="E601" s="5" t="s">
        <v>3232</v>
      </c>
      <c r="F601" s="5" t="s">
        <v>1548</v>
      </c>
      <c r="G601" s="6">
        <v>46085.569444444445</v>
      </c>
      <c r="H601" s="7">
        <v>46112</v>
      </c>
      <c r="I601" s="6">
        <v>46112.732638888891</v>
      </c>
      <c r="J601" s="7">
        <v>46107</v>
      </c>
      <c r="K601" s="5" t="s">
        <v>1527</v>
      </c>
      <c r="L601" s="5" t="s">
        <v>1535</v>
      </c>
      <c r="M601" s="8">
        <v>389.7</v>
      </c>
      <c r="N601" s="5" t="s">
        <v>1536</v>
      </c>
      <c r="O601" s="7">
        <v>46107</v>
      </c>
    </row>
    <row r="602" spans="1:15" x14ac:dyDescent="0.25">
      <c r="A602" s="5" t="s">
        <v>4</v>
      </c>
      <c r="B602" s="5" t="s">
        <v>3233</v>
      </c>
      <c r="D602" s="5" t="s">
        <v>1415</v>
      </c>
      <c r="E602" s="5" t="s">
        <v>2086</v>
      </c>
      <c r="F602" s="5" t="s">
        <v>3234</v>
      </c>
      <c r="G602" s="6">
        <v>46161.413888888892</v>
      </c>
      <c r="H602" s="7">
        <v>46168</v>
      </c>
      <c r="I602" s="5" t="s">
        <v>3235</v>
      </c>
      <c r="J602" s="7">
        <v>46171</v>
      </c>
      <c r="K602" s="5" t="s">
        <v>1527</v>
      </c>
      <c r="L602" s="5" t="s">
        <v>1621</v>
      </c>
      <c r="M602" s="8">
        <v>388.75</v>
      </c>
      <c r="N602" s="5" t="s">
        <v>1536</v>
      </c>
      <c r="O602" s="7">
        <v>46171</v>
      </c>
    </row>
    <row r="603" spans="1:15" x14ac:dyDescent="0.25">
      <c r="A603" s="5" t="s">
        <v>4</v>
      </c>
      <c r="B603" s="5" t="s">
        <v>3236</v>
      </c>
      <c r="D603" s="5" t="s">
        <v>1489</v>
      </c>
      <c r="E603" s="5" t="s">
        <v>2431</v>
      </c>
      <c r="F603" s="5" t="s">
        <v>1742</v>
      </c>
      <c r="G603" s="6">
        <v>46150.62777777778</v>
      </c>
      <c r="H603" s="7">
        <v>46162</v>
      </c>
      <c r="I603" s="5" t="s">
        <v>2832</v>
      </c>
      <c r="J603" s="7">
        <v>46163</v>
      </c>
      <c r="K603" s="5" t="s">
        <v>1527</v>
      </c>
      <c r="L603" s="5" t="s">
        <v>1535</v>
      </c>
      <c r="M603" s="8">
        <v>387.2</v>
      </c>
      <c r="N603" s="5" t="s">
        <v>1536</v>
      </c>
      <c r="O603" s="7">
        <v>46163</v>
      </c>
    </row>
    <row r="604" spans="1:15" x14ac:dyDescent="0.25">
      <c r="A604" s="5" t="s">
        <v>4</v>
      </c>
      <c r="B604" s="5" t="s">
        <v>3237</v>
      </c>
      <c r="D604" s="5" t="s">
        <v>1052</v>
      </c>
      <c r="E604" s="5" t="s">
        <v>3238</v>
      </c>
      <c r="F604" s="5" t="s">
        <v>1532</v>
      </c>
      <c r="G604" s="6">
        <v>46073.554166666669</v>
      </c>
      <c r="H604" s="7">
        <v>46084</v>
      </c>
      <c r="I604" s="5" t="s">
        <v>3239</v>
      </c>
      <c r="J604" s="7">
        <v>46087</v>
      </c>
      <c r="K604" s="5" t="s">
        <v>1527</v>
      </c>
      <c r="L604" s="5" t="s">
        <v>1535</v>
      </c>
      <c r="M604" s="8">
        <v>386.2</v>
      </c>
      <c r="N604" s="5" t="s">
        <v>1536</v>
      </c>
      <c r="O604" s="7">
        <v>46087</v>
      </c>
    </row>
    <row r="605" spans="1:15" x14ac:dyDescent="0.25">
      <c r="A605" s="5" t="s">
        <v>4</v>
      </c>
      <c r="B605" s="5" t="s">
        <v>3240</v>
      </c>
      <c r="D605" s="5" t="s">
        <v>1193</v>
      </c>
      <c r="E605" s="5" t="s">
        <v>3241</v>
      </c>
      <c r="F605" s="5" t="s">
        <v>3242</v>
      </c>
      <c r="G605" s="6">
        <v>46170.72152777778</v>
      </c>
      <c r="H605" s="7">
        <v>46177</v>
      </c>
      <c r="I605" s="5" t="s">
        <v>1533</v>
      </c>
      <c r="J605" s="7">
        <v>46183</v>
      </c>
      <c r="K605" s="5" t="s">
        <v>1534</v>
      </c>
      <c r="L605" s="5" t="s">
        <v>3243</v>
      </c>
      <c r="M605" s="8">
        <v>385.05</v>
      </c>
      <c r="N605" s="5" t="s">
        <v>1529</v>
      </c>
      <c r="O605" s="7">
        <v>46183</v>
      </c>
    </row>
    <row r="606" spans="1:15" x14ac:dyDescent="0.25">
      <c r="A606" s="5" t="s">
        <v>4</v>
      </c>
      <c r="B606" s="5" t="s">
        <v>3244</v>
      </c>
      <c r="D606" s="5" t="s">
        <v>386</v>
      </c>
      <c r="E606" s="5" t="s">
        <v>3245</v>
      </c>
      <c r="F606" s="5" t="s">
        <v>1813</v>
      </c>
      <c r="G606" s="6">
        <v>46121.388888888891</v>
      </c>
      <c r="H606" s="7">
        <v>46132</v>
      </c>
      <c r="I606" s="5" t="s">
        <v>1533</v>
      </c>
      <c r="J606" s="7">
        <v>46127</v>
      </c>
      <c r="K606" s="5" t="s">
        <v>1534</v>
      </c>
      <c r="L606" s="5" t="s">
        <v>1535</v>
      </c>
      <c r="M606" s="8">
        <v>384</v>
      </c>
      <c r="N606" s="5" t="s">
        <v>1536</v>
      </c>
      <c r="O606" s="7">
        <v>46127</v>
      </c>
    </row>
    <row r="607" spans="1:15" x14ac:dyDescent="0.25">
      <c r="A607" s="5" t="s">
        <v>4</v>
      </c>
      <c r="B607" s="5" t="s">
        <v>3246</v>
      </c>
      <c r="D607" s="5" t="s">
        <v>633</v>
      </c>
      <c r="E607" s="5" t="s">
        <v>3247</v>
      </c>
      <c r="F607" s="5" t="s">
        <v>3248</v>
      </c>
      <c r="G607" s="6">
        <v>46113.657638888886</v>
      </c>
      <c r="H607" s="7">
        <v>46120</v>
      </c>
      <c r="I607" s="5" t="s">
        <v>3249</v>
      </c>
      <c r="J607" s="7">
        <v>46121</v>
      </c>
      <c r="K607" s="5" t="s">
        <v>1527</v>
      </c>
      <c r="L607" s="5" t="s">
        <v>1621</v>
      </c>
      <c r="M607" s="8">
        <v>381.96</v>
      </c>
      <c r="N607" s="5" t="s">
        <v>1536</v>
      </c>
      <c r="O607" s="7">
        <v>46121</v>
      </c>
    </row>
    <row r="608" spans="1:15" x14ac:dyDescent="0.25">
      <c r="A608" s="5" t="s">
        <v>4</v>
      </c>
      <c r="B608" s="5" t="s">
        <v>3250</v>
      </c>
      <c r="D608" s="5" t="s">
        <v>771</v>
      </c>
      <c r="E608" s="5" t="s">
        <v>3251</v>
      </c>
      <c r="F608" s="5" t="s">
        <v>3252</v>
      </c>
      <c r="G608" s="6">
        <v>46142.665972222225</v>
      </c>
      <c r="H608" s="7">
        <v>46148</v>
      </c>
      <c r="I608" s="6">
        <v>46148.598611111112</v>
      </c>
      <c r="J608" s="7">
        <v>46148</v>
      </c>
      <c r="K608" s="5" t="s">
        <v>1527</v>
      </c>
      <c r="L608" s="5" t="s">
        <v>1621</v>
      </c>
      <c r="M608" s="8">
        <v>380.57</v>
      </c>
      <c r="N608" s="5" t="s">
        <v>1536</v>
      </c>
      <c r="O608" s="7">
        <v>46148</v>
      </c>
    </row>
    <row r="609" spans="1:15" hidden="1" x14ac:dyDescent="0.25">
      <c r="A609" s="5" t="s">
        <v>1522</v>
      </c>
      <c r="B609" s="5" t="s">
        <v>3253</v>
      </c>
      <c r="D609" s="5" t="s">
        <v>1191</v>
      </c>
      <c r="E609" s="5" t="s">
        <v>3254</v>
      </c>
      <c r="F609" s="5" t="s">
        <v>3255</v>
      </c>
      <c r="G609" s="6">
        <v>46042.34375</v>
      </c>
      <c r="H609" s="7">
        <v>46050</v>
      </c>
      <c r="I609" s="6">
        <v>46049.743055555555</v>
      </c>
      <c r="J609" s="7">
        <v>46049</v>
      </c>
      <c r="K609" s="5" t="s">
        <v>1527</v>
      </c>
      <c r="L609" s="5" t="s">
        <v>1528</v>
      </c>
      <c r="M609" s="8">
        <v>380</v>
      </c>
      <c r="N609" s="5" t="s">
        <v>1536</v>
      </c>
      <c r="O609" s="7">
        <v>46049</v>
      </c>
    </row>
    <row r="610" spans="1:15" hidden="1" x14ac:dyDescent="0.25">
      <c r="A610" s="5" t="s">
        <v>1522</v>
      </c>
      <c r="B610" s="5" t="s">
        <v>3256</v>
      </c>
      <c r="D610" s="5" t="s">
        <v>1282</v>
      </c>
      <c r="E610" s="5" t="s">
        <v>3131</v>
      </c>
      <c r="F610" s="5" t="s">
        <v>3132</v>
      </c>
      <c r="G610" s="6">
        <v>46077.668749999997</v>
      </c>
      <c r="H610" s="7">
        <v>46086</v>
      </c>
      <c r="I610" s="5" t="s">
        <v>3257</v>
      </c>
      <c r="J610" s="7">
        <v>46099</v>
      </c>
      <c r="K610" s="5" t="s">
        <v>1527</v>
      </c>
      <c r="L610" s="5" t="s">
        <v>1528</v>
      </c>
      <c r="M610" s="8">
        <v>380</v>
      </c>
      <c r="N610" s="5" t="s">
        <v>1536</v>
      </c>
      <c r="O610" s="7">
        <v>46099</v>
      </c>
    </row>
    <row r="611" spans="1:15" hidden="1" x14ac:dyDescent="0.25">
      <c r="A611" s="5" t="s">
        <v>1522</v>
      </c>
      <c r="B611" s="5" t="s">
        <v>3258</v>
      </c>
      <c r="D611" s="5" t="s">
        <v>1341</v>
      </c>
      <c r="E611" s="5" t="s">
        <v>3259</v>
      </c>
      <c r="F611" s="5" t="s">
        <v>1548</v>
      </c>
      <c r="G611" s="6">
        <v>46121.411111111112</v>
      </c>
      <c r="H611" s="7">
        <v>46129</v>
      </c>
      <c r="I611" s="5" t="s">
        <v>3260</v>
      </c>
      <c r="J611" s="7">
        <v>46127</v>
      </c>
      <c r="K611" s="5" t="s">
        <v>1527</v>
      </c>
      <c r="L611" s="5" t="s">
        <v>1528</v>
      </c>
      <c r="M611" s="8">
        <v>380</v>
      </c>
      <c r="N611" s="5" t="s">
        <v>1536</v>
      </c>
      <c r="O611" s="7">
        <v>46127</v>
      </c>
    </row>
    <row r="612" spans="1:15" x14ac:dyDescent="0.25">
      <c r="A612" s="5" t="s">
        <v>4</v>
      </c>
      <c r="B612" s="5" t="s">
        <v>3261</v>
      </c>
      <c r="D612" s="5" t="s">
        <v>1390</v>
      </c>
      <c r="E612" s="5" t="s">
        <v>3262</v>
      </c>
      <c r="F612" s="5" t="s">
        <v>3263</v>
      </c>
      <c r="G612" s="6">
        <v>46112.638194444444</v>
      </c>
      <c r="H612" s="7">
        <v>46126</v>
      </c>
      <c r="I612" s="5" t="s">
        <v>3264</v>
      </c>
      <c r="J612" s="7">
        <v>46126</v>
      </c>
      <c r="K612" s="5" t="s">
        <v>1527</v>
      </c>
      <c r="L612" s="5" t="s">
        <v>1564</v>
      </c>
      <c r="M612" s="8">
        <v>378.4</v>
      </c>
      <c r="N612" s="5" t="s">
        <v>1536</v>
      </c>
      <c r="O612" s="7">
        <v>46126</v>
      </c>
    </row>
    <row r="613" spans="1:15" x14ac:dyDescent="0.25">
      <c r="A613" s="5" t="s">
        <v>4</v>
      </c>
      <c r="B613" s="5" t="s">
        <v>3265</v>
      </c>
      <c r="D613" s="5" t="s">
        <v>1390</v>
      </c>
      <c r="E613" s="5" t="s">
        <v>3262</v>
      </c>
      <c r="F613" s="5" t="s">
        <v>3266</v>
      </c>
      <c r="G613" s="6">
        <v>46136.481249999997</v>
      </c>
      <c r="H613" s="7">
        <v>46146</v>
      </c>
      <c r="I613" s="6">
        <v>46142.647916666669</v>
      </c>
      <c r="J613" s="7">
        <v>46141</v>
      </c>
      <c r="K613" s="5" t="s">
        <v>1527</v>
      </c>
      <c r="L613" s="5" t="s">
        <v>1564</v>
      </c>
      <c r="M613" s="8">
        <v>378.4</v>
      </c>
      <c r="N613" s="5" t="s">
        <v>1536</v>
      </c>
      <c r="O613" s="7">
        <v>46141</v>
      </c>
    </row>
    <row r="614" spans="1:15" x14ac:dyDescent="0.25">
      <c r="A614" s="5" t="s">
        <v>4</v>
      </c>
      <c r="B614" s="5" t="s">
        <v>3267</v>
      </c>
      <c r="D614" s="5" t="s">
        <v>1307</v>
      </c>
      <c r="E614" s="5" t="s">
        <v>3268</v>
      </c>
      <c r="F614" s="5" t="s">
        <v>1548</v>
      </c>
      <c r="G614" s="6">
        <v>46058.65902777778</v>
      </c>
      <c r="H614" s="7">
        <v>46070</v>
      </c>
      <c r="I614" s="5" t="s">
        <v>3269</v>
      </c>
      <c r="J614" s="7">
        <v>46071</v>
      </c>
      <c r="K614" s="5" t="s">
        <v>1527</v>
      </c>
      <c r="L614" s="5" t="s">
        <v>1535</v>
      </c>
      <c r="M614" s="8">
        <v>378</v>
      </c>
      <c r="N614" s="5" t="s">
        <v>1536</v>
      </c>
      <c r="O614" s="7">
        <v>46071</v>
      </c>
    </row>
    <row r="615" spans="1:15" hidden="1" x14ac:dyDescent="0.25">
      <c r="A615" s="5" t="s">
        <v>1522</v>
      </c>
      <c r="B615" s="5" t="s">
        <v>3270</v>
      </c>
      <c r="D615" s="5" t="s">
        <v>1504</v>
      </c>
      <c r="E615" s="5" t="s">
        <v>1888</v>
      </c>
      <c r="F615" s="5" t="s">
        <v>1548</v>
      </c>
      <c r="G615" s="6">
        <v>46051.431250000001</v>
      </c>
      <c r="H615" s="7">
        <v>46058</v>
      </c>
      <c r="I615" s="5" t="s">
        <v>3271</v>
      </c>
      <c r="J615" s="7">
        <v>46059</v>
      </c>
      <c r="K615" s="5" t="s">
        <v>1527</v>
      </c>
      <c r="L615" s="5" t="s">
        <v>1528</v>
      </c>
      <c r="M615" s="8">
        <v>377.3</v>
      </c>
      <c r="N615" s="5" t="s">
        <v>1536</v>
      </c>
      <c r="O615" s="7">
        <v>46059</v>
      </c>
    </row>
    <row r="616" spans="1:15" x14ac:dyDescent="0.25">
      <c r="A616" s="5" t="s">
        <v>4</v>
      </c>
      <c r="B616" s="5" t="s">
        <v>3272</v>
      </c>
      <c r="D616" s="5" t="s">
        <v>1204</v>
      </c>
      <c r="E616" s="5" t="s">
        <v>3273</v>
      </c>
      <c r="F616" s="5" t="s">
        <v>3274</v>
      </c>
      <c r="G616" s="6">
        <v>46098.697916666664</v>
      </c>
      <c r="H616" s="7">
        <v>46105</v>
      </c>
      <c r="I616" s="5" t="s">
        <v>2634</v>
      </c>
      <c r="J616" s="7">
        <v>46106</v>
      </c>
      <c r="K616" s="5" t="s">
        <v>1527</v>
      </c>
      <c r="L616" s="5" t="s">
        <v>1621</v>
      </c>
      <c r="M616" s="8">
        <v>375.43</v>
      </c>
      <c r="N616" s="5" t="s">
        <v>1536</v>
      </c>
      <c r="O616" s="7">
        <v>46106</v>
      </c>
    </row>
    <row r="617" spans="1:15" hidden="1" x14ac:dyDescent="0.25">
      <c r="A617" s="5" t="s">
        <v>1522</v>
      </c>
      <c r="B617" s="5" t="s">
        <v>3275</v>
      </c>
      <c r="D617" s="5" t="s">
        <v>1507</v>
      </c>
      <c r="E617" s="5" t="s">
        <v>2247</v>
      </c>
      <c r="F617" s="5" t="s">
        <v>3276</v>
      </c>
      <c r="G617" s="6">
        <v>46168.716666666667</v>
      </c>
      <c r="H617" s="7">
        <v>46176</v>
      </c>
      <c r="I617" s="5" t="s">
        <v>1533</v>
      </c>
      <c r="J617" s="7">
        <v>46184</v>
      </c>
      <c r="K617" s="5" t="s">
        <v>1534</v>
      </c>
      <c r="L617" s="5" t="s">
        <v>1528</v>
      </c>
      <c r="M617" s="8">
        <v>375</v>
      </c>
      <c r="N617" s="5" t="s">
        <v>1529</v>
      </c>
      <c r="O617" s="7">
        <v>46184</v>
      </c>
    </row>
    <row r="618" spans="1:15" x14ac:dyDescent="0.25">
      <c r="A618" s="5" t="s">
        <v>4</v>
      </c>
      <c r="B618" s="5" t="s">
        <v>3277</v>
      </c>
      <c r="D618" s="5" t="s">
        <v>97</v>
      </c>
      <c r="E618" s="5" t="s">
        <v>3278</v>
      </c>
      <c r="F618" s="5" t="s">
        <v>1813</v>
      </c>
      <c r="G618" s="6">
        <v>46099.474999999999</v>
      </c>
      <c r="H618" s="7">
        <v>46112</v>
      </c>
      <c r="I618" s="6">
        <v>46107.697916666664</v>
      </c>
      <c r="J618" s="7">
        <v>46107</v>
      </c>
      <c r="K618" s="5" t="s">
        <v>1527</v>
      </c>
      <c r="L618" s="5" t="s">
        <v>1535</v>
      </c>
      <c r="M618" s="8">
        <v>374</v>
      </c>
      <c r="N618" s="5" t="s">
        <v>1536</v>
      </c>
      <c r="O618" s="7">
        <v>46107</v>
      </c>
    </row>
    <row r="619" spans="1:15" x14ac:dyDescent="0.25">
      <c r="A619" s="5" t="s">
        <v>4</v>
      </c>
      <c r="B619" s="5" t="s">
        <v>3279</v>
      </c>
      <c r="D619" s="5" t="s">
        <v>271</v>
      </c>
      <c r="E619" s="5" t="s">
        <v>3280</v>
      </c>
      <c r="F619" s="5" t="s">
        <v>1548</v>
      </c>
      <c r="G619" s="6">
        <v>46052.625</v>
      </c>
      <c r="H619" s="7">
        <v>46069</v>
      </c>
      <c r="I619" s="5" t="s">
        <v>2303</v>
      </c>
      <c r="J619" s="7">
        <v>46052</v>
      </c>
      <c r="K619" s="5" t="s">
        <v>1527</v>
      </c>
      <c r="L619" s="5" t="s">
        <v>1564</v>
      </c>
      <c r="M619" s="8">
        <v>373</v>
      </c>
      <c r="N619" s="5" t="s">
        <v>1536</v>
      </c>
      <c r="O619" s="7">
        <v>46052</v>
      </c>
    </row>
    <row r="620" spans="1:15" x14ac:dyDescent="0.25">
      <c r="A620" s="5" t="s">
        <v>4</v>
      </c>
      <c r="B620" s="5" t="s">
        <v>3281</v>
      </c>
      <c r="D620" s="5" t="s">
        <v>1248</v>
      </c>
      <c r="E620" s="5" t="s">
        <v>3282</v>
      </c>
      <c r="F620" s="5" t="s">
        <v>1738</v>
      </c>
      <c r="G620" s="6">
        <v>46065.700694444444</v>
      </c>
      <c r="H620" s="7">
        <v>46079</v>
      </c>
      <c r="I620" s="6">
        <v>46077.675000000003</v>
      </c>
      <c r="J620" s="7">
        <v>46077</v>
      </c>
      <c r="K620" s="5" t="s">
        <v>1527</v>
      </c>
      <c r="L620" s="5" t="s">
        <v>1564</v>
      </c>
      <c r="M620" s="8">
        <v>369.8</v>
      </c>
      <c r="N620" s="5" t="s">
        <v>1536</v>
      </c>
      <c r="O620" s="7">
        <v>46077</v>
      </c>
    </row>
    <row r="621" spans="1:15" x14ac:dyDescent="0.25">
      <c r="A621" s="5" t="s">
        <v>4</v>
      </c>
      <c r="B621" s="5" t="s">
        <v>3283</v>
      </c>
      <c r="D621" s="5" t="s">
        <v>1006</v>
      </c>
      <c r="E621" s="5" t="s">
        <v>3284</v>
      </c>
      <c r="F621" s="5" t="s">
        <v>1759</v>
      </c>
      <c r="G621" s="6">
        <v>46122.654861111114</v>
      </c>
      <c r="H621" s="7">
        <v>46136</v>
      </c>
      <c r="I621" s="6">
        <v>46136.679166666669</v>
      </c>
      <c r="J621" s="7">
        <v>46135</v>
      </c>
      <c r="K621" s="5" t="s">
        <v>1527</v>
      </c>
      <c r="L621" s="5" t="s">
        <v>1564</v>
      </c>
      <c r="M621" s="8">
        <v>369.6</v>
      </c>
      <c r="N621" s="5" t="s">
        <v>1536</v>
      </c>
      <c r="O621" s="7">
        <v>46135</v>
      </c>
    </row>
    <row r="622" spans="1:15" x14ac:dyDescent="0.25">
      <c r="A622" s="5" t="s">
        <v>4</v>
      </c>
      <c r="B622" s="5" t="s">
        <v>3285</v>
      </c>
      <c r="D622" s="5" t="s">
        <v>1022</v>
      </c>
      <c r="E622" s="5" t="s">
        <v>3286</v>
      </c>
      <c r="F622" s="5" t="s">
        <v>2306</v>
      </c>
      <c r="G622" s="6">
        <v>46155.740277777775</v>
      </c>
      <c r="H622" s="7">
        <v>46164</v>
      </c>
      <c r="I622" s="5" t="s">
        <v>3287</v>
      </c>
      <c r="J622" s="7">
        <v>46164</v>
      </c>
      <c r="K622" s="5" t="s">
        <v>1527</v>
      </c>
      <c r="L622" s="5" t="s">
        <v>1564</v>
      </c>
      <c r="M622" s="8">
        <v>368.6</v>
      </c>
      <c r="N622" s="5" t="s">
        <v>1536</v>
      </c>
      <c r="O622" s="7">
        <v>46164</v>
      </c>
    </row>
    <row r="623" spans="1:15" x14ac:dyDescent="0.25">
      <c r="A623" s="5" t="s">
        <v>4</v>
      </c>
      <c r="B623" s="5" t="s">
        <v>3288</v>
      </c>
      <c r="D623" s="5" t="s">
        <v>623</v>
      </c>
      <c r="E623" s="5" t="s">
        <v>1781</v>
      </c>
      <c r="F623" s="5" t="s">
        <v>3289</v>
      </c>
      <c r="G623" s="6">
        <v>46142.426388888889</v>
      </c>
      <c r="H623" s="7">
        <v>46150</v>
      </c>
      <c r="I623" s="6">
        <v>46146.716666666667</v>
      </c>
      <c r="J623" s="7">
        <v>46146</v>
      </c>
      <c r="K623" s="5" t="s">
        <v>1527</v>
      </c>
      <c r="L623" s="5" t="s">
        <v>1535</v>
      </c>
      <c r="M623" s="8">
        <v>365.8</v>
      </c>
      <c r="N623" s="5" t="s">
        <v>1536</v>
      </c>
      <c r="O623" s="7">
        <v>46146</v>
      </c>
    </row>
    <row r="624" spans="1:15" x14ac:dyDescent="0.25">
      <c r="A624" s="5" t="s">
        <v>4</v>
      </c>
      <c r="B624" s="5" t="s">
        <v>3290</v>
      </c>
      <c r="D624" s="5" t="s">
        <v>378</v>
      </c>
      <c r="E624" s="5" t="s">
        <v>3291</v>
      </c>
      <c r="F624" s="5" t="s">
        <v>1548</v>
      </c>
      <c r="G624" s="6">
        <v>46056.535416666666</v>
      </c>
      <c r="H624" s="7">
        <v>46069</v>
      </c>
      <c r="I624" s="5" t="s">
        <v>2587</v>
      </c>
      <c r="J624" s="7">
        <v>46070</v>
      </c>
      <c r="K624" s="5" t="s">
        <v>1527</v>
      </c>
      <c r="L624" s="5" t="s">
        <v>1564</v>
      </c>
      <c r="M624" s="8">
        <v>365.3</v>
      </c>
      <c r="N624" s="5" t="s">
        <v>1536</v>
      </c>
      <c r="O624" s="7">
        <v>46070</v>
      </c>
    </row>
    <row r="625" spans="1:15" x14ac:dyDescent="0.25">
      <c r="A625" s="5" t="s">
        <v>4</v>
      </c>
      <c r="B625" s="5" t="s">
        <v>3292</v>
      </c>
      <c r="D625" s="5" t="s">
        <v>1231</v>
      </c>
      <c r="E625" s="5" t="s">
        <v>3293</v>
      </c>
      <c r="F625" s="5" t="s">
        <v>1548</v>
      </c>
      <c r="G625" s="6">
        <v>46028.615972222222</v>
      </c>
      <c r="H625" s="7">
        <v>46041</v>
      </c>
      <c r="I625" s="6">
        <v>46036.582638888889</v>
      </c>
      <c r="J625" s="7">
        <v>46036</v>
      </c>
      <c r="K625" s="5" t="s">
        <v>1527</v>
      </c>
      <c r="L625" s="5" t="s">
        <v>1564</v>
      </c>
      <c r="M625" s="8">
        <v>364</v>
      </c>
      <c r="N625" s="5" t="s">
        <v>1536</v>
      </c>
      <c r="O625" s="7">
        <v>46036</v>
      </c>
    </row>
    <row r="626" spans="1:15" x14ac:dyDescent="0.25">
      <c r="A626" s="5" t="s">
        <v>4</v>
      </c>
      <c r="B626" s="5" t="s">
        <v>3294</v>
      </c>
      <c r="D626" s="5" t="s">
        <v>1212</v>
      </c>
      <c r="E626" s="5" t="s">
        <v>3295</v>
      </c>
      <c r="F626" s="5" t="s">
        <v>1770</v>
      </c>
      <c r="G626" s="6">
        <v>46076.661805555559</v>
      </c>
      <c r="H626" s="7">
        <v>46090</v>
      </c>
      <c r="I626" s="6">
        <v>46087.699305555558</v>
      </c>
      <c r="J626" s="7">
        <v>46076</v>
      </c>
      <c r="K626" s="5" t="s">
        <v>1527</v>
      </c>
      <c r="L626" s="5" t="s">
        <v>1564</v>
      </c>
      <c r="M626" s="8">
        <v>363.5</v>
      </c>
      <c r="N626" s="5" t="s">
        <v>1536</v>
      </c>
      <c r="O626" s="7">
        <v>46076</v>
      </c>
    </row>
    <row r="627" spans="1:15" x14ac:dyDescent="0.25">
      <c r="A627" s="5" t="s">
        <v>4</v>
      </c>
      <c r="B627" s="5" t="s">
        <v>3296</v>
      </c>
      <c r="D627" s="5" t="s">
        <v>705</v>
      </c>
      <c r="E627" s="5" t="s">
        <v>3297</v>
      </c>
      <c r="F627" s="5" t="s">
        <v>1548</v>
      </c>
      <c r="G627" s="6">
        <v>46030.368055555555</v>
      </c>
      <c r="H627" s="7">
        <v>46042</v>
      </c>
      <c r="I627" s="5" t="s">
        <v>3298</v>
      </c>
      <c r="J627" s="7">
        <v>46052</v>
      </c>
      <c r="K627" s="5" t="s">
        <v>1527</v>
      </c>
      <c r="L627" s="5" t="s">
        <v>1564</v>
      </c>
      <c r="M627" s="8">
        <v>363</v>
      </c>
      <c r="N627" s="5" t="s">
        <v>1536</v>
      </c>
      <c r="O627" s="7">
        <v>46052</v>
      </c>
    </row>
    <row r="628" spans="1:15" x14ac:dyDescent="0.25">
      <c r="A628" s="5" t="s">
        <v>4</v>
      </c>
      <c r="B628" s="5" t="s">
        <v>3299</v>
      </c>
      <c r="D628" s="5" t="s">
        <v>44</v>
      </c>
      <c r="E628" s="5" t="s">
        <v>3300</v>
      </c>
      <c r="F628" s="5" t="s">
        <v>3301</v>
      </c>
      <c r="G628" s="6">
        <v>46031.447222222225</v>
      </c>
      <c r="H628" s="7">
        <v>46041</v>
      </c>
      <c r="I628" s="5" t="s">
        <v>3302</v>
      </c>
      <c r="J628" s="7">
        <v>46052</v>
      </c>
      <c r="K628" s="5" t="s">
        <v>1527</v>
      </c>
      <c r="L628" s="5" t="s">
        <v>1535</v>
      </c>
      <c r="M628" s="8">
        <v>362</v>
      </c>
      <c r="N628" s="5" t="s">
        <v>1536</v>
      </c>
      <c r="O628" s="7">
        <v>46052</v>
      </c>
    </row>
    <row r="629" spans="1:15" x14ac:dyDescent="0.25">
      <c r="A629" s="5" t="s">
        <v>4</v>
      </c>
      <c r="B629" s="5" t="s">
        <v>3303</v>
      </c>
      <c r="D629" s="5" t="s">
        <v>1460</v>
      </c>
      <c r="E629" s="5" t="s">
        <v>2445</v>
      </c>
      <c r="F629" s="5" t="s">
        <v>1548</v>
      </c>
      <c r="G629" s="6">
        <v>46041.417361111111</v>
      </c>
      <c r="H629" s="7">
        <v>46052</v>
      </c>
      <c r="I629" s="6">
        <v>46052.605555555558</v>
      </c>
      <c r="J629" s="7">
        <v>46052</v>
      </c>
      <c r="K629" s="5" t="s">
        <v>1527</v>
      </c>
      <c r="L629" s="5" t="s">
        <v>1564</v>
      </c>
      <c r="M629" s="8">
        <v>362</v>
      </c>
      <c r="N629" s="5" t="s">
        <v>1536</v>
      </c>
      <c r="O629" s="7">
        <v>46052</v>
      </c>
    </row>
    <row r="630" spans="1:15" x14ac:dyDescent="0.25">
      <c r="A630" s="5" t="s">
        <v>4</v>
      </c>
      <c r="B630" s="5" t="s">
        <v>3304</v>
      </c>
      <c r="D630" s="5" t="s">
        <v>573</v>
      </c>
      <c r="E630" s="5" t="s">
        <v>3305</v>
      </c>
      <c r="F630" s="5" t="s">
        <v>2118</v>
      </c>
      <c r="G630" s="6">
        <v>46101.630555555559</v>
      </c>
      <c r="H630" s="7">
        <v>46115</v>
      </c>
      <c r="I630" s="6">
        <v>46114.59652777778</v>
      </c>
      <c r="J630" s="7">
        <v>46114</v>
      </c>
      <c r="K630" s="5" t="s">
        <v>1527</v>
      </c>
      <c r="L630" s="5" t="s">
        <v>1564</v>
      </c>
      <c r="M630" s="8">
        <v>362</v>
      </c>
      <c r="N630" s="5" t="s">
        <v>1536</v>
      </c>
      <c r="O630" s="7">
        <v>46114</v>
      </c>
    </row>
    <row r="631" spans="1:15" x14ac:dyDescent="0.25">
      <c r="A631" s="5" t="s">
        <v>4</v>
      </c>
      <c r="B631" s="5" t="s">
        <v>3306</v>
      </c>
      <c r="D631" s="5" t="s">
        <v>1348</v>
      </c>
      <c r="E631" s="5" t="s">
        <v>3307</v>
      </c>
      <c r="F631" s="5" t="s">
        <v>3308</v>
      </c>
      <c r="G631" s="6">
        <v>46127.440972222219</v>
      </c>
      <c r="H631" s="7">
        <v>46141</v>
      </c>
      <c r="I631" s="6">
        <v>46135.62777777778</v>
      </c>
      <c r="J631" s="7">
        <v>46135</v>
      </c>
      <c r="K631" s="5" t="s">
        <v>1527</v>
      </c>
      <c r="L631" s="5" t="s">
        <v>1564</v>
      </c>
      <c r="M631" s="8">
        <v>361.5</v>
      </c>
      <c r="N631" s="5" t="s">
        <v>1536</v>
      </c>
      <c r="O631" s="7">
        <v>46135</v>
      </c>
    </row>
    <row r="632" spans="1:15" hidden="1" x14ac:dyDescent="0.25">
      <c r="A632" s="5" t="s">
        <v>1522</v>
      </c>
      <c r="B632" s="5" t="s">
        <v>3309</v>
      </c>
      <c r="D632" s="5" t="s">
        <v>394</v>
      </c>
      <c r="E632" s="5" t="s">
        <v>3310</v>
      </c>
      <c r="F632" s="5" t="s">
        <v>1548</v>
      </c>
      <c r="G632" s="6">
        <v>46139.686111111114</v>
      </c>
      <c r="H632" s="7">
        <v>46142</v>
      </c>
      <c r="I632" s="5" t="s">
        <v>3311</v>
      </c>
      <c r="J632" s="7">
        <v>46142</v>
      </c>
      <c r="K632" s="5" t="s">
        <v>1527</v>
      </c>
      <c r="L632" s="5" t="s">
        <v>1528</v>
      </c>
      <c r="M632" s="8">
        <v>360</v>
      </c>
      <c r="N632" s="5" t="s">
        <v>1536</v>
      </c>
      <c r="O632" s="7">
        <v>46142</v>
      </c>
    </row>
    <row r="633" spans="1:15" x14ac:dyDescent="0.25">
      <c r="A633" s="5" t="s">
        <v>4</v>
      </c>
      <c r="B633" s="5" t="s">
        <v>3312</v>
      </c>
      <c r="D633" s="5" t="s">
        <v>899</v>
      </c>
      <c r="E633" s="5" t="s">
        <v>3313</v>
      </c>
      <c r="F633" s="5" t="s">
        <v>1813</v>
      </c>
      <c r="G633" s="6">
        <v>46062.362500000003</v>
      </c>
      <c r="H633" s="7">
        <v>46072</v>
      </c>
      <c r="I633" s="6">
        <v>46066.657638888886</v>
      </c>
      <c r="J633" s="7">
        <v>46066</v>
      </c>
      <c r="K633" s="5" t="s">
        <v>1527</v>
      </c>
      <c r="L633" s="5" t="s">
        <v>1535</v>
      </c>
      <c r="M633" s="8">
        <v>360</v>
      </c>
      <c r="N633" s="5" t="s">
        <v>1536</v>
      </c>
      <c r="O633" s="7">
        <v>46066</v>
      </c>
    </row>
    <row r="634" spans="1:15" x14ac:dyDescent="0.25">
      <c r="A634" s="5" t="s">
        <v>4</v>
      </c>
      <c r="B634" s="5" t="s">
        <v>3314</v>
      </c>
      <c r="D634" s="5" t="s">
        <v>1064</v>
      </c>
      <c r="E634" s="5" t="s">
        <v>3315</v>
      </c>
      <c r="F634" s="5" t="s">
        <v>1532</v>
      </c>
      <c r="G634" s="6">
        <v>46169.676388888889</v>
      </c>
      <c r="H634" s="7">
        <v>46178</v>
      </c>
      <c r="I634" s="5" t="s">
        <v>1533</v>
      </c>
      <c r="J634" s="7">
        <v>46181</v>
      </c>
      <c r="K634" s="5" t="s">
        <v>1540</v>
      </c>
      <c r="L634" s="5" t="s">
        <v>1535</v>
      </c>
      <c r="M634" s="8">
        <v>360</v>
      </c>
      <c r="N634" s="5" t="s">
        <v>1536</v>
      </c>
      <c r="O634" s="7">
        <v>46181</v>
      </c>
    </row>
    <row r="635" spans="1:15" x14ac:dyDescent="0.25">
      <c r="A635" s="5" t="s">
        <v>4</v>
      </c>
      <c r="B635" s="5" t="s">
        <v>3316</v>
      </c>
      <c r="D635" s="5" t="s">
        <v>223</v>
      </c>
      <c r="E635" s="5" t="s">
        <v>3317</v>
      </c>
      <c r="F635" s="5" t="s">
        <v>3318</v>
      </c>
      <c r="G635" s="6">
        <v>46084.706944444442</v>
      </c>
      <c r="H635" s="7">
        <v>46090</v>
      </c>
      <c r="I635" s="6">
        <v>46087.700694444444</v>
      </c>
      <c r="J635" s="7">
        <v>46087</v>
      </c>
      <c r="K635" s="5" t="s">
        <v>1527</v>
      </c>
      <c r="L635" s="5" t="s">
        <v>1621</v>
      </c>
      <c r="M635" s="8">
        <v>358</v>
      </c>
      <c r="N635" s="5" t="s">
        <v>1536</v>
      </c>
      <c r="O635" s="7">
        <v>46087</v>
      </c>
    </row>
    <row r="636" spans="1:15" x14ac:dyDescent="0.25">
      <c r="A636" s="5" t="s">
        <v>4</v>
      </c>
      <c r="B636" s="5" t="s">
        <v>3319</v>
      </c>
      <c r="D636" s="5" t="s">
        <v>675</v>
      </c>
      <c r="E636" s="5" t="s">
        <v>3320</v>
      </c>
      <c r="F636" s="5" t="s">
        <v>3321</v>
      </c>
      <c r="G636" s="6">
        <v>46034.635416666664</v>
      </c>
      <c r="H636" s="7">
        <v>46043</v>
      </c>
      <c r="I636" s="5" t="s">
        <v>3322</v>
      </c>
      <c r="J636" s="7">
        <v>46051</v>
      </c>
      <c r="K636" s="5" t="s">
        <v>1527</v>
      </c>
      <c r="L636" s="5" t="s">
        <v>1621</v>
      </c>
      <c r="M636" s="9">
        <v>357.84</v>
      </c>
      <c r="N636" s="5" t="s">
        <v>1536</v>
      </c>
      <c r="O636" s="7">
        <v>46051</v>
      </c>
    </row>
    <row r="637" spans="1:15" x14ac:dyDescent="0.25">
      <c r="A637" s="5" t="s">
        <v>4</v>
      </c>
      <c r="B637" s="5" t="s">
        <v>3323</v>
      </c>
      <c r="D637" s="5" t="s">
        <v>411</v>
      </c>
      <c r="E637" s="5" t="s">
        <v>3324</v>
      </c>
      <c r="F637" s="5" t="s">
        <v>1813</v>
      </c>
      <c r="G637" s="6">
        <v>46041.412499999999</v>
      </c>
      <c r="H637" s="7">
        <v>46050</v>
      </c>
      <c r="I637" s="5" t="s">
        <v>3325</v>
      </c>
      <c r="J637" s="7">
        <v>46064</v>
      </c>
      <c r="K637" s="5" t="s">
        <v>1527</v>
      </c>
      <c r="L637" s="5" t="s">
        <v>1535</v>
      </c>
      <c r="M637" s="8">
        <v>357.7</v>
      </c>
      <c r="N637" s="5" t="s">
        <v>1536</v>
      </c>
      <c r="O637" s="7">
        <v>46064</v>
      </c>
    </row>
    <row r="638" spans="1:15" x14ac:dyDescent="0.25">
      <c r="A638" s="5" t="s">
        <v>4</v>
      </c>
      <c r="B638" s="5" t="s">
        <v>3326</v>
      </c>
      <c r="D638" s="5" t="s">
        <v>1509</v>
      </c>
      <c r="E638" s="5" t="s">
        <v>1538</v>
      </c>
      <c r="F638" s="5" t="s">
        <v>3327</v>
      </c>
      <c r="G638" s="6">
        <v>46112.440972222219</v>
      </c>
      <c r="H638" s="7">
        <v>46125</v>
      </c>
      <c r="I638" s="5" t="s">
        <v>1533</v>
      </c>
      <c r="J638" s="5" t="s">
        <v>1533</v>
      </c>
      <c r="K638" s="5" t="s">
        <v>1540</v>
      </c>
      <c r="L638" s="5" t="s">
        <v>1535</v>
      </c>
      <c r="M638" s="8">
        <v>355.5</v>
      </c>
      <c r="N638" s="5" t="s">
        <v>1541</v>
      </c>
      <c r="O638" s="5" t="s">
        <v>1533</v>
      </c>
    </row>
    <row r="639" spans="1:15" x14ac:dyDescent="0.25">
      <c r="A639" s="5" t="s">
        <v>4</v>
      </c>
      <c r="B639" s="5" t="s">
        <v>3328</v>
      </c>
      <c r="D639" s="5" t="s">
        <v>1391</v>
      </c>
      <c r="E639" s="5" t="s">
        <v>3201</v>
      </c>
      <c r="F639" s="5" t="s">
        <v>3329</v>
      </c>
      <c r="G639" s="6">
        <v>46134.495833333334</v>
      </c>
      <c r="H639" s="7">
        <v>46155</v>
      </c>
      <c r="I639" s="6">
        <v>46141.612500000003</v>
      </c>
      <c r="J639" s="7">
        <v>46141</v>
      </c>
      <c r="K639" s="5" t="s">
        <v>1527</v>
      </c>
      <c r="L639" s="5" t="s">
        <v>1564</v>
      </c>
      <c r="M639" s="8">
        <v>354.8</v>
      </c>
      <c r="N639" s="5" t="s">
        <v>1536</v>
      </c>
      <c r="O639" s="7">
        <v>46141</v>
      </c>
    </row>
    <row r="640" spans="1:15" x14ac:dyDescent="0.25">
      <c r="A640" s="5" t="s">
        <v>4</v>
      </c>
      <c r="B640" s="5" t="s">
        <v>3330</v>
      </c>
      <c r="D640" s="5" t="s">
        <v>1509</v>
      </c>
      <c r="E640" s="5" t="s">
        <v>3331</v>
      </c>
      <c r="F640" s="5" t="s">
        <v>3332</v>
      </c>
      <c r="G640" s="6">
        <v>46083.696527777778</v>
      </c>
      <c r="H640" s="7">
        <v>46093</v>
      </c>
      <c r="I640" s="5" t="s">
        <v>3333</v>
      </c>
      <c r="J640" s="7">
        <v>46098</v>
      </c>
      <c r="K640" s="5" t="s">
        <v>1527</v>
      </c>
      <c r="L640" s="5" t="s">
        <v>1535</v>
      </c>
      <c r="M640" s="8">
        <v>354</v>
      </c>
      <c r="N640" s="5" t="s">
        <v>1536</v>
      </c>
      <c r="O640" s="7">
        <v>46098</v>
      </c>
    </row>
    <row r="641" spans="1:15" x14ac:dyDescent="0.25">
      <c r="A641" s="5" t="s">
        <v>4</v>
      </c>
      <c r="B641" s="5" t="s">
        <v>3334</v>
      </c>
      <c r="D641" s="5" t="s">
        <v>163</v>
      </c>
      <c r="E641" s="5" t="s">
        <v>3335</v>
      </c>
      <c r="F641" s="5" t="s">
        <v>1548</v>
      </c>
      <c r="G641" s="6">
        <v>46038.697222222225</v>
      </c>
      <c r="H641" s="7">
        <v>46051</v>
      </c>
      <c r="I641" s="5" t="s">
        <v>3336</v>
      </c>
      <c r="J641" s="7">
        <v>46064</v>
      </c>
      <c r="K641" s="5" t="s">
        <v>1527</v>
      </c>
      <c r="L641" s="5" t="s">
        <v>1564</v>
      </c>
      <c r="M641" s="8">
        <v>352.5</v>
      </c>
      <c r="N641" s="5" t="s">
        <v>1536</v>
      </c>
      <c r="O641" s="7">
        <v>46064</v>
      </c>
    </row>
    <row r="642" spans="1:15" hidden="1" x14ac:dyDescent="0.25">
      <c r="A642" s="5" t="s">
        <v>1522</v>
      </c>
      <c r="B642" s="5" t="s">
        <v>3337</v>
      </c>
      <c r="D642" s="5" t="s">
        <v>1493</v>
      </c>
      <c r="E642" s="5" t="s">
        <v>3338</v>
      </c>
      <c r="F642" s="5" t="s">
        <v>3339</v>
      </c>
      <c r="G642" s="6">
        <v>46127.669444444444</v>
      </c>
      <c r="H642" s="7">
        <v>46167</v>
      </c>
      <c r="I642" s="5" t="s">
        <v>1533</v>
      </c>
      <c r="J642" s="5" t="s">
        <v>1533</v>
      </c>
      <c r="K642" s="5" t="s">
        <v>1540</v>
      </c>
      <c r="L642" s="5" t="s">
        <v>1528</v>
      </c>
      <c r="M642" s="8">
        <v>352</v>
      </c>
      <c r="N642" s="5" t="s">
        <v>1541</v>
      </c>
      <c r="O642" s="5" t="s">
        <v>1533</v>
      </c>
    </row>
    <row r="643" spans="1:15" x14ac:dyDescent="0.25">
      <c r="A643" s="5" t="s">
        <v>4</v>
      </c>
      <c r="B643" s="5" t="s">
        <v>3340</v>
      </c>
      <c r="D643" s="5" t="s">
        <v>1413</v>
      </c>
      <c r="E643" s="5" t="s">
        <v>3341</v>
      </c>
      <c r="F643" s="5" t="s">
        <v>1548</v>
      </c>
      <c r="G643" s="6">
        <v>46036.506249999999</v>
      </c>
      <c r="H643" s="7">
        <v>46049</v>
      </c>
      <c r="I643" s="5" t="s">
        <v>3342</v>
      </c>
      <c r="J643" s="7">
        <v>46052</v>
      </c>
      <c r="K643" s="5" t="s">
        <v>1527</v>
      </c>
      <c r="L643" s="5" t="s">
        <v>1564</v>
      </c>
      <c r="M643" s="8">
        <v>352</v>
      </c>
      <c r="N643" s="5" t="s">
        <v>1536</v>
      </c>
      <c r="O643" s="7">
        <v>46052</v>
      </c>
    </row>
    <row r="644" spans="1:15" x14ac:dyDescent="0.25">
      <c r="A644" s="5" t="s">
        <v>4</v>
      </c>
      <c r="B644" s="5" t="s">
        <v>3343</v>
      </c>
      <c r="D644" s="5" t="s">
        <v>1459</v>
      </c>
      <c r="E644" s="5" t="s">
        <v>3344</v>
      </c>
      <c r="F644" s="5" t="s">
        <v>1532</v>
      </c>
      <c r="G644" s="6">
        <v>46071.486805555556</v>
      </c>
      <c r="H644" s="7">
        <v>46080</v>
      </c>
      <c r="I644" s="5" t="s">
        <v>3345</v>
      </c>
      <c r="J644" s="7">
        <v>46085</v>
      </c>
      <c r="K644" s="5" t="s">
        <v>1527</v>
      </c>
      <c r="L644" s="5" t="s">
        <v>1535</v>
      </c>
      <c r="M644" s="8">
        <v>352</v>
      </c>
      <c r="N644" s="5" t="s">
        <v>1536</v>
      </c>
      <c r="O644" s="7">
        <v>46085</v>
      </c>
    </row>
    <row r="645" spans="1:15" x14ac:dyDescent="0.25">
      <c r="A645" s="5" t="s">
        <v>4</v>
      </c>
      <c r="B645" s="5" t="s">
        <v>3346</v>
      </c>
      <c r="D645" s="5" t="s">
        <v>1350</v>
      </c>
      <c r="E645" s="5" t="s">
        <v>3347</v>
      </c>
      <c r="F645" s="5" t="s">
        <v>2118</v>
      </c>
      <c r="G645" s="6">
        <v>46084.722222222219</v>
      </c>
      <c r="H645" s="7">
        <v>46097</v>
      </c>
      <c r="I645" s="6">
        <v>46091.50277777778</v>
      </c>
      <c r="J645" s="7">
        <v>46091</v>
      </c>
      <c r="K645" s="5" t="s">
        <v>1527</v>
      </c>
      <c r="L645" s="5" t="s">
        <v>1564</v>
      </c>
      <c r="M645" s="8">
        <v>352</v>
      </c>
      <c r="N645" s="5" t="s">
        <v>1536</v>
      </c>
      <c r="O645" s="7">
        <v>46091</v>
      </c>
    </row>
    <row r="646" spans="1:15" x14ac:dyDescent="0.25">
      <c r="A646" s="5" t="s">
        <v>4</v>
      </c>
      <c r="B646" s="5" t="s">
        <v>3348</v>
      </c>
      <c r="D646" s="5" t="s">
        <v>592</v>
      </c>
      <c r="E646" s="5" t="s">
        <v>3349</v>
      </c>
      <c r="F646" s="5" t="s">
        <v>1548</v>
      </c>
      <c r="G646" s="6">
        <v>46063.350694444445</v>
      </c>
      <c r="H646" s="7">
        <v>46073</v>
      </c>
      <c r="I646" s="6">
        <v>46073.626388888886</v>
      </c>
      <c r="J646" s="7">
        <v>46073</v>
      </c>
      <c r="K646" s="5" t="s">
        <v>1527</v>
      </c>
      <c r="L646" s="5" t="s">
        <v>1535</v>
      </c>
      <c r="M646" s="8">
        <v>351</v>
      </c>
      <c r="N646" s="5" t="s">
        <v>1536</v>
      </c>
      <c r="O646" s="7">
        <v>46073</v>
      </c>
    </row>
    <row r="647" spans="1:15" x14ac:dyDescent="0.25">
      <c r="A647" s="5" t="s">
        <v>4</v>
      </c>
      <c r="B647" s="5" t="s">
        <v>3350</v>
      </c>
      <c r="D647" s="5" t="s">
        <v>1367</v>
      </c>
      <c r="E647" s="5" t="s">
        <v>2693</v>
      </c>
      <c r="F647" s="5" t="s">
        <v>1759</v>
      </c>
      <c r="G647" s="6">
        <v>46154.660416666666</v>
      </c>
      <c r="H647" s="7">
        <v>46167</v>
      </c>
      <c r="I647" s="6">
        <v>46162.43472222222</v>
      </c>
      <c r="J647" s="7">
        <v>46162</v>
      </c>
      <c r="K647" s="5" t="s">
        <v>1527</v>
      </c>
      <c r="L647" s="5" t="s">
        <v>1564</v>
      </c>
      <c r="M647" s="8">
        <v>351</v>
      </c>
      <c r="N647" s="5" t="s">
        <v>1536</v>
      </c>
      <c r="O647" s="7">
        <v>46162</v>
      </c>
    </row>
    <row r="648" spans="1:15" x14ac:dyDescent="0.25">
      <c r="A648" s="5" t="s">
        <v>4</v>
      </c>
      <c r="B648" s="5" t="s">
        <v>3351</v>
      </c>
      <c r="D648" s="5" t="s">
        <v>429</v>
      </c>
      <c r="E648" s="5" t="s">
        <v>3352</v>
      </c>
      <c r="F648" s="5" t="s">
        <v>3353</v>
      </c>
      <c r="G648" s="6">
        <v>46051.688194444447</v>
      </c>
      <c r="H648" s="7">
        <v>46058</v>
      </c>
      <c r="I648" s="5" t="s">
        <v>3354</v>
      </c>
      <c r="J648" s="7">
        <v>46069</v>
      </c>
      <c r="K648" s="5" t="s">
        <v>1527</v>
      </c>
      <c r="L648" s="5" t="s">
        <v>1621</v>
      </c>
      <c r="M648" s="8">
        <v>350.6</v>
      </c>
      <c r="N648" s="5" t="s">
        <v>1536</v>
      </c>
      <c r="O648" s="7">
        <v>46069</v>
      </c>
    </row>
    <row r="649" spans="1:15" hidden="1" x14ac:dyDescent="0.25">
      <c r="A649" s="5" t="s">
        <v>1522</v>
      </c>
      <c r="B649" s="5" t="s">
        <v>3355</v>
      </c>
      <c r="D649" s="5" t="s">
        <v>197</v>
      </c>
      <c r="E649" s="5" t="s">
        <v>3356</v>
      </c>
      <c r="F649" s="5" t="s">
        <v>3357</v>
      </c>
      <c r="G649" s="6">
        <v>46083.643750000003</v>
      </c>
      <c r="H649" s="7">
        <v>46084</v>
      </c>
      <c r="I649" s="6">
        <v>46084.754861111112</v>
      </c>
      <c r="J649" s="7">
        <v>46084</v>
      </c>
      <c r="K649" s="5" t="s">
        <v>1527</v>
      </c>
      <c r="L649" s="5" t="s">
        <v>1528</v>
      </c>
      <c r="M649" s="8">
        <v>350</v>
      </c>
      <c r="N649" s="5" t="s">
        <v>1536</v>
      </c>
      <c r="O649" s="7">
        <v>46084</v>
      </c>
    </row>
    <row r="650" spans="1:15" hidden="1" x14ac:dyDescent="0.25">
      <c r="A650" s="5" t="s">
        <v>1522</v>
      </c>
      <c r="B650" s="5" t="s">
        <v>3358</v>
      </c>
      <c r="D650" s="5" t="s">
        <v>1086</v>
      </c>
      <c r="E650" s="5" t="s">
        <v>3359</v>
      </c>
      <c r="F650" s="5" t="s">
        <v>2818</v>
      </c>
      <c r="G650" s="6">
        <v>46142.502083333333</v>
      </c>
      <c r="H650" s="7">
        <v>46150</v>
      </c>
      <c r="I650" s="6">
        <v>46149.366666666669</v>
      </c>
      <c r="J650" s="7">
        <v>46148</v>
      </c>
      <c r="K650" s="5" t="s">
        <v>1527</v>
      </c>
      <c r="L650" s="5" t="s">
        <v>1528</v>
      </c>
      <c r="M650" s="8">
        <v>350</v>
      </c>
      <c r="N650" s="5" t="s">
        <v>1536</v>
      </c>
      <c r="O650" s="7">
        <v>46148</v>
      </c>
    </row>
    <row r="651" spans="1:15" x14ac:dyDescent="0.25">
      <c r="A651" s="5" t="s">
        <v>4</v>
      </c>
      <c r="B651" s="5" t="s">
        <v>3360</v>
      </c>
      <c r="D651" s="5" t="s">
        <v>1501</v>
      </c>
      <c r="E651" s="5" t="s">
        <v>3361</v>
      </c>
      <c r="F651" s="5" t="s">
        <v>1738</v>
      </c>
      <c r="G651" s="6">
        <v>46112.361805555556</v>
      </c>
      <c r="H651" s="7">
        <v>46126</v>
      </c>
      <c r="I651" s="6">
        <v>46121.734722222223</v>
      </c>
      <c r="J651" s="7">
        <v>46121</v>
      </c>
      <c r="K651" s="5" t="s">
        <v>1527</v>
      </c>
      <c r="L651" s="5" t="s">
        <v>1564</v>
      </c>
      <c r="M651" s="8">
        <v>350</v>
      </c>
      <c r="N651" s="5" t="s">
        <v>1536</v>
      </c>
      <c r="O651" s="7">
        <v>46121</v>
      </c>
    </row>
    <row r="652" spans="1:15" hidden="1" x14ac:dyDescent="0.25">
      <c r="A652" s="5" t="s">
        <v>1522</v>
      </c>
      <c r="B652" s="5" t="s">
        <v>3362</v>
      </c>
      <c r="D652" s="5" t="s">
        <v>1510</v>
      </c>
      <c r="E652" s="5" t="s">
        <v>2466</v>
      </c>
      <c r="F652" s="5" t="s">
        <v>2467</v>
      </c>
      <c r="G652" s="6">
        <v>46056.666666666664</v>
      </c>
      <c r="H652" s="7">
        <v>46059</v>
      </c>
      <c r="I652" s="6">
        <v>46059.693749999999</v>
      </c>
      <c r="J652" s="7">
        <v>46059</v>
      </c>
      <c r="K652" s="5" t="s">
        <v>1527</v>
      </c>
      <c r="L652" s="5" t="s">
        <v>1621</v>
      </c>
      <c r="M652" s="8">
        <v>349.6</v>
      </c>
      <c r="N652" s="5" t="s">
        <v>1536</v>
      </c>
      <c r="O652" s="7">
        <v>46059</v>
      </c>
    </row>
    <row r="653" spans="1:15" hidden="1" x14ac:dyDescent="0.25">
      <c r="A653" s="5" t="s">
        <v>1522</v>
      </c>
      <c r="B653" s="5" t="s">
        <v>3363</v>
      </c>
      <c r="D653" s="5" t="s">
        <v>1510</v>
      </c>
      <c r="E653" s="5" t="s">
        <v>2466</v>
      </c>
      <c r="F653" s="5" t="s">
        <v>2467</v>
      </c>
      <c r="G653" s="6">
        <v>46094.667361111111</v>
      </c>
      <c r="H653" s="7">
        <v>46097</v>
      </c>
      <c r="I653" s="6">
        <v>46097.599999999999</v>
      </c>
      <c r="J653" s="7">
        <v>46097</v>
      </c>
      <c r="K653" s="5" t="s">
        <v>1527</v>
      </c>
      <c r="L653" s="5" t="s">
        <v>1621</v>
      </c>
      <c r="M653" s="8">
        <v>349.6</v>
      </c>
      <c r="N653" s="5" t="s">
        <v>1536</v>
      </c>
      <c r="O653" s="7">
        <v>46097</v>
      </c>
    </row>
    <row r="654" spans="1:15" hidden="1" x14ac:dyDescent="0.25">
      <c r="A654" s="5" t="s">
        <v>1522</v>
      </c>
      <c r="B654" s="5" t="s">
        <v>3364</v>
      </c>
      <c r="D654" s="5" t="s">
        <v>1510</v>
      </c>
      <c r="E654" s="5" t="s">
        <v>2466</v>
      </c>
      <c r="F654" s="5" t="s">
        <v>2467</v>
      </c>
      <c r="G654" s="6">
        <v>46108.65625</v>
      </c>
      <c r="H654" s="7">
        <v>46111</v>
      </c>
      <c r="I654" s="5" t="s">
        <v>3365</v>
      </c>
      <c r="J654" s="7">
        <v>46112</v>
      </c>
      <c r="K654" s="5" t="s">
        <v>1527</v>
      </c>
      <c r="L654" s="5" t="s">
        <v>1621</v>
      </c>
      <c r="M654" s="8">
        <v>349.6</v>
      </c>
      <c r="N654" s="5" t="s">
        <v>1536</v>
      </c>
      <c r="O654" s="7">
        <v>46112</v>
      </c>
    </row>
    <row r="655" spans="1:15" hidden="1" x14ac:dyDescent="0.25">
      <c r="A655" s="5" t="s">
        <v>1522</v>
      </c>
      <c r="B655" s="5" t="s">
        <v>3366</v>
      </c>
      <c r="D655" s="5" t="s">
        <v>1510</v>
      </c>
      <c r="E655" s="5" t="s">
        <v>2466</v>
      </c>
      <c r="F655" s="5" t="s">
        <v>2467</v>
      </c>
      <c r="G655" s="6">
        <v>46134.736111111109</v>
      </c>
      <c r="H655" s="7">
        <v>46136</v>
      </c>
      <c r="I655" s="6">
        <v>46136.604861111111</v>
      </c>
      <c r="J655" s="7">
        <v>46136</v>
      </c>
      <c r="K655" s="5" t="s">
        <v>1527</v>
      </c>
      <c r="L655" s="5" t="s">
        <v>1621</v>
      </c>
      <c r="M655" s="8">
        <v>349.6</v>
      </c>
      <c r="N655" s="5" t="s">
        <v>1529</v>
      </c>
      <c r="O655" s="7">
        <v>46136</v>
      </c>
    </row>
    <row r="656" spans="1:15" hidden="1" x14ac:dyDescent="0.25">
      <c r="A656" s="5" t="s">
        <v>1522</v>
      </c>
      <c r="B656" s="5" t="s">
        <v>3367</v>
      </c>
      <c r="D656" s="5" t="s">
        <v>1510</v>
      </c>
      <c r="E656" s="5" t="s">
        <v>2466</v>
      </c>
      <c r="F656" s="5" t="s">
        <v>2467</v>
      </c>
      <c r="G656" s="6">
        <v>46147.67083333333</v>
      </c>
      <c r="H656" s="7">
        <v>46149</v>
      </c>
      <c r="I656" s="5" t="s">
        <v>3368</v>
      </c>
      <c r="J656" s="7">
        <v>46153</v>
      </c>
      <c r="K656" s="5" t="s">
        <v>1527</v>
      </c>
      <c r="L656" s="5" t="s">
        <v>1621</v>
      </c>
      <c r="M656" s="8">
        <v>349.6</v>
      </c>
      <c r="N656" s="5" t="s">
        <v>1529</v>
      </c>
      <c r="O656" s="7">
        <v>46153</v>
      </c>
    </row>
    <row r="657" spans="1:15" x14ac:dyDescent="0.25">
      <c r="A657" s="5" t="s">
        <v>4</v>
      </c>
      <c r="B657" s="5" t="s">
        <v>3369</v>
      </c>
      <c r="D657" s="5" t="s">
        <v>721</v>
      </c>
      <c r="E657" s="5" t="s">
        <v>3370</v>
      </c>
      <c r="F657" s="5" t="s">
        <v>2306</v>
      </c>
      <c r="G657" s="6">
        <v>46125.681944444441</v>
      </c>
      <c r="H657" s="7">
        <v>46139</v>
      </c>
      <c r="I657" s="6">
        <v>46129.59375</v>
      </c>
      <c r="J657" s="7">
        <v>46129</v>
      </c>
      <c r="K657" s="5" t="s">
        <v>1527</v>
      </c>
      <c r="L657" s="5" t="s">
        <v>1564</v>
      </c>
      <c r="M657" s="8">
        <v>349.5</v>
      </c>
      <c r="N657" s="5" t="s">
        <v>1536</v>
      </c>
      <c r="O657" s="7">
        <v>46129</v>
      </c>
    </row>
    <row r="658" spans="1:15" x14ac:dyDescent="0.25">
      <c r="A658" s="5" t="s">
        <v>4</v>
      </c>
      <c r="B658" s="5" t="s">
        <v>3371</v>
      </c>
      <c r="D658" s="5" t="s">
        <v>161</v>
      </c>
      <c r="E658" s="5" t="s">
        <v>3372</v>
      </c>
      <c r="F658" s="5" t="s">
        <v>1813</v>
      </c>
      <c r="G658" s="6">
        <v>46073.4</v>
      </c>
      <c r="H658" s="7">
        <v>46080</v>
      </c>
      <c r="I658" s="6">
        <v>46079.620138888888</v>
      </c>
      <c r="J658" s="7">
        <v>46079</v>
      </c>
      <c r="K658" s="5" t="s">
        <v>1527</v>
      </c>
      <c r="L658" s="5" t="s">
        <v>1535</v>
      </c>
      <c r="M658" s="8">
        <v>348.6</v>
      </c>
      <c r="N658" s="5" t="s">
        <v>1536</v>
      </c>
      <c r="O658" s="7">
        <v>46079</v>
      </c>
    </row>
    <row r="659" spans="1:15" x14ac:dyDescent="0.25">
      <c r="A659" s="5" t="s">
        <v>4</v>
      </c>
      <c r="B659" s="5" t="s">
        <v>3373</v>
      </c>
      <c r="D659" s="5" t="s">
        <v>1308</v>
      </c>
      <c r="E659" s="5" t="s">
        <v>3374</v>
      </c>
      <c r="F659" s="5" t="s">
        <v>3375</v>
      </c>
      <c r="G659" s="6">
        <v>46120.386805555558</v>
      </c>
      <c r="H659" s="7">
        <v>46127</v>
      </c>
      <c r="I659" s="6">
        <v>46125.47152777778</v>
      </c>
      <c r="J659" s="7">
        <v>46121</v>
      </c>
      <c r="K659" s="5" t="s">
        <v>1527</v>
      </c>
      <c r="L659" s="5" t="s">
        <v>1564</v>
      </c>
      <c r="M659" s="8">
        <v>347.8</v>
      </c>
      <c r="N659" s="5" t="s">
        <v>1536</v>
      </c>
      <c r="O659" s="7">
        <v>46121</v>
      </c>
    </row>
    <row r="660" spans="1:15" x14ac:dyDescent="0.25">
      <c r="A660" s="5" t="s">
        <v>4</v>
      </c>
      <c r="B660" s="5" t="s">
        <v>3376</v>
      </c>
      <c r="D660" s="5" t="s">
        <v>537</v>
      </c>
      <c r="E660" s="5" t="s">
        <v>3377</v>
      </c>
      <c r="F660" s="5" t="s">
        <v>1770</v>
      </c>
      <c r="G660" s="6">
        <v>46122.70416666667</v>
      </c>
      <c r="H660" s="7">
        <v>46132</v>
      </c>
      <c r="I660" s="5" t="s">
        <v>3378</v>
      </c>
      <c r="J660" s="7">
        <v>46146</v>
      </c>
      <c r="K660" s="5" t="s">
        <v>1527</v>
      </c>
      <c r="L660" s="5" t="s">
        <v>1564</v>
      </c>
      <c r="M660" s="8">
        <v>347</v>
      </c>
      <c r="N660" s="5" t="s">
        <v>1536</v>
      </c>
      <c r="O660" s="7">
        <v>46146</v>
      </c>
    </row>
    <row r="661" spans="1:15" x14ac:dyDescent="0.25">
      <c r="A661" s="5" t="s">
        <v>4</v>
      </c>
      <c r="B661" s="5" t="s">
        <v>3379</v>
      </c>
      <c r="D661" s="5" t="s">
        <v>880</v>
      </c>
      <c r="E661" s="5" t="s">
        <v>3380</v>
      </c>
      <c r="F661" s="5" t="s">
        <v>3381</v>
      </c>
      <c r="G661" s="6">
        <v>46035.664583333331</v>
      </c>
      <c r="H661" s="7">
        <v>46043</v>
      </c>
      <c r="I661" s="5" t="s">
        <v>3382</v>
      </c>
      <c r="J661" s="7">
        <v>46048</v>
      </c>
      <c r="K661" s="5" t="s">
        <v>1527</v>
      </c>
      <c r="L661" s="5" t="s">
        <v>1621</v>
      </c>
      <c r="M661" s="8">
        <v>346.8</v>
      </c>
      <c r="N661" s="5" t="s">
        <v>1536</v>
      </c>
      <c r="O661" s="7">
        <v>46048</v>
      </c>
    </row>
    <row r="662" spans="1:15" x14ac:dyDescent="0.25">
      <c r="A662" s="5" t="s">
        <v>4</v>
      </c>
      <c r="B662" s="5" t="s">
        <v>3383</v>
      </c>
      <c r="D662" s="5" t="s">
        <v>1462</v>
      </c>
      <c r="E662" s="5" t="s">
        <v>2946</v>
      </c>
      <c r="F662" s="5" t="s">
        <v>1759</v>
      </c>
      <c r="G662" s="6">
        <v>46157.541666666664</v>
      </c>
      <c r="H662" s="7">
        <v>46171</v>
      </c>
      <c r="I662" s="5" t="s">
        <v>3384</v>
      </c>
      <c r="J662" s="7">
        <v>46170</v>
      </c>
      <c r="K662" s="5" t="s">
        <v>1527</v>
      </c>
      <c r="L662" s="5" t="s">
        <v>1564</v>
      </c>
      <c r="M662" s="8">
        <v>346.5</v>
      </c>
      <c r="N662" s="5" t="s">
        <v>1536</v>
      </c>
      <c r="O662" s="7">
        <v>46170</v>
      </c>
    </row>
    <row r="663" spans="1:15" x14ac:dyDescent="0.25">
      <c r="A663" s="5" t="s">
        <v>4</v>
      </c>
      <c r="B663" s="5" t="s">
        <v>3385</v>
      </c>
      <c r="D663" s="5" t="s">
        <v>269</v>
      </c>
      <c r="E663" s="5" t="s">
        <v>3386</v>
      </c>
      <c r="F663" s="5" t="s">
        <v>3387</v>
      </c>
      <c r="G663" s="6">
        <v>46163.614583333336</v>
      </c>
      <c r="H663" s="7">
        <v>46174</v>
      </c>
      <c r="I663" s="6">
        <v>46171.623611111114</v>
      </c>
      <c r="J663" s="7">
        <v>46170</v>
      </c>
      <c r="K663" s="5" t="s">
        <v>1527</v>
      </c>
      <c r="L663" s="5" t="s">
        <v>1535</v>
      </c>
      <c r="M663" s="8">
        <v>346.5</v>
      </c>
      <c r="N663" s="5" t="s">
        <v>1536</v>
      </c>
      <c r="O663" s="7">
        <v>46170</v>
      </c>
    </row>
    <row r="664" spans="1:15" hidden="1" x14ac:dyDescent="0.25">
      <c r="A664" s="5" t="s">
        <v>1522</v>
      </c>
      <c r="B664" s="5" t="s">
        <v>3388</v>
      </c>
      <c r="D664" s="5" t="s">
        <v>1510</v>
      </c>
      <c r="E664" s="5" t="s">
        <v>2466</v>
      </c>
      <c r="F664" s="5" t="s">
        <v>3389</v>
      </c>
      <c r="G664" s="6">
        <v>46134.720138888886</v>
      </c>
      <c r="H664" s="7">
        <v>46140</v>
      </c>
      <c r="I664" s="5" t="s">
        <v>3390</v>
      </c>
      <c r="J664" s="7">
        <v>46162</v>
      </c>
      <c r="K664" s="5" t="s">
        <v>1527</v>
      </c>
      <c r="L664" s="5" t="s">
        <v>1621</v>
      </c>
      <c r="M664" s="8">
        <v>345.6</v>
      </c>
      <c r="N664" s="5" t="s">
        <v>1529</v>
      </c>
      <c r="O664" s="7">
        <v>46162</v>
      </c>
    </row>
    <row r="665" spans="1:15" x14ac:dyDescent="0.25">
      <c r="A665" s="5" t="s">
        <v>4</v>
      </c>
      <c r="B665" s="5" t="s">
        <v>3391</v>
      </c>
      <c r="D665" s="5" t="s">
        <v>1501</v>
      </c>
      <c r="E665" s="5" t="s">
        <v>2884</v>
      </c>
      <c r="F665" s="5" t="s">
        <v>1532</v>
      </c>
      <c r="G665" s="6">
        <v>46087.454861111109</v>
      </c>
      <c r="H665" s="7">
        <v>46098</v>
      </c>
      <c r="I665" s="5" t="s">
        <v>3392</v>
      </c>
      <c r="J665" s="7">
        <v>46100</v>
      </c>
      <c r="K665" s="5" t="s">
        <v>1527</v>
      </c>
      <c r="L665" s="5" t="s">
        <v>1535</v>
      </c>
      <c r="M665" s="8">
        <v>344.8</v>
      </c>
      <c r="N665" s="5" t="s">
        <v>1536</v>
      </c>
      <c r="O665" s="7">
        <v>46100</v>
      </c>
    </row>
    <row r="666" spans="1:15" x14ac:dyDescent="0.25">
      <c r="A666" s="5" t="s">
        <v>4</v>
      </c>
      <c r="B666" s="5" t="s">
        <v>3393</v>
      </c>
      <c r="D666" s="5" t="s">
        <v>1394</v>
      </c>
      <c r="E666" s="5" t="s">
        <v>3394</v>
      </c>
      <c r="F666" s="5" t="s">
        <v>1759</v>
      </c>
      <c r="G666" s="6">
        <v>46136.310416666667</v>
      </c>
      <c r="H666" s="7">
        <v>46150</v>
      </c>
      <c r="I666" s="6">
        <v>46141.613194444442</v>
      </c>
      <c r="J666" s="7">
        <v>46141</v>
      </c>
      <c r="K666" s="5" t="s">
        <v>1527</v>
      </c>
      <c r="L666" s="5" t="s">
        <v>1564</v>
      </c>
      <c r="M666" s="8">
        <v>343</v>
      </c>
      <c r="N666" s="5" t="s">
        <v>1536</v>
      </c>
      <c r="O666" s="7">
        <v>46141</v>
      </c>
    </row>
    <row r="667" spans="1:15" hidden="1" x14ac:dyDescent="0.25">
      <c r="A667" s="5" t="s">
        <v>1522</v>
      </c>
      <c r="B667" s="5" t="s">
        <v>3395</v>
      </c>
      <c r="D667" s="5" t="s">
        <v>1422</v>
      </c>
      <c r="E667" s="5" t="s">
        <v>3396</v>
      </c>
      <c r="F667" s="5" t="s">
        <v>2734</v>
      </c>
      <c r="G667" s="6">
        <v>46072.436111111114</v>
      </c>
      <c r="H667" s="7">
        <v>46078</v>
      </c>
      <c r="I667" s="6">
        <v>46078.387499999997</v>
      </c>
      <c r="J667" s="7">
        <v>46078</v>
      </c>
      <c r="K667" s="5" t="s">
        <v>1527</v>
      </c>
      <c r="L667" s="5" t="s">
        <v>1528</v>
      </c>
      <c r="M667" s="8">
        <v>340.2</v>
      </c>
      <c r="N667" s="5" t="s">
        <v>1536</v>
      </c>
      <c r="O667" s="7">
        <v>46078</v>
      </c>
    </row>
    <row r="668" spans="1:15" hidden="1" x14ac:dyDescent="0.25">
      <c r="A668" s="5" t="s">
        <v>1522</v>
      </c>
      <c r="B668" s="5">
        <v>38378</v>
      </c>
      <c r="D668" s="5" t="s">
        <v>1491</v>
      </c>
      <c r="E668" s="5" t="s">
        <v>1556</v>
      </c>
      <c r="F668" s="5" t="s">
        <v>3397</v>
      </c>
      <c r="G668" s="6">
        <v>46063.600694444445</v>
      </c>
      <c r="H668" s="7">
        <v>46063</v>
      </c>
      <c r="I668" s="6">
        <v>46063.730555555558</v>
      </c>
      <c r="J668" s="7">
        <v>46065</v>
      </c>
      <c r="K668" s="5" t="s">
        <v>1527</v>
      </c>
      <c r="L668" s="5" t="s">
        <v>1528</v>
      </c>
      <c r="M668" s="8">
        <v>340</v>
      </c>
      <c r="N668" s="5" t="s">
        <v>1536</v>
      </c>
      <c r="O668" s="7">
        <v>46065</v>
      </c>
    </row>
    <row r="669" spans="1:15" x14ac:dyDescent="0.25">
      <c r="A669" s="5" t="s">
        <v>4</v>
      </c>
      <c r="B669" s="5" t="s">
        <v>3398</v>
      </c>
      <c r="D669" s="5" t="s">
        <v>884</v>
      </c>
      <c r="E669" s="5" t="s">
        <v>3399</v>
      </c>
      <c r="F669" s="5" t="s">
        <v>1738</v>
      </c>
      <c r="G669" s="6">
        <v>46097.661805555559</v>
      </c>
      <c r="H669" s="7">
        <v>46108</v>
      </c>
      <c r="I669" s="5" t="s">
        <v>1533</v>
      </c>
      <c r="J669" s="7">
        <v>46108</v>
      </c>
      <c r="K669" s="5" t="s">
        <v>1534</v>
      </c>
      <c r="L669" s="5" t="s">
        <v>1564</v>
      </c>
      <c r="M669" s="8">
        <v>340</v>
      </c>
      <c r="N669" s="5" t="s">
        <v>1536</v>
      </c>
      <c r="O669" s="7">
        <v>46108</v>
      </c>
    </row>
    <row r="670" spans="1:15" x14ac:dyDescent="0.25">
      <c r="A670" s="5" t="s">
        <v>4</v>
      </c>
      <c r="B670" s="5" t="s">
        <v>3400</v>
      </c>
      <c r="D670" s="5" t="s">
        <v>544</v>
      </c>
      <c r="E670" s="5" t="s">
        <v>3401</v>
      </c>
      <c r="F670" s="5" t="s">
        <v>1759</v>
      </c>
      <c r="G670" s="6">
        <v>46132.344444444447</v>
      </c>
      <c r="H670" s="7">
        <v>46139</v>
      </c>
      <c r="I670" s="5" t="s">
        <v>3402</v>
      </c>
      <c r="J670" s="7">
        <v>46141</v>
      </c>
      <c r="K670" s="5" t="s">
        <v>1527</v>
      </c>
      <c r="L670" s="5" t="s">
        <v>1564</v>
      </c>
      <c r="M670" s="8">
        <v>340</v>
      </c>
      <c r="N670" s="5" t="s">
        <v>1536</v>
      </c>
      <c r="O670" s="7">
        <v>46141</v>
      </c>
    </row>
    <row r="671" spans="1:15" x14ac:dyDescent="0.25">
      <c r="A671" s="5" t="s">
        <v>4</v>
      </c>
      <c r="B671" s="5" t="s">
        <v>3403</v>
      </c>
      <c r="D671" s="5" t="s">
        <v>849</v>
      </c>
      <c r="E671" s="5" t="s">
        <v>3404</v>
      </c>
      <c r="F671" s="5" t="s">
        <v>1813</v>
      </c>
      <c r="G671" s="6">
        <v>46056.474999999999</v>
      </c>
      <c r="H671" s="7">
        <v>46066</v>
      </c>
      <c r="I671" s="5" t="s">
        <v>3405</v>
      </c>
      <c r="J671" s="7">
        <v>46073</v>
      </c>
      <c r="K671" s="5" t="s">
        <v>1527</v>
      </c>
      <c r="L671" s="5" t="s">
        <v>1535</v>
      </c>
      <c r="M671" s="8">
        <v>338.5</v>
      </c>
      <c r="N671" s="5" t="s">
        <v>1536</v>
      </c>
      <c r="O671" s="7">
        <v>46073</v>
      </c>
    </row>
    <row r="672" spans="1:15" x14ac:dyDescent="0.25">
      <c r="A672" s="5" t="s">
        <v>4</v>
      </c>
      <c r="B672" s="5" t="s">
        <v>3406</v>
      </c>
      <c r="D672" s="5" t="s">
        <v>1414</v>
      </c>
      <c r="E672" s="5" t="s">
        <v>3407</v>
      </c>
      <c r="F672" s="5" t="s">
        <v>1548</v>
      </c>
      <c r="G672" s="6">
        <v>46036.375694444447</v>
      </c>
      <c r="H672" s="7">
        <v>46049</v>
      </c>
      <c r="I672" s="6">
        <v>46045.709027777775</v>
      </c>
      <c r="J672" s="7">
        <v>46045</v>
      </c>
      <c r="K672" s="5" t="s">
        <v>1527</v>
      </c>
      <c r="L672" s="5" t="s">
        <v>1564</v>
      </c>
      <c r="M672" s="8">
        <v>338.4</v>
      </c>
      <c r="N672" s="5" t="s">
        <v>1536</v>
      </c>
      <c r="O672" s="7">
        <v>46045</v>
      </c>
    </row>
    <row r="673" spans="1:15" x14ac:dyDescent="0.25">
      <c r="A673" s="5" t="s">
        <v>4</v>
      </c>
      <c r="B673" s="5" t="s">
        <v>3408</v>
      </c>
      <c r="D673" s="5" t="s">
        <v>1333</v>
      </c>
      <c r="E673" s="5" t="s">
        <v>3409</v>
      </c>
      <c r="F673" s="5" t="s">
        <v>3410</v>
      </c>
      <c r="G673" s="6">
        <v>46118.566666666666</v>
      </c>
      <c r="H673" s="7">
        <v>46127</v>
      </c>
      <c r="I673" s="6">
        <v>46126.634027777778</v>
      </c>
      <c r="J673" s="7">
        <v>46125</v>
      </c>
      <c r="K673" s="5" t="s">
        <v>1527</v>
      </c>
      <c r="L673" s="5" t="s">
        <v>1535</v>
      </c>
      <c r="M673" s="8">
        <v>338</v>
      </c>
      <c r="N673" s="5" t="s">
        <v>1536</v>
      </c>
      <c r="O673" s="7">
        <v>46125</v>
      </c>
    </row>
    <row r="674" spans="1:15" x14ac:dyDescent="0.25">
      <c r="A674" s="5" t="s">
        <v>4</v>
      </c>
      <c r="B674" s="5" t="s">
        <v>3411</v>
      </c>
      <c r="D674" s="5" t="s">
        <v>858</v>
      </c>
      <c r="E674" s="5" t="s">
        <v>3412</v>
      </c>
      <c r="F674" s="5" t="s">
        <v>2118</v>
      </c>
      <c r="G674" s="6">
        <v>46140.579861111109</v>
      </c>
      <c r="H674" s="7">
        <v>46154</v>
      </c>
      <c r="I674" s="6">
        <v>46142.647916666669</v>
      </c>
      <c r="J674" s="7">
        <v>46141</v>
      </c>
      <c r="K674" s="5" t="s">
        <v>1527</v>
      </c>
      <c r="L674" s="5" t="s">
        <v>1564</v>
      </c>
      <c r="M674" s="8">
        <v>336.99</v>
      </c>
      <c r="N674" s="5" t="s">
        <v>1536</v>
      </c>
      <c r="O674" s="7">
        <v>46141</v>
      </c>
    </row>
    <row r="675" spans="1:15" x14ac:dyDescent="0.25">
      <c r="A675" s="5" t="s">
        <v>4</v>
      </c>
      <c r="B675" s="5" t="s">
        <v>3413</v>
      </c>
      <c r="D675" s="5" t="s">
        <v>1365</v>
      </c>
      <c r="E675" s="5" t="s">
        <v>3414</v>
      </c>
      <c r="F675" s="5" t="s">
        <v>3415</v>
      </c>
      <c r="G675" s="6">
        <v>46162.379166666666</v>
      </c>
      <c r="H675" s="7">
        <v>46169</v>
      </c>
      <c r="I675" s="5" t="s">
        <v>3416</v>
      </c>
      <c r="J675" s="7">
        <v>46176</v>
      </c>
      <c r="K675" s="5" t="s">
        <v>1527</v>
      </c>
      <c r="L675" s="5" t="s">
        <v>1621</v>
      </c>
      <c r="M675" s="8">
        <v>335.21</v>
      </c>
      <c r="N675" s="5" t="s">
        <v>1536</v>
      </c>
      <c r="O675" s="7">
        <v>46176</v>
      </c>
    </row>
    <row r="676" spans="1:15" x14ac:dyDescent="0.25">
      <c r="A676" s="5" t="s">
        <v>4</v>
      </c>
      <c r="B676" s="5" t="s">
        <v>3417</v>
      </c>
      <c r="D676" s="5" t="s">
        <v>1051</v>
      </c>
      <c r="E676" s="5" t="s">
        <v>3418</v>
      </c>
      <c r="F676" s="5" t="s">
        <v>1759</v>
      </c>
      <c r="G676" s="6">
        <v>46100.397916666669</v>
      </c>
      <c r="H676" s="7">
        <v>46113</v>
      </c>
      <c r="I676" s="5" t="s">
        <v>3419</v>
      </c>
      <c r="J676" s="7">
        <v>46112</v>
      </c>
      <c r="K676" s="5" t="s">
        <v>1527</v>
      </c>
      <c r="L676" s="5" t="s">
        <v>1564</v>
      </c>
      <c r="M676" s="9">
        <v>335.05</v>
      </c>
      <c r="N676" s="5" t="s">
        <v>1536</v>
      </c>
      <c r="O676" s="7">
        <v>46112</v>
      </c>
    </row>
    <row r="677" spans="1:15" x14ac:dyDescent="0.25">
      <c r="A677" s="5" t="s">
        <v>4</v>
      </c>
      <c r="B677" s="5" t="s">
        <v>3420</v>
      </c>
      <c r="D677" s="5" t="s">
        <v>387</v>
      </c>
      <c r="E677" s="5" t="s">
        <v>3421</v>
      </c>
      <c r="F677" s="5" t="s">
        <v>1738</v>
      </c>
      <c r="G677" s="6">
        <v>46059.666666666664</v>
      </c>
      <c r="H677" s="7">
        <v>46072</v>
      </c>
      <c r="I677" s="6">
        <v>46071.615972222222</v>
      </c>
      <c r="J677" s="7">
        <v>46071</v>
      </c>
      <c r="K677" s="5" t="s">
        <v>1527</v>
      </c>
      <c r="L677" s="5" t="s">
        <v>1564</v>
      </c>
      <c r="M677" s="8">
        <v>334</v>
      </c>
      <c r="N677" s="5" t="s">
        <v>1536</v>
      </c>
      <c r="O677" s="7">
        <v>46071</v>
      </c>
    </row>
    <row r="678" spans="1:15" x14ac:dyDescent="0.25">
      <c r="A678" s="5" t="s">
        <v>4</v>
      </c>
      <c r="B678" s="5" t="s">
        <v>3422</v>
      </c>
      <c r="D678" s="5" t="s">
        <v>1180</v>
      </c>
      <c r="E678" s="5" t="s">
        <v>3423</v>
      </c>
      <c r="F678" s="5" t="s">
        <v>3424</v>
      </c>
      <c r="G678" s="6">
        <v>46028.677083333336</v>
      </c>
      <c r="H678" s="7">
        <v>46035</v>
      </c>
      <c r="I678" s="5" t="s">
        <v>3425</v>
      </c>
      <c r="J678" s="7">
        <v>46044</v>
      </c>
      <c r="K678" s="5" t="s">
        <v>1527</v>
      </c>
      <c r="L678" s="5" t="s">
        <v>1621</v>
      </c>
      <c r="M678" s="8">
        <v>333.21</v>
      </c>
      <c r="N678" s="5" t="s">
        <v>1536</v>
      </c>
      <c r="O678" s="7">
        <v>46044</v>
      </c>
    </row>
    <row r="679" spans="1:15" x14ac:dyDescent="0.25">
      <c r="A679" s="5" t="s">
        <v>4</v>
      </c>
      <c r="B679" s="5" t="s">
        <v>3426</v>
      </c>
      <c r="D679" s="5" t="s">
        <v>413</v>
      </c>
      <c r="E679" s="5" t="s">
        <v>3427</v>
      </c>
      <c r="F679" s="5" t="s">
        <v>1738</v>
      </c>
      <c r="G679" s="6">
        <v>46121.456250000003</v>
      </c>
      <c r="H679" s="7">
        <v>46134</v>
      </c>
      <c r="I679" s="6">
        <v>46128.415277777778</v>
      </c>
      <c r="J679" s="7">
        <v>46126</v>
      </c>
      <c r="K679" s="5" t="s">
        <v>1527</v>
      </c>
      <c r="L679" s="5" t="s">
        <v>1564</v>
      </c>
      <c r="M679" s="8">
        <v>333</v>
      </c>
      <c r="N679" s="5" t="s">
        <v>1536</v>
      </c>
      <c r="O679" s="7">
        <v>46126</v>
      </c>
    </row>
    <row r="680" spans="1:15" x14ac:dyDescent="0.25">
      <c r="A680" s="5" t="s">
        <v>4</v>
      </c>
      <c r="B680" s="5" t="s">
        <v>3428</v>
      </c>
      <c r="D680" s="5" t="s">
        <v>404</v>
      </c>
      <c r="E680" s="5" t="s">
        <v>3429</v>
      </c>
      <c r="F680" s="5" t="s">
        <v>1738</v>
      </c>
      <c r="G680" s="6">
        <v>46161.708333333336</v>
      </c>
      <c r="H680" s="7">
        <v>46174</v>
      </c>
      <c r="I680" s="6">
        <v>46171.623611111114</v>
      </c>
      <c r="J680" s="7">
        <v>46170</v>
      </c>
      <c r="K680" s="5" t="s">
        <v>1527</v>
      </c>
      <c r="L680" s="5" t="s">
        <v>1564</v>
      </c>
      <c r="M680" s="8">
        <v>333</v>
      </c>
      <c r="N680" s="5" t="s">
        <v>1536</v>
      </c>
      <c r="O680" s="7">
        <v>46170</v>
      </c>
    </row>
    <row r="681" spans="1:15" x14ac:dyDescent="0.25">
      <c r="A681" s="5" t="s">
        <v>4</v>
      </c>
      <c r="B681" s="5" t="s">
        <v>3430</v>
      </c>
      <c r="D681" s="5" t="s">
        <v>1509</v>
      </c>
      <c r="E681" s="5" t="s">
        <v>3024</v>
      </c>
      <c r="F681" s="5" t="s">
        <v>3431</v>
      </c>
      <c r="G681" s="6">
        <v>46056.71875</v>
      </c>
      <c r="H681" s="7">
        <v>46065</v>
      </c>
      <c r="I681" s="5" t="s">
        <v>3432</v>
      </c>
      <c r="J681" s="7">
        <v>46072</v>
      </c>
      <c r="K681" s="5" t="s">
        <v>1527</v>
      </c>
      <c r="L681" s="5" t="s">
        <v>1535</v>
      </c>
      <c r="M681" s="8">
        <v>332.5</v>
      </c>
      <c r="N681" s="5" t="s">
        <v>1536</v>
      </c>
      <c r="O681" s="7">
        <v>46072</v>
      </c>
    </row>
    <row r="682" spans="1:15" hidden="1" x14ac:dyDescent="0.25">
      <c r="A682" s="5" t="s">
        <v>1522</v>
      </c>
      <c r="B682" s="5" t="s">
        <v>3433</v>
      </c>
      <c r="D682" s="5" t="s">
        <v>1510</v>
      </c>
      <c r="E682" s="5" t="s">
        <v>2466</v>
      </c>
      <c r="F682" s="5" t="s">
        <v>3434</v>
      </c>
      <c r="G682" s="6">
        <v>46148.61041666667</v>
      </c>
      <c r="H682" s="7">
        <v>46162</v>
      </c>
      <c r="I682" s="5" t="s">
        <v>3435</v>
      </c>
      <c r="J682" s="7">
        <v>46174</v>
      </c>
      <c r="K682" s="5" t="s">
        <v>1527</v>
      </c>
      <c r="L682" s="5" t="s">
        <v>1621</v>
      </c>
      <c r="M682" s="8">
        <v>330.72</v>
      </c>
      <c r="N682" s="5" t="s">
        <v>1529</v>
      </c>
      <c r="O682" s="7">
        <v>46174</v>
      </c>
    </row>
    <row r="683" spans="1:15" x14ac:dyDescent="0.25">
      <c r="A683" s="5" t="s">
        <v>4</v>
      </c>
      <c r="B683" s="5" t="s">
        <v>3436</v>
      </c>
      <c r="D683" s="5" t="s">
        <v>1058</v>
      </c>
      <c r="E683" s="5" t="s">
        <v>3437</v>
      </c>
      <c r="F683" s="5" t="s">
        <v>3438</v>
      </c>
      <c r="G683" s="6">
        <v>46167.697916666664</v>
      </c>
      <c r="H683" s="7">
        <v>46174</v>
      </c>
      <c r="I683" s="5" t="s">
        <v>3439</v>
      </c>
      <c r="J683" s="7">
        <v>46171</v>
      </c>
      <c r="K683" s="5" t="s">
        <v>1527</v>
      </c>
      <c r="L683" s="5" t="s">
        <v>1621</v>
      </c>
      <c r="M683" s="8">
        <v>330.61</v>
      </c>
      <c r="N683" s="5" t="s">
        <v>1536</v>
      </c>
      <c r="O683" s="7">
        <v>46171</v>
      </c>
    </row>
    <row r="684" spans="1:15" x14ac:dyDescent="0.25">
      <c r="A684" s="5" t="s">
        <v>4</v>
      </c>
      <c r="B684" s="5" t="s">
        <v>3440</v>
      </c>
      <c r="D684" s="5" t="s">
        <v>992</v>
      </c>
      <c r="E684" s="5" t="s">
        <v>3441</v>
      </c>
      <c r="F684" s="5" t="s">
        <v>2118</v>
      </c>
      <c r="G684" s="6">
        <v>46086.499305555553</v>
      </c>
      <c r="H684" s="7">
        <v>46099</v>
      </c>
      <c r="I684" s="5" t="s">
        <v>3442</v>
      </c>
      <c r="J684" s="7">
        <v>46101</v>
      </c>
      <c r="K684" s="5" t="s">
        <v>1527</v>
      </c>
      <c r="L684" s="5" t="s">
        <v>1564</v>
      </c>
      <c r="M684" s="8">
        <v>330.25</v>
      </c>
      <c r="N684" s="5" t="s">
        <v>1536</v>
      </c>
      <c r="O684" s="7">
        <v>46101</v>
      </c>
    </row>
    <row r="685" spans="1:15" x14ac:dyDescent="0.25">
      <c r="A685" s="5" t="s">
        <v>4</v>
      </c>
      <c r="B685" s="5" t="s">
        <v>3443</v>
      </c>
      <c r="D685" s="5" t="s">
        <v>242</v>
      </c>
      <c r="E685" s="5" t="s">
        <v>3444</v>
      </c>
      <c r="F685" s="5" t="s">
        <v>3445</v>
      </c>
      <c r="G685" s="6">
        <v>46038.336805555555</v>
      </c>
      <c r="H685" s="7">
        <v>46051</v>
      </c>
      <c r="I685" s="5" t="s">
        <v>3446</v>
      </c>
      <c r="J685" s="7">
        <v>46052</v>
      </c>
      <c r="K685" s="5" t="s">
        <v>1527</v>
      </c>
      <c r="L685" s="5" t="s">
        <v>1564</v>
      </c>
      <c r="M685" s="8">
        <v>330</v>
      </c>
      <c r="N685" s="5" t="s">
        <v>1536</v>
      </c>
      <c r="O685" s="7">
        <v>46052</v>
      </c>
    </row>
    <row r="686" spans="1:15" x14ac:dyDescent="0.25">
      <c r="A686" s="5" t="s">
        <v>4</v>
      </c>
      <c r="B686" s="5" t="s">
        <v>3447</v>
      </c>
      <c r="D686" s="5" t="s">
        <v>1046</v>
      </c>
      <c r="E686" s="5" t="s">
        <v>3448</v>
      </c>
      <c r="F686" s="5" t="s">
        <v>1548</v>
      </c>
      <c r="G686" s="6">
        <v>46049.475694444445</v>
      </c>
      <c r="H686" s="7">
        <v>46062</v>
      </c>
      <c r="I686" s="5" t="s">
        <v>3449</v>
      </c>
      <c r="J686" s="7">
        <v>46066</v>
      </c>
      <c r="K686" s="5" t="s">
        <v>1527</v>
      </c>
      <c r="L686" s="5" t="s">
        <v>1564</v>
      </c>
      <c r="M686" s="8">
        <v>330</v>
      </c>
      <c r="N686" s="5" t="s">
        <v>1536</v>
      </c>
      <c r="O686" s="7">
        <v>46066</v>
      </c>
    </row>
    <row r="687" spans="1:15" x14ac:dyDescent="0.25">
      <c r="A687" s="5" t="s">
        <v>4</v>
      </c>
      <c r="B687" s="5" t="s">
        <v>3450</v>
      </c>
      <c r="D687" s="5" t="s">
        <v>769</v>
      </c>
      <c r="E687" s="5" t="s">
        <v>3451</v>
      </c>
      <c r="F687" s="5" t="s">
        <v>3452</v>
      </c>
      <c r="G687" s="6">
        <v>46034.622916666667</v>
      </c>
      <c r="H687" s="7">
        <v>46041</v>
      </c>
      <c r="I687" s="5" t="s">
        <v>3453</v>
      </c>
      <c r="J687" s="7">
        <v>46058</v>
      </c>
      <c r="K687" s="5" t="s">
        <v>1527</v>
      </c>
      <c r="L687" s="5" t="s">
        <v>1621</v>
      </c>
      <c r="M687" s="8">
        <v>329.34</v>
      </c>
      <c r="N687" s="5" t="s">
        <v>1536</v>
      </c>
      <c r="O687" s="7">
        <v>46058</v>
      </c>
    </row>
    <row r="688" spans="1:15" hidden="1" x14ac:dyDescent="0.25">
      <c r="A688" s="5" t="s">
        <v>1522</v>
      </c>
      <c r="B688" s="5" t="s">
        <v>3454</v>
      </c>
      <c r="D688" s="5" t="s">
        <v>723</v>
      </c>
      <c r="E688" s="5" t="s">
        <v>3455</v>
      </c>
      <c r="F688" s="5" t="s">
        <v>2607</v>
      </c>
      <c r="G688" s="6">
        <v>46045.60833333333</v>
      </c>
      <c r="H688" s="7">
        <v>46045</v>
      </c>
      <c r="I688" s="5" t="s">
        <v>3456</v>
      </c>
      <c r="J688" s="7">
        <v>46093</v>
      </c>
      <c r="K688" s="5" t="s">
        <v>1527</v>
      </c>
      <c r="L688" s="5" t="s">
        <v>1528</v>
      </c>
      <c r="M688" s="8">
        <v>329.2</v>
      </c>
      <c r="N688" s="5" t="s">
        <v>1536</v>
      </c>
      <c r="O688" s="7">
        <v>46093</v>
      </c>
    </row>
    <row r="689" spans="1:15" x14ac:dyDescent="0.25">
      <c r="A689" s="5" t="s">
        <v>4</v>
      </c>
      <c r="B689" s="5" t="s">
        <v>3457</v>
      </c>
      <c r="D689" s="5" t="s">
        <v>1489</v>
      </c>
      <c r="E689" s="5" t="s">
        <v>2431</v>
      </c>
      <c r="F689" s="5" t="s">
        <v>3458</v>
      </c>
      <c r="G689" s="6">
        <v>46162.704861111109</v>
      </c>
      <c r="H689" s="7">
        <v>46175</v>
      </c>
      <c r="I689" s="6">
        <v>46175.715277777781</v>
      </c>
      <c r="J689" s="7">
        <v>46170</v>
      </c>
      <c r="K689" s="5" t="s">
        <v>1527</v>
      </c>
      <c r="L689" s="5" t="s">
        <v>1564</v>
      </c>
      <c r="M689" s="8">
        <v>327.8</v>
      </c>
      <c r="N689" s="5" t="s">
        <v>1536</v>
      </c>
      <c r="O689" s="7">
        <v>46170</v>
      </c>
    </row>
    <row r="690" spans="1:15" x14ac:dyDescent="0.25">
      <c r="A690" s="5" t="s">
        <v>4</v>
      </c>
      <c r="B690" s="5" t="s">
        <v>3459</v>
      </c>
      <c r="D690" s="5" t="s">
        <v>309</v>
      </c>
      <c r="E690" s="5" t="s">
        <v>3460</v>
      </c>
      <c r="F690" s="5" t="s">
        <v>1548</v>
      </c>
      <c r="G690" s="6">
        <v>46029.665277777778</v>
      </c>
      <c r="H690" s="7">
        <v>46041</v>
      </c>
      <c r="I690" s="5" t="s">
        <v>1533</v>
      </c>
      <c r="J690" s="7">
        <v>46048</v>
      </c>
      <c r="K690" s="5" t="s">
        <v>1534</v>
      </c>
      <c r="L690" s="5" t="s">
        <v>1564</v>
      </c>
      <c r="M690" s="8">
        <v>327.5</v>
      </c>
      <c r="N690" s="5" t="s">
        <v>1536</v>
      </c>
      <c r="O690" s="7">
        <v>46048</v>
      </c>
    </row>
    <row r="691" spans="1:15" x14ac:dyDescent="0.25">
      <c r="A691" s="5" t="s">
        <v>4</v>
      </c>
      <c r="B691" s="5" t="s">
        <v>3461</v>
      </c>
      <c r="D691" s="5" t="s">
        <v>1409</v>
      </c>
      <c r="E691" s="5" t="s">
        <v>3462</v>
      </c>
      <c r="F691" s="5" t="s">
        <v>1532</v>
      </c>
      <c r="G691" s="6">
        <v>46168.426388888889</v>
      </c>
      <c r="H691" s="7">
        <v>46178</v>
      </c>
      <c r="I691" s="6">
        <v>46178.493750000001</v>
      </c>
      <c r="J691" s="7">
        <v>46178</v>
      </c>
      <c r="K691" s="5" t="s">
        <v>1527</v>
      </c>
      <c r="L691" s="5" t="s">
        <v>1535</v>
      </c>
      <c r="M691" s="8">
        <v>327.14</v>
      </c>
      <c r="N691" s="5" t="s">
        <v>1529</v>
      </c>
      <c r="O691" s="7">
        <v>46178</v>
      </c>
    </row>
    <row r="692" spans="1:15" x14ac:dyDescent="0.25">
      <c r="A692" s="5" t="s">
        <v>4</v>
      </c>
      <c r="B692" s="5" t="s">
        <v>3463</v>
      </c>
      <c r="D692" s="5" t="s">
        <v>301</v>
      </c>
      <c r="E692" s="5" t="s">
        <v>3464</v>
      </c>
      <c r="F692" s="5" t="s">
        <v>2306</v>
      </c>
      <c r="G692" s="6">
        <v>46090.348611111112</v>
      </c>
      <c r="H692" s="7">
        <v>46101</v>
      </c>
      <c r="I692" s="6">
        <v>46097.601388888892</v>
      </c>
      <c r="J692" s="7">
        <v>46097</v>
      </c>
      <c r="K692" s="5" t="s">
        <v>1527</v>
      </c>
      <c r="L692" s="5" t="s">
        <v>1564</v>
      </c>
      <c r="M692" s="8">
        <v>327</v>
      </c>
      <c r="N692" s="5" t="s">
        <v>1536</v>
      </c>
      <c r="O692" s="7">
        <v>46097</v>
      </c>
    </row>
    <row r="693" spans="1:15" x14ac:dyDescent="0.25">
      <c r="A693" s="5" t="s">
        <v>4</v>
      </c>
      <c r="B693" s="5" t="s">
        <v>3465</v>
      </c>
      <c r="D693" s="5" t="s">
        <v>1405</v>
      </c>
      <c r="E693" s="5" t="s">
        <v>1708</v>
      </c>
      <c r="F693" s="5" t="s">
        <v>3466</v>
      </c>
      <c r="G693" s="6">
        <v>46080.397222222222</v>
      </c>
      <c r="H693" s="7">
        <v>46091</v>
      </c>
      <c r="I693" s="5" t="s">
        <v>3467</v>
      </c>
      <c r="J693" s="7">
        <v>46098</v>
      </c>
      <c r="K693" s="5" t="s">
        <v>1527</v>
      </c>
      <c r="L693" s="5" t="s">
        <v>1535</v>
      </c>
      <c r="M693" s="8">
        <v>326.7</v>
      </c>
      <c r="N693" s="5" t="s">
        <v>1536</v>
      </c>
      <c r="O693" s="7">
        <v>46098</v>
      </c>
    </row>
    <row r="694" spans="1:15" x14ac:dyDescent="0.25">
      <c r="A694" s="5" t="s">
        <v>4</v>
      </c>
      <c r="B694" s="5" t="s">
        <v>3468</v>
      </c>
      <c r="D694" s="5" t="s">
        <v>357</v>
      </c>
      <c r="E694" s="5" t="s">
        <v>1747</v>
      </c>
      <c r="F694" s="5" t="s">
        <v>1813</v>
      </c>
      <c r="G694" s="6">
        <v>46122.582638888889</v>
      </c>
      <c r="H694" s="7">
        <v>46134</v>
      </c>
      <c r="I694" s="5" t="s">
        <v>3469</v>
      </c>
      <c r="J694" s="7">
        <v>46136</v>
      </c>
      <c r="K694" s="5" t="s">
        <v>1527</v>
      </c>
      <c r="L694" s="5" t="s">
        <v>1535</v>
      </c>
      <c r="M694" s="8">
        <v>326</v>
      </c>
      <c r="N694" s="5" t="s">
        <v>1536</v>
      </c>
      <c r="O694" s="7">
        <v>46136</v>
      </c>
    </row>
    <row r="695" spans="1:15" x14ac:dyDescent="0.25">
      <c r="A695" s="5" t="s">
        <v>4</v>
      </c>
      <c r="B695" s="5" t="s">
        <v>3470</v>
      </c>
      <c r="D695" s="5" t="s">
        <v>1228</v>
      </c>
      <c r="E695" s="5" t="s">
        <v>3471</v>
      </c>
      <c r="F695" s="5" t="s">
        <v>1738</v>
      </c>
      <c r="G695" s="6">
        <v>46078.355555555558</v>
      </c>
      <c r="H695" s="7">
        <v>46094</v>
      </c>
      <c r="I695" s="5" t="s">
        <v>3472</v>
      </c>
      <c r="J695" s="7">
        <v>46097</v>
      </c>
      <c r="K695" s="5" t="s">
        <v>1527</v>
      </c>
      <c r="L695" s="5" t="s">
        <v>1564</v>
      </c>
      <c r="M695" s="8">
        <v>325</v>
      </c>
      <c r="N695" s="5" t="s">
        <v>1536</v>
      </c>
      <c r="O695" s="7">
        <v>46097</v>
      </c>
    </row>
    <row r="696" spans="1:15" x14ac:dyDescent="0.25">
      <c r="A696" s="5" t="s">
        <v>4</v>
      </c>
      <c r="B696" s="5" t="s">
        <v>3473</v>
      </c>
      <c r="D696" s="5" t="s">
        <v>1350</v>
      </c>
      <c r="E696" s="5" t="s">
        <v>3347</v>
      </c>
      <c r="F696" s="5" t="s">
        <v>1738</v>
      </c>
      <c r="G696" s="6">
        <v>46100.751388888886</v>
      </c>
      <c r="H696" s="7">
        <v>46113</v>
      </c>
      <c r="I696" s="5" t="s">
        <v>3419</v>
      </c>
      <c r="J696" s="7">
        <v>46112</v>
      </c>
      <c r="K696" s="5" t="s">
        <v>1527</v>
      </c>
      <c r="L696" s="5" t="s">
        <v>1564</v>
      </c>
      <c r="M696" s="8">
        <v>325</v>
      </c>
      <c r="N696" s="5" t="s">
        <v>1536</v>
      </c>
      <c r="O696" s="7">
        <v>46112</v>
      </c>
    </row>
    <row r="697" spans="1:15" x14ac:dyDescent="0.25">
      <c r="A697" s="5" t="s">
        <v>4</v>
      </c>
      <c r="B697" s="5" t="s">
        <v>3474</v>
      </c>
      <c r="D697" s="5" t="s">
        <v>297</v>
      </c>
      <c r="E697" s="5" t="s">
        <v>3475</v>
      </c>
      <c r="F697" s="5" t="s">
        <v>3476</v>
      </c>
      <c r="G697" s="6">
        <v>46146.712500000001</v>
      </c>
      <c r="H697" s="7">
        <v>46153</v>
      </c>
      <c r="I697" s="5" t="s">
        <v>3477</v>
      </c>
      <c r="J697" s="7">
        <v>46171</v>
      </c>
      <c r="K697" s="5" t="s">
        <v>1527</v>
      </c>
      <c r="L697" s="5" t="s">
        <v>1621</v>
      </c>
      <c r="M697" s="8">
        <v>324.29000000000002</v>
      </c>
      <c r="N697" s="5" t="s">
        <v>1536</v>
      </c>
      <c r="O697" s="7">
        <v>46171</v>
      </c>
    </row>
    <row r="698" spans="1:15" x14ac:dyDescent="0.25">
      <c r="A698" s="5" t="s">
        <v>4</v>
      </c>
      <c r="B698" s="5" t="s">
        <v>3478</v>
      </c>
      <c r="D698" s="5" t="s">
        <v>930</v>
      </c>
      <c r="E698" s="5" t="s">
        <v>3479</v>
      </c>
      <c r="F698" s="5" t="s">
        <v>3480</v>
      </c>
      <c r="G698" s="6">
        <v>46153.618750000001</v>
      </c>
      <c r="H698" s="7">
        <v>46169</v>
      </c>
      <c r="I698" s="6">
        <v>46156.508333333331</v>
      </c>
      <c r="J698" s="7">
        <v>46156</v>
      </c>
      <c r="K698" s="5" t="s">
        <v>1527</v>
      </c>
      <c r="L698" s="5" t="s">
        <v>1621</v>
      </c>
      <c r="M698" s="8">
        <v>321.66000000000003</v>
      </c>
      <c r="N698" s="5" t="s">
        <v>1536</v>
      </c>
      <c r="O698" s="7">
        <v>46156</v>
      </c>
    </row>
    <row r="699" spans="1:15" x14ac:dyDescent="0.25">
      <c r="A699" s="5" t="s">
        <v>4</v>
      </c>
      <c r="B699" s="5" t="s">
        <v>3481</v>
      </c>
      <c r="D699" s="5" t="s">
        <v>1041</v>
      </c>
      <c r="E699" s="5" t="s">
        <v>3482</v>
      </c>
      <c r="F699" s="5" t="s">
        <v>3458</v>
      </c>
      <c r="G699" s="6">
        <v>46084.636805555558</v>
      </c>
      <c r="H699" s="7">
        <v>46097</v>
      </c>
      <c r="I699" s="6">
        <v>46092.606944444444</v>
      </c>
      <c r="J699" s="7">
        <v>46092</v>
      </c>
      <c r="K699" s="5" t="s">
        <v>1527</v>
      </c>
      <c r="L699" s="5" t="s">
        <v>1564</v>
      </c>
      <c r="M699" s="8">
        <v>321</v>
      </c>
      <c r="N699" s="5" t="s">
        <v>1536</v>
      </c>
      <c r="O699" s="7">
        <v>46092</v>
      </c>
    </row>
    <row r="700" spans="1:15" x14ac:dyDescent="0.25">
      <c r="A700" s="5" t="s">
        <v>4</v>
      </c>
      <c r="B700" s="5" t="s">
        <v>3483</v>
      </c>
      <c r="D700" s="5" t="s">
        <v>226</v>
      </c>
      <c r="E700" s="5" t="s">
        <v>3484</v>
      </c>
      <c r="F700" s="5" t="s">
        <v>3485</v>
      </c>
      <c r="G700" s="6">
        <v>46044.726388888892</v>
      </c>
      <c r="H700" s="7">
        <v>46051</v>
      </c>
      <c r="I700" s="6">
        <v>46050.745138888888</v>
      </c>
      <c r="J700" s="7">
        <v>46050</v>
      </c>
      <c r="K700" s="5" t="s">
        <v>1527</v>
      </c>
      <c r="L700" s="5" t="s">
        <v>1621</v>
      </c>
      <c r="M700" s="8">
        <v>320.98</v>
      </c>
      <c r="N700" s="5" t="s">
        <v>1536</v>
      </c>
      <c r="O700" s="7">
        <v>46050</v>
      </c>
    </row>
    <row r="701" spans="1:15" hidden="1" x14ac:dyDescent="0.25">
      <c r="A701" s="5" t="s">
        <v>1522</v>
      </c>
      <c r="B701" s="5" t="s">
        <v>3486</v>
      </c>
      <c r="D701" s="5" t="s">
        <v>1468</v>
      </c>
      <c r="E701" s="5" t="s">
        <v>3487</v>
      </c>
      <c r="F701" s="5" t="s">
        <v>3488</v>
      </c>
      <c r="G701" s="6">
        <v>46135.647916666669</v>
      </c>
      <c r="H701" s="7">
        <v>46141</v>
      </c>
      <c r="I701" s="6">
        <v>46141.365277777775</v>
      </c>
      <c r="J701" s="7">
        <v>46140</v>
      </c>
      <c r="K701" s="5" t="s">
        <v>1527</v>
      </c>
      <c r="L701" s="5" t="s">
        <v>1528</v>
      </c>
      <c r="M701" s="8">
        <v>320</v>
      </c>
      <c r="N701" s="5" t="s">
        <v>1536</v>
      </c>
      <c r="O701" s="7">
        <v>46140</v>
      </c>
    </row>
    <row r="702" spans="1:15" x14ac:dyDescent="0.25">
      <c r="A702" s="5" t="s">
        <v>4</v>
      </c>
      <c r="B702" s="5" t="s">
        <v>3489</v>
      </c>
      <c r="D702" s="5" t="s">
        <v>1501</v>
      </c>
      <c r="E702" s="5" t="s">
        <v>2884</v>
      </c>
      <c r="F702" s="5" t="s">
        <v>1570</v>
      </c>
      <c r="G702" s="6">
        <v>46027.404166666667</v>
      </c>
      <c r="H702" s="7">
        <v>46036</v>
      </c>
      <c r="I702" s="6">
        <v>46029.611805555556</v>
      </c>
      <c r="J702" s="7">
        <v>46029</v>
      </c>
      <c r="K702" s="5" t="s">
        <v>1527</v>
      </c>
      <c r="L702" s="5" t="s">
        <v>1535</v>
      </c>
      <c r="M702" s="8">
        <v>320</v>
      </c>
      <c r="N702" s="5" t="s">
        <v>1536</v>
      </c>
      <c r="O702" s="7">
        <v>46029</v>
      </c>
    </row>
    <row r="703" spans="1:15" x14ac:dyDescent="0.25">
      <c r="A703" s="5" t="s">
        <v>4</v>
      </c>
      <c r="B703" s="5" t="s">
        <v>3490</v>
      </c>
      <c r="D703" s="5" t="s">
        <v>1487</v>
      </c>
      <c r="E703" s="5" t="s">
        <v>3491</v>
      </c>
      <c r="F703" s="5" t="s">
        <v>2875</v>
      </c>
      <c r="G703" s="6">
        <v>46027.461111111108</v>
      </c>
      <c r="H703" s="7">
        <v>46030</v>
      </c>
      <c r="I703" s="5" t="s">
        <v>3492</v>
      </c>
      <c r="J703" s="7">
        <v>46043</v>
      </c>
      <c r="K703" s="5" t="s">
        <v>1527</v>
      </c>
      <c r="L703" s="5" t="s">
        <v>1535</v>
      </c>
      <c r="M703" s="8">
        <v>320</v>
      </c>
      <c r="N703" s="5" t="s">
        <v>1536</v>
      </c>
      <c r="O703" s="7">
        <v>46043</v>
      </c>
    </row>
    <row r="704" spans="1:15" x14ac:dyDescent="0.25">
      <c r="A704" s="5" t="s">
        <v>4</v>
      </c>
      <c r="B704" s="5" t="s">
        <v>3493</v>
      </c>
      <c r="D704" s="5" t="s">
        <v>116</v>
      </c>
      <c r="E704" s="5" t="s">
        <v>3494</v>
      </c>
      <c r="F704" s="5" t="s">
        <v>1548</v>
      </c>
      <c r="G704" s="6">
        <v>46034.356944444444</v>
      </c>
      <c r="H704" s="7">
        <v>46045</v>
      </c>
      <c r="I704" s="5" t="s">
        <v>3495</v>
      </c>
      <c r="J704" s="7">
        <v>46052</v>
      </c>
      <c r="K704" s="5" t="s">
        <v>1527</v>
      </c>
      <c r="L704" s="5" t="s">
        <v>1564</v>
      </c>
      <c r="M704" s="8">
        <v>320</v>
      </c>
      <c r="N704" s="5" t="s">
        <v>1536</v>
      </c>
      <c r="O704" s="7">
        <v>46052</v>
      </c>
    </row>
    <row r="705" spans="1:15" x14ac:dyDescent="0.25">
      <c r="A705" s="5" t="s">
        <v>4</v>
      </c>
      <c r="B705" s="5" t="s">
        <v>3496</v>
      </c>
      <c r="D705" s="5" t="s">
        <v>1487</v>
      </c>
      <c r="E705" s="5" t="s">
        <v>3491</v>
      </c>
      <c r="F705" s="5" t="s">
        <v>2306</v>
      </c>
      <c r="G705" s="6">
        <v>46087.47152777778</v>
      </c>
      <c r="H705" s="7">
        <v>46087</v>
      </c>
      <c r="I705" s="5" t="s">
        <v>3497</v>
      </c>
      <c r="J705" s="7">
        <v>46087</v>
      </c>
      <c r="K705" s="5" t="s">
        <v>1527</v>
      </c>
      <c r="L705" s="5" t="s">
        <v>1564</v>
      </c>
      <c r="M705" s="8">
        <v>320</v>
      </c>
      <c r="N705" s="5" t="s">
        <v>1536</v>
      </c>
      <c r="O705" s="7">
        <v>46087</v>
      </c>
    </row>
    <row r="706" spans="1:15" x14ac:dyDescent="0.25">
      <c r="A706" s="5" t="s">
        <v>4</v>
      </c>
      <c r="B706" s="5" t="s">
        <v>3498</v>
      </c>
      <c r="D706" s="5" t="s">
        <v>135</v>
      </c>
      <c r="E706" s="5" t="s">
        <v>3499</v>
      </c>
      <c r="F706" s="5" t="s">
        <v>1738</v>
      </c>
      <c r="G706" s="6">
        <v>46100.61041666667</v>
      </c>
      <c r="H706" s="7">
        <v>46115</v>
      </c>
      <c r="I706" s="5" t="s">
        <v>3500</v>
      </c>
      <c r="J706" s="7">
        <v>46100</v>
      </c>
      <c r="K706" s="5" t="s">
        <v>1527</v>
      </c>
      <c r="L706" s="5" t="s">
        <v>1564</v>
      </c>
      <c r="M706" s="8">
        <v>320</v>
      </c>
      <c r="N706" s="5" t="s">
        <v>1536</v>
      </c>
      <c r="O706" s="7">
        <v>46100</v>
      </c>
    </row>
    <row r="707" spans="1:15" x14ac:dyDescent="0.25">
      <c r="A707" s="5" t="s">
        <v>4</v>
      </c>
      <c r="B707" s="5" t="s">
        <v>3501</v>
      </c>
      <c r="D707" s="5" t="s">
        <v>1487</v>
      </c>
      <c r="E707" s="5" t="s">
        <v>3491</v>
      </c>
      <c r="F707" s="5" t="s">
        <v>2306</v>
      </c>
      <c r="G707" s="6">
        <v>46163.427083333336</v>
      </c>
      <c r="H707" s="7">
        <v>46169</v>
      </c>
      <c r="I707" s="5" t="s">
        <v>3502</v>
      </c>
      <c r="J707" s="7">
        <v>46170</v>
      </c>
      <c r="K707" s="5" t="s">
        <v>1527</v>
      </c>
      <c r="L707" s="5" t="s">
        <v>1564</v>
      </c>
      <c r="M707" s="8">
        <v>320</v>
      </c>
      <c r="N707" s="5" t="s">
        <v>1536</v>
      </c>
      <c r="O707" s="7">
        <v>46170</v>
      </c>
    </row>
    <row r="708" spans="1:15" x14ac:dyDescent="0.25">
      <c r="A708" s="5" t="s">
        <v>4</v>
      </c>
      <c r="B708" s="5" t="s">
        <v>3503</v>
      </c>
      <c r="D708" s="5" t="s">
        <v>1084</v>
      </c>
      <c r="E708" s="5" t="s">
        <v>3504</v>
      </c>
      <c r="F708" s="5" t="s">
        <v>3505</v>
      </c>
      <c r="G708" s="6">
        <v>46064.643750000003</v>
      </c>
      <c r="H708" s="7">
        <v>46070</v>
      </c>
      <c r="I708" s="5" t="s">
        <v>3506</v>
      </c>
      <c r="J708" s="7">
        <v>46073</v>
      </c>
      <c r="K708" s="5" t="s">
        <v>1527</v>
      </c>
      <c r="L708" s="5" t="s">
        <v>1621</v>
      </c>
      <c r="M708" s="8">
        <v>319.88</v>
      </c>
      <c r="N708" s="5" t="s">
        <v>1536</v>
      </c>
      <c r="O708" s="7">
        <v>46073</v>
      </c>
    </row>
    <row r="709" spans="1:15" x14ac:dyDescent="0.25">
      <c r="A709" s="5" t="s">
        <v>4</v>
      </c>
      <c r="B709" s="5" t="s">
        <v>3507</v>
      </c>
      <c r="D709" s="5" t="s">
        <v>400</v>
      </c>
      <c r="E709" s="5" t="s">
        <v>3508</v>
      </c>
      <c r="F709" s="5" t="s">
        <v>2637</v>
      </c>
      <c r="G709" s="6">
        <v>46064.350694444445</v>
      </c>
      <c r="H709" s="7">
        <v>46066</v>
      </c>
      <c r="I709" s="5" t="s">
        <v>3509</v>
      </c>
      <c r="J709" s="7">
        <v>46069</v>
      </c>
      <c r="K709" s="5" t="s">
        <v>1527</v>
      </c>
      <c r="L709" s="5" t="s">
        <v>1564</v>
      </c>
      <c r="M709" s="8">
        <v>319.8</v>
      </c>
      <c r="N709" s="5" t="s">
        <v>1536</v>
      </c>
      <c r="O709" s="7">
        <v>46069</v>
      </c>
    </row>
    <row r="710" spans="1:15" x14ac:dyDescent="0.25">
      <c r="A710" s="5" t="s">
        <v>4</v>
      </c>
      <c r="B710" s="5" t="s">
        <v>3510</v>
      </c>
      <c r="D710" s="5" t="s">
        <v>465</v>
      </c>
      <c r="E710" s="5" t="s">
        <v>3511</v>
      </c>
      <c r="F710" s="5" t="s">
        <v>3512</v>
      </c>
      <c r="G710" s="6">
        <v>46083.544444444444</v>
      </c>
      <c r="H710" s="7">
        <v>46094</v>
      </c>
      <c r="I710" s="5" t="s">
        <v>3513</v>
      </c>
      <c r="J710" s="7">
        <v>46093</v>
      </c>
      <c r="K710" s="5" t="s">
        <v>1527</v>
      </c>
      <c r="L710" s="5" t="s">
        <v>1564</v>
      </c>
      <c r="M710" s="8">
        <v>319.8</v>
      </c>
      <c r="N710" s="5" t="s">
        <v>1536</v>
      </c>
      <c r="O710" s="7">
        <v>46093</v>
      </c>
    </row>
    <row r="711" spans="1:15" x14ac:dyDescent="0.25">
      <c r="A711" s="5" t="s">
        <v>4</v>
      </c>
      <c r="B711" s="5" t="s">
        <v>3514</v>
      </c>
      <c r="D711" s="5" t="s">
        <v>1478</v>
      </c>
      <c r="E711" s="5" t="s">
        <v>3515</v>
      </c>
      <c r="F711" s="5" t="s">
        <v>2987</v>
      </c>
      <c r="G711" s="6">
        <v>46092.621527777781</v>
      </c>
      <c r="H711" s="7">
        <v>46093</v>
      </c>
      <c r="I711" s="5" t="s">
        <v>3516</v>
      </c>
      <c r="J711" s="7">
        <v>46093</v>
      </c>
      <c r="K711" s="5" t="s">
        <v>1527</v>
      </c>
      <c r="L711" s="5" t="s">
        <v>1564</v>
      </c>
      <c r="M711" s="8">
        <v>319.8</v>
      </c>
      <c r="N711" s="5" t="s">
        <v>1536</v>
      </c>
      <c r="O711" s="7">
        <v>46093</v>
      </c>
    </row>
    <row r="712" spans="1:15" x14ac:dyDescent="0.25">
      <c r="A712" s="5" t="s">
        <v>4</v>
      </c>
      <c r="B712" s="5" t="s">
        <v>3517</v>
      </c>
      <c r="D712" s="5" t="s">
        <v>650</v>
      </c>
      <c r="E712" s="5" t="s">
        <v>3518</v>
      </c>
      <c r="F712" s="5" t="s">
        <v>3519</v>
      </c>
      <c r="G712" s="6">
        <v>46128.65347222222</v>
      </c>
      <c r="H712" s="7">
        <v>46135</v>
      </c>
      <c r="I712" s="5" t="s">
        <v>3520</v>
      </c>
      <c r="J712" s="7">
        <v>46139</v>
      </c>
      <c r="K712" s="5" t="s">
        <v>1527</v>
      </c>
      <c r="L712" s="5" t="s">
        <v>1621</v>
      </c>
      <c r="M712" s="8">
        <v>319.58</v>
      </c>
      <c r="N712" s="5" t="s">
        <v>1536</v>
      </c>
      <c r="O712" s="7">
        <v>46139</v>
      </c>
    </row>
    <row r="713" spans="1:15" x14ac:dyDescent="0.25">
      <c r="A713" s="5" t="s">
        <v>4</v>
      </c>
      <c r="B713" s="5" t="s">
        <v>3521</v>
      </c>
      <c r="D713" s="5" t="s">
        <v>1268</v>
      </c>
      <c r="E713" s="5" t="s">
        <v>3522</v>
      </c>
      <c r="F713" s="5" t="s">
        <v>3523</v>
      </c>
      <c r="G713" s="6">
        <v>46044.652083333334</v>
      </c>
      <c r="H713" s="7">
        <v>46051</v>
      </c>
      <c r="I713" s="5" t="s">
        <v>3524</v>
      </c>
      <c r="J713" s="7">
        <v>46064</v>
      </c>
      <c r="K713" s="5" t="s">
        <v>1527</v>
      </c>
      <c r="L713" s="5" t="s">
        <v>1621</v>
      </c>
      <c r="M713" s="8">
        <v>319.27999999999997</v>
      </c>
      <c r="N713" s="5" t="s">
        <v>1536</v>
      </c>
      <c r="O713" s="7">
        <v>46064</v>
      </c>
    </row>
    <row r="714" spans="1:15" x14ac:dyDescent="0.25">
      <c r="A714" s="5" t="s">
        <v>4</v>
      </c>
      <c r="B714" s="5" t="s">
        <v>3525</v>
      </c>
      <c r="D714" s="5" t="s">
        <v>188</v>
      </c>
      <c r="E714" s="5" t="s">
        <v>3526</v>
      </c>
      <c r="F714" s="5" t="s">
        <v>3527</v>
      </c>
      <c r="G714" s="6">
        <v>46043.679166666669</v>
      </c>
      <c r="H714" s="7">
        <v>46050</v>
      </c>
      <c r="I714" s="5" t="s">
        <v>3528</v>
      </c>
      <c r="J714" s="7">
        <v>46056</v>
      </c>
      <c r="K714" s="5" t="s">
        <v>1527</v>
      </c>
      <c r="L714" s="5" t="s">
        <v>1621</v>
      </c>
      <c r="M714" s="8">
        <v>319.17</v>
      </c>
      <c r="N714" s="5" t="s">
        <v>1536</v>
      </c>
      <c r="O714" s="7">
        <v>46056</v>
      </c>
    </row>
    <row r="715" spans="1:15" x14ac:dyDescent="0.25">
      <c r="A715" s="5" t="s">
        <v>4</v>
      </c>
      <c r="B715" s="5" t="s">
        <v>3529</v>
      </c>
      <c r="D715" s="5" t="s">
        <v>520</v>
      </c>
      <c r="E715" s="5" t="s">
        <v>3530</v>
      </c>
      <c r="F715" s="5" t="s">
        <v>1548</v>
      </c>
      <c r="G715" s="6">
        <v>46044.559027777781</v>
      </c>
      <c r="H715" s="7">
        <v>46057</v>
      </c>
      <c r="I715" s="6">
        <v>46056.613888888889</v>
      </c>
      <c r="J715" s="7">
        <v>46044</v>
      </c>
      <c r="K715" s="5" t="s">
        <v>1527</v>
      </c>
      <c r="L715" s="5" t="s">
        <v>1564</v>
      </c>
      <c r="M715" s="8">
        <v>319</v>
      </c>
      <c r="N715" s="5" t="s">
        <v>1536</v>
      </c>
      <c r="O715" s="7">
        <v>46044</v>
      </c>
    </row>
    <row r="716" spans="1:15" x14ac:dyDescent="0.25">
      <c r="A716" s="5" t="s">
        <v>4</v>
      </c>
      <c r="B716" s="5" t="s">
        <v>3531</v>
      </c>
      <c r="D716" s="5" t="s">
        <v>977</v>
      </c>
      <c r="E716" s="5" t="s">
        <v>3532</v>
      </c>
      <c r="F716" s="5" t="s">
        <v>1702</v>
      </c>
      <c r="G716" s="6">
        <v>46135.612500000003</v>
      </c>
      <c r="H716" s="7">
        <v>46149</v>
      </c>
      <c r="I716" s="6">
        <v>46142.647222222222</v>
      </c>
      <c r="J716" s="7">
        <v>46135</v>
      </c>
      <c r="K716" s="5" t="s">
        <v>1527</v>
      </c>
      <c r="L716" s="5" t="s">
        <v>1564</v>
      </c>
      <c r="M716" s="8">
        <v>318.8</v>
      </c>
      <c r="N716" s="5" t="s">
        <v>1536</v>
      </c>
      <c r="O716" s="7">
        <v>46135</v>
      </c>
    </row>
    <row r="717" spans="1:15" x14ac:dyDescent="0.25">
      <c r="A717" s="5" t="s">
        <v>4</v>
      </c>
      <c r="B717" s="5" t="s">
        <v>3533</v>
      </c>
      <c r="D717" s="5" t="s">
        <v>131</v>
      </c>
      <c r="E717" s="5" t="s">
        <v>3534</v>
      </c>
      <c r="F717" s="5" t="s">
        <v>3535</v>
      </c>
      <c r="G717" s="6">
        <v>46091.640277777777</v>
      </c>
      <c r="H717" s="7">
        <v>46098</v>
      </c>
      <c r="I717" s="5" t="s">
        <v>2879</v>
      </c>
      <c r="J717" s="7">
        <v>46112</v>
      </c>
      <c r="K717" s="5" t="s">
        <v>1527</v>
      </c>
      <c r="L717" s="5" t="s">
        <v>1621</v>
      </c>
      <c r="M717" s="8">
        <v>318.70999999999998</v>
      </c>
      <c r="N717" s="5" t="s">
        <v>1536</v>
      </c>
      <c r="O717" s="7">
        <v>46112</v>
      </c>
    </row>
    <row r="718" spans="1:15" x14ac:dyDescent="0.25">
      <c r="A718" s="5" t="s">
        <v>4</v>
      </c>
      <c r="B718" s="5" t="s">
        <v>3536</v>
      </c>
      <c r="D718" s="5" t="s">
        <v>60</v>
      </c>
      <c r="E718" s="5" t="s">
        <v>3537</v>
      </c>
      <c r="F718" s="5" t="s">
        <v>3538</v>
      </c>
      <c r="G718" s="6">
        <v>46027.7</v>
      </c>
      <c r="H718" s="7">
        <v>46034</v>
      </c>
      <c r="I718" s="6">
        <v>46031.615277777775</v>
      </c>
      <c r="J718" s="7">
        <v>46031</v>
      </c>
      <c r="K718" s="5" t="s">
        <v>1527</v>
      </c>
      <c r="L718" s="5" t="s">
        <v>1621</v>
      </c>
      <c r="M718" s="8">
        <v>318.54000000000002</v>
      </c>
      <c r="N718" s="5" t="s">
        <v>1536</v>
      </c>
      <c r="O718" s="7">
        <v>46031</v>
      </c>
    </row>
    <row r="719" spans="1:15" x14ac:dyDescent="0.25">
      <c r="A719" s="5" t="s">
        <v>4</v>
      </c>
      <c r="B719" s="5" t="s">
        <v>3539</v>
      </c>
      <c r="D719" s="5" t="s">
        <v>818</v>
      </c>
      <c r="E719" s="5" t="s">
        <v>3540</v>
      </c>
      <c r="F719" s="5" t="s">
        <v>3541</v>
      </c>
      <c r="G719" s="6">
        <v>46135.652083333334</v>
      </c>
      <c r="H719" s="7">
        <v>46143</v>
      </c>
      <c r="I719" s="5" t="s">
        <v>3542</v>
      </c>
      <c r="J719" s="7">
        <v>46150</v>
      </c>
      <c r="K719" s="5" t="s">
        <v>1527</v>
      </c>
      <c r="L719" s="5" t="s">
        <v>1621</v>
      </c>
      <c r="M719" s="8">
        <v>318</v>
      </c>
      <c r="N719" s="5" t="s">
        <v>1536</v>
      </c>
      <c r="O719" s="7">
        <v>46150</v>
      </c>
    </row>
    <row r="720" spans="1:15" x14ac:dyDescent="0.25">
      <c r="A720" s="5" t="s">
        <v>4</v>
      </c>
      <c r="B720" s="5" t="s">
        <v>3543</v>
      </c>
      <c r="D720" s="5" t="s">
        <v>1013</v>
      </c>
      <c r="E720" s="5" t="s">
        <v>3544</v>
      </c>
      <c r="F720" s="5" t="s">
        <v>1532</v>
      </c>
      <c r="G720" s="6">
        <v>46157.463888888888</v>
      </c>
      <c r="H720" s="7">
        <v>46169</v>
      </c>
      <c r="I720" s="6">
        <v>46169.737500000003</v>
      </c>
      <c r="J720" s="7">
        <v>46169</v>
      </c>
      <c r="K720" s="5" t="s">
        <v>1527</v>
      </c>
      <c r="L720" s="5" t="s">
        <v>1535</v>
      </c>
      <c r="M720" s="8">
        <v>318</v>
      </c>
      <c r="N720" s="5" t="s">
        <v>1536</v>
      </c>
      <c r="O720" s="7">
        <v>46169</v>
      </c>
    </row>
    <row r="721" spans="1:15" x14ac:dyDescent="0.25">
      <c r="A721" s="5" t="s">
        <v>4</v>
      </c>
      <c r="B721" s="5" t="s">
        <v>3545</v>
      </c>
      <c r="D721" s="5" t="s">
        <v>354</v>
      </c>
      <c r="E721" s="5" t="s">
        <v>3546</v>
      </c>
      <c r="F721" s="5" t="s">
        <v>3547</v>
      </c>
      <c r="G721" s="6">
        <v>46167.480555555558</v>
      </c>
      <c r="H721" s="7">
        <v>46177</v>
      </c>
      <c r="I721" s="5" t="s">
        <v>3548</v>
      </c>
      <c r="J721" s="7">
        <v>46178</v>
      </c>
      <c r="K721" s="5" t="s">
        <v>1527</v>
      </c>
      <c r="L721" s="5" t="s">
        <v>1535</v>
      </c>
      <c r="M721" s="8">
        <v>318</v>
      </c>
      <c r="N721" s="5" t="s">
        <v>1529</v>
      </c>
      <c r="O721" s="7">
        <v>46178</v>
      </c>
    </row>
    <row r="722" spans="1:15" x14ac:dyDescent="0.25">
      <c r="A722" s="5" t="s">
        <v>4</v>
      </c>
      <c r="B722" s="5" t="s">
        <v>3549</v>
      </c>
      <c r="D722" s="5" t="s">
        <v>1050</v>
      </c>
      <c r="E722" s="5" t="s">
        <v>3550</v>
      </c>
      <c r="F722" s="5" t="s">
        <v>3551</v>
      </c>
      <c r="G722" s="6">
        <v>46154.65</v>
      </c>
      <c r="H722" s="7">
        <v>46157</v>
      </c>
      <c r="I722" s="6">
        <v>46156.508333333331</v>
      </c>
      <c r="J722" s="7">
        <v>46156</v>
      </c>
      <c r="K722" s="5" t="s">
        <v>1527</v>
      </c>
      <c r="L722" s="5" t="s">
        <v>1535</v>
      </c>
      <c r="M722" s="8">
        <v>317.8</v>
      </c>
      <c r="N722" s="5" t="s">
        <v>1536</v>
      </c>
      <c r="O722" s="7">
        <v>46156</v>
      </c>
    </row>
    <row r="723" spans="1:15" x14ac:dyDescent="0.25">
      <c r="A723" s="5" t="s">
        <v>4</v>
      </c>
      <c r="B723" s="5" t="s">
        <v>3552</v>
      </c>
      <c r="D723" s="5" t="s">
        <v>1428</v>
      </c>
      <c r="E723" s="5" t="s">
        <v>3553</v>
      </c>
      <c r="F723" s="5" t="s">
        <v>1548</v>
      </c>
      <c r="G723" s="6">
        <v>46043.421527777777</v>
      </c>
      <c r="H723" s="7">
        <v>46056</v>
      </c>
      <c r="I723" s="5" t="s">
        <v>3554</v>
      </c>
      <c r="J723" s="7">
        <v>46071</v>
      </c>
      <c r="K723" s="5" t="s">
        <v>1527</v>
      </c>
      <c r="L723" s="5" t="s">
        <v>1564</v>
      </c>
      <c r="M723" s="8">
        <v>317</v>
      </c>
      <c r="N723" s="5" t="s">
        <v>1536</v>
      </c>
      <c r="O723" s="7">
        <v>46071</v>
      </c>
    </row>
    <row r="724" spans="1:15" x14ac:dyDescent="0.25">
      <c r="A724" s="5" t="s">
        <v>4</v>
      </c>
      <c r="B724" s="5" t="s">
        <v>3555</v>
      </c>
      <c r="D724" s="5" t="s">
        <v>184</v>
      </c>
      <c r="E724" s="5" t="s">
        <v>3556</v>
      </c>
      <c r="F724" s="5" t="s">
        <v>3557</v>
      </c>
      <c r="G724" s="6">
        <v>46076.408333333333</v>
      </c>
      <c r="H724" s="7">
        <v>46087</v>
      </c>
      <c r="I724" s="6">
        <v>46087.700694444444</v>
      </c>
      <c r="J724" s="7">
        <v>46087</v>
      </c>
      <c r="K724" s="5" t="s">
        <v>1527</v>
      </c>
      <c r="L724" s="5" t="s">
        <v>1564</v>
      </c>
      <c r="M724" s="8">
        <v>316</v>
      </c>
      <c r="N724" s="5" t="s">
        <v>1536</v>
      </c>
      <c r="O724" s="7">
        <v>46087</v>
      </c>
    </row>
    <row r="725" spans="1:15" x14ac:dyDescent="0.25">
      <c r="A725" s="5" t="s">
        <v>4</v>
      </c>
      <c r="B725" s="5" t="s">
        <v>3558</v>
      </c>
      <c r="D725" s="5" t="s">
        <v>738</v>
      </c>
      <c r="E725" s="5" t="s">
        <v>3559</v>
      </c>
      <c r="F725" s="5" t="s">
        <v>3560</v>
      </c>
      <c r="G725" s="6">
        <v>46134.635416666664</v>
      </c>
      <c r="H725" s="7">
        <v>46147</v>
      </c>
      <c r="I725" s="6">
        <v>46141.614583333336</v>
      </c>
      <c r="J725" s="7">
        <v>46141</v>
      </c>
      <c r="K725" s="5" t="s">
        <v>1527</v>
      </c>
      <c r="L725" s="5" t="s">
        <v>1535</v>
      </c>
      <c r="M725" s="9">
        <v>316</v>
      </c>
      <c r="N725" s="5" t="s">
        <v>1536</v>
      </c>
      <c r="O725" s="7">
        <v>46141</v>
      </c>
    </row>
    <row r="726" spans="1:15" x14ac:dyDescent="0.25">
      <c r="A726" s="5" t="s">
        <v>4</v>
      </c>
      <c r="B726" s="5" t="s">
        <v>3561</v>
      </c>
      <c r="D726" s="5" t="s">
        <v>109</v>
      </c>
      <c r="E726" s="5" t="s">
        <v>3562</v>
      </c>
      <c r="F726" s="5" t="s">
        <v>1548</v>
      </c>
      <c r="G726" s="6">
        <v>46049.476388888892</v>
      </c>
      <c r="H726" s="7">
        <v>46062</v>
      </c>
      <c r="I726" s="5" t="s">
        <v>3563</v>
      </c>
      <c r="J726" s="7">
        <v>46066</v>
      </c>
      <c r="K726" s="5" t="s">
        <v>1527</v>
      </c>
      <c r="L726" s="5" t="s">
        <v>1564</v>
      </c>
      <c r="M726" s="8">
        <v>315</v>
      </c>
      <c r="N726" s="5" t="s">
        <v>1536</v>
      </c>
      <c r="O726" s="7">
        <v>46066</v>
      </c>
    </row>
    <row r="727" spans="1:15" x14ac:dyDescent="0.25">
      <c r="A727" s="5" t="s">
        <v>4</v>
      </c>
      <c r="B727" s="5" t="s">
        <v>3564</v>
      </c>
      <c r="D727" s="5" t="s">
        <v>1088</v>
      </c>
      <c r="E727" s="5" t="s">
        <v>3565</v>
      </c>
      <c r="F727" s="5" t="s">
        <v>3566</v>
      </c>
      <c r="G727" s="6">
        <v>46160.657638888886</v>
      </c>
      <c r="H727" s="7">
        <v>46163</v>
      </c>
      <c r="I727" s="6">
        <v>46162.435416666667</v>
      </c>
      <c r="J727" s="7">
        <v>46162</v>
      </c>
      <c r="K727" s="5" t="s">
        <v>1527</v>
      </c>
      <c r="L727" s="5" t="s">
        <v>1564</v>
      </c>
      <c r="M727" s="8">
        <v>315</v>
      </c>
      <c r="N727" s="5" t="s">
        <v>1536</v>
      </c>
      <c r="O727" s="7">
        <v>46162</v>
      </c>
    </row>
    <row r="728" spans="1:15" x14ac:dyDescent="0.25">
      <c r="A728" s="5" t="s">
        <v>4</v>
      </c>
      <c r="B728" s="5" t="s">
        <v>3567</v>
      </c>
      <c r="D728" s="5" t="s">
        <v>737</v>
      </c>
      <c r="E728" s="5" t="s">
        <v>3568</v>
      </c>
      <c r="F728" s="5" t="s">
        <v>1738</v>
      </c>
      <c r="G728" s="6">
        <v>46167.544444444444</v>
      </c>
      <c r="H728" s="7">
        <v>46178</v>
      </c>
      <c r="I728" s="6">
        <v>46171.626388888886</v>
      </c>
      <c r="J728" s="7">
        <v>46171</v>
      </c>
      <c r="K728" s="5" t="s">
        <v>1527</v>
      </c>
      <c r="L728" s="5" t="s">
        <v>1564</v>
      </c>
      <c r="M728" s="8">
        <v>315</v>
      </c>
      <c r="N728" s="5" t="s">
        <v>1536</v>
      </c>
      <c r="O728" s="7">
        <v>46171</v>
      </c>
    </row>
    <row r="729" spans="1:15" x14ac:dyDescent="0.25">
      <c r="A729" s="5" t="s">
        <v>4</v>
      </c>
      <c r="B729" s="5" t="s">
        <v>3569</v>
      </c>
      <c r="D729" s="5" t="s">
        <v>590</v>
      </c>
      <c r="E729" s="5" t="s">
        <v>3570</v>
      </c>
      <c r="F729" s="5" t="s">
        <v>3035</v>
      </c>
      <c r="G729" s="6">
        <v>46058.349305555559</v>
      </c>
      <c r="H729" s="7">
        <v>46071</v>
      </c>
      <c r="I729" s="5" t="s">
        <v>3571</v>
      </c>
      <c r="J729" s="7">
        <v>46077</v>
      </c>
      <c r="K729" s="5" t="s">
        <v>1527</v>
      </c>
      <c r="L729" s="5" t="s">
        <v>1564</v>
      </c>
      <c r="M729" s="8">
        <v>314.3</v>
      </c>
      <c r="N729" s="5" t="s">
        <v>1536</v>
      </c>
      <c r="O729" s="7">
        <v>46077</v>
      </c>
    </row>
    <row r="730" spans="1:15" x14ac:dyDescent="0.25">
      <c r="A730" s="5" t="s">
        <v>4</v>
      </c>
      <c r="B730" s="5" t="s">
        <v>3572</v>
      </c>
      <c r="D730" s="5" t="s">
        <v>1423</v>
      </c>
      <c r="E730" s="5" t="s">
        <v>3573</v>
      </c>
      <c r="F730" s="5" t="s">
        <v>3574</v>
      </c>
      <c r="G730" s="6">
        <v>46058.573611111111</v>
      </c>
      <c r="H730" s="7">
        <v>46070</v>
      </c>
      <c r="I730" s="5" t="s">
        <v>3575</v>
      </c>
      <c r="J730" s="7">
        <v>46077</v>
      </c>
      <c r="K730" s="5" t="s">
        <v>1527</v>
      </c>
      <c r="L730" s="5" t="s">
        <v>1535</v>
      </c>
      <c r="M730" s="8">
        <v>314</v>
      </c>
      <c r="N730" s="5" t="s">
        <v>1536</v>
      </c>
      <c r="O730" s="7">
        <v>46077</v>
      </c>
    </row>
    <row r="731" spans="1:15" x14ac:dyDescent="0.25">
      <c r="A731" s="5" t="s">
        <v>4</v>
      </c>
      <c r="B731" s="5" t="s">
        <v>3576</v>
      </c>
      <c r="D731" s="5" t="s">
        <v>752</v>
      </c>
      <c r="E731" s="5" t="s">
        <v>3577</v>
      </c>
      <c r="F731" s="5" t="s">
        <v>1532</v>
      </c>
      <c r="G731" s="6">
        <v>46155.67083333333</v>
      </c>
      <c r="H731" s="7">
        <v>46164</v>
      </c>
      <c r="I731" s="6">
        <v>46161.416666666664</v>
      </c>
      <c r="J731" s="7">
        <v>46161</v>
      </c>
      <c r="K731" s="5" t="s">
        <v>1527</v>
      </c>
      <c r="L731" s="5" t="s">
        <v>1535</v>
      </c>
      <c r="M731" s="8">
        <v>314</v>
      </c>
      <c r="N731" s="5" t="s">
        <v>1536</v>
      </c>
      <c r="O731" s="7">
        <v>46161</v>
      </c>
    </row>
    <row r="732" spans="1:15" x14ac:dyDescent="0.25">
      <c r="A732" s="5" t="s">
        <v>4</v>
      </c>
      <c r="B732" s="5" t="s">
        <v>3578</v>
      </c>
      <c r="D732" s="5" t="s">
        <v>814</v>
      </c>
      <c r="E732" s="5" t="s">
        <v>3579</v>
      </c>
      <c r="F732" s="5" t="s">
        <v>3580</v>
      </c>
      <c r="G732" s="6">
        <v>46094.579861111109</v>
      </c>
      <c r="H732" s="7">
        <v>46105</v>
      </c>
      <c r="I732" s="5" t="s">
        <v>3581</v>
      </c>
      <c r="J732" s="7">
        <v>46107</v>
      </c>
      <c r="K732" s="5" t="s">
        <v>1527</v>
      </c>
      <c r="L732" s="5" t="s">
        <v>1535</v>
      </c>
      <c r="M732" s="8">
        <v>313.8</v>
      </c>
      <c r="N732" s="5" t="s">
        <v>1536</v>
      </c>
      <c r="O732" s="7">
        <v>46107</v>
      </c>
    </row>
    <row r="733" spans="1:15" x14ac:dyDescent="0.25">
      <c r="A733" s="5" t="s">
        <v>4</v>
      </c>
      <c r="B733" s="5" t="s">
        <v>3582</v>
      </c>
      <c r="D733" s="5" t="s">
        <v>795</v>
      </c>
      <c r="E733" s="5" t="s">
        <v>3583</v>
      </c>
      <c r="F733" s="5" t="s">
        <v>3584</v>
      </c>
      <c r="G733" s="6">
        <v>46162.402083333334</v>
      </c>
      <c r="H733" s="7">
        <v>46169</v>
      </c>
      <c r="I733" s="5" t="s">
        <v>3585</v>
      </c>
      <c r="J733" s="7">
        <v>46170</v>
      </c>
      <c r="K733" s="5" t="s">
        <v>1527</v>
      </c>
      <c r="L733" s="5" t="s">
        <v>1621</v>
      </c>
      <c r="M733" s="8">
        <v>312.60000000000002</v>
      </c>
      <c r="N733" s="5" t="s">
        <v>1536</v>
      </c>
      <c r="O733" s="7">
        <v>46170</v>
      </c>
    </row>
    <row r="734" spans="1:15" hidden="1" x14ac:dyDescent="0.25">
      <c r="A734" s="5" t="s">
        <v>1522</v>
      </c>
      <c r="B734" s="5" t="s">
        <v>3586</v>
      </c>
      <c r="D734" s="5" t="s">
        <v>1504</v>
      </c>
      <c r="E734" s="5" t="s">
        <v>1888</v>
      </c>
      <c r="F734" s="5" t="s">
        <v>3587</v>
      </c>
      <c r="G734" s="6">
        <v>46170.767361111109</v>
      </c>
      <c r="H734" s="7">
        <v>46185</v>
      </c>
      <c r="I734" s="5" t="s">
        <v>1533</v>
      </c>
      <c r="J734" s="7">
        <v>46184</v>
      </c>
      <c r="K734" s="5" t="s">
        <v>1534</v>
      </c>
      <c r="L734" s="5" t="s">
        <v>1528</v>
      </c>
      <c r="M734" s="8">
        <v>312</v>
      </c>
      <c r="N734" s="5" t="s">
        <v>1529</v>
      </c>
      <c r="O734" s="7">
        <v>46184</v>
      </c>
    </row>
    <row r="735" spans="1:15" x14ac:dyDescent="0.25">
      <c r="A735" s="5" t="s">
        <v>4</v>
      </c>
      <c r="B735" s="5" t="s">
        <v>3588</v>
      </c>
      <c r="D735" s="5" t="s">
        <v>1321</v>
      </c>
      <c r="E735" s="5" t="s">
        <v>2953</v>
      </c>
      <c r="F735" s="5" t="s">
        <v>1548</v>
      </c>
      <c r="G735" s="6">
        <v>46029.415972222225</v>
      </c>
      <c r="H735" s="7">
        <v>46041</v>
      </c>
      <c r="I735" s="5" t="s">
        <v>3589</v>
      </c>
      <c r="J735" s="7">
        <v>46042</v>
      </c>
      <c r="K735" s="5" t="s">
        <v>1527</v>
      </c>
      <c r="L735" s="5" t="s">
        <v>1564</v>
      </c>
      <c r="M735" s="8">
        <v>312</v>
      </c>
      <c r="N735" s="5" t="s">
        <v>1536</v>
      </c>
      <c r="O735" s="7">
        <v>46042</v>
      </c>
    </row>
    <row r="736" spans="1:15" x14ac:dyDescent="0.25">
      <c r="A736" s="5" t="s">
        <v>4</v>
      </c>
      <c r="B736" s="5" t="s">
        <v>3590</v>
      </c>
      <c r="D736" s="5" t="s">
        <v>1346</v>
      </c>
      <c r="E736" s="5" t="s">
        <v>3591</v>
      </c>
      <c r="F736" s="5" t="s">
        <v>3592</v>
      </c>
      <c r="G736" s="6">
        <v>46036.607638888891</v>
      </c>
      <c r="H736" s="7">
        <v>46043</v>
      </c>
      <c r="I736" s="5" t="s">
        <v>3593</v>
      </c>
      <c r="J736" s="7">
        <v>46051</v>
      </c>
      <c r="K736" s="5" t="s">
        <v>1527</v>
      </c>
      <c r="L736" s="5" t="s">
        <v>1621</v>
      </c>
      <c r="M736" s="8">
        <v>311.89</v>
      </c>
      <c r="N736" s="5" t="s">
        <v>1536</v>
      </c>
      <c r="O736" s="7">
        <v>46051</v>
      </c>
    </row>
    <row r="737" spans="1:15" x14ac:dyDescent="0.25">
      <c r="A737" s="5" t="s">
        <v>4</v>
      </c>
      <c r="B737" s="5" t="s">
        <v>3594</v>
      </c>
      <c r="D737" s="5" t="s">
        <v>1329</v>
      </c>
      <c r="E737" s="5" t="s">
        <v>1723</v>
      </c>
      <c r="F737" s="5" t="s">
        <v>1759</v>
      </c>
      <c r="G737" s="6">
        <v>46062.595138888886</v>
      </c>
      <c r="H737" s="7">
        <v>46073</v>
      </c>
      <c r="I737" s="5" t="s">
        <v>3595</v>
      </c>
      <c r="J737" s="7">
        <v>46076</v>
      </c>
      <c r="K737" s="5" t="s">
        <v>1527</v>
      </c>
      <c r="L737" s="5" t="s">
        <v>1564</v>
      </c>
      <c r="M737" s="8">
        <v>311.3</v>
      </c>
      <c r="N737" s="5" t="s">
        <v>1536</v>
      </c>
      <c r="O737" s="7">
        <v>46076</v>
      </c>
    </row>
    <row r="738" spans="1:15" x14ac:dyDescent="0.25">
      <c r="A738" s="5" t="s">
        <v>4</v>
      </c>
      <c r="B738" s="5" t="s">
        <v>3596</v>
      </c>
      <c r="D738" s="5" t="s">
        <v>1484</v>
      </c>
      <c r="E738" s="5" t="s">
        <v>3597</v>
      </c>
      <c r="F738" s="5" t="s">
        <v>1548</v>
      </c>
      <c r="G738" s="6">
        <v>46041.678472222222</v>
      </c>
      <c r="H738" s="7">
        <v>46052</v>
      </c>
      <c r="I738" s="5" t="s">
        <v>3598</v>
      </c>
      <c r="J738" s="7">
        <v>46059</v>
      </c>
      <c r="K738" s="5" t="s">
        <v>1527</v>
      </c>
      <c r="L738" s="5" t="s">
        <v>1564</v>
      </c>
      <c r="M738" s="8">
        <v>310.7</v>
      </c>
      <c r="N738" s="5" t="s">
        <v>1536</v>
      </c>
      <c r="O738" s="7">
        <v>46059</v>
      </c>
    </row>
    <row r="739" spans="1:15" x14ac:dyDescent="0.25">
      <c r="A739" s="5" t="s">
        <v>4</v>
      </c>
      <c r="B739" s="5" t="s">
        <v>3599</v>
      </c>
      <c r="D739" s="5" t="s">
        <v>1484</v>
      </c>
      <c r="E739" s="5" t="s">
        <v>3597</v>
      </c>
      <c r="F739" s="5" t="s">
        <v>1548</v>
      </c>
      <c r="G739" s="6">
        <v>46041.679166666669</v>
      </c>
      <c r="H739" s="7">
        <v>46052</v>
      </c>
      <c r="I739" s="5" t="s">
        <v>3600</v>
      </c>
      <c r="J739" s="7">
        <v>46058</v>
      </c>
      <c r="K739" s="5" t="s">
        <v>1527</v>
      </c>
      <c r="L739" s="5" t="s">
        <v>1564</v>
      </c>
      <c r="M739" s="8">
        <v>310.7</v>
      </c>
      <c r="N739" s="5" t="s">
        <v>1536</v>
      </c>
      <c r="O739" s="7">
        <v>46058</v>
      </c>
    </row>
    <row r="740" spans="1:15" x14ac:dyDescent="0.25">
      <c r="A740" s="5" t="s">
        <v>4</v>
      </c>
      <c r="B740" s="5" t="s">
        <v>3601</v>
      </c>
      <c r="D740" s="5" t="s">
        <v>727</v>
      </c>
      <c r="E740" s="5" t="s">
        <v>3602</v>
      </c>
      <c r="F740" s="5" t="s">
        <v>1532</v>
      </c>
      <c r="G740" s="6">
        <v>46170.479166666664</v>
      </c>
      <c r="H740" s="7">
        <v>46182</v>
      </c>
      <c r="I740" s="5" t="s">
        <v>1743</v>
      </c>
      <c r="J740" s="7">
        <v>46184</v>
      </c>
      <c r="K740" s="5" t="s">
        <v>1527</v>
      </c>
      <c r="L740" s="5" t="s">
        <v>1535</v>
      </c>
      <c r="M740" s="8">
        <v>310.39999999999998</v>
      </c>
      <c r="N740" s="5" t="s">
        <v>1529</v>
      </c>
      <c r="O740" s="7">
        <v>46184</v>
      </c>
    </row>
    <row r="741" spans="1:15" x14ac:dyDescent="0.25">
      <c r="A741" s="5" t="s">
        <v>4</v>
      </c>
      <c r="B741" s="5" t="s">
        <v>3603</v>
      </c>
      <c r="D741" s="5" t="s">
        <v>1305</v>
      </c>
      <c r="E741" s="5" t="s">
        <v>3604</v>
      </c>
      <c r="F741" s="5" t="s">
        <v>3605</v>
      </c>
      <c r="G741" s="6">
        <v>46146.686111111114</v>
      </c>
      <c r="H741" s="7">
        <v>46153</v>
      </c>
      <c r="I741" s="6">
        <v>46153.593055555553</v>
      </c>
      <c r="J741" s="7">
        <v>46153</v>
      </c>
      <c r="K741" s="5" t="s">
        <v>1527</v>
      </c>
      <c r="L741" s="5" t="s">
        <v>1621</v>
      </c>
      <c r="M741" s="8">
        <v>310.17</v>
      </c>
      <c r="N741" s="5" t="s">
        <v>1536</v>
      </c>
      <c r="O741" s="7">
        <v>46153</v>
      </c>
    </row>
    <row r="742" spans="1:15" x14ac:dyDescent="0.25">
      <c r="A742" s="5" t="s">
        <v>4</v>
      </c>
      <c r="B742" s="5" t="s">
        <v>3606</v>
      </c>
      <c r="D742" s="5" t="s">
        <v>1428</v>
      </c>
      <c r="E742" s="5" t="s">
        <v>3607</v>
      </c>
      <c r="F742" s="5" t="s">
        <v>3608</v>
      </c>
      <c r="G742" s="6">
        <v>46028.379166666666</v>
      </c>
      <c r="H742" s="7">
        <v>46035</v>
      </c>
      <c r="I742" s="6">
        <v>46031.615972222222</v>
      </c>
      <c r="J742" s="7">
        <v>46031</v>
      </c>
      <c r="K742" s="5" t="s">
        <v>1527</v>
      </c>
      <c r="L742" s="5" t="s">
        <v>1621</v>
      </c>
      <c r="M742" s="8">
        <v>309.3</v>
      </c>
      <c r="N742" s="5" t="s">
        <v>1536</v>
      </c>
      <c r="O742" s="7">
        <v>46031</v>
      </c>
    </row>
    <row r="743" spans="1:15" x14ac:dyDescent="0.25">
      <c r="A743" s="5" t="s">
        <v>4</v>
      </c>
      <c r="B743" s="5" t="s">
        <v>3609</v>
      </c>
      <c r="D743" s="5" t="s">
        <v>1458</v>
      </c>
      <c r="E743" s="5" t="s">
        <v>3610</v>
      </c>
      <c r="F743" s="5" t="s">
        <v>1548</v>
      </c>
      <c r="G743" s="6">
        <v>46154.456944444442</v>
      </c>
      <c r="H743" s="7">
        <v>46163</v>
      </c>
      <c r="I743" s="6">
        <v>46162.43472222222</v>
      </c>
      <c r="J743" s="7">
        <v>46162</v>
      </c>
      <c r="K743" s="5" t="s">
        <v>1527</v>
      </c>
      <c r="L743" s="5" t="s">
        <v>1535</v>
      </c>
      <c r="M743" s="8">
        <v>309</v>
      </c>
      <c r="N743" s="5" t="s">
        <v>1536</v>
      </c>
      <c r="O743" s="7">
        <v>46162</v>
      </c>
    </row>
    <row r="744" spans="1:15" hidden="1" x14ac:dyDescent="0.25">
      <c r="A744" s="5" t="s">
        <v>1522</v>
      </c>
      <c r="B744" s="5" t="s">
        <v>3611</v>
      </c>
      <c r="D744" s="5" t="s">
        <v>972</v>
      </c>
      <c r="E744" s="5" t="s">
        <v>3612</v>
      </c>
      <c r="F744" s="5" t="s">
        <v>3613</v>
      </c>
      <c r="G744" s="6">
        <v>46071.695138888892</v>
      </c>
      <c r="H744" s="7">
        <v>46080</v>
      </c>
      <c r="I744" s="5" t="s">
        <v>3614</v>
      </c>
      <c r="J744" s="7">
        <v>46080</v>
      </c>
      <c r="K744" s="5" t="s">
        <v>1527</v>
      </c>
      <c r="L744" s="5" t="s">
        <v>1621</v>
      </c>
      <c r="M744" s="8">
        <v>308.76</v>
      </c>
      <c r="N744" s="5" t="s">
        <v>1536</v>
      </c>
      <c r="O744" s="7">
        <v>46080</v>
      </c>
    </row>
    <row r="745" spans="1:15" hidden="1" x14ac:dyDescent="0.25">
      <c r="A745" s="5" t="s">
        <v>1522</v>
      </c>
      <c r="B745" s="5" t="s">
        <v>3615</v>
      </c>
      <c r="D745" s="5" t="s">
        <v>205</v>
      </c>
      <c r="E745" s="5" t="s">
        <v>3616</v>
      </c>
      <c r="F745" s="5" t="s">
        <v>3617</v>
      </c>
      <c r="G745" s="6">
        <v>46045.496527777781</v>
      </c>
      <c r="H745" s="7">
        <v>46052</v>
      </c>
      <c r="I745" s="5" t="s">
        <v>3618</v>
      </c>
      <c r="J745" s="7">
        <v>46052</v>
      </c>
      <c r="K745" s="5" t="s">
        <v>1527</v>
      </c>
      <c r="L745" s="5" t="s">
        <v>1528</v>
      </c>
      <c r="M745" s="9">
        <v>308.5</v>
      </c>
      <c r="N745" s="5" t="s">
        <v>1536</v>
      </c>
      <c r="O745" s="7">
        <v>46052</v>
      </c>
    </row>
    <row r="746" spans="1:15" hidden="1" x14ac:dyDescent="0.25">
      <c r="A746" s="5" t="s">
        <v>1522</v>
      </c>
      <c r="B746" s="5" t="s">
        <v>3619</v>
      </c>
      <c r="D746" s="5" t="s">
        <v>1510</v>
      </c>
      <c r="E746" s="5" t="s">
        <v>2466</v>
      </c>
      <c r="F746" s="5" t="s">
        <v>3434</v>
      </c>
      <c r="G746" s="6">
        <v>46139.624305555553</v>
      </c>
      <c r="H746" s="7">
        <v>46150</v>
      </c>
      <c r="I746" s="6">
        <v>46146.71597222222</v>
      </c>
      <c r="J746" s="7">
        <v>46146</v>
      </c>
      <c r="K746" s="5" t="s">
        <v>1527</v>
      </c>
      <c r="L746" s="5" t="s">
        <v>1621</v>
      </c>
      <c r="M746" s="8">
        <v>308.16000000000003</v>
      </c>
      <c r="N746" s="5" t="s">
        <v>1529</v>
      </c>
      <c r="O746" s="7">
        <v>46146</v>
      </c>
    </row>
    <row r="747" spans="1:15" x14ac:dyDescent="0.25">
      <c r="A747" s="5" t="s">
        <v>4</v>
      </c>
      <c r="B747" s="5" t="s">
        <v>3620</v>
      </c>
      <c r="D747" s="5" t="s">
        <v>1305</v>
      </c>
      <c r="E747" s="5" t="s">
        <v>3604</v>
      </c>
      <c r="F747" s="5" t="s">
        <v>3621</v>
      </c>
      <c r="G747" s="6">
        <v>46091.673611111109</v>
      </c>
      <c r="H747" s="7">
        <v>46097</v>
      </c>
      <c r="I747" s="5" t="s">
        <v>3622</v>
      </c>
      <c r="J747" s="7">
        <v>46120</v>
      </c>
      <c r="K747" s="5" t="s">
        <v>1527</v>
      </c>
      <c r="L747" s="5" t="s">
        <v>1621</v>
      </c>
      <c r="M747" s="8">
        <v>307.87</v>
      </c>
      <c r="N747" s="5" t="s">
        <v>1536</v>
      </c>
      <c r="O747" s="7">
        <v>46120</v>
      </c>
    </row>
    <row r="748" spans="1:15" hidden="1" x14ac:dyDescent="0.25">
      <c r="A748" s="5" t="s">
        <v>1522</v>
      </c>
      <c r="B748" s="5" t="s">
        <v>3623</v>
      </c>
      <c r="D748" s="5" t="s">
        <v>1506</v>
      </c>
      <c r="E748" s="5" t="s">
        <v>1942</v>
      </c>
      <c r="F748" s="5" t="s">
        <v>1943</v>
      </c>
      <c r="G748" s="6">
        <v>46036.583333333336</v>
      </c>
      <c r="H748" s="7">
        <v>46050</v>
      </c>
      <c r="I748" s="5" t="s">
        <v>1944</v>
      </c>
      <c r="J748" s="7">
        <v>46056</v>
      </c>
      <c r="K748" s="5" t="s">
        <v>1527</v>
      </c>
      <c r="L748" s="5" t="s">
        <v>1528</v>
      </c>
      <c r="M748" s="8">
        <v>307.13</v>
      </c>
      <c r="N748" s="5" t="s">
        <v>1536</v>
      </c>
      <c r="O748" s="7">
        <v>46056</v>
      </c>
    </row>
    <row r="749" spans="1:15" x14ac:dyDescent="0.25">
      <c r="A749" s="5" t="s">
        <v>4</v>
      </c>
      <c r="B749" s="5" t="s">
        <v>3624</v>
      </c>
      <c r="D749" s="5" t="s">
        <v>846</v>
      </c>
      <c r="E749" s="5" t="s">
        <v>3625</v>
      </c>
      <c r="F749" s="5" t="s">
        <v>3626</v>
      </c>
      <c r="G749" s="6">
        <v>46120.399305555555</v>
      </c>
      <c r="H749" s="7">
        <v>46127</v>
      </c>
      <c r="I749" s="6">
        <v>46126.634722222225</v>
      </c>
      <c r="J749" s="7">
        <v>46125</v>
      </c>
      <c r="K749" s="5" t="s">
        <v>1527</v>
      </c>
      <c r="L749" s="5" t="s">
        <v>1564</v>
      </c>
      <c r="M749" s="8">
        <v>307.10000000000002</v>
      </c>
      <c r="N749" s="5" t="s">
        <v>1536</v>
      </c>
      <c r="O749" s="7">
        <v>46125</v>
      </c>
    </row>
    <row r="750" spans="1:15" x14ac:dyDescent="0.25">
      <c r="A750" s="5" t="s">
        <v>4</v>
      </c>
      <c r="B750" s="5" t="s">
        <v>3627</v>
      </c>
      <c r="D750" s="5" t="s">
        <v>813</v>
      </c>
      <c r="E750" s="5" t="s">
        <v>3628</v>
      </c>
      <c r="F750" s="5" t="s">
        <v>3629</v>
      </c>
      <c r="G750" s="6">
        <v>46128.644444444442</v>
      </c>
      <c r="H750" s="7">
        <v>46135</v>
      </c>
      <c r="I750" s="5" t="s">
        <v>3630</v>
      </c>
      <c r="J750" s="7">
        <v>46136</v>
      </c>
      <c r="K750" s="5" t="s">
        <v>1527</v>
      </c>
      <c r="L750" s="5" t="s">
        <v>1621</v>
      </c>
      <c r="M750" s="8">
        <v>306.89999999999998</v>
      </c>
      <c r="N750" s="5" t="s">
        <v>1536</v>
      </c>
      <c r="O750" s="7">
        <v>46136</v>
      </c>
    </row>
    <row r="751" spans="1:15" hidden="1" x14ac:dyDescent="0.25">
      <c r="A751" s="5" t="s">
        <v>1522</v>
      </c>
      <c r="B751" s="5" t="s">
        <v>3631</v>
      </c>
      <c r="D751" s="5" t="s">
        <v>1510</v>
      </c>
      <c r="E751" s="5" t="s">
        <v>2466</v>
      </c>
      <c r="F751" s="5" t="s">
        <v>3434</v>
      </c>
      <c r="G751" s="6">
        <v>46104.698611111111</v>
      </c>
      <c r="H751" s="7">
        <v>46112</v>
      </c>
      <c r="I751" s="5" t="s">
        <v>3632</v>
      </c>
      <c r="J751" s="7">
        <v>46114</v>
      </c>
      <c r="K751" s="5" t="s">
        <v>1527</v>
      </c>
      <c r="L751" s="5" t="s">
        <v>1621</v>
      </c>
      <c r="M751" s="8">
        <v>306.44</v>
      </c>
      <c r="N751" s="5" t="s">
        <v>1536</v>
      </c>
      <c r="O751" s="7">
        <v>46114</v>
      </c>
    </row>
    <row r="752" spans="1:15" x14ac:dyDescent="0.25">
      <c r="A752" s="5" t="s">
        <v>4</v>
      </c>
      <c r="B752" s="5" t="s">
        <v>3633</v>
      </c>
      <c r="D752" s="5" t="s">
        <v>512</v>
      </c>
      <c r="E752" s="5" t="s">
        <v>3634</v>
      </c>
      <c r="F752" s="5" t="s">
        <v>1532</v>
      </c>
      <c r="G752" s="6">
        <v>46167.609722222223</v>
      </c>
      <c r="H752" s="7">
        <v>46178</v>
      </c>
      <c r="I752" s="5" t="s">
        <v>1533</v>
      </c>
      <c r="J752" s="7">
        <v>46184</v>
      </c>
      <c r="K752" s="5" t="s">
        <v>1534</v>
      </c>
      <c r="L752" s="5" t="s">
        <v>1535</v>
      </c>
      <c r="M752" s="8">
        <v>306.39999999999998</v>
      </c>
      <c r="N752" s="5" t="s">
        <v>1529</v>
      </c>
      <c r="O752" s="7">
        <v>46184</v>
      </c>
    </row>
    <row r="753" spans="1:15" x14ac:dyDescent="0.25">
      <c r="A753" s="5" t="s">
        <v>4</v>
      </c>
      <c r="B753" s="5" t="s">
        <v>3635</v>
      </c>
      <c r="D753" s="5" t="s">
        <v>470</v>
      </c>
      <c r="E753" s="5" t="s">
        <v>3636</v>
      </c>
      <c r="F753" s="5" t="s">
        <v>3637</v>
      </c>
      <c r="G753" s="6">
        <v>46036.647222222222</v>
      </c>
      <c r="H753" s="7">
        <v>46045</v>
      </c>
      <c r="I753" s="6">
        <v>46038.698611111111</v>
      </c>
      <c r="J753" s="7">
        <v>46038</v>
      </c>
      <c r="K753" s="5" t="s">
        <v>1527</v>
      </c>
      <c r="L753" s="5" t="s">
        <v>1621</v>
      </c>
      <c r="M753" s="8">
        <v>306.04000000000002</v>
      </c>
      <c r="N753" s="5" t="s">
        <v>1536</v>
      </c>
      <c r="O753" s="7">
        <v>46038</v>
      </c>
    </row>
    <row r="754" spans="1:15" hidden="1" x14ac:dyDescent="0.25">
      <c r="A754" s="5" t="s">
        <v>1522</v>
      </c>
      <c r="B754" s="5" t="s">
        <v>3638</v>
      </c>
      <c r="D754" s="5" t="s">
        <v>1492</v>
      </c>
      <c r="E754" s="5" t="s">
        <v>2344</v>
      </c>
      <c r="F754" s="5" t="s">
        <v>3639</v>
      </c>
      <c r="G754" s="6">
        <v>46063.342361111114</v>
      </c>
      <c r="H754" s="7">
        <v>46069</v>
      </c>
      <c r="I754" s="5" t="s">
        <v>3640</v>
      </c>
      <c r="J754" s="7">
        <v>46071</v>
      </c>
      <c r="K754" s="5" t="s">
        <v>1527</v>
      </c>
      <c r="L754" s="5" t="s">
        <v>1528</v>
      </c>
      <c r="M754" s="8">
        <v>306</v>
      </c>
      <c r="N754" s="5" t="s">
        <v>1536</v>
      </c>
      <c r="O754" s="7">
        <v>46071</v>
      </c>
    </row>
    <row r="755" spans="1:15" x14ac:dyDescent="0.25">
      <c r="A755" s="5" t="s">
        <v>4</v>
      </c>
      <c r="B755" s="5" t="s">
        <v>3641</v>
      </c>
      <c r="D755" s="5" t="s">
        <v>967</v>
      </c>
      <c r="E755" s="5" t="s">
        <v>3642</v>
      </c>
      <c r="F755" s="5" t="s">
        <v>3643</v>
      </c>
      <c r="G755" s="6">
        <v>46094.696527777778</v>
      </c>
      <c r="H755" s="7">
        <v>46101</v>
      </c>
      <c r="I755" s="5" t="s">
        <v>2957</v>
      </c>
      <c r="J755" s="7">
        <v>46106</v>
      </c>
      <c r="K755" s="5" t="s">
        <v>1527</v>
      </c>
      <c r="L755" s="5" t="s">
        <v>1621</v>
      </c>
      <c r="M755" s="8">
        <v>304.58</v>
      </c>
      <c r="N755" s="5" t="s">
        <v>1536</v>
      </c>
      <c r="O755" s="7">
        <v>46106</v>
      </c>
    </row>
    <row r="756" spans="1:15" x14ac:dyDescent="0.25">
      <c r="A756" s="5" t="s">
        <v>4</v>
      </c>
      <c r="B756" s="5" t="s">
        <v>3644</v>
      </c>
      <c r="D756" s="5" t="s">
        <v>1457</v>
      </c>
      <c r="E756" s="5" t="s">
        <v>2764</v>
      </c>
      <c r="F756" s="5" t="s">
        <v>1532</v>
      </c>
      <c r="G756" s="6">
        <v>46105.611805555556</v>
      </c>
      <c r="H756" s="7">
        <v>46111</v>
      </c>
      <c r="I756" s="5" t="s">
        <v>3645</v>
      </c>
      <c r="J756" s="7">
        <v>46162</v>
      </c>
      <c r="K756" s="5" t="s">
        <v>1527</v>
      </c>
      <c r="L756" s="5" t="s">
        <v>1535</v>
      </c>
      <c r="M756" s="8">
        <v>304.5</v>
      </c>
      <c r="N756" s="5" t="s">
        <v>1536</v>
      </c>
      <c r="O756" s="7">
        <v>46162</v>
      </c>
    </row>
    <row r="757" spans="1:15" x14ac:dyDescent="0.25">
      <c r="A757" s="5" t="s">
        <v>4</v>
      </c>
      <c r="B757" s="5" t="s">
        <v>3646</v>
      </c>
      <c r="D757" s="5" t="s">
        <v>918</v>
      </c>
      <c r="E757" s="5" t="s">
        <v>3647</v>
      </c>
      <c r="F757" s="5" t="s">
        <v>3648</v>
      </c>
      <c r="G757" s="6">
        <v>46118.746527777781</v>
      </c>
      <c r="H757" s="7">
        <v>46125</v>
      </c>
      <c r="I757" s="5" t="s">
        <v>3649</v>
      </c>
      <c r="J757" s="7">
        <v>46125</v>
      </c>
      <c r="K757" s="5" t="s">
        <v>1527</v>
      </c>
      <c r="L757" s="5" t="s">
        <v>1564</v>
      </c>
      <c r="M757" s="8">
        <v>304.16000000000003</v>
      </c>
      <c r="N757" s="5" t="s">
        <v>1536</v>
      </c>
      <c r="O757" s="7">
        <v>46125</v>
      </c>
    </row>
    <row r="758" spans="1:15" hidden="1" x14ac:dyDescent="0.25">
      <c r="A758" s="5" t="s">
        <v>1522</v>
      </c>
      <c r="B758" s="5" t="s">
        <v>3650</v>
      </c>
      <c r="D758" s="5" t="s">
        <v>1510</v>
      </c>
      <c r="E758" s="5" t="s">
        <v>2466</v>
      </c>
      <c r="F758" s="5" t="s">
        <v>3651</v>
      </c>
      <c r="G758" s="6">
        <v>46034.581250000003</v>
      </c>
      <c r="H758" s="7">
        <v>46042</v>
      </c>
      <c r="I758" s="5" t="s">
        <v>3652</v>
      </c>
      <c r="J758" s="7">
        <v>46050</v>
      </c>
      <c r="K758" s="5" t="s">
        <v>1527</v>
      </c>
      <c r="L758" s="5" t="s">
        <v>1621</v>
      </c>
      <c r="M758" s="8">
        <v>303.88</v>
      </c>
      <c r="N758" s="5" t="s">
        <v>1536</v>
      </c>
      <c r="O758" s="7">
        <v>46050</v>
      </c>
    </row>
    <row r="759" spans="1:15" hidden="1" x14ac:dyDescent="0.25">
      <c r="A759" s="5" t="s">
        <v>1522</v>
      </c>
      <c r="B759" s="5" t="s">
        <v>3653</v>
      </c>
      <c r="D759" s="5" t="s">
        <v>1510</v>
      </c>
      <c r="E759" s="5" t="s">
        <v>2466</v>
      </c>
      <c r="F759" s="5" t="s">
        <v>1770</v>
      </c>
      <c r="G759" s="6">
        <v>46101.376388888886</v>
      </c>
      <c r="H759" s="7">
        <v>46114</v>
      </c>
      <c r="I759" s="5" t="s">
        <v>3654</v>
      </c>
      <c r="J759" s="7">
        <v>46146</v>
      </c>
      <c r="K759" s="5" t="s">
        <v>1527</v>
      </c>
      <c r="L759" s="5" t="s">
        <v>1564</v>
      </c>
      <c r="M759" s="8">
        <v>303.88</v>
      </c>
      <c r="N759" s="5" t="s">
        <v>1529</v>
      </c>
      <c r="O759" s="7">
        <v>46146</v>
      </c>
    </row>
    <row r="760" spans="1:15" x14ac:dyDescent="0.25">
      <c r="A760" s="5" t="s">
        <v>4</v>
      </c>
      <c r="B760" s="5" t="s">
        <v>3655</v>
      </c>
      <c r="D760" s="5" t="s">
        <v>1200</v>
      </c>
      <c r="E760" s="5" t="s">
        <v>3656</v>
      </c>
      <c r="F760" s="5" t="s">
        <v>1548</v>
      </c>
      <c r="G760" s="6">
        <v>46055.453472222223</v>
      </c>
      <c r="H760" s="7">
        <v>46066</v>
      </c>
      <c r="I760" s="6">
        <v>46066.656944444447</v>
      </c>
      <c r="J760" s="7">
        <v>46066</v>
      </c>
      <c r="K760" s="5" t="s">
        <v>1527</v>
      </c>
      <c r="L760" s="5" t="s">
        <v>1564</v>
      </c>
      <c r="M760" s="8">
        <v>303.8</v>
      </c>
      <c r="N760" s="5" t="s">
        <v>1536</v>
      </c>
      <c r="O760" s="7">
        <v>46066</v>
      </c>
    </row>
    <row r="761" spans="1:15" x14ac:dyDescent="0.25">
      <c r="A761" s="5" t="s">
        <v>4</v>
      </c>
      <c r="B761" s="5" t="s">
        <v>3657</v>
      </c>
      <c r="D761" s="5" t="s">
        <v>319</v>
      </c>
      <c r="E761" s="5" t="s">
        <v>3658</v>
      </c>
      <c r="F761" s="5" t="s">
        <v>3659</v>
      </c>
      <c r="G761" s="6">
        <v>46090.694444444445</v>
      </c>
      <c r="H761" s="7">
        <v>46094</v>
      </c>
      <c r="I761" s="5" t="s">
        <v>1533</v>
      </c>
      <c r="J761" s="7">
        <v>46106</v>
      </c>
      <c r="K761" s="5" t="s">
        <v>1534</v>
      </c>
      <c r="L761" s="5" t="s">
        <v>1621</v>
      </c>
      <c r="M761" s="8">
        <v>303.75</v>
      </c>
      <c r="N761" s="5" t="s">
        <v>1536</v>
      </c>
      <c r="O761" s="7">
        <v>46106</v>
      </c>
    </row>
    <row r="762" spans="1:15" x14ac:dyDescent="0.25">
      <c r="A762" s="5" t="s">
        <v>4</v>
      </c>
      <c r="B762" s="5" t="s">
        <v>3660</v>
      </c>
      <c r="D762" s="5" t="s">
        <v>550</v>
      </c>
      <c r="E762" s="5" t="s">
        <v>3661</v>
      </c>
      <c r="F762" s="5" t="s">
        <v>1532</v>
      </c>
      <c r="G762" s="6">
        <v>46031.568749999999</v>
      </c>
      <c r="H762" s="7">
        <v>46042</v>
      </c>
      <c r="I762" s="5" t="s">
        <v>3662</v>
      </c>
      <c r="J762" s="7">
        <v>46050</v>
      </c>
      <c r="K762" s="5" t="s">
        <v>1527</v>
      </c>
      <c r="L762" s="5" t="s">
        <v>1535</v>
      </c>
      <c r="M762" s="8">
        <v>303.60000000000002</v>
      </c>
      <c r="N762" s="5" t="s">
        <v>1536</v>
      </c>
      <c r="O762" s="7">
        <v>46050</v>
      </c>
    </row>
    <row r="763" spans="1:15" hidden="1" x14ac:dyDescent="0.25">
      <c r="A763" s="5" t="s">
        <v>1522</v>
      </c>
      <c r="B763" s="5" t="s">
        <v>3663</v>
      </c>
      <c r="D763" s="5" t="s">
        <v>1510</v>
      </c>
      <c r="E763" s="5" t="s">
        <v>2466</v>
      </c>
      <c r="F763" s="5" t="s">
        <v>3651</v>
      </c>
      <c r="G763" s="6">
        <v>46044.728472222225</v>
      </c>
      <c r="H763" s="7">
        <v>46057</v>
      </c>
      <c r="I763" s="6">
        <v>46057.663194444445</v>
      </c>
      <c r="J763" s="7">
        <v>46057</v>
      </c>
      <c r="K763" s="5" t="s">
        <v>1527</v>
      </c>
      <c r="L763" s="5" t="s">
        <v>1621</v>
      </c>
      <c r="M763" s="8">
        <v>302.10000000000002</v>
      </c>
      <c r="N763" s="5" t="s">
        <v>1536</v>
      </c>
      <c r="O763" s="7">
        <v>46057</v>
      </c>
    </row>
    <row r="764" spans="1:15" hidden="1" x14ac:dyDescent="0.25">
      <c r="A764" s="5" t="s">
        <v>1522</v>
      </c>
      <c r="B764" s="5" t="s">
        <v>3664</v>
      </c>
      <c r="D764" s="5" t="s">
        <v>1510</v>
      </c>
      <c r="E764" s="5" t="s">
        <v>2466</v>
      </c>
      <c r="F764" s="5" t="s">
        <v>3651</v>
      </c>
      <c r="G764" s="6">
        <v>46057.675694444442</v>
      </c>
      <c r="H764" s="7">
        <v>46070</v>
      </c>
      <c r="I764" s="5" t="s">
        <v>3665</v>
      </c>
      <c r="J764" s="7">
        <v>46078</v>
      </c>
      <c r="K764" s="5" t="s">
        <v>1527</v>
      </c>
      <c r="L764" s="5" t="s">
        <v>1621</v>
      </c>
      <c r="M764" s="8">
        <v>302.10000000000002</v>
      </c>
      <c r="N764" s="5" t="s">
        <v>1536</v>
      </c>
      <c r="O764" s="7">
        <v>46078</v>
      </c>
    </row>
    <row r="765" spans="1:15" hidden="1" x14ac:dyDescent="0.25">
      <c r="A765" s="5" t="s">
        <v>1522</v>
      </c>
      <c r="B765" s="5" t="s">
        <v>3666</v>
      </c>
      <c r="D765" s="5" t="s">
        <v>1510</v>
      </c>
      <c r="E765" s="5" t="s">
        <v>2466</v>
      </c>
      <c r="F765" s="5" t="s">
        <v>3651</v>
      </c>
      <c r="G765" s="6">
        <v>46057.677777777775</v>
      </c>
      <c r="H765" s="7">
        <v>46070</v>
      </c>
      <c r="I765" s="5" t="s">
        <v>3667</v>
      </c>
      <c r="J765" s="7">
        <v>46079</v>
      </c>
      <c r="K765" s="5" t="s">
        <v>1527</v>
      </c>
      <c r="L765" s="5" t="s">
        <v>1554</v>
      </c>
      <c r="M765" s="8">
        <v>302.10000000000002</v>
      </c>
      <c r="N765" s="5" t="s">
        <v>1536</v>
      </c>
      <c r="O765" s="7">
        <v>46079</v>
      </c>
    </row>
    <row r="766" spans="1:15" hidden="1" x14ac:dyDescent="0.25">
      <c r="A766" s="5" t="s">
        <v>1522</v>
      </c>
      <c r="B766" s="5" t="s">
        <v>3668</v>
      </c>
      <c r="D766" s="5" t="s">
        <v>1510</v>
      </c>
      <c r="E766" s="5" t="s">
        <v>2466</v>
      </c>
      <c r="F766" s="5" t="s">
        <v>3651</v>
      </c>
      <c r="G766" s="6">
        <v>46065.65</v>
      </c>
      <c r="H766" s="7">
        <v>46077</v>
      </c>
      <c r="I766" s="5" t="s">
        <v>3669</v>
      </c>
      <c r="J766" s="7">
        <v>46078</v>
      </c>
      <c r="K766" s="5" t="s">
        <v>1527</v>
      </c>
      <c r="L766" s="5" t="s">
        <v>1621</v>
      </c>
      <c r="M766" s="8">
        <v>302.10000000000002</v>
      </c>
      <c r="N766" s="5" t="s">
        <v>1536</v>
      </c>
      <c r="O766" s="7">
        <v>46078</v>
      </c>
    </row>
    <row r="767" spans="1:15" hidden="1" x14ac:dyDescent="0.25">
      <c r="A767" s="5" t="s">
        <v>1522</v>
      </c>
      <c r="B767" s="5" t="s">
        <v>3670</v>
      </c>
      <c r="D767" s="5" t="s">
        <v>1510</v>
      </c>
      <c r="E767" s="5" t="s">
        <v>2466</v>
      </c>
      <c r="F767" s="5" t="s">
        <v>3651</v>
      </c>
      <c r="G767" s="6">
        <v>46072.686111111114</v>
      </c>
      <c r="H767" s="7">
        <v>46085</v>
      </c>
      <c r="I767" s="5" t="s">
        <v>3671</v>
      </c>
      <c r="J767" s="7">
        <v>46090</v>
      </c>
      <c r="K767" s="5" t="s">
        <v>1527</v>
      </c>
      <c r="L767" s="5" t="s">
        <v>1621</v>
      </c>
      <c r="M767" s="8">
        <v>302.10000000000002</v>
      </c>
      <c r="N767" s="5" t="s">
        <v>1536</v>
      </c>
      <c r="O767" s="7">
        <v>46090</v>
      </c>
    </row>
    <row r="768" spans="1:15" hidden="1" x14ac:dyDescent="0.25">
      <c r="A768" s="5" t="s">
        <v>1522</v>
      </c>
      <c r="B768" s="5" t="s">
        <v>3672</v>
      </c>
      <c r="D768" s="5" t="s">
        <v>1510</v>
      </c>
      <c r="E768" s="5" t="s">
        <v>2466</v>
      </c>
      <c r="F768" s="5" t="s">
        <v>3651</v>
      </c>
      <c r="G768" s="6">
        <v>46078.702777777777</v>
      </c>
      <c r="H768" s="7">
        <v>46086</v>
      </c>
      <c r="I768" s="5" t="s">
        <v>3673</v>
      </c>
      <c r="J768" s="7">
        <v>46127</v>
      </c>
      <c r="K768" s="5" t="s">
        <v>1527</v>
      </c>
      <c r="L768" s="5" t="s">
        <v>1621</v>
      </c>
      <c r="M768" s="8">
        <v>302.10000000000002</v>
      </c>
      <c r="N768" s="5" t="s">
        <v>1536</v>
      </c>
      <c r="O768" s="7">
        <v>46127</v>
      </c>
    </row>
    <row r="769" spans="1:15" hidden="1" x14ac:dyDescent="0.25">
      <c r="A769" s="5" t="s">
        <v>1522</v>
      </c>
      <c r="B769" s="5" t="s">
        <v>3674</v>
      </c>
      <c r="D769" s="5" t="s">
        <v>1510</v>
      </c>
      <c r="E769" s="5" t="s">
        <v>2466</v>
      </c>
      <c r="F769" s="5" t="s">
        <v>3651</v>
      </c>
      <c r="G769" s="6">
        <v>46079.659722222219</v>
      </c>
      <c r="H769" s="7">
        <v>46092</v>
      </c>
      <c r="I769" s="5" t="s">
        <v>3675</v>
      </c>
      <c r="J769" s="7">
        <v>46161</v>
      </c>
      <c r="K769" s="5" t="s">
        <v>1527</v>
      </c>
      <c r="L769" s="5" t="s">
        <v>1621</v>
      </c>
      <c r="M769" s="8">
        <v>302.10000000000002</v>
      </c>
      <c r="N769" s="5" t="s">
        <v>1536</v>
      </c>
      <c r="O769" s="7">
        <v>46161</v>
      </c>
    </row>
    <row r="770" spans="1:15" hidden="1" x14ac:dyDescent="0.25">
      <c r="A770" s="5" t="s">
        <v>1522</v>
      </c>
      <c r="B770" s="5" t="s">
        <v>3676</v>
      </c>
      <c r="D770" s="5" t="s">
        <v>1510</v>
      </c>
      <c r="E770" s="5" t="s">
        <v>2466</v>
      </c>
      <c r="F770" s="5" t="s">
        <v>3434</v>
      </c>
      <c r="G770" s="6">
        <v>46090.642361111109</v>
      </c>
      <c r="H770" s="7">
        <v>46097</v>
      </c>
      <c r="I770" s="5" t="s">
        <v>3677</v>
      </c>
      <c r="J770" s="7">
        <v>46106</v>
      </c>
      <c r="K770" s="5" t="s">
        <v>1527</v>
      </c>
      <c r="L770" s="5" t="s">
        <v>1621</v>
      </c>
      <c r="M770" s="8">
        <v>302.10000000000002</v>
      </c>
      <c r="N770" s="5" t="s">
        <v>1536</v>
      </c>
      <c r="O770" s="7">
        <v>46106</v>
      </c>
    </row>
    <row r="771" spans="1:15" hidden="1" x14ac:dyDescent="0.25">
      <c r="A771" s="5" t="s">
        <v>1522</v>
      </c>
      <c r="B771" s="5" t="s">
        <v>3678</v>
      </c>
      <c r="D771" s="5" t="s">
        <v>1510</v>
      </c>
      <c r="E771" s="5" t="s">
        <v>2466</v>
      </c>
      <c r="F771" s="5" t="s">
        <v>1770</v>
      </c>
      <c r="G771" s="6">
        <v>46101.375</v>
      </c>
      <c r="H771" s="7">
        <v>46114</v>
      </c>
      <c r="I771" s="5" t="s">
        <v>3679</v>
      </c>
      <c r="J771" s="7">
        <v>46128</v>
      </c>
      <c r="K771" s="5" t="s">
        <v>1527</v>
      </c>
      <c r="L771" s="5" t="s">
        <v>1564</v>
      </c>
      <c r="M771" s="8">
        <v>302.10000000000002</v>
      </c>
      <c r="N771" s="5" t="s">
        <v>1536</v>
      </c>
      <c r="O771" s="7">
        <v>46128</v>
      </c>
    </row>
    <row r="772" spans="1:15" hidden="1" x14ac:dyDescent="0.25">
      <c r="A772" s="5" t="s">
        <v>1522</v>
      </c>
      <c r="B772" s="5" t="s">
        <v>3680</v>
      </c>
      <c r="D772" s="5" t="s">
        <v>1510</v>
      </c>
      <c r="E772" s="5" t="s">
        <v>2466</v>
      </c>
      <c r="F772" s="5" t="s">
        <v>3434</v>
      </c>
      <c r="G772" s="6">
        <v>46106.725694444445</v>
      </c>
      <c r="H772" s="7">
        <v>46119</v>
      </c>
      <c r="I772" s="5" t="s">
        <v>3681</v>
      </c>
      <c r="J772" s="7">
        <v>46153</v>
      </c>
      <c r="K772" s="5" t="s">
        <v>1527</v>
      </c>
      <c r="L772" s="5" t="s">
        <v>1621</v>
      </c>
      <c r="M772" s="8">
        <v>302.10000000000002</v>
      </c>
      <c r="N772" s="5" t="s">
        <v>1529</v>
      </c>
      <c r="O772" s="7">
        <v>46153</v>
      </c>
    </row>
    <row r="773" spans="1:15" hidden="1" x14ac:dyDescent="0.25">
      <c r="A773" s="5" t="s">
        <v>1522</v>
      </c>
      <c r="B773" s="5" t="s">
        <v>3682</v>
      </c>
      <c r="D773" s="5" t="s">
        <v>1510</v>
      </c>
      <c r="E773" s="5" t="s">
        <v>2466</v>
      </c>
      <c r="F773" s="5" t="s">
        <v>3434</v>
      </c>
      <c r="G773" s="6">
        <v>46128.710416666669</v>
      </c>
      <c r="H773" s="7">
        <v>46141</v>
      </c>
      <c r="I773" s="6">
        <v>46141.731249999997</v>
      </c>
      <c r="J773" s="7">
        <v>46162</v>
      </c>
      <c r="K773" s="5" t="s">
        <v>1527</v>
      </c>
      <c r="L773" s="5" t="s">
        <v>1621</v>
      </c>
      <c r="M773" s="8">
        <v>302.10000000000002</v>
      </c>
      <c r="N773" s="5" t="s">
        <v>1529</v>
      </c>
      <c r="O773" s="7">
        <v>46162</v>
      </c>
    </row>
    <row r="774" spans="1:15" hidden="1" x14ac:dyDescent="0.25">
      <c r="A774" s="5" t="s">
        <v>1522</v>
      </c>
      <c r="B774" s="5" t="s">
        <v>3683</v>
      </c>
      <c r="D774" s="5" t="s">
        <v>1510</v>
      </c>
      <c r="E774" s="5" t="s">
        <v>2466</v>
      </c>
      <c r="F774" s="5" t="s">
        <v>3434</v>
      </c>
      <c r="G774" s="6">
        <v>46132.680555555555</v>
      </c>
      <c r="H774" s="7">
        <v>46143</v>
      </c>
      <c r="I774" s="5" t="s">
        <v>3684</v>
      </c>
      <c r="J774" s="7">
        <v>46181</v>
      </c>
      <c r="K774" s="5" t="s">
        <v>1527</v>
      </c>
      <c r="L774" s="5" t="s">
        <v>1621</v>
      </c>
      <c r="M774" s="8">
        <v>302.10000000000002</v>
      </c>
      <c r="N774" s="5" t="s">
        <v>1529</v>
      </c>
      <c r="O774" s="7">
        <v>46181</v>
      </c>
    </row>
    <row r="775" spans="1:15" x14ac:dyDescent="0.25">
      <c r="A775" s="5" t="s">
        <v>4</v>
      </c>
      <c r="B775" s="5" t="s">
        <v>3685</v>
      </c>
      <c r="D775" s="5" t="s">
        <v>1356</v>
      </c>
      <c r="E775" s="5" t="s">
        <v>3686</v>
      </c>
      <c r="F775" s="5" t="s">
        <v>3687</v>
      </c>
      <c r="G775" s="6">
        <v>46111.365277777775</v>
      </c>
      <c r="H775" s="7">
        <v>46121</v>
      </c>
      <c r="I775" s="5" t="s">
        <v>3688</v>
      </c>
      <c r="J775" s="7">
        <v>46135</v>
      </c>
      <c r="K775" s="5" t="s">
        <v>1527</v>
      </c>
      <c r="L775" s="5" t="s">
        <v>1535</v>
      </c>
      <c r="M775" s="8">
        <v>302</v>
      </c>
      <c r="N775" s="5" t="s">
        <v>1536</v>
      </c>
      <c r="O775" s="7">
        <v>46135</v>
      </c>
    </row>
    <row r="776" spans="1:15" hidden="1" x14ac:dyDescent="0.25">
      <c r="A776" s="5" t="s">
        <v>1522</v>
      </c>
      <c r="B776" s="5">
        <v>38925</v>
      </c>
      <c r="D776" s="5" t="s">
        <v>1507</v>
      </c>
      <c r="E776" s="5" t="s">
        <v>3689</v>
      </c>
      <c r="F776" s="5" t="s">
        <v>3690</v>
      </c>
      <c r="G776" s="6">
        <v>46098.37222222222</v>
      </c>
      <c r="H776" s="7">
        <v>46105</v>
      </c>
      <c r="I776" s="5" t="s">
        <v>3691</v>
      </c>
      <c r="J776" s="7">
        <v>46105</v>
      </c>
      <c r="K776" s="5" t="s">
        <v>1527</v>
      </c>
      <c r="L776" s="5" t="s">
        <v>1528</v>
      </c>
      <c r="M776" s="8">
        <v>300</v>
      </c>
      <c r="N776" s="5" t="s">
        <v>1536</v>
      </c>
      <c r="O776" s="7">
        <v>46105</v>
      </c>
    </row>
    <row r="777" spans="1:15" hidden="1" x14ac:dyDescent="0.25">
      <c r="A777" s="5" t="s">
        <v>1522</v>
      </c>
      <c r="B777" s="5" t="s">
        <v>3692</v>
      </c>
      <c r="D777" s="5" t="s">
        <v>1508</v>
      </c>
      <c r="E777" s="5" t="s">
        <v>2606</v>
      </c>
      <c r="F777" s="5" t="s">
        <v>2607</v>
      </c>
      <c r="G777" s="6">
        <v>46037.704861111109</v>
      </c>
      <c r="H777" s="7">
        <v>46042</v>
      </c>
      <c r="I777" s="5" t="s">
        <v>3693</v>
      </c>
      <c r="J777" s="7">
        <v>46043</v>
      </c>
      <c r="K777" s="5" t="s">
        <v>1527</v>
      </c>
      <c r="L777" s="5" t="s">
        <v>1528</v>
      </c>
      <c r="M777" s="8">
        <v>300</v>
      </c>
      <c r="N777" s="5" t="s">
        <v>1536</v>
      </c>
      <c r="O777" s="7">
        <v>46043</v>
      </c>
    </row>
    <row r="778" spans="1:15" hidden="1" x14ac:dyDescent="0.25">
      <c r="A778" s="5" t="s">
        <v>1522</v>
      </c>
      <c r="B778" s="5" t="s">
        <v>3694</v>
      </c>
      <c r="D778" s="5" t="s">
        <v>1508</v>
      </c>
      <c r="E778" s="5" t="s">
        <v>2606</v>
      </c>
      <c r="F778" s="5" t="s">
        <v>2607</v>
      </c>
      <c r="G778" s="6">
        <v>46065.397916666669</v>
      </c>
      <c r="H778" s="7">
        <v>46066</v>
      </c>
      <c r="I778" s="6">
        <v>46066.488888888889</v>
      </c>
      <c r="J778" s="7">
        <v>46066</v>
      </c>
      <c r="K778" s="5" t="s">
        <v>1527</v>
      </c>
      <c r="L778" s="5" t="s">
        <v>1528</v>
      </c>
      <c r="M778" s="8">
        <v>300</v>
      </c>
      <c r="N778" s="5" t="s">
        <v>1536</v>
      </c>
      <c r="O778" s="7">
        <v>46066</v>
      </c>
    </row>
    <row r="779" spans="1:15" hidden="1" x14ac:dyDescent="0.25">
      <c r="A779" s="5" t="s">
        <v>1522</v>
      </c>
      <c r="B779" s="5" t="s">
        <v>3695</v>
      </c>
      <c r="D779" s="5" t="s">
        <v>1508</v>
      </c>
      <c r="E779" s="5" t="s">
        <v>2606</v>
      </c>
      <c r="F779" s="5" t="s">
        <v>2607</v>
      </c>
      <c r="G779" s="6">
        <v>46073.660416666666</v>
      </c>
      <c r="H779" s="7">
        <v>46077</v>
      </c>
      <c r="I779" s="5" t="s">
        <v>3696</v>
      </c>
      <c r="J779" s="7">
        <v>46078</v>
      </c>
      <c r="K779" s="5" t="s">
        <v>1527</v>
      </c>
      <c r="L779" s="5" t="s">
        <v>1528</v>
      </c>
      <c r="M779" s="8">
        <v>300</v>
      </c>
      <c r="N779" s="5" t="s">
        <v>1536</v>
      </c>
      <c r="O779" s="7">
        <v>46078</v>
      </c>
    </row>
    <row r="780" spans="1:15" hidden="1" x14ac:dyDescent="0.25">
      <c r="A780" s="5" t="s">
        <v>1522</v>
      </c>
      <c r="B780" s="5" t="s">
        <v>3697</v>
      </c>
      <c r="D780" s="5" t="s">
        <v>1328</v>
      </c>
      <c r="E780" s="5" t="s">
        <v>3698</v>
      </c>
      <c r="F780" s="5" t="s">
        <v>3699</v>
      </c>
      <c r="G780" s="6">
        <v>46118.455555555556</v>
      </c>
      <c r="H780" s="7">
        <v>46118</v>
      </c>
      <c r="I780" s="5" t="s">
        <v>3700</v>
      </c>
      <c r="J780" s="7">
        <v>46118</v>
      </c>
      <c r="K780" s="5" t="s">
        <v>1527</v>
      </c>
      <c r="L780" s="5" t="s">
        <v>1528</v>
      </c>
      <c r="M780" s="8">
        <v>300</v>
      </c>
      <c r="N780" s="5" t="s">
        <v>1536</v>
      </c>
      <c r="O780" s="7">
        <v>46118</v>
      </c>
    </row>
    <row r="781" spans="1:15" hidden="1" x14ac:dyDescent="0.25">
      <c r="A781" s="5" t="s">
        <v>1522</v>
      </c>
      <c r="B781" s="5" t="s">
        <v>3701</v>
      </c>
      <c r="D781" s="5" t="s">
        <v>1328</v>
      </c>
      <c r="E781" s="5" t="s">
        <v>3698</v>
      </c>
      <c r="F781" s="5" t="s">
        <v>3702</v>
      </c>
      <c r="G781" s="6">
        <v>46163.720833333333</v>
      </c>
      <c r="H781" s="7">
        <v>46168</v>
      </c>
      <c r="I781" s="5" t="s">
        <v>2856</v>
      </c>
      <c r="J781" s="7">
        <v>46169</v>
      </c>
      <c r="K781" s="5" t="s">
        <v>1527</v>
      </c>
      <c r="L781" s="5" t="s">
        <v>1528</v>
      </c>
      <c r="M781" s="8">
        <v>300</v>
      </c>
      <c r="N781" s="5" t="s">
        <v>1529</v>
      </c>
      <c r="O781" s="7">
        <v>46169</v>
      </c>
    </row>
    <row r="782" spans="1:15" x14ac:dyDescent="0.25">
      <c r="A782" s="5" t="s">
        <v>4</v>
      </c>
      <c r="B782" s="5" t="s">
        <v>3703</v>
      </c>
      <c r="D782" s="5" t="s">
        <v>940</v>
      </c>
      <c r="E782" s="5" t="s">
        <v>3704</v>
      </c>
      <c r="F782" s="5" t="s">
        <v>1738</v>
      </c>
      <c r="G782" s="6">
        <v>46064.468055555553</v>
      </c>
      <c r="H782" s="7">
        <v>46078</v>
      </c>
      <c r="I782" s="6">
        <v>46071.616666666669</v>
      </c>
      <c r="J782" s="7">
        <v>46071</v>
      </c>
      <c r="K782" s="5" t="s">
        <v>1527</v>
      </c>
      <c r="L782" s="5" t="s">
        <v>1564</v>
      </c>
      <c r="M782" s="8">
        <v>300</v>
      </c>
      <c r="N782" s="5" t="s">
        <v>1536</v>
      </c>
      <c r="O782" s="7">
        <v>46071</v>
      </c>
    </row>
    <row r="783" spans="1:15" x14ac:dyDescent="0.25">
      <c r="A783" s="5" t="s">
        <v>4</v>
      </c>
      <c r="B783" s="5" t="s">
        <v>3705</v>
      </c>
      <c r="D783" s="5" t="s">
        <v>621</v>
      </c>
      <c r="E783" s="5" t="s">
        <v>3706</v>
      </c>
      <c r="F783" s="5" t="s">
        <v>3707</v>
      </c>
      <c r="G783" s="6">
        <v>46114.611805555556</v>
      </c>
      <c r="H783" s="7">
        <v>46125</v>
      </c>
      <c r="I783" s="6">
        <v>46123.337500000001</v>
      </c>
      <c r="J783" s="7">
        <v>46120</v>
      </c>
      <c r="K783" s="5" t="s">
        <v>1527</v>
      </c>
      <c r="L783" s="5" t="s">
        <v>1564</v>
      </c>
      <c r="M783" s="8">
        <v>300</v>
      </c>
      <c r="N783" s="5" t="s">
        <v>1536</v>
      </c>
      <c r="O783" s="7">
        <v>46120</v>
      </c>
    </row>
    <row r="784" spans="1:15" x14ac:dyDescent="0.25">
      <c r="A784" s="5" t="s">
        <v>4</v>
      </c>
      <c r="B784" s="5" t="s">
        <v>3708</v>
      </c>
      <c r="D784" s="5" t="s">
        <v>1437</v>
      </c>
      <c r="E784" s="5" t="s">
        <v>2758</v>
      </c>
      <c r="F784" s="5" t="s">
        <v>1759</v>
      </c>
      <c r="G784" s="6">
        <v>46136.622916666667</v>
      </c>
      <c r="H784" s="7">
        <v>46150</v>
      </c>
      <c r="I784" s="6">
        <v>46142.740972222222</v>
      </c>
      <c r="J784" s="7">
        <v>46142</v>
      </c>
      <c r="K784" s="5" t="s">
        <v>1527</v>
      </c>
      <c r="L784" s="5" t="s">
        <v>1564</v>
      </c>
      <c r="M784" s="8">
        <v>300</v>
      </c>
      <c r="N784" s="5" t="s">
        <v>1536</v>
      </c>
      <c r="O784" s="7">
        <v>46142</v>
      </c>
    </row>
    <row r="785" spans="1:15" x14ac:dyDescent="0.25">
      <c r="A785" s="5" t="s">
        <v>4</v>
      </c>
      <c r="B785" s="5" t="s">
        <v>3709</v>
      </c>
      <c r="D785" s="5" t="s">
        <v>1509</v>
      </c>
      <c r="E785" s="5" t="s">
        <v>1538</v>
      </c>
      <c r="F785" s="5" t="s">
        <v>3710</v>
      </c>
      <c r="G785" s="6">
        <v>46113.395138888889</v>
      </c>
      <c r="H785" s="7">
        <v>46125</v>
      </c>
      <c r="I785" s="5" t="s">
        <v>3711</v>
      </c>
      <c r="J785" s="7">
        <v>46125</v>
      </c>
      <c r="K785" s="5" t="s">
        <v>1527</v>
      </c>
      <c r="L785" s="5" t="s">
        <v>1535</v>
      </c>
      <c r="M785" s="8">
        <v>299.85000000000002</v>
      </c>
      <c r="N785" s="5" t="s">
        <v>1536</v>
      </c>
      <c r="O785" s="7">
        <v>46125</v>
      </c>
    </row>
    <row r="786" spans="1:15" x14ac:dyDescent="0.25">
      <c r="A786" s="5" t="s">
        <v>4</v>
      </c>
      <c r="B786" s="5" t="s">
        <v>3712</v>
      </c>
      <c r="D786" s="5" t="s">
        <v>577</v>
      </c>
      <c r="E786" s="5" t="s">
        <v>3713</v>
      </c>
      <c r="F786" s="5" t="s">
        <v>3714</v>
      </c>
      <c r="G786" s="6">
        <v>46065.702777777777</v>
      </c>
      <c r="H786" s="7">
        <v>46076</v>
      </c>
      <c r="I786" s="6">
        <v>46071.718055555553</v>
      </c>
      <c r="J786" s="7">
        <v>46070</v>
      </c>
      <c r="K786" s="5" t="s">
        <v>1527</v>
      </c>
      <c r="L786" s="5" t="s">
        <v>1621</v>
      </c>
      <c r="M786" s="8">
        <v>299.60000000000002</v>
      </c>
      <c r="N786" s="5" t="s">
        <v>1536</v>
      </c>
      <c r="O786" s="7">
        <v>46070</v>
      </c>
    </row>
    <row r="787" spans="1:15" hidden="1" x14ac:dyDescent="0.25">
      <c r="A787" s="5" t="s">
        <v>1522</v>
      </c>
      <c r="B787" s="5" t="s">
        <v>3715</v>
      </c>
      <c r="D787" s="5" t="s">
        <v>1503</v>
      </c>
      <c r="E787" s="5" t="s">
        <v>1651</v>
      </c>
      <c r="F787" s="5" t="s">
        <v>3716</v>
      </c>
      <c r="G787" s="6">
        <v>46163.672222222223</v>
      </c>
      <c r="H787" s="7">
        <v>46170</v>
      </c>
      <c r="I787" s="5" t="s">
        <v>3717</v>
      </c>
      <c r="J787" s="7">
        <v>46175</v>
      </c>
      <c r="K787" s="5" t="s">
        <v>1527</v>
      </c>
      <c r="L787" s="5" t="s">
        <v>1528</v>
      </c>
      <c r="M787" s="8">
        <v>297</v>
      </c>
      <c r="N787" s="5" t="s">
        <v>1529</v>
      </c>
      <c r="O787" s="7">
        <v>46175</v>
      </c>
    </row>
    <row r="788" spans="1:15" x14ac:dyDescent="0.25">
      <c r="A788" s="5" t="s">
        <v>4</v>
      </c>
      <c r="B788" s="5" t="s">
        <v>3718</v>
      </c>
      <c r="D788" s="5" t="s">
        <v>1432</v>
      </c>
      <c r="E788" s="5" t="s">
        <v>3719</v>
      </c>
      <c r="F788" s="5" t="s">
        <v>1759</v>
      </c>
      <c r="G788" s="6">
        <v>46120.429861111108</v>
      </c>
      <c r="H788" s="7">
        <v>46133</v>
      </c>
      <c r="I788" s="5" t="s">
        <v>3720</v>
      </c>
      <c r="J788" s="7">
        <v>46120</v>
      </c>
      <c r="K788" s="5" t="s">
        <v>1527</v>
      </c>
      <c r="L788" s="5" t="s">
        <v>1564</v>
      </c>
      <c r="M788" s="8">
        <v>297</v>
      </c>
      <c r="N788" s="5" t="s">
        <v>1536</v>
      </c>
      <c r="O788" s="7">
        <v>46120</v>
      </c>
    </row>
    <row r="789" spans="1:15" x14ac:dyDescent="0.25">
      <c r="A789" s="5" t="s">
        <v>4</v>
      </c>
      <c r="B789" s="5" t="s">
        <v>3721</v>
      </c>
      <c r="D789" s="5" t="s">
        <v>272</v>
      </c>
      <c r="E789" s="5" t="s">
        <v>3719</v>
      </c>
      <c r="F789" s="5" t="s">
        <v>1759</v>
      </c>
      <c r="G789" s="6">
        <v>46120.430555555555</v>
      </c>
      <c r="H789" s="7">
        <v>46133</v>
      </c>
      <c r="I789" s="5" t="s">
        <v>3722</v>
      </c>
      <c r="J789" s="7">
        <v>46120</v>
      </c>
      <c r="K789" s="5" t="s">
        <v>1527</v>
      </c>
      <c r="L789" s="5" t="s">
        <v>1564</v>
      </c>
      <c r="M789" s="8">
        <v>297</v>
      </c>
      <c r="N789" s="5" t="s">
        <v>1536</v>
      </c>
      <c r="O789" s="7">
        <v>46120</v>
      </c>
    </row>
    <row r="790" spans="1:15" x14ac:dyDescent="0.25">
      <c r="A790" s="5" t="s">
        <v>4</v>
      </c>
      <c r="B790" s="5" t="s">
        <v>3723</v>
      </c>
      <c r="D790" s="5" t="s">
        <v>274</v>
      </c>
      <c r="E790" s="5" t="s">
        <v>3719</v>
      </c>
      <c r="F790" s="5" t="s">
        <v>1759</v>
      </c>
      <c r="G790" s="6">
        <v>46120.430555555555</v>
      </c>
      <c r="H790" s="7">
        <v>46133</v>
      </c>
      <c r="I790" s="5" t="s">
        <v>3720</v>
      </c>
      <c r="J790" s="7">
        <v>46120</v>
      </c>
      <c r="K790" s="5" t="s">
        <v>1527</v>
      </c>
      <c r="L790" s="5" t="s">
        <v>1564</v>
      </c>
      <c r="M790" s="8">
        <v>297</v>
      </c>
      <c r="N790" s="5" t="s">
        <v>1536</v>
      </c>
      <c r="O790" s="7">
        <v>46120</v>
      </c>
    </row>
    <row r="791" spans="1:15" x14ac:dyDescent="0.25">
      <c r="A791" s="5" t="s">
        <v>4</v>
      </c>
      <c r="B791" s="5" t="s">
        <v>3724</v>
      </c>
      <c r="D791" s="5" t="s">
        <v>1008</v>
      </c>
      <c r="E791" s="5" t="s">
        <v>3725</v>
      </c>
      <c r="F791" s="5" t="s">
        <v>3726</v>
      </c>
      <c r="G791" s="6">
        <v>46160.68472222222</v>
      </c>
      <c r="H791" s="7">
        <v>46167</v>
      </c>
      <c r="I791" s="5" t="s">
        <v>3727</v>
      </c>
      <c r="J791" s="7">
        <v>46169</v>
      </c>
      <c r="K791" s="5" t="s">
        <v>1527</v>
      </c>
      <c r="L791" s="5" t="s">
        <v>1564</v>
      </c>
      <c r="M791" s="8">
        <v>296.8</v>
      </c>
      <c r="N791" s="5" t="s">
        <v>1536</v>
      </c>
      <c r="O791" s="7">
        <v>46169</v>
      </c>
    </row>
    <row r="792" spans="1:15" x14ac:dyDescent="0.25">
      <c r="A792" s="5" t="s">
        <v>4</v>
      </c>
      <c r="B792" s="5" t="s">
        <v>3728</v>
      </c>
      <c r="D792" s="5" t="s">
        <v>1066</v>
      </c>
      <c r="E792" s="5" t="s">
        <v>3729</v>
      </c>
      <c r="F792" s="5" t="s">
        <v>3730</v>
      </c>
      <c r="G792" s="6">
        <v>46100.370833333334</v>
      </c>
      <c r="H792" s="7">
        <v>46111</v>
      </c>
      <c r="I792" s="6">
        <v>46106.669444444444</v>
      </c>
      <c r="J792" s="7">
        <v>46106</v>
      </c>
      <c r="K792" s="5" t="s">
        <v>1527</v>
      </c>
      <c r="L792" s="5" t="s">
        <v>1564</v>
      </c>
      <c r="M792" s="9">
        <v>296.3</v>
      </c>
      <c r="N792" s="5" t="s">
        <v>1536</v>
      </c>
      <c r="O792" s="7">
        <v>46106</v>
      </c>
    </row>
    <row r="793" spans="1:15" hidden="1" x14ac:dyDescent="0.25">
      <c r="A793" s="5" t="s">
        <v>1522</v>
      </c>
      <c r="B793" s="5" t="s">
        <v>3731</v>
      </c>
      <c r="D793" s="5" t="s">
        <v>1468</v>
      </c>
      <c r="E793" s="5" t="s">
        <v>3732</v>
      </c>
      <c r="F793" s="5" t="s">
        <v>3733</v>
      </c>
      <c r="G793" s="6">
        <v>46100.673611111109</v>
      </c>
      <c r="H793" s="7">
        <v>46108</v>
      </c>
      <c r="I793" s="6">
        <v>46107.775000000001</v>
      </c>
      <c r="J793" s="7">
        <v>46111</v>
      </c>
      <c r="K793" s="5" t="s">
        <v>1527</v>
      </c>
      <c r="L793" s="5" t="s">
        <v>1528</v>
      </c>
      <c r="M793" s="8">
        <v>296</v>
      </c>
      <c r="N793" s="5" t="s">
        <v>1536</v>
      </c>
      <c r="O793" s="7">
        <v>46111</v>
      </c>
    </row>
    <row r="794" spans="1:15" x14ac:dyDescent="0.25">
      <c r="A794" s="5" t="s">
        <v>4</v>
      </c>
      <c r="B794" s="5" t="s">
        <v>3734</v>
      </c>
      <c r="D794" s="5" t="s">
        <v>724</v>
      </c>
      <c r="E794" s="5" t="s">
        <v>3735</v>
      </c>
      <c r="F794" s="5" t="s">
        <v>2306</v>
      </c>
      <c r="G794" s="6">
        <v>46122.48541666667</v>
      </c>
      <c r="H794" s="7">
        <v>46136</v>
      </c>
      <c r="I794" s="5" t="s">
        <v>1533</v>
      </c>
      <c r="J794" s="7">
        <v>46125</v>
      </c>
      <c r="K794" s="5" t="s">
        <v>1534</v>
      </c>
      <c r="L794" s="5" t="s">
        <v>1564</v>
      </c>
      <c r="M794" s="8">
        <v>295.39999999999998</v>
      </c>
      <c r="N794" s="5" t="s">
        <v>1536</v>
      </c>
      <c r="O794" s="7">
        <v>46125</v>
      </c>
    </row>
    <row r="795" spans="1:15" hidden="1" x14ac:dyDescent="0.25">
      <c r="A795" s="5" t="s">
        <v>1522</v>
      </c>
      <c r="B795" s="5" t="s">
        <v>3736</v>
      </c>
      <c r="D795" s="5" t="s">
        <v>1057</v>
      </c>
      <c r="E795" s="5" t="s">
        <v>3737</v>
      </c>
      <c r="F795" s="5" t="s">
        <v>3738</v>
      </c>
      <c r="G795" s="6">
        <v>46034.504166666666</v>
      </c>
      <c r="H795" s="7">
        <v>46038</v>
      </c>
      <c r="I795" s="5" t="s">
        <v>3739</v>
      </c>
      <c r="J795" s="7">
        <v>46042</v>
      </c>
      <c r="K795" s="5" t="s">
        <v>1527</v>
      </c>
      <c r="L795" s="5" t="s">
        <v>1528</v>
      </c>
      <c r="M795" s="8">
        <v>295</v>
      </c>
      <c r="N795" s="5" t="s">
        <v>1536</v>
      </c>
      <c r="O795" s="7">
        <v>46042</v>
      </c>
    </row>
    <row r="796" spans="1:15" x14ac:dyDescent="0.25">
      <c r="A796" s="5" t="s">
        <v>4</v>
      </c>
      <c r="B796" s="5" t="s">
        <v>3740</v>
      </c>
      <c r="D796" s="5" t="s">
        <v>1370</v>
      </c>
      <c r="E796" s="5" t="s">
        <v>3741</v>
      </c>
      <c r="F796" s="5" t="s">
        <v>3742</v>
      </c>
      <c r="G796" s="6">
        <v>46048.68472222222</v>
      </c>
      <c r="H796" s="7">
        <v>46051</v>
      </c>
      <c r="I796" s="5" t="s">
        <v>3743</v>
      </c>
      <c r="J796" s="7">
        <v>46052</v>
      </c>
      <c r="K796" s="5" t="s">
        <v>1527</v>
      </c>
      <c r="L796" s="5" t="s">
        <v>1535</v>
      </c>
      <c r="M796" s="8">
        <v>295</v>
      </c>
      <c r="N796" s="5" t="s">
        <v>1536</v>
      </c>
      <c r="O796" s="7">
        <v>46052</v>
      </c>
    </row>
    <row r="797" spans="1:15" x14ac:dyDescent="0.25">
      <c r="A797" s="5" t="s">
        <v>4</v>
      </c>
      <c r="B797" s="5" t="s">
        <v>3744</v>
      </c>
      <c r="D797" s="5" t="s">
        <v>916</v>
      </c>
      <c r="E797" s="5" t="s">
        <v>3745</v>
      </c>
      <c r="F797" s="5" t="s">
        <v>3746</v>
      </c>
      <c r="G797" s="6">
        <v>46098.552083333336</v>
      </c>
      <c r="H797" s="7">
        <v>46101</v>
      </c>
      <c r="I797" s="6">
        <v>46099.70208333333</v>
      </c>
      <c r="J797" s="7">
        <v>46099</v>
      </c>
      <c r="K797" s="5" t="s">
        <v>1527</v>
      </c>
      <c r="L797" s="5" t="s">
        <v>1564</v>
      </c>
      <c r="M797" s="8">
        <v>294.89999999999998</v>
      </c>
      <c r="N797" s="5" t="s">
        <v>1536</v>
      </c>
      <c r="O797" s="7">
        <v>46099</v>
      </c>
    </row>
    <row r="798" spans="1:15" x14ac:dyDescent="0.25">
      <c r="A798" s="5" t="s">
        <v>4</v>
      </c>
      <c r="B798" s="5" t="s">
        <v>3747</v>
      </c>
      <c r="D798" s="5" t="s">
        <v>1192</v>
      </c>
      <c r="E798" s="5" t="s">
        <v>3748</v>
      </c>
      <c r="F798" s="5" t="s">
        <v>3022</v>
      </c>
      <c r="G798" s="6">
        <v>46149.484027777777</v>
      </c>
      <c r="H798" s="7">
        <v>46161</v>
      </c>
      <c r="I798" s="6">
        <v>46161.415277777778</v>
      </c>
      <c r="J798" s="7">
        <v>46160</v>
      </c>
      <c r="K798" s="5" t="s">
        <v>1527</v>
      </c>
      <c r="L798" s="5" t="s">
        <v>1535</v>
      </c>
      <c r="M798" s="8">
        <v>294.8</v>
      </c>
      <c r="N798" s="5" t="s">
        <v>1536</v>
      </c>
      <c r="O798" s="7">
        <v>46160</v>
      </c>
    </row>
    <row r="799" spans="1:15" x14ac:dyDescent="0.25">
      <c r="A799" s="5" t="s">
        <v>4</v>
      </c>
      <c r="B799" s="5" t="s">
        <v>3749</v>
      </c>
      <c r="D799" s="5" t="s">
        <v>235</v>
      </c>
      <c r="E799" s="5" t="s">
        <v>3750</v>
      </c>
      <c r="F799" s="5" t="s">
        <v>3751</v>
      </c>
      <c r="G799" s="6">
        <v>46038.620833333334</v>
      </c>
      <c r="H799" s="7">
        <v>46044</v>
      </c>
      <c r="I799" s="6">
        <v>46041.701388888891</v>
      </c>
      <c r="J799" s="7">
        <v>46041</v>
      </c>
      <c r="K799" s="5" t="s">
        <v>1527</v>
      </c>
      <c r="L799" s="5" t="s">
        <v>1621</v>
      </c>
      <c r="M799" s="8">
        <v>294.10000000000002</v>
      </c>
      <c r="N799" s="5" t="s">
        <v>1536</v>
      </c>
      <c r="O799" s="7">
        <v>46041</v>
      </c>
    </row>
    <row r="800" spans="1:15" x14ac:dyDescent="0.25">
      <c r="A800" s="5" t="s">
        <v>4</v>
      </c>
      <c r="B800" s="5" t="s">
        <v>3752</v>
      </c>
      <c r="D800" s="5" t="s">
        <v>1466</v>
      </c>
      <c r="E800" s="5" t="s">
        <v>3753</v>
      </c>
      <c r="F800" s="5" t="s">
        <v>2306</v>
      </c>
      <c r="G800" s="6">
        <v>46113.599305555559</v>
      </c>
      <c r="H800" s="7">
        <v>46120</v>
      </c>
      <c r="I800" s="5" t="s">
        <v>3754</v>
      </c>
      <c r="J800" s="7">
        <v>46121</v>
      </c>
      <c r="K800" s="5" t="s">
        <v>1527</v>
      </c>
      <c r="L800" s="5" t="s">
        <v>1564</v>
      </c>
      <c r="M800" s="8">
        <v>293.16000000000003</v>
      </c>
      <c r="N800" s="5" t="s">
        <v>1536</v>
      </c>
      <c r="O800" s="7">
        <v>46121</v>
      </c>
    </row>
    <row r="801" spans="1:15" x14ac:dyDescent="0.25">
      <c r="A801" s="5" t="s">
        <v>4</v>
      </c>
      <c r="B801" s="5" t="s">
        <v>3755</v>
      </c>
      <c r="D801" s="5" t="s">
        <v>807</v>
      </c>
      <c r="E801" s="5" t="s">
        <v>3756</v>
      </c>
      <c r="F801" s="5" t="s">
        <v>1813</v>
      </c>
      <c r="G801" s="6">
        <v>46062.439583333333</v>
      </c>
      <c r="H801" s="7">
        <v>46072</v>
      </c>
      <c r="I801" s="5" t="s">
        <v>3757</v>
      </c>
      <c r="J801" s="7">
        <v>46077</v>
      </c>
      <c r="K801" s="5" t="s">
        <v>1527</v>
      </c>
      <c r="L801" s="5" t="s">
        <v>1535</v>
      </c>
      <c r="M801" s="8">
        <v>293</v>
      </c>
      <c r="N801" s="5" t="s">
        <v>1536</v>
      </c>
      <c r="O801" s="7">
        <v>46077</v>
      </c>
    </row>
    <row r="802" spans="1:15" x14ac:dyDescent="0.25">
      <c r="A802" s="5" t="s">
        <v>4</v>
      </c>
      <c r="B802" s="5" t="s">
        <v>3758</v>
      </c>
      <c r="D802" s="5" t="s">
        <v>189</v>
      </c>
      <c r="E802" s="5" t="s">
        <v>3759</v>
      </c>
      <c r="F802" s="5" t="s">
        <v>1548</v>
      </c>
      <c r="G802" s="6">
        <v>46153.59652777778</v>
      </c>
      <c r="H802" s="7">
        <v>46163</v>
      </c>
      <c r="I802" s="6">
        <v>46157.709722222222</v>
      </c>
      <c r="J802" s="7">
        <v>46157</v>
      </c>
      <c r="K802" s="5" t="s">
        <v>1527</v>
      </c>
      <c r="L802" s="5" t="s">
        <v>1535</v>
      </c>
      <c r="M802" s="8">
        <v>293</v>
      </c>
      <c r="N802" s="5" t="s">
        <v>1536</v>
      </c>
      <c r="O802" s="7">
        <v>46157</v>
      </c>
    </row>
    <row r="803" spans="1:15" hidden="1" x14ac:dyDescent="0.25">
      <c r="A803" s="5" t="s">
        <v>1522</v>
      </c>
      <c r="B803" s="5" t="s">
        <v>3760</v>
      </c>
      <c r="D803" s="5" t="s">
        <v>1502</v>
      </c>
      <c r="E803" s="5" t="s">
        <v>3761</v>
      </c>
      <c r="F803" s="5" t="s">
        <v>2680</v>
      </c>
      <c r="G803" s="6">
        <v>46097.441666666666</v>
      </c>
      <c r="H803" s="7">
        <v>46119</v>
      </c>
      <c r="I803" s="6">
        <v>46114.713194444441</v>
      </c>
      <c r="J803" s="7">
        <v>46114</v>
      </c>
      <c r="K803" s="5" t="s">
        <v>1527</v>
      </c>
      <c r="L803" s="5" t="s">
        <v>1528</v>
      </c>
      <c r="M803" s="8">
        <v>292.8</v>
      </c>
      <c r="N803" s="5" t="s">
        <v>1536</v>
      </c>
      <c r="O803" s="7">
        <v>46114</v>
      </c>
    </row>
    <row r="804" spans="1:15" x14ac:dyDescent="0.25">
      <c r="A804" s="5" t="s">
        <v>4</v>
      </c>
      <c r="B804" s="5" t="s">
        <v>3762</v>
      </c>
      <c r="D804" s="5" t="s">
        <v>27</v>
      </c>
      <c r="E804" s="5" t="s">
        <v>3763</v>
      </c>
      <c r="F804" s="5" t="s">
        <v>3764</v>
      </c>
      <c r="G804" s="6">
        <v>46087.659722222219</v>
      </c>
      <c r="H804" s="7">
        <v>46093</v>
      </c>
      <c r="I804" s="6">
        <v>46093.597222222219</v>
      </c>
      <c r="J804" s="7">
        <v>46093</v>
      </c>
      <c r="K804" s="5" t="s">
        <v>1527</v>
      </c>
      <c r="L804" s="5" t="s">
        <v>1621</v>
      </c>
      <c r="M804" s="9">
        <v>292.02</v>
      </c>
      <c r="N804" s="5" t="s">
        <v>1536</v>
      </c>
      <c r="O804" s="7">
        <v>46093</v>
      </c>
    </row>
    <row r="805" spans="1:15" x14ac:dyDescent="0.25">
      <c r="A805" s="5" t="s">
        <v>4</v>
      </c>
      <c r="B805" s="5" t="s">
        <v>3765</v>
      </c>
      <c r="D805" s="5" t="s">
        <v>1303</v>
      </c>
      <c r="E805" s="5" t="s">
        <v>3766</v>
      </c>
      <c r="F805" s="5" t="s">
        <v>3767</v>
      </c>
      <c r="G805" s="6">
        <v>46156.57916666667</v>
      </c>
      <c r="H805" s="7">
        <v>46167</v>
      </c>
      <c r="I805" s="6">
        <v>46164.698611111111</v>
      </c>
      <c r="J805" s="7">
        <v>46164</v>
      </c>
      <c r="K805" s="5" t="s">
        <v>1527</v>
      </c>
      <c r="L805" s="5" t="s">
        <v>1564</v>
      </c>
      <c r="M805" s="8">
        <v>292</v>
      </c>
      <c r="N805" s="5" t="s">
        <v>1536</v>
      </c>
      <c r="O805" s="7">
        <v>46164</v>
      </c>
    </row>
    <row r="806" spans="1:15" x14ac:dyDescent="0.25">
      <c r="A806" s="5" t="s">
        <v>4</v>
      </c>
      <c r="B806" s="5" t="s">
        <v>3768</v>
      </c>
      <c r="D806" s="5" t="s">
        <v>1223</v>
      </c>
      <c r="E806" s="5" t="s">
        <v>3769</v>
      </c>
      <c r="F806" s="5" t="s">
        <v>3770</v>
      </c>
      <c r="G806" s="6">
        <v>46167.654166666667</v>
      </c>
      <c r="H806" s="7">
        <v>46178</v>
      </c>
      <c r="I806" s="6">
        <v>46175.755555555559</v>
      </c>
      <c r="J806" s="7">
        <v>46171</v>
      </c>
      <c r="K806" s="5" t="s">
        <v>1527</v>
      </c>
      <c r="L806" s="5" t="s">
        <v>1564</v>
      </c>
      <c r="M806" s="8">
        <v>291.7</v>
      </c>
      <c r="N806" s="5" t="s">
        <v>1536</v>
      </c>
      <c r="O806" s="7">
        <v>46171</v>
      </c>
    </row>
    <row r="807" spans="1:15" hidden="1" x14ac:dyDescent="0.25">
      <c r="A807" s="5" t="s">
        <v>1522</v>
      </c>
      <c r="B807" s="5" t="s">
        <v>3771</v>
      </c>
      <c r="D807" s="5" t="s">
        <v>1510</v>
      </c>
      <c r="E807" s="5" t="s">
        <v>2466</v>
      </c>
      <c r="F807" s="5" t="s">
        <v>3434</v>
      </c>
      <c r="G807" s="6">
        <v>46146.636111111111</v>
      </c>
      <c r="H807" s="7">
        <v>46156</v>
      </c>
      <c r="I807" s="5" t="s">
        <v>1533</v>
      </c>
      <c r="J807" s="5" t="s">
        <v>1533</v>
      </c>
      <c r="K807" s="5" t="s">
        <v>1534</v>
      </c>
      <c r="L807" s="5" t="s">
        <v>1621</v>
      </c>
      <c r="M807" s="8">
        <v>291.2</v>
      </c>
      <c r="N807" s="5" t="s">
        <v>1541</v>
      </c>
      <c r="O807" s="5" t="s">
        <v>1533</v>
      </c>
    </row>
    <row r="808" spans="1:15" x14ac:dyDescent="0.25">
      <c r="A808" s="5" t="s">
        <v>4</v>
      </c>
      <c r="B808" s="5" t="s">
        <v>3772</v>
      </c>
      <c r="D808" s="5" t="s">
        <v>285</v>
      </c>
      <c r="E808" s="5" t="s">
        <v>3773</v>
      </c>
      <c r="F808" s="5" t="s">
        <v>1813</v>
      </c>
      <c r="G808" s="6">
        <v>46149.614583333336</v>
      </c>
      <c r="H808" s="7">
        <v>46161</v>
      </c>
      <c r="I808" s="5" t="s">
        <v>3774</v>
      </c>
      <c r="J808" s="7">
        <v>46162</v>
      </c>
      <c r="K808" s="5" t="s">
        <v>1527</v>
      </c>
      <c r="L808" s="5" t="s">
        <v>1535</v>
      </c>
      <c r="M808" s="8">
        <v>291</v>
      </c>
      <c r="N808" s="5" t="s">
        <v>1536</v>
      </c>
      <c r="O808" s="7">
        <v>46162</v>
      </c>
    </row>
    <row r="809" spans="1:15" hidden="1" x14ac:dyDescent="0.25">
      <c r="A809" s="5" t="s">
        <v>1522</v>
      </c>
      <c r="B809" s="5" t="s">
        <v>3775</v>
      </c>
      <c r="D809" s="5" t="s">
        <v>1510</v>
      </c>
      <c r="E809" s="5" t="s">
        <v>2466</v>
      </c>
      <c r="F809" s="5" t="s">
        <v>3651</v>
      </c>
      <c r="G809" s="6">
        <v>46049.65625</v>
      </c>
      <c r="H809" s="7">
        <v>46062</v>
      </c>
      <c r="I809" s="5" t="s">
        <v>3776</v>
      </c>
      <c r="J809" s="7">
        <v>46066</v>
      </c>
      <c r="K809" s="5" t="s">
        <v>1527</v>
      </c>
      <c r="L809" s="5" t="s">
        <v>1621</v>
      </c>
      <c r="M809" s="8">
        <v>290.7</v>
      </c>
      <c r="N809" s="5" t="s">
        <v>1536</v>
      </c>
      <c r="O809" s="7">
        <v>46066</v>
      </c>
    </row>
    <row r="810" spans="1:15" x14ac:dyDescent="0.25">
      <c r="A810" s="5" t="s">
        <v>4</v>
      </c>
      <c r="B810" s="5" t="s">
        <v>3777</v>
      </c>
      <c r="D810" s="5" t="s">
        <v>803</v>
      </c>
      <c r="E810" s="5" t="s">
        <v>3778</v>
      </c>
      <c r="F810" s="5" t="s">
        <v>1548</v>
      </c>
      <c r="G810" s="6">
        <v>46027.370833333334</v>
      </c>
      <c r="H810" s="7">
        <v>46038</v>
      </c>
      <c r="I810" s="6">
        <v>46030.709027777775</v>
      </c>
      <c r="J810" s="7">
        <v>46041</v>
      </c>
      <c r="K810" s="5" t="s">
        <v>1527</v>
      </c>
      <c r="L810" s="5" t="s">
        <v>1564</v>
      </c>
      <c r="M810" s="8">
        <v>290</v>
      </c>
      <c r="N810" s="5" t="s">
        <v>1536</v>
      </c>
      <c r="O810" s="7">
        <v>46041</v>
      </c>
    </row>
    <row r="811" spans="1:15" x14ac:dyDescent="0.25">
      <c r="A811" s="5" t="s">
        <v>4</v>
      </c>
      <c r="B811" s="5" t="s">
        <v>3779</v>
      </c>
      <c r="D811" s="5" t="s">
        <v>124</v>
      </c>
      <c r="E811" s="5" t="s">
        <v>3780</v>
      </c>
      <c r="F811" s="5" t="s">
        <v>2740</v>
      </c>
      <c r="G811" s="6">
        <v>46106.42291666667</v>
      </c>
      <c r="H811" s="7">
        <v>46120</v>
      </c>
      <c r="I811" s="5" t="s">
        <v>3754</v>
      </c>
      <c r="J811" s="7">
        <v>46121</v>
      </c>
      <c r="K811" s="5" t="s">
        <v>1527</v>
      </c>
      <c r="L811" s="5" t="s">
        <v>1564</v>
      </c>
      <c r="M811" s="8">
        <v>290</v>
      </c>
      <c r="N811" s="5" t="s">
        <v>1536</v>
      </c>
      <c r="O811" s="7">
        <v>46121</v>
      </c>
    </row>
    <row r="812" spans="1:15" x14ac:dyDescent="0.25">
      <c r="A812" s="5" t="s">
        <v>4</v>
      </c>
      <c r="B812" s="5" t="s">
        <v>3781</v>
      </c>
      <c r="D812" s="5" t="s">
        <v>555</v>
      </c>
      <c r="E812" s="5" t="s">
        <v>3782</v>
      </c>
      <c r="F812" s="5" t="s">
        <v>2875</v>
      </c>
      <c r="G812" s="6">
        <v>46051.477083333331</v>
      </c>
      <c r="H812" s="7">
        <v>46062</v>
      </c>
      <c r="I812" s="5" t="s">
        <v>3563</v>
      </c>
      <c r="J812" s="7">
        <v>46066</v>
      </c>
      <c r="K812" s="5" t="s">
        <v>1527</v>
      </c>
      <c r="L812" s="5" t="s">
        <v>1535</v>
      </c>
      <c r="M812" s="8">
        <v>288</v>
      </c>
      <c r="N812" s="5" t="s">
        <v>1536</v>
      </c>
      <c r="O812" s="7">
        <v>46066</v>
      </c>
    </row>
    <row r="813" spans="1:15" x14ac:dyDescent="0.25">
      <c r="A813" s="5" t="s">
        <v>4</v>
      </c>
      <c r="B813" s="5" t="s">
        <v>3783</v>
      </c>
      <c r="D813" s="5" t="s">
        <v>139</v>
      </c>
      <c r="E813" s="5" t="s">
        <v>3784</v>
      </c>
      <c r="F813" s="5" t="s">
        <v>1770</v>
      </c>
      <c r="G813" s="6">
        <v>46091.504166666666</v>
      </c>
      <c r="H813" s="7">
        <v>46104</v>
      </c>
      <c r="I813" s="5" t="s">
        <v>3785</v>
      </c>
      <c r="J813" s="7">
        <v>46106</v>
      </c>
      <c r="K813" s="5" t="s">
        <v>1527</v>
      </c>
      <c r="L813" s="5" t="s">
        <v>1564</v>
      </c>
      <c r="M813" s="8">
        <v>287.5</v>
      </c>
      <c r="N813" s="5" t="s">
        <v>1536</v>
      </c>
      <c r="O813" s="7">
        <v>46106</v>
      </c>
    </row>
    <row r="814" spans="1:15" x14ac:dyDescent="0.25">
      <c r="A814" s="5" t="s">
        <v>4</v>
      </c>
      <c r="B814" s="5" t="s">
        <v>3786</v>
      </c>
      <c r="D814" s="5" t="s">
        <v>1501</v>
      </c>
      <c r="E814" s="5" t="s">
        <v>2884</v>
      </c>
      <c r="F814" s="5" t="s">
        <v>1570</v>
      </c>
      <c r="G814" s="6">
        <v>46027.411805555559</v>
      </c>
      <c r="H814" s="7">
        <v>46036</v>
      </c>
      <c r="I814" s="6">
        <v>46035.730555555558</v>
      </c>
      <c r="J814" s="7">
        <v>46035</v>
      </c>
      <c r="K814" s="5" t="s">
        <v>1527</v>
      </c>
      <c r="L814" s="5" t="s">
        <v>1535</v>
      </c>
      <c r="M814" s="8">
        <v>286.5</v>
      </c>
      <c r="N814" s="5" t="s">
        <v>1536</v>
      </c>
      <c r="O814" s="7">
        <v>46035</v>
      </c>
    </row>
    <row r="815" spans="1:15" x14ac:dyDescent="0.25">
      <c r="A815" s="5" t="s">
        <v>4</v>
      </c>
      <c r="B815" s="5" t="s">
        <v>3787</v>
      </c>
      <c r="D815" s="5" t="s">
        <v>1430</v>
      </c>
      <c r="E815" s="5" t="s">
        <v>2676</v>
      </c>
      <c r="F815" s="5" t="s">
        <v>2118</v>
      </c>
      <c r="G815" s="6">
        <v>46093.337500000001</v>
      </c>
      <c r="H815" s="7">
        <v>46106</v>
      </c>
      <c r="I815" s="6">
        <v>46104.431250000001</v>
      </c>
      <c r="J815" s="7">
        <v>46100</v>
      </c>
      <c r="K815" s="5" t="s">
        <v>1527</v>
      </c>
      <c r="L815" s="5" t="s">
        <v>1564</v>
      </c>
      <c r="M815" s="8">
        <v>286.39999999999998</v>
      </c>
      <c r="N815" s="5" t="s">
        <v>1536</v>
      </c>
      <c r="O815" s="7">
        <v>46100</v>
      </c>
    </row>
    <row r="816" spans="1:15" hidden="1" x14ac:dyDescent="0.25">
      <c r="A816" s="5" t="s">
        <v>1522</v>
      </c>
      <c r="B816" s="5" t="s">
        <v>3788</v>
      </c>
      <c r="D816" s="5" t="s">
        <v>1510</v>
      </c>
      <c r="E816" s="5" t="s">
        <v>2466</v>
      </c>
      <c r="F816" s="5" t="s">
        <v>3434</v>
      </c>
      <c r="G816" s="6">
        <v>46141.715277777781</v>
      </c>
      <c r="H816" s="7">
        <v>46156</v>
      </c>
      <c r="I816" s="5" t="s">
        <v>3789</v>
      </c>
      <c r="J816" s="7">
        <v>46174</v>
      </c>
      <c r="K816" s="5" t="s">
        <v>1527</v>
      </c>
      <c r="L816" s="5" t="s">
        <v>1621</v>
      </c>
      <c r="M816" s="8">
        <v>285</v>
      </c>
      <c r="N816" s="5" t="s">
        <v>1529</v>
      </c>
      <c r="O816" s="7">
        <v>46174</v>
      </c>
    </row>
    <row r="817" spans="1:15" x14ac:dyDescent="0.25">
      <c r="A817" s="5" t="s">
        <v>4</v>
      </c>
      <c r="B817" s="5" t="s">
        <v>3790</v>
      </c>
      <c r="D817" s="5" t="s">
        <v>1340</v>
      </c>
      <c r="E817" s="5" t="s">
        <v>3791</v>
      </c>
      <c r="F817" s="5" t="s">
        <v>1548</v>
      </c>
      <c r="G817" s="6">
        <v>46038.40347222222</v>
      </c>
      <c r="H817" s="7">
        <v>46059</v>
      </c>
      <c r="I817" s="5" t="s">
        <v>3792</v>
      </c>
      <c r="J817" s="7">
        <v>46064</v>
      </c>
      <c r="K817" s="5" t="s">
        <v>1527</v>
      </c>
      <c r="L817" s="5" t="s">
        <v>1564</v>
      </c>
      <c r="M817" s="9">
        <v>285</v>
      </c>
      <c r="N817" s="5" t="s">
        <v>1536</v>
      </c>
      <c r="O817" s="7">
        <v>46064</v>
      </c>
    </row>
    <row r="818" spans="1:15" x14ac:dyDescent="0.25">
      <c r="A818" s="5" t="s">
        <v>4</v>
      </c>
      <c r="B818" s="5" t="s">
        <v>3793</v>
      </c>
      <c r="D818" s="5" t="s">
        <v>130</v>
      </c>
      <c r="E818" s="5" t="s">
        <v>3794</v>
      </c>
      <c r="F818" s="5" t="s">
        <v>1548</v>
      </c>
      <c r="G818" s="6">
        <v>46041.548611111109</v>
      </c>
      <c r="H818" s="7">
        <v>46052</v>
      </c>
      <c r="I818" s="6">
        <v>46049.743055555555</v>
      </c>
      <c r="J818" s="7">
        <v>46049</v>
      </c>
      <c r="K818" s="5" t="s">
        <v>1527</v>
      </c>
      <c r="L818" s="5" t="s">
        <v>1564</v>
      </c>
      <c r="M818" s="8">
        <v>285</v>
      </c>
      <c r="N818" s="5" t="s">
        <v>1536</v>
      </c>
      <c r="O818" s="7">
        <v>46049</v>
      </c>
    </row>
    <row r="819" spans="1:15" x14ac:dyDescent="0.25">
      <c r="A819" s="5" t="s">
        <v>4</v>
      </c>
      <c r="B819" s="5" t="s">
        <v>3795</v>
      </c>
      <c r="D819" s="5" t="s">
        <v>1458</v>
      </c>
      <c r="E819" s="5" t="s">
        <v>3610</v>
      </c>
      <c r="F819" s="5" t="s">
        <v>1548</v>
      </c>
      <c r="G819" s="6">
        <v>46045.415277777778</v>
      </c>
      <c r="H819" s="7">
        <v>46058</v>
      </c>
      <c r="I819" s="5" t="s">
        <v>3796</v>
      </c>
      <c r="J819" s="7">
        <v>46063</v>
      </c>
      <c r="K819" s="5" t="s">
        <v>1527</v>
      </c>
      <c r="L819" s="5" t="s">
        <v>1564</v>
      </c>
      <c r="M819" s="8">
        <v>285</v>
      </c>
      <c r="N819" s="5" t="s">
        <v>1536</v>
      </c>
      <c r="O819" s="7">
        <v>46063</v>
      </c>
    </row>
    <row r="820" spans="1:15" x14ac:dyDescent="0.25">
      <c r="A820" s="5" t="s">
        <v>4</v>
      </c>
      <c r="B820" s="5" t="s">
        <v>3797</v>
      </c>
      <c r="D820" s="5" t="s">
        <v>922</v>
      </c>
      <c r="E820" s="5" t="s">
        <v>3798</v>
      </c>
      <c r="F820" s="5" t="s">
        <v>1738</v>
      </c>
      <c r="G820" s="6">
        <v>46162.45416666667</v>
      </c>
      <c r="H820" s="7">
        <v>46175</v>
      </c>
      <c r="I820" s="6">
        <v>46171.627083333333</v>
      </c>
      <c r="J820" s="7">
        <v>46171</v>
      </c>
      <c r="K820" s="5" t="s">
        <v>1527</v>
      </c>
      <c r="L820" s="5" t="s">
        <v>1564</v>
      </c>
      <c r="M820" s="8">
        <v>285</v>
      </c>
      <c r="N820" s="5" t="s">
        <v>1536</v>
      </c>
      <c r="O820" s="7">
        <v>46171</v>
      </c>
    </row>
    <row r="821" spans="1:15" x14ac:dyDescent="0.25">
      <c r="A821" s="5" t="s">
        <v>4</v>
      </c>
      <c r="B821" s="5" t="s">
        <v>3799</v>
      </c>
      <c r="D821" s="5" t="s">
        <v>1349</v>
      </c>
      <c r="E821" s="5" t="s">
        <v>3800</v>
      </c>
      <c r="F821" s="5" t="s">
        <v>3801</v>
      </c>
      <c r="G821" s="6">
        <v>46114.695138888892</v>
      </c>
      <c r="H821" s="7">
        <v>46121</v>
      </c>
      <c r="I821" s="5" t="s">
        <v>2171</v>
      </c>
      <c r="J821" s="7">
        <v>46120</v>
      </c>
      <c r="K821" s="5" t="s">
        <v>1527</v>
      </c>
      <c r="L821" s="5" t="s">
        <v>1621</v>
      </c>
      <c r="M821" s="8">
        <v>284.7</v>
      </c>
      <c r="N821" s="5" t="s">
        <v>1536</v>
      </c>
      <c r="O821" s="7">
        <v>46120</v>
      </c>
    </row>
    <row r="822" spans="1:15" x14ac:dyDescent="0.25">
      <c r="A822" s="5" t="s">
        <v>4</v>
      </c>
      <c r="B822" s="5" t="s">
        <v>3802</v>
      </c>
      <c r="D822" s="5" t="s">
        <v>1474</v>
      </c>
      <c r="E822" s="5" t="s">
        <v>3803</v>
      </c>
      <c r="F822" s="5" t="s">
        <v>3804</v>
      </c>
      <c r="G822" s="6">
        <v>46162.711111111108</v>
      </c>
      <c r="H822" s="7">
        <v>46171</v>
      </c>
      <c r="I822" s="6">
        <v>46171.623611111114</v>
      </c>
      <c r="J822" s="7">
        <v>46170</v>
      </c>
      <c r="K822" s="5" t="s">
        <v>1527</v>
      </c>
      <c r="L822" s="5" t="s">
        <v>1535</v>
      </c>
      <c r="M822" s="8">
        <v>284.60000000000002</v>
      </c>
      <c r="N822" s="5" t="s">
        <v>1529</v>
      </c>
      <c r="O822" s="7">
        <v>46170</v>
      </c>
    </row>
    <row r="823" spans="1:15" x14ac:dyDescent="0.25">
      <c r="A823" s="5" t="s">
        <v>4</v>
      </c>
      <c r="B823" s="5" t="s">
        <v>3805</v>
      </c>
      <c r="D823" s="5" t="s">
        <v>693</v>
      </c>
      <c r="E823" s="5" t="s">
        <v>3806</v>
      </c>
      <c r="F823" s="5" t="s">
        <v>3807</v>
      </c>
      <c r="G823" s="6">
        <v>46168.720138888886</v>
      </c>
      <c r="H823" s="7">
        <v>46175</v>
      </c>
      <c r="I823" s="5" t="s">
        <v>3808</v>
      </c>
      <c r="J823" s="7">
        <v>46182</v>
      </c>
      <c r="K823" s="5" t="s">
        <v>1527</v>
      </c>
      <c r="L823" s="5" t="s">
        <v>1621</v>
      </c>
      <c r="M823" s="8">
        <v>284.48</v>
      </c>
      <c r="N823" s="5" t="s">
        <v>1536</v>
      </c>
      <c r="O823" s="7">
        <v>46182</v>
      </c>
    </row>
    <row r="824" spans="1:15" x14ac:dyDescent="0.25">
      <c r="A824" s="5" t="s">
        <v>4</v>
      </c>
      <c r="B824" s="5" t="s">
        <v>3809</v>
      </c>
      <c r="D824" s="5" t="s">
        <v>87</v>
      </c>
      <c r="E824" s="5" t="s">
        <v>3810</v>
      </c>
      <c r="F824" s="5" t="s">
        <v>3035</v>
      </c>
      <c r="G824" s="6">
        <v>46104.7</v>
      </c>
      <c r="H824" s="7">
        <v>46118</v>
      </c>
      <c r="I824" s="6">
        <v>46114.597916666666</v>
      </c>
      <c r="J824" s="7">
        <v>46114</v>
      </c>
      <c r="K824" s="5" t="s">
        <v>1527</v>
      </c>
      <c r="L824" s="5" t="s">
        <v>1564</v>
      </c>
      <c r="M824" s="8">
        <v>284.39999999999998</v>
      </c>
      <c r="N824" s="5" t="s">
        <v>1536</v>
      </c>
      <c r="O824" s="7">
        <v>46114</v>
      </c>
    </row>
    <row r="825" spans="1:15" x14ac:dyDescent="0.25">
      <c r="A825" s="5" t="s">
        <v>4</v>
      </c>
      <c r="B825" s="5" t="s">
        <v>3811</v>
      </c>
      <c r="D825" s="5" t="s">
        <v>1473</v>
      </c>
      <c r="E825" s="5" t="s">
        <v>2236</v>
      </c>
      <c r="F825" s="5" t="s">
        <v>1532</v>
      </c>
      <c r="G825" s="6">
        <v>46155.592361111114</v>
      </c>
      <c r="H825" s="7">
        <v>46164</v>
      </c>
      <c r="I825" s="6">
        <v>46162.435416666667</v>
      </c>
      <c r="J825" s="7">
        <v>46162</v>
      </c>
      <c r="K825" s="5" t="s">
        <v>1527</v>
      </c>
      <c r="L825" s="5" t="s">
        <v>1535</v>
      </c>
      <c r="M825" s="8">
        <v>283.8</v>
      </c>
      <c r="N825" s="5" t="s">
        <v>1536</v>
      </c>
      <c r="O825" s="7">
        <v>46162</v>
      </c>
    </row>
    <row r="826" spans="1:15" hidden="1" x14ac:dyDescent="0.25">
      <c r="A826" s="5" t="s">
        <v>1522</v>
      </c>
      <c r="B826" s="5" t="s">
        <v>3812</v>
      </c>
      <c r="D826" s="5" t="s">
        <v>1493</v>
      </c>
      <c r="E826" s="5" t="s">
        <v>3338</v>
      </c>
      <c r="F826" s="5" t="s">
        <v>1548</v>
      </c>
      <c r="G826" s="6">
        <v>46036.694444444445</v>
      </c>
      <c r="H826" s="7">
        <v>46050</v>
      </c>
      <c r="I826" s="5" t="s">
        <v>3813</v>
      </c>
      <c r="J826" s="7">
        <v>46052</v>
      </c>
      <c r="K826" s="5" t="s">
        <v>1527</v>
      </c>
      <c r="L826" s="5" t="s">
        <v>1528</v>
      </c>
      <c r="M826" s="8">
        <v>282.5</v>
      </c>
      <c r="N826" s="5" t="s">
        <v>1536</v>
      </c>
      <c r="O826" s="7">
        <v>46052</v>
      </c>
    </row>
    <row r="827" spans="1:15" x14ac:dyDescent="0.25">
      <c r="A827" s="5" t="s">
        <v>4</v>
      </c>
      <c r="B827" s="5" t="s">
        <v>3814</v>
      </c>
      <c r="D827" s="5" t="s">
        <v>1224</v>
      </c>
      <c r="E827" s="5" t="s">
        <v>3815</v>
      </c>
      <c r="F827" s="5" t="s">
        <v>3816</v>
      </c>
      <c r="G827" s="6">
        <v>46029.680555555555</v>
      </c>
      <c r="H827" s="7">
        <v>46036</v>
      </c>
      <c r="I827" s="6">
        <v>46031.615972222222</v>
      </c>
      <c r="J827" s="7">
        <v>46031</v>
      </c>
      <c r="K827" s="5" t="s">
        <v>1527</v>
      </c>
      <c r="L827" s="5" t="s">
        <v>1621</v>
      </c>
      <c r="M827" s="8">
        <v>282.01</v>
      </c>
      <c r="N827" s="5" t="s">
        <v>1536</v>
      </c>
      <c r="O827" s="7">
        <v>46031</v>
      </c>
    </row>
    <row r="828" spans="1:15" x14ac:dyDescent="0.25">
      <c r="A828" s="5" t="s">
        <v>4</v>
      </c>
      <c r="B828" s="5" t="s">
        <v>3817</v>
      </c>
      <c r="D828" s="5" t="s">
        <v>819</v>
      </c>
      <c r="E828" s="5" t="s">
        <v>3818</v>
      </c>
      <c r="F828" s="5" t="s">
        <v>1548</v>
      </c>
      <c r="G828" s="6">
        <v>46038.7</v>
      </c>
      <c r="H828" s="7">
        <v>46051</v>
      </c>
      <c r="I828" s="6">
        <v>46048.672222222223</v>
      </c>
      <c r="J828" s="7">
        <v>46048</v>
      </c>
      <c r="K828" s="5" t="s">
        <v>1527</v>
      </c>
      <c r="L828" s="5" t="s">
        <v>1564</v>
      </c>
      <c r="M828" s="8">
        <v>282</v>
      </c>
      <c r="N828" s="5" t="s">
        <v>1536</v>
      </c>
      <c r="O828" s="7">
        <v>46048</v>
      </c>
    </row>
    <row r="829" spans="1:15" x14ac:dyDescent="0.25">
      <c r="A829" s="5" t="s">
        <v>4</v>
      </c>
      <c r="B829" s="5" t="s">
        <v>3819</v>
      </c>
      <c r="D829" s="5" t="s">
        <v>1442</v>
      </c>
      <c r="E829" s="5" t="s">
        <v>2084</v>
      </c>
      <c r="F829" s="5" t="s">
        <v>1532</v>
      </c>
      <c r="G829" s="6">
        <v>46157.609722222223</v>
      </c>
      <c r="H829" s="7">
        <v>46168</v>
      </c>
      <c r="I829" s="5" t="s">
        <v>3820</v>
      </c>
      <c r="J829" s="7">
        <v>46176</v>
      </c>
      <c r="K829" s="5" t="s">
        <v>1527</v>
      </c>
      <c r="L829" s="5" t="s">
        <v>1535</v>
      </c>
      <c r="M829" s="8">
        <v>281.60000000000002</v>
      </c>
      <c r="N829" s="5" t="s">
        <v>1529</v>
      </c>
      <c r="O829" s="7">
        <v>46176</v>
      </c>
    </row>
    <row r="830" spans="1:15" x14ac:dyDescent="0.25">
      <c r="A830" s="5" t="s">
        <v>4</v>
      </c>
      <c r="B830" s="5" t="s">
        <v>3821</v>
      </c>
      <c r="D830" s="5" t="s">
        <v>72</v>
      </c>
      <c r="E830" s="5" t="s">
        <v>3822</v>
      </c>
      <c r="F830" s="5" t="s">
        <v>3823</v>
      </c>
      <c r="G830" s="6">
        <v>46120.748611111114</v>
      </c>
      <c r="H830" s="7">
        <v>46127</v>
      </c>
      <c r="I830" s="6">
        <v>46126.634722222225</v>
      </c>
      <c r="J830" s="7">
        <v>46125</v>
      </c>
      <c r="K830" s="5" t="s">
        <v>1527</v>
      </c>
      <c r="L830" s="5" t="s">
        <v>1564</v>
      </c>
      <c r="M830" s="9">
        <v>281.49</v>
      </c>
      <c r="N830" s="5" t="s">
        <v>1536</v>
      </c>
      <c r="O830" s="7">
        <v>46125</v>
      </c>
    </row>
    <row r="831" spans="1:15" x14ac:dyDescent="0.25">
      <c r="A831" s="5" t="s">
        <v>4</v>
      </c>
      <c r="B831" s="5" t="s">
        <v>3824</v>
      </c>
      <c r="D831" s="5" t="s">
        <v>797</v>
      </c>
      <c r="E831" s="5" t="s">
        <v>3825</v>
      </c>
      <c r="F831" s="5" t="s">
        <v>1532</v>
      </c>
      <c r="G831" s="6">
        <v>46153.625</v>
      </c>
      <c r="H831" s="7">
        <v>46162</v>
      </c>
      <c r="I831" s="5" t="s">
        <v>3826</v>
      </c>
      <c r="J831" s="7">
        <v>46163</v>
      </c>
      <c r="K831" s="5" t="s">
        <v>1527</v>
      </c>
      <c r="L831" s="5" t="s">
        <v>1535</v>
      </c>
      <c r="M831" s="8">
        <v>281.2</v>
      </c>
      <c r="N831" s="5" t="s">
        <v>1536</v>
      </c>
      <c r="O831" s="7">
        <v>46163</v>
      </c>
    </row>
    <row r="832" spans="1:15" hidden="1" x14ac:dyDescent="0.25">
      <c r="A832" s="5" t="s">
        <v>1522</v>
      </c>
      <c r="B832" s="5" t="s">
        <v>3827</v>
      </c>
      <c r="D832" s="5" t="s">
        <v>1493</v>
      </c>
      <c r="E832" s="5" t="s">
        <v>2375</v>
      </c>
      <c r="F832" s="5" t="s">
        <v>3828</v>
      </c>
      <c r="G832" s="6">
        <v>46071.615277777775</v>
      </c>
      <c r="H832" s="7">
        <v>46078</v>
      </c>
      <c r="I832" s="6">
        <v>46078.387499999997</v>
      </c>
      <c r="J832" s="7">
        <v>46078</v>
      </c>
      <c r="K832" s="5" t="s">
        <v>1527</v>
      </c>
      <c r="L832" s="5" t="s">
        <v>1528</v>
      </c>
      <c r="M832" s="8">
        <v>280</v>
      </c>
      <c r="N832" s="5" t="s">
        <v>1536</v>
      </c>
      <c r="O832" s="7">
        <v>46078</v>
      </c>
    </row>
    <row r="833" spans="1:15" x14ac:dyDescent="0.25">
      <c r="A833" s="5" t="s">
        <v>4</v>
      </c>
      <c r="B833" s="5" t="s">
        <v>3829</v>
      </c>
      <c r="D833" s="5" t="s">
        <v>1117</v>
      </c>
      <c r="E833" s="5" t="s">
        <v>3830</v>
      </c>
      <c r="F833" s="5" t="s">
        <v>1738</v>
      </c>
      <c r="G833" s="6">
        <v>46063.340277777781</v>
      </c>
      <c r="H833" s="7">
        <v>46076</v>
      </c>
      <c r="I833" s="6">
        <v>46071.616666666669</v>
      </c>
      <c r="J833" s="7">
        <v>46071</v>
      </c>
      <c r="K833" s="5" t="s">
        <v>1527</v>
      </c>
      <c r="L833" s="5" t="s">
        <v>1564</v>
      </c>
      <c r="M833" s="8">
        <v>280</v>
      </c>
      <c r="N833" s="5" t="s">
        <v>1536</v>
      </c>
      <c r="O833" s="7">
        <v>46071</v>
      </c>
    </row>
    <row r="834" spans="1:15" x14ac:dyDescent="0.25">
      <c r="A834" s="5" t="s">
        <v>4</v>
      </c>
      <c r="B834" s="5" t="s">
        <v>3831</v>
      </c>
      <c r="D834" s="5" t="s">
        <v>1279</v>
      </c>
      <c r="E834" s="5" t="s">
        <v>3832</v>
      </c>
      <c r="F834" s="5" t="s">
        <v>1738</v>
      </c>
      <c r="G834" s="6">
        <v>46091.672222222223</v>
      </c>
      <c r="H834" s="7">
        <v>46104</v>
      </c>
      <c r="I834" s="6">
        <v>46104.684027777781</v>
      </c>
      <c r="J834" s="7">
        <v>46104</v>
      </c>
      <c r="K834" s="5" t="s">
        <v>1527</v>
      </c>
      <c r="L834" s="5" t="s">
        <v>1564</v>
      </c>
      <c r="M834" s="8">
        <v>280</v>
      </c>
      <c r="N834" s="5" t="s">
        <v>1536</v>
      </c>
      <c r="O834" s="7">
        <v>46104</v>
      </c>
    </row>
    <row r="835" spans="1:15" x14ac:dyDescent="0.25">
      <c r="A835" s="5" t="s">
        <v>4</v>
      </c>
      <c r="B835" s="5" t="s">
        <v>3833</v>
      </c>
      <c r="D835" s="5" t="s">
        <v>99</v>
      </c>
      <c r="E835" s="5" t="s">
        <v>3834</v>
      </c>
      <c r="F835" s="5" t="s">
        <v>1759</v>
      </c>
      <c r="G835" s="6">
        <v>46111.37222222222</v>
      </c>
      <c r="H835" s="7">
        <v>46125</v>
      </c>
      <c r="I835" s="5" t="s">
        <v>3835</v>
      </c>
      <c r="J835" s="7">
        <v>46122</v>
      </c>
      <c r="K835" s="5" t="s">
        <v>1527</v>
      </c>
      <c r="L835" s="5" t="s">
        <v>1564</v>
      </c>
      <c r="M835" s="8">
        <v>280</v>
      </c>
      <c r="N835" s="5" t="s">
        <v>1536</v>
      </c>
      <c r="O835" s="7">
        <v>46122</v>
      </c>
    </row>
    <row r="836" spans="1:15" x14ac:dyDescent="0.25">
      <c r="A836" s="5" t="s">
        <v>4</v>
      </c>
      <c r="B836" s="5" t="s">
        <v>3836</v>
      </c>
      <c r="D836" s="5" t="s">
        <v>533</v>
      </c>
      <c r="E836" s="5" t="s">
        <v>3837</v>
      </c>
      <c r="F836" s="5" t="s">
        <v>2306</v>
      </c>
      <c r="G836" s="6">
        <v>46140.488194444442</v>
      </c>
      <c r="H836" s="7">
        <v>46154</v>
      </c>
      <c r="I836" s="6">
        <v>46148.599305555559</v>
      </c>
      <c r="J836" s="7">
        <v>46148</v>
      </c>
      <c r="K836" s="5" t="s">
        <v>1527</v>
      </c>
      <c r="L836" s="5" t="s">
        <v>1564</v>
      </c>
      <c r="M836" s="8">
        <v>280</v>
      </c>
      <c r="N836" s="5" t="s">
        <v>1536</v>
      </c>
      <c r="O836" s="7">
        <v>46148</v>
      </c>
    </row>
    <row r="837" spans="1:15" x14ac:dyDescent="0.25">
      <c r="A837" s="5" t="s">
        <v>4</v>
      </c>
      <c r="B837" s="5" t="s">
        <v>3838</v>
      </c>
      <c r="D837" s="5" t="s">
        <v>422</v>
      </c>
      <c r="E837" s="5" t="s">
        <v>3839</v>
      </c>
      <c r="F837" s="5" t="s">
        <v>3840</v>
      </c>
      <c r="G837" s="6">
        <v>46071.700694444444</v>
      </c>
      <c r="H837" s="7">
        <v>46079</v>
      </c>
      <c r="I837" s="5" t="s">
        <v>3841</v>
      </c>
      <c r="J837" s="7">
        <v>46083</v>
      </c>
      <c r="K837" s="5" t="s">
        <v>1527</v>
      </c>
      <c r="L837" s="5" t="s">
        <v>1621</v>
      </c>
      <c r="M837" s="8">
        <v>279.89999999999998</v>
      </c>
      <c r="N837" s="5" t="s">
        <v>1536</v>
      </c>
      <c r="O837" s="7">
        <v>46083</v>
      </c>
    </row>
    <row r="838" spans="1:15" x14ac:dyDescent="0.25">
      <c r="A838" s="5" t="s">
        <v>4</v>
      </c>
      <c r="B838" s="5" t="s">
        <v>3842</v>
      </c>
      <c r="D838" s="5" t="s">
        <v>1316</v>
      </c>
      <c r="E838" s="5" t="s">
        <v>3843</v>
      </c>
      <c r="F838" s="5" t="s">
        <v>3844</v>
      </c>
      <c r="G838" s="6">
        <v>46169.696527777778</v>
      </c>
      <c r="H838" s="7">
        <v>46170</v>
      </c>
      <c r="I838" s="5" t="s">
        <v>3845</v>
      </c>
      <c r="J838" s="7">
        <v>46170</v>
      </c>
      <c r="K838" s="5" t="s">
        <v>1527</v>
      </c>
      <c r="L838" s="5" t="s">
        <v>1564</v>
      </c>
      <c r="M838" s="8">
        <v>279.8</v>
      </c>
      <c r="N838" s="5" t="s">
        <v>1536</v>
      </c>
      <c r="O838" s="7">
        <v>46170</v>
      </c>
    </row>
    <row r="839" spans="1:15" x14ac:dyDescent="0.25">
      <c r="A839" s="5" t="s">
        <v>4</v>
      </c>
      <c r="B839" s="5" t="s">
        <v>3846</v>
      </c>
      <c r="D839" s="5" t="s">
        <v>147</v>
      </c>
      <c r="E839" s="5" t="s">
        <v>3847</v>
      </c>
      <c r="F839" s="5" t="s">
        <v>3035</v>
      </c>
      <c r="G839" s="6">
        <v>46106.720138888886</v>
      </c>
      <c r="H839" s="7">
        <v>46120</v>
      </c>
      <c r="I839" s="5" t="s">
        <v>3249</v>
      </c>
      <c r="J839" s="7">
        <v>46121</v>
      </c>
      <c r="K839" s="5" t="s">
        <v>1527</v>
      </c>
      <c r="L839" s="5" t="s">
        <v>1564</v>
      </c>
      <c r="M839" s="8">
        <v>279.3</v>
      </c>
      <c r="N839" s="5" t="s">
        <v>1536</v>
      </c>
      <c r="O839" s="7">
        <v>46121</v>
      </c>
    </row>
    <row r="840" spans="1:15" x14ac:dyDescent="0.25">
      <c r="A840" s="5" t="s">
        <v>4</v>
      </c>
      <c r="B840" s="5" t="s">
        <v>3848</v>
      </c>
      <c r="D840" s="5" t="s">
        <v>1453</v>
      </c>
      <c r="E840" s="5" t="s">
        <v>3849</v>
      </c>
      <c r="F840" s="5" t="s">
        <v>3850</v>
      </c>
      <c r="G840" s="6">
        <v>46043.652083333334</v>
      </c>
      <c r="H840" s="7">
        <v>46050</v>
      </c>
      <c r="I840" s="5" t="s">
        <v>3851</v>
      </c>
      <c r="J840" s="7">
        <v>46050</v>
      </c>
      <c r="K840" s="5" t="s">
        <v>1527</v>
      </c>
      <c r="L840" s="5" t="s">
        <v>1621</v>
      </c>
      <c r="M840" s="8">
        <v>278.5</v>
      </c>
      <c r="N840" s="5" t="s">
        <v>1536</v>
      </c>
      <c r="O840" s="7">
        <v>46050</v>
      </c>
    </row>
    <row r="841" spans="1:15" x14ac:dyDescent="0.25">
      <c r="A841" s="5" t="s">
        <v>4</v>
      </c>
      <c r="B841" s="5" t="s">
        <v>3852</v>
      </c>
      <c r="D841" s="5" t="s">
        <v>401</v>
      </c>
      <c r="E841" s="5" t="s">
        <v>3853</v>
      </c>
      <c r="F841" s="5" t="s">
        <v>3854</v>
      </c>
      <c r="G841" s="6">
        <v>46135.67291666667</v>
      </c>
      <c r="H841" s="7">
        <v>46142</v>
      </c>
      <c r="I841" s="6">
        <v>46141.345833333333</v>
      </c>
      <c r="J841" s="7">
        <v>46140</v>
      </c>
      <c r="K841" s="5" t="s">
        <v>1527</v>
      </c>
      <c r="L841" s="5" t="s">
        <v>1621</v>
      </c>
      <c r="M841" s="8">
        <v>278</v>
      </c>
      <c r="N841" s="5" t="s">
        <v>1536</v>
      </c>
      <c r="O841" s="7">
        <v>46140</v>
      </c>
    </row>
    <row r="842" spans="1:15" x14ac:dyDescent="0.25">
      <c r="A842" s="5" t="s">
        <v>4</v>
      </c>
      <c r="B842" s="5" t="s">
        <v>3855</v>
      </c>
      <c r="D842" s="5" t="s">
        <v>423</v>
      </c>
      <c r="E842" s="5" t="s">
        <v>3856</v>
      </c>
      <c r="F842" s="5" t="s">
        <v>1532</v>
      </c>
      <c r="G842" s="6">
        <v>46142.367361111108</v>
      </c>
      <c r="H842" s="7">
        <v>46155</v>
      </c>
      <c r="I842" s="6">
        <v>46150.602083333331</v>
      </c>
      <c r="J842" s="7">
        <v>46150</v>
      </c>
      <c r="K842" s="5" t="s">
        <v>1527</v>
      </c>
      <c r="L842" s="5" t="s">
        <v>1535</v>
      </c>
      <c r="M842" s="8">
        <v>278</v>
      </c>
      <c r="N842" s="5" t="s">
        <v>1536</v>
      </c>
      <c r="O842" s="7">
        <v>46150</v>
      </c>
    </row>
    <row r="843" spans="1:15" x14ac:dyDescent="0.25">
      <c r="A843" s="5" t="s">
        <v>4</v>
      </c>
      <c r="B843" s="5" t="s">
        <v>3857</v>
      </c>
      <c r="D843" s="5" t="s">
        <v>845</v>
      </c>
      <c r="E843" s="5" t="s">
        <v>3858</v>
      </c>
      <c r="F843" s="5" t="s">
        <v>1532</v>
      </c>
      <c r="G843" s="6">
        <v>46142.447222222225</v>
      </c>
      <c r="H843" s="7">
        <v>46191</v>
      </c>
      <c r="I843" s="5" t="s">
        <v>1533</v>
      </c>
      <c r="J843" s="5" t="s">
        <v>1533</v>
      </c>
      <c r="K843" s="5" t="s">
        <v>1540</v>
      </c>
      <c r="L843" s="5" t="s">
        <v>1535</v>
      </c>
      <c r="M843" s="8">
        <v>278</v>
      </c>
      <c r="N843" s="5" t="s">
        <v>1541</v>
      </c>
      <c r="O843" s="5" t="s">
        <v>1533</v>
      </c>
    </row>
    <row r="844" spans="1:15" x14ac:dyDescent="0.25">
      <c r="A844" s="5" t="s">
        <v>4</v>
      </c>
      <c r="B844" s="5" t="s">
        <v>3859</v>
      </c>
      <c r="D844" s="5" t="s">
        <v>333</v>
      </c>
      <c r="E844" s="5" t="s">
        <v>3860</v>
      </c>
      <c r="F844" s="5" t="s">
        <v>3861</v>
      </c>
      <c r="G844" s="6">
        <v>46093.429861111108</v>
      </c>
      <c r="H844" s="7">
        <v>46099</v>
      </c>
      <c r="I844" s="6">
        <v>46097.601388888892</v>
      </c>
      <c r="J844" s="7">
        <v>46097</v>
      </c>
      <c r="K844" s="5" t="s">
        <v>1527</v>
      </c>
      <c r="L844" s="5" t="s">
        <v>1621</v>
      </c>
      <c r="M844" s="8">
        <v>277.51</v>
      </c>
      <c r="N844" s="5" t="s">
        <v>1536</v>
      </c>
      <c r="O844" s="7">
        <v>46097</v>
      </c>
    </row>
    <row r="845" spans="1:15" x14ac:dyDescent="0.25">
      <c r="A845" s="5" t="s">
        <v>4</v>
      </c>
      <c r="B845" s="5" t="s">
        <v>3862</v>
      </c>
      <c r="D845" s="5" t="s">
        <v>1509</v>
      </c>
      <c r="E845" s="5" t="s">
        <v>3863</v>
      </c>
      <c r="F845" s="5" t="s">
        <v>3864</v>
      </c>
      <c r="G845" s="6">
        <v>46066.661805555559</v>
      </c>
      <c r="H845" s="7">
        <v>46080</v>
      </c>
      <c r="I845" s="5" t="s">
        <v>3865</v>
      </c>
      <c r="J845" s="7">
        <v>46085</v>
      </c>
      <c r="K845" s="5" t="s">
        <v>1527</v>
      </c>
      <c r="L845" s="5" t="s">
        <v>1535</v>
      </c>
      <c r="M845" s="8">
        <v>275.10000000000002</v>
      </c>
      <c r="N845" s="5" t="s">
        <v>1536</v>
      </c>
      <c r="O845" s="7">
        <v>46085</v>
      </c>
    </row>
    <row r="846" spans="1:15" hidden="1" x14ac:dyDescent="0.25">
      <c r="A846" s="5" t="s">
        <v>1522</v>
      </c>
      <c r="B846" s="5" t="s">
        <v>3866</v>
      </c>
      <c r="D846" s="5" t="s">
        <v>1502</v>
      </c>
      <c r="E846" s="5" t="s">
        <v>3867</v>
      </c>
      <c r="F846" s="5" t="s">
        <v>3868</v>
      </c>
      <c r="G846" s="6">
        <v>46087.411111111112</v>
      </c>
      <c r="H846" s="7">
        <v>46097</v>
      </c>
      <c r="I846" s="6">
        <v>46091.502083333333</v>
      </c>
      <c r="J846" s="7">
        <v>46091</v>
      </c>
      <c r="K846" s="5" t="s">
        <v>1527</v>
      </c>
      <c r="L846" s="5" t="s">
        <v>1528</v>
      </c>
      <c r="M846" s="8">
        <v>275</v>
      </c>
      <c r="N846" s="5" t="s">
        <v>1536</v>
      </c>
      <c r="O846" s="7">
        <v>46091</v>
      </c>
    </row>
    <row r="847" spans="1:15" x14ac:dyDescent="0.25">
      <c r="A847" s="5" t="s">
        <v>4</v>
      </c>
      <c r="B847" s="5" t="s">
        <v>3869</v>
      </c>
      <c r="D847" s="5" t="s">
        <v>206</v>
      </c>
      <c r="E847" s="5" t="s">
        <v>3870</v>
      </c>
      <c r="F847" s="5" t="s">
        <v>1548</v>
      </c>
      <c r="G847" s="6">
        <v>46045.705555555556</v>
      </c>
      <c r="H847" s="7">
        <v>46058</v>
      </c>
      <c r="I847" s="5" t="s">
        <v>3871</v>
      </c>
      <c r="J847" s="7">
        <v>46062</v>
      </c>
      <c r="K847" s="5" t="s">
        <v>1527</v>
      </c>
      <c r="L847" s="5" t="s">
        <v>1564</v>
      </c>
      <c r="M847" s="8">
        <v>275</v>
      </c>
      <c r="N847" s="5" t="s">
        <v>1536</v>
      </c>
      <c r="O847" s="7">
        <v>46062</v>
      </c>
    </row>
    <row r="848" spans="1:15" x14ac:dyDescent="0.25">
      <c r="A848" s="5" t="s">
        <v>4</v>
      </c>
      <c r="B848" s="5" t="s">
        <v>3872</v>
      </c>
      <c r="D848" s="5" t="s">
        <v>757</v>
      </c>
      <c r="E848" s="5" t="s">
        <v>3873</v>
      </c>
      <c r="F848" s="5" t="s">
        <v>2118</v>
      </c>
      <c r="G848" s="6">
        <v>46113.414583333331</v>
      </c>
      <c r="H848" s="7">
        <v>46127</v>
      </c>
      <c r="I848" s="6">
        <v>46126.636111111111</v>
      </c>
      <c r="J848" s="7">
        <v>46125</v>
      </c>
      <c r="K848" s="5" t="s">
        <v>1527</v>
      </c>
      <c r="L848" s="5" t="s">
        <v>1564</v>
      </c>
      <c r="M848" s="8">
        <v>275</v>
      </c>
      <c r="N848" s="5" t="s">
        <v>1536</v>
      </c>
      <c r="O848" s="7">
        <v>46125</v>
      </c>
    </row>
    <row r="849" spans="1:15" x14ac:dyDescent="0.25">
      <c r="A849" s="5" t="s">
        <v>4</v>
      </c>
      <c r="B849" s="5" t="s">
        <v>3874</v>
      </c>
      <c r="D849" s="5" t="s">
        <v>365</v>
      </c>
      <c r="E849" s="5" t="s">
        <v>3875</v>
      </c>
      <c r="F849" s="5" t="s">
        <v>1738</v>
      </c>
      <c r="G849" s="6">
        <v>46114.322222222225</v>
      </c>
      <c r="H849" s="7">
        <v>46128</v>
      </c>
      <c r="I849" s="6">
        <v>46126.636111111111</v>
      </c>
      <c r="J849" s="7">
        <v>46125</v>
      </c>
      <c r="K849" s="5" t="s">
        <v>1527</v>
      </c>
      <c r="L849" s="5" t="s">
        <v>1564</v>
      </c>
      <c r="M849" s="8">
        <v>275</v>
      </c>
      <c r="N849" s="5" t="s">
        <v>1536</v>
      </c>
      <c r="O849" s="7">
        <v>46125</v>
      </c>
    </row>
    <row r="850" spans="1:15" x14ac:dyDescent="0.25">
      <c r="A850" s="5" t="s">
        <v>4</v>
      </c>
      <c r="B850" s="5" t="s">
        <v>3876</v>
      </c>
      <c r="D850" s="5" t="s">
        <v>263</v>
      </c>
      <c r="E850" s="5" t="s">
        <v>3877</v>
      </c>
      <c r="F850" s="5" t="s">
        <v>3878</v>
      </c>
      <c r="G850" s="6">
        <v>46155.40902777778</v>
      </c>
      <c r="H850" s="7">
        <v>46169</v>
      </c>
      <c r="I850" s="5" t="s">
        <v>2063</v>
      </c>
      <c r="J850" s="7">
        <v>46178</v>
      </c>
      <c r="K850" s="5" t="s">
        <v>1527</v>
      </c>
      <c r="L850" s="5" t="s">
        <v>1564</v>
      </c>
      <c r="M850" s="8">
        <v>275</v>
      </c>
      <c r="N850" s="5" t="s">
        <v>1536</v>
      </c>
      <c r="O850" s="7">
        <v>46178</v>
      </c>
    </row>
    <row r="851" spans="1:15" x14ac:dyDescent="0.25">
      <c r="A851" s="5" t="s">
        <v>4</v>
      </c>
      <c r="B851" s="5" t="s">
        <v>3879</v>
      </c>
      <c r="D851" s="5" t="s">
        <v>833</v>
      </c>
      <c r="E851" s="5" t="s">
        <v>3880</v>
      </c>
      <c r="F851" s="5" t="s">
        <v>3881</v>
      </c>
      <c r="G851" s="6">
        <v>46108.636111111111</v>
      </c>
      <c r="H851" s="7">
        <v>46115</v>
      </c>
      <c r="I851" s="6">
        <v>46114.59652777778</v>
      </c>
      <c r="J851" s="7">
        <v>46111</v>
      </c>
      <c r="K851" s="5" t="s">
        <v>1527</v>
      </c>
      <c r="L851" s="5" t="s">
        <v>1621</v>
      </c>
      <c r="M851" s="8">
        <v>274.83</v>
      </c>
      <c r="N851" s="5" t="s">
        <v>1536</v>
      </c>
      <c r="O851" s="7">
        <v>46111</v>
      </c>
    </row>
    <row r="852" spans="1:15" x14ac:dyDescent="0.25">
      <c r="A852" s="5" t="s">
        <v>4</v>
      </c>
      <c r="B852" s="5" t="s">
        <v>3882</v>
      </c>
      <c r="D852" s="5" t="s">
        <v>1034</v>
      </c>
      <c r="E852" s="5" t="s">
        <v>3883</v>
      </c>
      <c r="F852" s="5" t="s">
        <v>3884</v>
      </c>
      <c r="G852" s="6">
        <v>46121.666666666664</v>
      </c>
      <c r="H852" s="7">
        <v>46133</v>
      </c>
      <c r="I852" s="6">
        <v>46128.623611111114</v>
      </c>
      <c r="J852" s="7">
        <v>46128</v>
      </c>
      <c r="K852" s="5" t="s">
        <v>1527</v>
      </c>
      <c r="L852" s="5" t="s">
        <v>1535</v>
      </c>
      <c r="M852" s="8">
        <v>274.2</v>
      </c>
      <c r="N852" s="5" t="s">
        <v>1536</v>
      </c>
      <c r="O852" s="7">
        <v>46128</v>
      </c>
    </row>
    <row r="853" spans="1:15" x14ac:dyDescent="0.25">
      <c r="A853" s="5" t="s">
        <v>4</v>
      </c>
      <c r="B853" s="5" t="s">
        <v>3885</v>
      </c>
      <c r="D853" s="5" t="s">
        <v>1268</v>
      </c>
      <c r="E853" s="5" t="s">
        <v>3522</v>
      </c>
      <c r="F853" s="5" t="s">
        <v>1532</v>
      </c>
      <c r="G853" s="6">
        <v>46045.660416666666</v>
      </c>
      <c r="H853" s="7">
        <v>46057</v>
      </c>
      <c r="I853" s="5" t="s">
        <v>3886</v>
      </c>
      <c r="J853" s="7">
        <v>46070</v>
      </c>
      <c r="K853" s="5" t="s">
        <v>1527</v>
      </c>
      <c r="L853" s="5" t="s">
        <v>1535</v>
      </c>
      <c r="M853" s="9">
        <v>273</v>
      </c>
      <c r="N853" s="5" t="s">
        <v>1536</v>
      </c>
      <c r="O853" s="7">
        <v>46070</v>
      </c>
    </row>
    <row r="854" spans="1:15" x14ac:dyDescent="0.25">
      <c r="A854" s="5" t="s">
        <v>4</v>
      </c>
      <c r="B854" s="5" t="s">
        <v>3887</v>
      </c>
      <c r="D854" s="5" t="s">
        <v>1501</v>
      </c>
      <c r="E854" s="5" t="s">
        <v>3361</v>
      </c>
      <c r="F854" s="5" t="s">
        <v>1663</v>
      </c>
      <c r="G854" s="6">
        <v>46099.4375</v>
      </c>
      <c r="H854" s="7">
        <v>46112</v>
      </c>
      <c r="I854" s="6">
        <v>46107.707638888889</v>
      </c>
      <c r="J854" s="7">
        <v>46107</v>
      </c>
      <c r="K854" s="5" t="s">
        <v>1527</v>
      </c>
      <c r="L854" s="5" t="s">
        <v>1564</v>
      </c>
      <c r="M854" s="8">
        <v>273</v>
      </c>
      <c r="N854" s="5" t="s">
        <v>1536</v>
      </c>
      <c r="O854" s="7">
        <v>46107</v>
      </c>
    </row>
    <row r="855" spans="1:15" x14ac:dyDescent="0.25">
      <c r="A855" s="5" t="s">
        <v>4</v>
      </c>
      <c r="B855" s="5" t="s">
        <v>3888</v>
      </c>
      <c r="D855" s="5" t="s">
        <v>35</v>
      </c>
      <c r="E855" s="5" t="s">
        <v>3889</v>
      </c>
      <c r="F855" s="5" t="s">
        <v>1759</v>
      </c>
      <c r="G855" s="6">
        <v>46154.643055555556</v>
      </c>
      <c r="H855" s="7">
        <v>46167</v>
      </c>
      <c r="I855" s="6">
        <v>46161.415277777778</v>
      </c>
      <c r="J855" s="7">
        <v>46160</v>
      </c>
      <c r="K855" s="5" t="s">
        <v>1527</v>
      </c>
      <c r="L855" s="5" t="s">
        <v>1564</v>
      </c>
      <c r="M855" s="8">
        <v>273</v>
      </c>
      <c r="N855" s="5" t="s">
        <v>1536</v>
      </c>
      <c r="O855" s="7">
        <v>46160</v>
      </c>
    </row>
    <row r="856" spans="1:15" x14ac:dyDescent="0.25">
      <c r="A856" s="5" t="s">
        <v>4</v>
      </c>
      <c r="B856" s="5" t="s">
        <v>3890</v>
      </c>
      <c r="D856" s="5" t="s">
        <v>193</v>
      </c>
      <c r="E856" s="5" t="s">
        <v>3891</v>
      </c>
      <c r="F856" s="5" t="s">
        <v>1548</v>
      </c>
      <c r="G856" s="6">
        <v>46043.64166666667</v>
      </c>
      <c r="H856" s="7">
        <v>46050</v>
      </c>
      <c r="I856" s="6">
        <v>46050.744444444441</v>
      </c>
      <c r="J856" s="7">
        <v>46050</v>
      </c>
      <c r="K856" s="5" t="s">
        <v>1527</v>
      </c>
      <c r="L856" s="5" t="s">
        <v>1564</v>
      </c>
      <c r="M856" s="8">
        <v>272.60000000000002</v>
      </c>
      <c r="N856" s="5" t="s">
        <v>1536</v>
      </c>
      <c r="O856" s="7">
        <v>46050</v>
      </c>
    </row>
    <row r="857" spans="1:15" x14ac:dyDescent="0.25">
      <c r="A857" s="5" t="s">
        <v>4</v>
      </c>
      <c r="B857" s="5" t="s">
        <v>3892</v>
      </c>
      <c r="D857" s="5" t="s">
        <v>335</v>
      </c>
      <c r="E857" s="5" t="s">
        <v>3893</v>
      </c>
      <c r="F857" s="5" t="s">
        <v>1548</v>
      </c>
      <c r="G857" s="6">
        <v>46034.678472222222</v>
      </c>
      <c r="H857" s="7">
        <v>46045</v>
      </c>
      <c r="I857" s="5" t="s">
        <v>3894</v>
      </c>
      <c r="J857" s="7">
        <v>46062</v>
      </c>
      <c r="K857" s="5" t="s">
        <v>1527</v>
      </c>
      <c r="L857" s="5" t="s">
        <v>1564</v>
      </c>
      <c r="M857" s="8">
        <v>271.89</v>
      </c>
      <c r="N857" s="5" t="s">
        <v>1529</v>
      </c>
      <c r="O857" s="7">
        <v>46062</v>
      </c>
    </row>
    <row r="858" spans="1:15" hidden="1" x14ac:dyDescent="0.25">
      <c r="A858" s="5" t="s">
        <v>1522</v>
      </c>
      <c r="B858" s="5" t="s">
        <v>3895</v>
      </c>
      <c r="D858" s="5" t="s">
        <v>1508</v>
      </c>
      <c r="E858" s="5" t="s">
        <v>2606</v>
      </c>
      <c r="F858" s="5" t="s">
        <v>3896</v>
      </c>
      <c r="G858" s="6">
        <v>46139.727777777778</v>
      </c>
      <c r="H858" s="7">
        <v>46140</v>
      </c>
      <c r="I858" s="5" t="s">
        <v>3897</v>
      </c>
      <c r="J858" s="7">
        <v>46142</v>
      </c>
      <c r="K858" s="5" t="s">
        <v>1527</v>
      </c>
      <c r="L858" s="5" t="s">
        <v>1528</v>
      </c>
      <c r="M858" s="8">
        <v>270.73</v>
      </c>
      <c r="N858" s="5" t="s">
        <v>1536</v>
      </c>
      <c r="O858" s="7">
        <v>46142</v>
      </c>
    </row>
    <row r="859" spans="1:15" x14ac:dyDescent="0.25">
      <c r="A859" s="5" t="s">
        <v>4</v>
      </c>
      <c r="B859" s="5" t="s">
        <v>3898</v>
      </c>
      <c r="D859" s="5" t="s">
        <v>843</v>
      </c>
      <c r="E859" s="5" t="s">
        <v>3899</v>
      </c>
      <c r="F859" s="5" t="s">
        <v>1532</v>
      </c>
      <c r="G859" s="6">
        <v>46119.697916666664</v>
      </c>
      <c r="H859" s="7">
        <v>46129</v>
      </c>
      <c r="I859" s="6">
        <v>46128.416666666664</v>
      </c>
      <c r="J859" s="7">
        <v>46127</v>
      </c>
      <c r="K859" s="5" t="s">
        <v>1527</v>
      </c>
      <c r="L859" s="5" t="s">
        <v>1535</v>
      </c>
      <c r="M859" s="8">
        <v>270.39999999999998</v>
      </c>
      <c r="N859" s="5" t="s">
        <v>1536</v>
      </c>
      <c r="O859" s="7">
        <v>46127</v>
      </c>
    </row>
    <row r="860" spans="1:15" x14ac:dyDescent="0.25">
      <c r="A860" s="5" t="s">
        <v>4</v>
      </c>
      <c r="B860" s="5" t="s">
        <v>3900</v>
      </c>
      <c r="D860" s="5" t="s">
        <v>1303</v>
      </c>
      <c r="E860" s="5" t="s">
        <v>3766</v>
      </c>
      <c r="F860" s="5" t="s">
        <v>3901</v>
      </c>
      <c r="G860" s="6">
        <v>46163.482638888891</v>
      </c>
      <c r="H860" s="7">
        <v>46175</v>
      </c>
      <c r="I860" s="5" t="s">
        <v>3902</v>
      </c>
      <c r="J860" s="7">
        <v>46181</v>
      </c>
      <c r="K860" s="5" t="s">
        <v>1527</v>
      </c>
      <c r="L860" s="5" t="s">
        <v>1564</v>
      </c>
      <c r="M860" s="8">
        <v>270</v>
      </c>
      <c r="N860" s="5" t="s">
        <v>1536</v>
      </c>
      <c r="O860" s="7">
        <v>46181</v>
      </c>
    </row>
    <row r="861" spans="1:15" hidden="1" x14ac:dyDescent="0.25">
      <c r="A861" s="5" t="s">
        <v>1522</v>
      </c>
      <c r="B861" s="5" t="s">
        <v>3903</v>
      </c>
      <c r="D861" s="5" t="s">
        <v>14</v>
      </c>
      <c r="E861" s="5" t="s">
        <v>3904</v>
      </c>
      <c r="F861" s="5" t="s">
        <v>2625</v>
      </c>
      <c r="G861" s="6">
        <v>46126.674305555556</v>
      </c>
      <c r="H861" s="7">
        <v>46135</v>
      </c>
      <c r="I861" s="6">
        <v>46129.592361111114</v>
      </c>
      <c r="J861" s="7">
        <v>46129</v>
      </c>
      <c r="K861" s="5" t="s">
        <v>1527</v>
      </c>
      <c r="L861" s="5" t="s">
        <v>1528</v>
      </c>
      <c r="M861" s="8">
        <v>269.97000000000003</v>
      </c>
      <c r="N861" s="5" t="s">
        <v>1536</v>
      </c>
      <c r="O861" s="7">
        <v>46129</v>
      </c>
    </row>
    <row r="862" spans="1:15" x14ac:dyDescent="0.25">
      <c r="A862" s="5" t="s">
        <v>4</v>
      </c>
      <c r="B862" s="5" t="s">
        <v>3905</v>
      </c>
      <c r="D862" s="5" t="s">
        <v>929</v>
      </c>
      <c r="E862" s="5" t="s">
        <v>3906</v>
      </c>
      <c r="F862" s="5" t="s">
        <v>3907</v>
      </c>
      <c r="G862" s="6">
        <v>46058.433333333334</v>
      </c>
      <c r="H862" s="7">
        <v>46071</v>
      </c>
      <c r="I862" s="6">
        <v>46069.478472222225</v>
      </c>
      <c r="J862" s="7">
        <v>46069</v>
      </c>
      <c r="K862" s="5" t="s">
        <v>1527</v>
      </c>
      <c r="L862" s="5" t="s">
        <v>1564</v>
      </c>
      <c r="M862" s="8">
        <v>269</v>
      </c>
      <c r="N862" s="5" t="s">
        <v>1536</v>
      </c>
      <c r="O862" s="7">
        <v>46069</v>
      </c>
    </row>
    <row r="863" spans="1:15" x14ac:dyDescent="0.25">
      <c r="A863" s="5" t="s">
        <v>4</v>
      </c>
      <c r="B863" s="5" t="s">
        <v>3908</v>
      </c>
      <c r="D863" s="5" t="s">
        <v>546</v>
      </c>
      <c r="E863" s="5" t="s">
        <v>3909</v>
      </c>
      <c r="F863" s="5" t="s">
        <v>1567</v>
      </c>
      <c r="G863" s="6">
        <v>46126.603472222225</v>
      </c>
      <c r="H863" s="7">
        <v>46140</v>
      </c>
      <c r="I863" s="5" t="s">
        <v>3910</v>
      </c>
      <c r="J863" s="7">
        <v>46128</v>
      </c>
      <c r="K863" s="5" t="s">
        <v>1527</v>
      </c>
      <c r="L863" s="5" t="s">
        <v>1564</v>
      </c>
      <c r="M863" s="8">
        <v>268.5</v>
      </c>
      <c r="N863" s="5" t="s">
        <v>1536</v>
      </c>
      <c r="O863" s="7">
        <v>46128</v>
      </c>
    </row>
    <row r="864" spans="1:15" x14ac:dyDescent="0.25">
      <c r="A864" s="5" t="s">
        <v>4</v>
      </c>
      <c r="B864" s="5" t="s">
        <v>3911</v>
      </c>
      <c r="D864" s="5" t="s">
        <v>703</v>
      </c>
      <c r="E864" s="5" t="s">
        <v>3912</v>
      </c>
      <c r="F864" s="5" t="s">
        <v>3913</v>
      </c>
      <c r="G864" s="6">
        <v>46038.645138888889</v>
      </c>
      <c r="H864" s="7">
        <v>46045</v>
      </c>
      <c r="I864" s="6">
        <v>46041.701388888891</v>
      </c>
      <c r="J864" s="7">
        <v>46041</v>
      </c>
      <c r="K864" s="5" t="s">
        <v>1527</v>
      </c>
      <c r="L864" s="5" t="s">
        <v>1621</v>
      </c>
      <c r="M864" s="8">
        <v>268</v>
      </c>
      <c r="N864" s="5" t="s">
        <v>1536</v>
      </c>
      <c r="O864" s="7">
        <v>46041</v>
      </c>
    </row>
    <row r="865" spans="1:15" x14ac:dyDescent="0.25">
      <c r="A865" s="5" t="s">
        <v>4</v>
      </c>
      <c r="B865" s="5" t="s">
        <v>3914</v>
      </c>
      <c r="D865" s="5" t="s">
        <v>1448</v>
      </c>
      <c r="E865" s="5" t="s">
        <v>1821</v>
      </c>
      <c r="F865" s="5" t="s">
        <v>1548</v>
      </c>
      <c r="G865" s="6">
        <v>46153.707638888889</v>
      </c>
      <c r="H865" s="7">
        <v>46162</v>
      </c>
      <c r="I865" s="5" t="s">
        <v>3915</v>
      </c>
      <c r="J865" s="7">
        <v>46163</v>
      </c>
      <c r="K865" s="5" t="s">
        <v>1527</v>
      </c>
      <c r="L865" s="5" t="s">
        <v>1535</v>
      </c>
      <c r="M865" s="8">
        <v>267</v>
      </c>
      <c r="N865" s="5" t="s">
        <v>1536</v>
      </c>
      <c r="O865" s="7">
        <v>46163</v>
      </c>
    </row>
    <row r="866" spans="1:15" hidden="1" x14ac:dyDescent="0.25">
      <c r="A866" s="5" t="s">
        <v>1522</v>
      </c>
      <c r="B866" s="5" t="s">
        <v>3916</v>
      </c>
      <c r="D866" s="5" t="s">
        <v>1510</v>
      </c>
      <c r="E866" s="5" t="s">
        <v>2466</v>
      </c>
      <c r="F866" s="5" t="s">
        <v>3651</v>
      </c>
      <c r="G866" s="6">
        <v>46030.607638888891</v>
      </c>
      <c r="H866" s="7">
        <v>46041</v>
      </c>
      <c r="I866" s="5" t="s">
        <v>3917</v>
      </c>
      <c r="J866" s="7">
        <v>46066</v>
      </c>
      <c r="K866" s="5" t="s">
        <v>1527</v>
      </c>
      <c r="L866" s="5" t="s">
        <v>1621</v>
      </c>
      <c r="M866" s="8">
        <v>266</v>
      </c>
      <c r="N866" s="5" t="s">
        <v>1536</v>
      </c>
      <c r="O866" s="7">
        <v>46066</v>
      </c>
    </row>
    <row r="867" spans="1:15" hidden="1" x14ac:dyDescent="0.25">
      <c r="A867" s="5" t="s">
        <v>1522</v>
      </c>
      <c r="B867" s="5" t="s">
        <v>3918</v>
      </c>
      <c r="D867" s="5" t="s">
        <v>1510</v>
      </c>
      <c r="E867" s="5" t="s">
        <v>2466</v>
      </c>
      <c r="F867" s="5" t="s">
        <v>3651</v>
      </c>
      <c r="G867" s="6">
        <v>46031.649305555555</v>
      </c>
      <c r="H867" s="7">
        <v>46044</v>
      </c>
      <c r="I867" s="5" t="s">
        <v>3919</v>
      </c>
      <c r="J867" s="7">
        <v>46076</v>
      </c>
      <c r="K867" s="5" t="s">
        <v>1527</v>
      </c>
      <c r="L867" s="5" t="s">
        <v>1554</v>
      </c>
      <c r="M867" s="8">
        <v>266</v>
      </c>
      <c r="N867" s="5" t="s">
        <v>1536</v>
      </c>
      <c r="O867" s="7">
        <v>46076</v>
      </c>
    </row>
    <row r="868" spans="1:15" hidden="1" x14ac:dyDescent="0.25">
      <c r="A868" s="5" t="s">
        <v>1522</v>
      </c>
      <c r="B868" s="5" t="s">
        <v>3920</v>
      </c>
      <c r="D868" s="5" t="s">
        <v>1510</v>
      </c>
      <c r="E868" s="5" t="s">
        <v>2466</v>
      </c>
      <c r="F868" s="5" t="s">
        <v>3651</v>
      </c>
      <c r="G868" s="6">
        <v>46035.502083333333</v>
      </c>
      <c r="H868" s="7">
        <v>46045</v>
      </c>
      <c r="I868" s="5" t="s">
        <v>3921</v>
      </c>
      <c r="J868" s="7">
        <v>46064</v>
      </c>
      <c r="K868" s="5" t="s">
        <v>1527</v>
      </c>
      <c r="L868" s="5" t="s">
        <v>1621</v>
      </c>
      <c r="M868" s="8">
        <v>266</v>
      </c>
      <c r="N868" s="5" t="s">
        <v>1536</v>
      </c>
      <c r="O868" s="7">
        <v>46064</v>
      </c>
    </row>
    <row r="869" spans="1:15" hidden="1" x14ac:dyDescent="0.25">
      <c r="A869" s="5" t="s">
        <v>1522</v>
      </c>
      <c r="B869" s="5" t="s">
        <v>3922</v>
      </c>
      <c r="D869" s="5" t="s">
        <v>1510</v>
      </c>
      <c r="E869" s="5" t="s">
        <v>2466</v>
      </c>
      <c r="F869" s="5" t="s">
        <v>3651</v>
      </c>
      <c r="G869" s="6">
        <v>46066.659722222219</v>
      </c>
      <c r="H869" s="7">
        <v>46073</v>
      </c>
      <c r="I869" s="5" t="s">
        <v>3923</v>
      </c>
      <c r="J869" s="7">
        <v>46090</v>
      </c>
      <c r="K869" s="5" t="s">
        <v>1527</v>
      </c>
      <c r="L869" s="5" t="s">
        <v>1621</v>
      </c>
      <c r="M869" s="8">
        <v>266</v>
      </c>
      <c r="N869" s="5" t="s">
        <v>1536</v>
      </c>
      <c r="O869" s="7">
        <v>46090</v>
      </c>
    </row>
    <row r="870" spans="1:15" hidden="1" x14ac:dyDescent="0.25">
      <c r="A870" s="5" t="s">
        <v>1522</v>
      </c>
      <c r="B870" s="5" t="s">
        <v>3924</v>
      </c>
      <c r="D870" s="5" t="s">
        <v>1510</v>
      </c>
      <c r="E870" s="5" t="s">
        <v>2466</v>
      </c>
      <c r="F870" s="5" t="s">
        <v>3434</v>
      </c>
      <c r="G870" s="6">
        <v>46101.629861111112</v>
      </c>
      <c r="H870" s="7">
        <v>46108</v>
      </c>
      <c r="I870" s="5" t="s">
        <v>3925</v>
      </c>
      <c r="J870" s="7">
        <v>46114</v>
      </c>
      <c r="K870" s="5" t="s">
        <v>1527</v>
      </c>
      <c r="L870" s="5" t="s">
        <v>1621</v>
      </c>
      <c r="M870" s="8">
        <v>266</v>
      </c>
      <c r="N870" s="5" t="s">
        <v>1536</v>
      </c>
      <c r="O870" s="7">
        <v>46114</v>
      </c>
    </row>
    <row r="871" spans="1:15" hidden="1" x14ac:dyDescent="0.25">
      <c r="A871" s="5" t="s">
        <v>1522</v>
      </c>
      <c r="B871" s="5" t="s">
        <v>3926</v>
      </c>
      <c r="D871" s="5" t="s">
        <v>1510</v>
      </c>
      <c r="E871" s="5" t="s">
        <v>2466</v>
      </c>
      <c r="F871" s="5" t="s">
        <v>3434</v>
      </c>
      <c r="G871" s="6">
        <v>46101.631249999999</v>
      </c>
      <c r="H871" s="7">
        <v>46108</v>
      </c>
      <c r="I871" s="5" t="s">
        <v>3927</v>
      </c>
      <c r="J871" s="7">
        <v>46127</v>
      </c>
      <c r="K871" s="5" t="s">
        <v>1527</v>
      </c>
      <c r="L871" s="5" t="s">
        <v>1621</v>
      </c>
      <c r="M871" s="8">
        <v>266</v>
      </c>
      <c r="N871" s="5" t="s">
        <v>1536</v>
      </c>
      <c r="O871" s="7">
        <v>46127</v>
      </c>
    </row>
    <row r="872" spans="1:15" hidden="1" x14ac:dyDescent="0.25">
      <c r="A872" s="5" t="s">
        <v>1522</v>
      </c>
      <c r="B872" s="5" t="s">
        <v>3928</v>
      </c>
      <c r="D872" s="5" t="s">
        <v>1510</v>
      </c>
      <c r="E872" s="5" t="s">
        <v>2466</v>
      </c>
      <c r="F872" s="5" t="s">
        <v>3434</v>
      </c>
      <c r="G872" s="6">
        <v>46106.731944444444</v>
      </c>
      <c r="H872" s="7">
        <v>46119</v>
      </c>
      <c r="I872" s="5" t="s">
        <v>3929</v>
      </c>
      <c r="J872" s="7">
        <v>46139</v>
      </c>
      <c r="K872" s="5" t="s">
        <v>1527</v>
      </c>
      <c r="L872" s="5" t="s">
        <v>1621</v>
      </c>
      <c r="M872" s="8">
        <v>266</v>
      </c>
      <c r="N872" s="5" t="s">
        <v>1529</v>
      </c>
      <c r="O872" s="7">
        <v>46139</v>
      </c>
    </row>
    <row r="873" spans="1:15" hidden="1" x14ac:dyDescent="0.25">
      <c r="A873" s="5" t="s">
        <v>1522</v>
      </c>
      <c r="B873" s="5" t="s">
        <v>3930</v>
      </c>
      <c r="D873" s="5" t="s">
        <v>1510</v>
      </c>
      <c r="E873" s="5" t="s">
        <v>2466</v>
      </c>
      <c r="F873" s="5" t="s">
        <v>3434</v>
      </c>
      <c r="G873" s="6">
        <v>46125.676388888889</v>
      </c>
      <c r="H873" s="7">
        <v>46132</v>
      </c>
      <c r="I873" s="5" t="s">
        <v>3931</v>
      </c>
      <c r="J873" s="7">
        <v>46139</v>
      </c>
      <c r="K873" s="5" t="s">
        <v>1527</v>
      </c>
      <c r="L873" s="5" t="s">
        <v>1621</v>
      </c>
      <c r="M873" s="8">
        <v>266</v>
      </c>
      <c r="N873" s="5" t="s">
        <v>1529</v>
      </c>
      <c r="O873" s="7">
        <v>46139</v>
      </c>
    </row>
    <row r="874" spans="1:15" hidden="1" x14ac:dyDescent="0.25">
      <c r="A874" s="5" t="s">
        <v>1522</v>
      </c>
      <c r="B874" s="5" t="s">
        <v>3932</v>
      </c>
      <c r="D874" s="5" t="s">
        <v>1510</v>
      </c>
      <c r="E874" s="5" t="s">
        <v>2466</v>
      </c>
      <c r="F874" s="5" t="s">
        <v>3434</v>
      </c>
      <c r="G874" s="6">
        <v>46132.686805555553</v>
      </c>
      <c r="H874" s="7">
        <v>46143</v>
      </c>
      <c r="I874" s="5" t="s">
        <v>3933</v>
      </c>
      <c r="J874" s="7">
        <v>46156</v>
      </c>
      <c r="K874" s="5" t="s">
        <v>1527</v>
      </c>
      <c r="L874" s="5" t="s">
        <v>1621</v>
      </c>
      <c r="M874" s="8">
        <v>266</v>
      </c>
      <c r="N874" s="5" t="s">
        <v>1529</v>
      </c>
      <c r="O874" s="7">
        <v>46156</v>
      </c>
    </row>
    <row r="875" spans="1:15" hidden="1" x14ac:dyDescent="0.25">
      <c r="A875" s="5" t="s">
        <v>1522</v>
      </c>
      <c r="B875" s="5" t="s">
        <v>3934</v>
      </c>
      <c r="D875" s="5" t="s">
        <v>1510</v>
      </c>
      <c r="E875" s="5" t="s">
        <v>2466</v>
      </c>
      <c r="F875" s="5" t="s">
        <v>3434</v>
      </c>
      <c r="G875" s="6">
        <v>46134.73333333333</v>
      </c>
      <c r="H875" s="7">
        <v>46147</v>
      </c>
      <c r="I875" s="5" t="s">
        <v>1533</v>
      </c>
      <c r="J875" s="5" t="s">
        <v>1533</v>
      </c>
      <c r="K875" s="5" t="s">
        <v>1534</v>
      </c>
      <c r="L875" s="5" t="s">
        <v>1621</v>
      </c>
      <c r="M875" s="8">
        <v>266</v>
      </c>
      <c r="N875" s="5" t="s">
        <v>1541</v>
      </c>
      <c r="O875" s="5" t="s">
        <v>1533</v>
      </c>
    </row>
    <row r="876" spans="1:15" hidden="1" x14ac:dyDescent="0.25">
      <c r="A876" s="5" t="s">
        <v>1522</v>
      </c>
      <c r="B876" s="5" t="s">
        <v>3935</v>
      </c>
      <c r="D876" s="5" t="s">
        <v>1510</v>
      </c>
      <c r="E876" s="5" t="s">
        <v>2466</v>
      </c>
      <c r="F876" s="5" t="s">
        <v>3434</v>
      </c>
      <c r="G876" s="6">
        <v>46139.62777777778</v>
      </c>
      <c r="H876" s="7">
        <v>46150</v>
      </c>
      <c r="I876" s="5" t="s">
        <v>3936</v>
      </c>
      <c r="J876" s="7">
        <v>46167</v>
      </c>
      <c r="K876" s="5" t="s">
        <v>1527</v>
      </c>
      <c r="L876" s="5" t="s">
        <v>1621</v>
      </c>
      <c r="M876" s="8">
        <v>266</v>
      </c>
      <c r="N876" s="5" t="s">
        <v>1529</v>
      </c>
      <c r="O876" s="7">
        <v>46167</v>
      </c>
    </row>
    <row r="877" spans="1:15" hidden="1" x14ac:dyDescent="0.25">
      <c r="A877" s="5" t="s">
        <v>1522</v>
      </c>
      <c r="B877" s="5" t="s">
        <v>3937</v>
      </c>
      <c r="D877" s="5" t="s">
        <v>1510</v>
      </c>
      <c r="E877" s="5" t="s">
        <v>2466</v>
      </c>
      <c r="F877" s="5" t="s">
        <v>3434</v>
      </c>
      <c r="G877" s="6">
        <v>46141.716666666667</v>
      </c>
      <c r="H877" s="7">
        <v>46156</v>
      </c>
      <c r="I877" s="5" t="s">
        <v>1533</v>
      </c>
      <c r="J877" s="5" t="s">
        <v>1533</v>
      </c>
      <c r="K877" s="5" t="s">
        <v>1534</v>
      </c>
      <c r="L877" s="5" t="s">
        <v>1621</v>
      </c>
      <c r="M877" s="8">
        <v>266</v>
      </c>
      <c r="N877" s="5" t="s">
        <v>1541</v>
      </c>
      <c r="O877" s="5" t="s">
        <v>1533</v>
      </c>
    </row>
    <row r="878" spans="1:15" x14ac:dyDescent="0.25">
      <c r="A878" s="5" t="s">
        <v>4</v>
      </c>
      <c r="B878" s="5" t="s">
        <v>3938</v>
      </c>
      <c r="D878" s="5" t="s">
        <v>780</v>
      </c>
      <c r="E878" s="5" t="s">
        <v>3939</v>
      </c>
      <c r="F878" s="5" t="s">
        <v>1813</v>
      </c>
      <c r="G878" s="6">
        <v>46125.588888888888</v>
      </c>
      <c r="H878" s="7">
        <v>46135</v>
      </c>
      <c r="I878" s="5" t="s">
        <v>3520</v>
      </c>
      <c r="J878" s="7">
        <v>46139</v>
      </c>
      <c r="K878" s="5" t="s">
        <v>1527</v>
      </c>
      <c r="L878" s="5" t="s">
        <v>1535</v>
      </c>
      <c r="M878" s="8">
        <v>266</v>
      </c>
      <c r="N878" s="5" t="s">
        <v>1536</v>
      </c>
      <c r="O878" s="7">
        <v>46139</v>
      </c>
    </row>
    <row r="879" spans="1:15" x14ac:dyDescent="0.25">
      <c r="A879" s="5" t="s">
        <v>4</v>
      </c>
      <c r="B879" s="5" t="s">
        <v>3940</v>
      </c>
      <c r="D879" s="5" t="s">
        <v>215</v>
      </c>
      <c r="E879" s="5" t="s">
        <v>3941</v>
      </c>
      <c r="F879" s="5" t="s">
        <v>3942</v>
      </c>
      <c r="G879" s="6">
        <v>46128.662499999999</v>
      </c>
      <c r="H879" s="7">
        <v>46135</v>
      </c>
      <c r="I879" s="5" t="s">
        <v>3520</v>
      </c>
      <c r="J879" s="7">
        <v>46139</v>
      </c>
      <c r="K879" s="5" t="s">
        <v>1527</v>
      </c>
      <c r="L879" s="5" t="s">
        <v>1621</v>
      </c>
      <c r="M879" s="8">
        <v>265.49</v>
      </c>
      <c r="N879" s="5" t="s">
        <v>1536</v>
      </c>
      <c r="O879" s="7">
        <v>46139</v>
      </c>
    </row>
    <row r="880" spans="1:15" x14ac:dyDescent="0.25">
      <c r="A880" s="5" t="s">
        <v>4</v>
      </c>
      <c r="B880" s="5" t="s">
        <v>3943</v>
      </c>
      <c r="D880" s="5" t="s">
        <v>854</v>
      </c>
      <c r="E880" s="5" t="s">
        <v>3944</v>
      </c>
      <c r="F880" s="5" t="s">
        <v>3945</v>
      </c>
      <c r="G880" s="6">
        <v>46064.686111111114</v>
      </c>
      <c r="H880" s="7">
        <v>46070</v>
      </c>
      <c r="I880" s="5" t="s">
        <v>3946</v>
      </c>
      <c r="J880" s="7">
        <v>46071</v>
      </c>
      <c r="K880" s="5" t="s">
        <v>1527</v>
      </c>
      <c r="L880" s="5" t="s">
        <v>1621</v>
      </c>
      <c r="M880" s="8">
        <v>264.89999999999998</v>
      </c>
      <c r="N880" s="5" t="s">
        <v>1536</v>
      </c>
      <c r="O880" s="7">
        <v>46071</v>
      </c>
    </row>
    <row r="881" spans="1:15" x14ac:dyDescent="0.25">
      <c r="A881" s="5" t="s">
        <v>4</v>
      </c>
      <c r="B881" s="5" t="s">
        <v>3947</v>
      </c>
      <c r="D881" s="5" t="s">
        <v>459</v>
      </c>
      <c r="E881" s="5" t="s">
        <v>3948</v>
      </c>
      <c r="F881" s="5" t="s">
        <v>3949</v>
      </c>
      <c r="G881" s="6">
        <v>46168.695833333331</v>
      </c>
      <c r="H881" s="7">
        <v>46175</v>
      </c>
      <c r="I881" s="5" t="s">
        <v>3950</v>
      </c>
      <c r="J881" s="7">
        <v>46171</v>
      </c>
      <c r="K881" s="5" t="s">
        <v>1527</v>
      </c>
      <c r="L881" s="5" t="s">
        <v>1621</v>
      </c>
      <c r="M881" s="8">
        <v>264.17</v>
      </c>
      <c r="N881" s="5" t="s">
        <v>1536</v>
      </c>
      <c r="O881" s="7">
        <v>46171</v>
      </c>
    </row>
    <row r="882" spans="1:15" x14ac:dyDescent="0.25">
      <c r="A882" s="5" t="s">
        <v>4</v>
      </c>
      <c r="B882" s="5" t="s">
        <v>3951</v>
      </c>
      <c r="D882" s="5" t="s">
        <v>1464</v>
      </c>
      <c r="E882" s="5" t="s">
        <v>1610</v>
      </c>
      <c r="F882" s="5" t="s">
        <v>3952</v>
      </c>
      <c r="G882" s="6">
        <v>46057.649305555555</v>
      </c>
      <c r="H882" s="7">
        <v>46069</v>
      </c>
      <c r="I882" s="6">
        <v>46066.656944444447</v>
      </c>
      <c r="J882" s="7">
        <v>46066</v>
      </c>
      <c r="K882" s="5" t="s">
        <v>1527</v>
      </c>
      <c r="L882" s="5" t="s">
        <v>1564</v>
      </c>
      <c r="M882" s="8">
        <v>263.98</v>
      </c>
      <c r="N882" s="5" t="s">
        <v>1536</v>
      </c>
      <c r="O882" s="7">
        <v>46066</v>
      </c>
    </row>
    <row r="883" spans="1:15" x14ac:dyDescent="0.25">
      <c r="A883" s="5" t="s">
        <v>4</v>
      </c>
      <c r="B883" s="5" t="s">
        <v>3953</v>
      </c>
      <c r="D883" s="5" t="s">
        <v>307</v>
      </c>
      <c r="E883" s="5" t="s">
        <v>3954</v>
      </c>
      <c r="F883" s="5" t="s">
        <v>3955</v>
      </c>
      <c r="G883" s="6">
        <v>46091.703472222223</v>
      </c>
      <c r="H883" s="7">
        <v>46098</v>
      </c>
      <c r="I883" s="5" t="s">
        <v>3956</v>
      </c>
      <c r="J883" s="7">
        <v>46099</v>
      </c>
      <c r="K883" s="5" t="s">
        <v>1527</v>
      </c>
      <c r="L883" s="5" t="s">
        <v>1621</v>
      </c>
      <c r="M883" s="8">
        <v>263.79000000000002</v>
      </c>
      <c r="N883" s="5" t="s">
        <v>1536</v>
      </c>
      <c r="O883" s="7">
        <v>46099</v>
      </c>
    </row>
    <row r="884" spans="1:15" x14ac:dyDescent="0.25">
      <c r="A884" s="5" t="s">
        <v>4</v>
      </c>
      <c r="B884" s="5" t="s">
        <v>3957</v>
      </c>
      <c r="D884" s="5" t="s">
        <v>1402</v>
      </c>
      <c r="E884" s="5" t="s">
        <v>2787</v>
      </c>
      <c r="F884" s="5" t="s">
        <v>2118</v>
      </c>
      <c r="G884" s="6">
        <v>46085.635416666664</v>
      </c>
      <c r="H884" s="7">
        <v>46098</v>
      </c>
      <c r="I884" s="5" t="s">
        <v>2788</v>
      </c>
      <c r="J884" s="7">
        <v>46099</v>
      </c>
      <c r="K884" s="5" t="s">
        <v>1527</v>
      </c>
      <c r="L884" s="5" t="s">
        <v>1564</v>
      </c>
      <c r="M884" s="8">
        <v>263.55</v>
      </c>
      <c r="N884" s="5" t="s">
        <v>1536</v>
      </c>
      <c r="O884" s="7">
        <v>46099</v>
      </c>
    </row>
    <row r="885" spans="1:15" x14ac:dyDescent="0.25">
      <c r="A885" s="5" t="s">
        <v>4</v>
      </c>
      <c r="B885" s="5" t="s">
        <v>3958</v>
      </c>
      <c r="D885" s="5" t="s">
        <v>375</v>
      </c>
      <c r="E885" s="5" t="s">
        <v>3959</v>
      </c>
      <c r="F885" s="5" t="s">
        <v>1532</v>
      </c>
      <c r="G885" s="6">
        <v>46108.386805555558</v>
      </c>
      <c r="H885" s="7">
        <v>46119</v>
      </c>
      <c r="I885" s="5" t="s">
        <v>3960</v>
      </c>
      <c r="J885" s="7">
        <v>46132</v>
      </c>
      <c r="K885" s="5" t="s">
        <v>1527</v>
      </c>
      <c r="L885" s="5" t="s">
        <v>1535</v>
      </c>
      <c r="M885" s="8">
        <v>261.7</v>
      </c>
      <c r="N885" s="5" t="s">
        <v>1536</v>
      </c>
      <c r="O885" s="7">
        <v>46132</v>
      </c>
    </row>
    <row r="886" spans="1:15" x14ac:dyDescent="0.25">
      <c r="A886" s="5" t="s">
        <v>4</v>
      </c>
      <c r="B886" s="5" t="s">
        <v>3961</v>
      </c>
      <c r="D886" s="5" t="s">
        <v>381</v>
      </c>
      <c r="E886" s="5" t="s">
        <v>3962</v>
      </c>
      <c r="F886" s="5" t="s">
        <v>1548</v>
      </c>
      <c r="G886" s="6">
        <v>46038.462500000001</v>
      </c>
      <c r="H886" s="7">
        <v>46051</v>
      </c>
      <c r="I886" s="5" t="s">
        <v>3963</v>
      </c>
      <c r="J886" s="7">
        <v>46062</v>
      </c>
      <c r="K886" s="5" t="s">
        <v>1527</v>
      </c>
      <c r="L886" s="5" t="s">
        <v>1535</v>
      </c>
      <c r="M886" s="8">
        <v>260.5</v>
      </c>
      <c r="N886" s="5" t="s">
        <v>1536</v>
      </c>
      <c r="O886" s="7">
        <v>46062</v>
      </c>
    </row>
    <row r="887" spans="1:15" x14ac:dyDescent="0.25">
      <c r="A887" s="5" t="s">
        <v>4</v>
      </c>
      <c r="B887" s="5" t="s">
        <v>3964</v>
      </c>
      <c r="D887" s="5" t="s">
        <v>1002</v>
      </c>
      <c r="E887" s="5" t="s">
        <v>3965</v>
      </c>
      <c r="F887" s="5" t="s">
        <v>3966</v>
      </c>
      <c r="G887" s="6">
        <v>46100.730555555558</v>
      </c>
      <c r="H887" s="7">
        <v>46107</v>
      </c>
      <c r="I887" s="5" t="s">
        <v>3967</v>
      </c>
      <c r="J887" s="7">
        <v>46118</v>
      </c>
      <c r="K887" s="5" t="s">
        <v>1527</v>
      </c>
      <c r="L887" s="5" t="s">
        <v>1621</v>
      </c>
      <c r="M887" s="8">
        <v>260.14999999999998</v>
      </c>
      <c r="N887" s="5" t="s">
        <v>1536</v>
      </c>
      <c r="O887" s="7">
        <v>46118</v>
      </c>
    </row>
    <row r="888" spans="1:15" x14ac:dyDescent="0.25">
      <c r="A888" s="5" t="s">
        <v>4</v>
      </c>
      <c r="B888" s="5" t="s">
        <v>3968</v>
      </c>
      <c r="D888" s="5" t="s">
        <v>784</v>
      </c>
      <c r="E888" s="5" t="s">
        <v>3969</v>
      </c>
      <c r="F888" s="5" t="s">
        <v>3970</v>
      </c>
      <c r="G888" s="6">
        <v>46031.627083333333</v>
      </c>
      <c r="H888" s="7">
        <v>46042</v>
      </c>
      <c r="I888" s="5" t="s">
        <v>3971</v>
      </c>
      <c r="J888" s="7">
        <v>46043</v>
      </c>
      <c r="K888" s="5" t="s">
        <v>1527</v>
      </c>
      <c r="L888" s="5" t="s">
        <v>1621</v>
      </c>
      <c r="M888" s="8">
        <v>260.10000000000002</v>
      </c>
      <c r="N888" s="5" t="s">
        <v>1536</v>
      </c>
      <c r="O888" s="7">
        <v>46043</v>
      </c>
    </row>
    <row r="889" spans="1:15" hidden="1" x14ac:dyDescent="0.25">
      <c r="A889" s="5" t="s">
        <v>1522</v>
      </c>
      <c r="B889" s="5" t="s">
        <v>3972</v>
      </c>
      <c r="D889" s="5" t="s">
        <v>115</v>
      </c>
      <c r="E889" s="5" t="s">
        <v>3973</v>
      </c>
      <c r="F889" s="5" t="s">
        <v>3974</v>
      </c>
      <c r="G889" s="6">
        <v>46063.62222222222</v>
      </c>
      <c r="H889" s="7">
        <v>46073</v>
      </c>
      <c r="I889" s="5" t="s">
        <v>3975</v>
      </c>
      <c r="J889" s="7">
        <v>46077</v>
      </c>
      <c r="K889" s="5" t="s">
        <v>1527</v>
      </c>
      <c r="L889" s="5" t="s">
        <v>1535</v>
      </c>
      <c r="M889" s="8">
        <v>260</v>
      </c>
      <c r="N889" s="5" t="s">
        <v>1536</v>
      </c>
      <c r="O889" s="7">
        <v>46077</v>
      </c>
    </row>
    <row r="890" spans="1:15" hidden="1" x14ac:dyDescent="0.25">
      <c r="A890" s="5" t="s">
        <v>1522</v>
      </c>
      <c r="B890" s="5" t="s">
        <v>3976</v>
      </c>
      <c r="D890" s="5" t="s">
        <v>1510</v>
      </c>
      <c r="E890" s="5" t="s">
        <v>2466</v>
      </c>
      <c r="F890" s="5" t="s">
        <v>3977</v>
      </c>
      <c r="G890" s="6">
        <v>46084.717361111114</v>
      </c>
      <c r="H890" s="7">
        <v>46087</v>
      </c>
      <c r="I890" s="6">
        <v>46086.507638888892</v>
      </c>
      <c r="J890" s="7">
        <v>46086</v>
      </c>
      <c r="K890" s="5" t="s">
        <v>1527</v>
      </c>
      <c r="L890" s="5" t="s">
        <v>1621</v>
      </c>
      <c r="M890" s="8">
        <v>260</v>
      </c>
      <c r="N890" s="5" t="s">
        <v>1536</v>
      </c>
      <c r="O890" s="7">
        <v>46086</v>
      </c>
    </row>
    <row r="891" spans="1:15" hidden="1" x14ac:dyDescent="0.25">
      <c r="A891" s="5" t="s">
        <v>1522</v>
      </c>
      <c r="B891" s="5" t="s">
        <v>3978</v>
      </c>
      <c r="D891" s="5" t="s">
        <v>1503</v>
      </c>
      <c r="E891" s="5" t="s">
        <v>1651</v>
      </c>
      <c r="F891" s="5" t="s">
        <v>3979</v>
      </c>
      <c r="G891" s="6">
        <v>46146.617361111108</v>
      </c>
      <c r="H891" s="7">
        <v>46149</v>
      </c>
      <c r="I891" s="5" t="s">
        <v>3980</v>
      </c>
      <c r="J891" s="7">
        <v>46150</v>
      </c>
      <c r="K891" s="5" t="s">
        <v>1527</v>
      </c>
      <c r="L891" s="5" t="s">
        <v>1528</v>
      </c>
      <c r="M891" s="8">
        <v>260</v>
      </c>
      <c r="N891" s="5" t="s">
        <v>1536</v>
      </c>
      <c r="O891" s="7">
        <v>46150</v>
      </c>
    </row>
    <row r="892" spans="1:15" x14ac:dyDescent="0.25">
      <c r="A892" s="5" t="s">
        <v>4</v>
      </c>
      <c r="B892" s="5" t="s">
        <v>3981</v>
      </c>
      <c r="D892" s="5" t="s">
        <v>1320</v>
      </c>
      <c r="E892" s="5" t="s">
        <v>3982</v>
      </c>
      <c r="F892" s="5" t="s">
        <v>3983</v>
      </c>
      <c r="G892" s="6">
        <v>46029.489583333336</v>
      </c>
      <c r="H892" s="7">
        <v>46041</v>
      </c>
      <c r="I892" s="6">
        <v>46035.731249999997</v>
      </c>
      <c r="J892" s="7">
        <v>46035</v>
      </c>
      <c r="K892" s="5" t="s">
        <v>1527</v>
      </c>
      <c r="L892" s="5" t="s">
        <v>1564</v>
      </c>
      <c r="M892" s="8">
        <v>260</v>
      </c>
      <c r="N892" s="5" t="s">
        <v>1536</v>
      </c>
      <c r="O892" s="7">
        <v>46035</v>
      </c>
    </row>
    <row r="893" spans="1:15" x14ac:dyDescent="0.25">
      <c r="A893" s="5" t="s">
        <v>4</v>
      </c>
      <c r="B893" s="5" t="s">
        <v>3984</v>
      </c>
      <c r="D893" s="5" t="s">
        <v>195</v>
      </c>
      <c r="E893" s="5" t="s">
        <v>3985</v>
      </c>
      <c r="F893" s="5" t="s">
        <v>1548</v>
      </c>
      <c r="G893" s="6">
        <v>46037.543749999997</v>
      </c>
      <c r="H893" s="7">
        <v>46050</v>
      </c>
      <c r="I893" s="5" t="s">
        <v>3986</v>
      </c>
      <c r="J893" s="7">
        <v>46052</v>
      </c>
      <c r="K893" s="5" t="s">
        <v>1527</v>
      </c>
      <c r="L893" s="5" t="s">
        <v>1564</v>
      </c>
      <c r="M893" s="8">
        <v>260</v>
      </c>
      <c r="N893" s="5" t="s">
        <v>1536</v>
      </c>
      <c r="O893" s="7">
        <v>46052</v>
      </c>
    </row>
    <row r="894" spans="1:15" x14ac:dyDescent="0.25">
      <c r="A894" s="5" t="s">
        <v>4</v>
      </c>
      <c r="B894" s="5" t="s">
        <v>3987</v>
      </c>
      <c r="D894" s="5" t="s">
        <v>532</v>
      </c>
      <c r="E894" s="5" t="s">
        <v>3988</v>
      </c>
      <c r="F894" s="5" t="s">
        <v>3989</v>
      </c>
      <c r="G894" s="6">
        <v>46093.615277777775</v>
      </c>
      <c r="H894" s="7">
        <v>46106</v>
      </c>
      <c r="I894" s="6">
        <v>46098.661111111112</v>
      </c>
      <c r="J894" s="7">
        <v>46106</v>
      </c>
      <c r="K894" s="5" t="s">
        <v>1527</v>
      </c>
      <c r="L894" s="5" t="s">
        <v>1564</v>
      </c>
      <c r="M894" s="8">
        <v>260</v>
      </c>
      <c r="N894" s="5" t="s">
        <v>1536</v>
      </c>
      <c r="O894" s="7">
        <v>46106</v>
      </c>
    </row>
    <row r="895" spans="1:15" x14ac:dyDescent="0.25">
      <c r="A895" s="5" t="s">
        <v>4</v>
      </c>
      <c r="B895" s="5" t="s">
        <v>3990</v>
      </c>
      <c r="D895" s="5" t="s">
        <v>385</v>
      </c>
      <c r="E895" s="5" t="s">
        <v>3991</v>
      </c>
      <c r="F895" s="5" t="s">
        <v>1738</v>
      </c>
      <c r="G895" s="6">
        <v>46113.466666666667</v>
      </c>
      <c r="H895" s="7">
        <v>46127</v>
      </c>
      <c r="I895" s="6">
        <v>46126.636111111111</v>
      </c>
      <c r="J895" s="7">
        <v>46125</v>
      </c>
      <c r="K895" s="5" t="s">
        <v>1527</v>
      </c>
      <c r="L895" s="5" t="s">
        <v>1564</v>
      </c>
      <c r="M895" s="8">
        <v>260</v>
      </c>
      <c r="N895" s="5" t="s">
        <v>1536</v>
      </c>
      <c r="O895" s="7">
        <v>46125</v>
      </c>
    </row>
    <row r="896" spans="1:15" x14ac:dyDescent="0.25">
      <c r="A896" s="5" t="s">
        <v>4</v>
      </c>
      <c r="B896" s="5" t="s">
        <v>3992</v>
      </c>
      <c r="D896" s="5" t="s">
        <v>1075</v>
      </c>
      <c r="E896" s="5" t="s">
        <v>3993</v>
      </c>
      <c r="F896" s="5" t="s">
        <v>3994</v>
      </c>
      <c r="G896" s="6">
        <v>46099.51666666667</v>
      </c>
      <c r="H896" s="7">
        <v>46112</v>
      </c>
      <c r="I896" s="6">
        <v>46106.670138888891</v>
      </c>
      <c r="J896" s="7">
        <v>46106</v>
      </c>
      <c r="K896" s="5" t="s">
        <v>1527</v>
      </c>
      <c r="L896" s="5" t="s">
        <v>1564</v>
      </c>
      <c r="M896" s="8">
        <v>259.8</v>
      </c>
      <c r="N896" s="5" t="s">
        <v>1536</v>
      </c>
      <c r="O896" s="7">
        <v>46106</v>
      </c>
    </row>
    <row r="897" spans="1:15" x14ac:dyDescent="0.25">
      <c r="A897" s="5" t="s">
        <v>4</v>
      </c>
      <c r="B897" s="5" t="s">
        <v>3995</v>
      </c>
      <c r="D897" s="5" t="s">
        <v>997</v>
      </c>
      <c r="E897" s="5" t="s">
        <v>3996</v>
      </c>
      <c r="F897" s="5" t="s">
        <v>1548</v>
      </c>
      <c r="G897" s="6">
        <v>46036.744444444441</v>
      </c>
      <c r="H897" s="7">
        <v>46049</v>
      </c>
      <c r="I897" s="5" t="s">
        <v>3109</v>
      </c>
      <c r="J897" s="7">
        <v>46052</v>
      </c>
      <c r="K897" s="5" t="s">
        <v>1527</v>
      </c>
      <c r="L897" s="5" t="s">
        <v>1564</v>
      </c>
      <c r="M897" s="8">
        <v>258.95999999999998</v>
      </c>
      <c r="N897" s="5" t="s">
        <v>1536</v>
      </c>
      <c r="O897" s="7">
        <v>46052</v>
      </c>
    </row>
    <row r="898" spans="1:15" x14ac:dyDescent="0.25">
      <c r="A898" s="5" t="s">
        <v>4</v>
      </c>
      <c r="B898" s="5" t="s">
        <v>3997</v>
      </c>
      <c r="D898" s="5" t="s">
        <v>1484</v>
      </c>
      <c r="E898" s="5" t="s">
        <v>3597</v>
      </c>
      <c r="F898" s="5" t="s">
        <v>1548</v>
      </c>
      <c r="G898" s="6">
        <v>46041.679861111108</v>
      </c>
      <c r="H898" s="7">
        <v>46052</v>
      </c>
      <c r="I898" s="5" t="s">
        <v>3598</v>
      </c>
      <c r="J898" s="7">
        <v>46059</v>
      </c>
      <c r="K898" s="5" t="s">
        <v>1527</v>
      </c>
      <c r="L898" s="5" t="s">
        <v>1564</v>
      </c>
      <c r="M898" s="8">
        <v>258.2</v>
      </c>
      <c r="N898" s="5" t="s">
        <v>1536</v>
      </c>
      <c r="O898" s="7">
        <v>46059</v>
      </c>
    </row>
    <row r="899" spans="1:15" x14ac:dyDescent="0.25">
      <c r="A899" s="5" t="s">
        <v>4</v>
      </c>
      <c r="B899" s="5" t="s">
        <v>3998</v>
      </c>
      <c r="D899" s="5" t="s">
        <v>1484</v>
      </c>
      <c r="E899" s="5" t="s">
        <v>3597</v>
      </c>
      <c r="F899" s="5" t="s">
        <v>1548</v>
      </c>
      <c r="G899" s="6">
        <v>46041.679861111108</v>
      </c>
      <c r="H899" s="7">
        <v>46052</v>
      </c>
      <c r="I899" s="5" t="s">
        <v>3598</v>
      </c>
      <c r="J899" s="7">
        <v>46059</v>
      </c>
      <c r="K899" s="5" t="s">
        <v>1527</v>
      </c>
      <c r="L899" s="5" t="s">
        <v>1564</v>
      </c>
      <c r="M899" s="8">
        <v>258.2</v>
      </c>
      <c r="N899" s="5" t="s">
        <v>1536</v>
      </c>
      <c r="O899" s="7">
        <v>46059</v>
      </c>
    </row>
    <row r="900" spans="1:15" x14ac:dyDescent="0.25">
      <c r="A900" s="5" t="s">
        <v>4</v>
      </c>
      <c r="B900" s="5" t="s">
        <v>3999</v>
      </c>
      <c r="D900" s="5" t="s">
        <v>1484</v>
      </c>
      <c r="E900" s="5" t="s">
        <v>3597</v>
      </c>
      <c r="F900" s="5" t="s">
        <v>1548</v>
      </c>
      <c r="G900" s="6">
        <v>46041.680555555555</v>
      </c>
      <c r="H900" s="7">
        <v>46052</v>
      </c>
      <c r="I900" s="5" t="s">
        <v>3598</v>
      </c>
      <c r="J900" s="7">
        <v>46059</v>
      </c>
      <c r="K900" s="5" t="s">
        <v>1527</v>
      </c>
      <c r="L900" s="5" t="s">
        <v>1564</v>
      </c>
      <c r="M900" s="8">
        <v>258.2</v>
      </c>
      <c r="N900" s="5" t="s">
        <v>1536</v>
      </c>
      <c r="O900" s="7">
        <v>46059</v>
      </c>
    </row>
    <row r="901" spans="1:15" x14ac:dyDescent="0.25">
      <c r="A901" s="5" t="s">
        <v>4</v>
      </c>
      <c r="B901" s="5" t="s">
        <v>4000</v>
      </c>
      <c r="D901" s="5" t="s">
        <v>1179</v>
      </c>
      <c r="E901" s="5" t="s">
        <v>4001</v>
      </c>
      <c r="F901" s="5" t="s">
        <v>4002</v>
      </c>
      <c r="G901" s="6">
        <v>46164.649305555555</v>
      </c>
      <c r="H901" s="7">
        <v>46171</v>
      </c>
      <c r="I901" s="5" t="s">
        <v>4003</v>
      </c>
      <c r="J901" s="7">
        <v>46182</v>
      </c>
      <c r="K901" s="5" t="s">
        <v>1527</v>
      </c>
      <c r="L901" s="5" t="s">
        <v>1621</v>
      </c>
      <c r="M901" s="8">
        <v>258.17</v>
      </c>
      <c r="N901" s="5" t="s">
        <v>1536</v>
      </c>
      <c r="O901" s="7">
        <v>46182</v>
      </c>
    </row>
    <row r="902" spans="1:15" x14ac:dyDescent="0.25">
      <c r="A902" s="5" t="s">
        <v>4</v>
      </c>
      <c r="B902" s="5" t="s">
        <v>4004</v>
      </c>
      <c r="D902" s="5" t="s">
        <v>1325</v>
      </c>
      <c r="E902" s="5" t="s">
        <v>4005</v>
      </c>
      <c r="F902" s="5" t="s">
        <v>4006</v>
      </c>
      <c r="G902" s="6">
        <v>46097.623611111114</v>
      </c>
      <c r="H902" s="7">
        <v>46108</v>
      </c>
      <c r="I902" s="5" t="s">
        <v>4007</v>
      </c>
      <c r="J902" s="7">
        <v>46106</v>
      </c>
      <c r="K902" s="5" t="s">
        <v>1527</v>
      </c>
      <c r="L902" s="5" t="s">
        <v>1564</v>
      </c>
      <c r="M902" s="8">
        <v>257.86</v>
      </c>
      <c r="N902" s="5" t="s">
        <v>1536</v>
      </c>
      <c r="O902" s="7">
        <v>46106</v>
      </c>
    </row>
    <row r="903" spans="1:15" x14ac:dyDescent="0.25">
      <c r="A903" s="5" t="s">
        <v>4</v>
      </c>
      <c r="B903" s="5" t="s">
        <v>4008</v>
      </c>
      <c r="D903" s="5" t="s">
        <v>676</v>
      </c>
      <c r="E903" s="5" t="s">
        <v>4009</v>
      </c>
      <c r="F903" s="5" t="s">
        <v>1548</v>
      </c>
      <c r="G903" s="6">
        <v>46051.344444444447</v>
      </c>
      <c r="H903" s="7">
        <v>46064</v>
      </c>
      <c r="I903" s="5" t="s">
        <v>4010</v>
      </c>
      <c r="J903" s="7">
        <v>46072</v>
      </c>
      <c r="K903" s="5" t="s">
        <v>1527</v>
      </c>
      <c r="L903" s="5" t="s">
        <v>1564</v>
      </c>
      <c r="M903" s="8">
        <v>257.60000000000002</v>
      </c>
      <c r="N903" s="5" t="s">
        <v>1536</v>
      </c>
      <c r="O903" s="7">
        <v>46072</v>
      </c>
    </row>
    <row r="904" spans="1:15" x14ac:dyDescent="0.25">
      <c r="A904" s="5" t="s">
        <v>4</v>
      </c>
      <c r="B904" s="5" t="s">
        <v>4011</v>
      </c>
      <c r="D904" s="5" t="s">
        <v>588</v>
      </c>
      <c r="E904" s="5" t="s">
        <v>4012</v>
      </c>
      <c r="F904" s="5" t="s">
        <v>4013</v>
      </c>
      <c r="G904" s="6">
        <v>46071.599305555559</v>
      </c>
      <c r="H904" s="7">
        <v>46084</v>
      </c>
      <c r="I904" s="6">
        <v>46079.619444444441</v>
      </c>
      <c r="J904" s="7">
        <v>46079</v>
      </c>
      <c r="K904" s="5" t="s">
        <v>1527</v>
      </c>
      <c r="L904" s="5" t="s">
        <v>1564</v>
      </c>
      <c r="M904" s="8">
        <v>257</v>
      </c>
      <c r="N904" s="5" t="s">
        <v>1536</v>
      </c>
      <c r="O904" s="7">
        <v>46079</v>
      </c>
    </row>
    <row r="905" spans="1:15" x14ac:dyDescent="0.25">
      <c r="A905" s="5" t="s">
        <v>4</v>
      </c>
      <c r="B905" s="5" t="s">
        <v>4014</v>
      </c>
      <c r="D905" s="5" t="s">
        <v>323</v>
      </c>
      <c r="E905" s="5" t="s">
        <v>4015</v>
      </c>
      <c r="F905" s="5" t="s">
        <v>4016</v>
      </c>
      <c r="G905" s="6">
        <v>46170.661111111112</v>
      </c>
      <c r="H905" s="7">
        <v>46177</v>
      </c>
      <c r="I905" s="5" t="s">
        <v>4017</v>
      </c>
      <c r="J905" s="7">
        <v>46171</v>
      </c>
      <c r="K905" s="5" t="s">
        <v>1527</v>
      </c>
      <c r="L905" s="5" t="s">
        <v>3243</v>
      </c>
      <c r="M905" s="8">
        <v>256.58999999999997</v>
      </c>
      <c r="N905" s="5" t="s">
        <v>1536</v>
      </c>
      <c r="O905" s="7">
        <v>46171</v>
      </c>
    </row>
    <row r="906" spans="1:15" hidden="1" x14ac:dyDescent="0.25">
      <c r="A906" s="5" t="s">
        <v>1522</v>
      </c>
      <c r="B906" s="5" t="s">
        <v>4018</v>
      </c>
      <c r="D906" s="5" t="s">
        <v>991</v>
      </c>
      <c r="E906" s="5" t="s">
        <v>4019</v>
      </c>
      <c r="F906" s="5" t="s">
        <v>1548</v>
      </c>
      <c r="G906" s="6">
        <v>46086.695138888892</v>
      </c>
      <c r="H906" s="7">
        <v>46098</v>
      </c>
      <c r="I906" s="5" t="s">
        <v>2616</v>
      </c>
      <c r="J906" s="7">
        <v>46104</v>
      </c>
      <c r="K906" s="5" t="s">
        <v>1527</v>
      </c>
      <c r="L906" s="5" t="s">
        <v>1528</v>
      </c>
      <c r="M906" s="8">
        <v>256</v>
      </c>
      <c r="N906" s="5" t="s">
        <v>1536</v>
      </c>
      <c r="O906" s="7">
        <v>46104</v>
      </c>
    </row>
    <row r="907" spans="1:15" x14ac:dyDescent="0.25">
      <c r="A907" s="5" t="s">
        <v>4</v>
      </c>
      <c r="B907" s="5" t="s">
        <v>4020</v>
      </c>
      <c r="D907" s="5" t="s">
        <v>41</v>
      </c>
      <c r="E907" s="5" t="s">
        <v>4021</v>
      </c>
      <c r="F907" s="5" t="s">
        <v>1548</v>
      </c>
      <c r="G907" s="6">
        <v>46043.371527777781</v>
      </c>
      <c r="H907" s="7">
        <v>46056</v>
      </c>
      <c r="I907" s="5" t="s">
        <v>2691</v>
      </c>
      <c r="J907" s="7">
        <v>46064</v>
      </c>
      <c r="K907" s="5" t="s">
        <v>1527</v>
      </c>
      <c r="L907" s="5" t="s">
        <v>1564</v>
      </c>
      <c r="M907" s="8">
        <v>256</v>
      </c>
      <c r="N907" s="5" t="s">
        <v>1536</v>
      </c>
      <c r="O907" s="7">
        <v>46064</v>
      </c>
    </row>
    <row r="908" spans="1:15" x14ac:dyDescent="0.25">
      <c r="A908" s="5" t="s">
        <v>4</v>
      </c>
      <c r="B908" s="5" t="s">
        <v>4022</v>
      </c>
      <c r="D908" s="5" t="s">
        <v>310</v>
      </c>
      <c r="E908" s="5" t="s">
        <v>4023</v>
      </c>
      <c r="F908" s="5" t="s">
        <v>1813</v>
      </c>
      <c r="G908" s="6">
        <v>46078.710416666669</v>
      </c>
      <c r="H908" s="7">
        <v>46090</v>
      </c>
      <c r="I908" s="5" t="s">
        <v>4024</v>
      </c>
      <c r="J908" s="7">
        <v>46104</v>
      </c>
      <c r="K908" s="5" t="s">
        <v>1527</v>
      </c>
      <c r="L908" s="5" t="s">
        <v>1535</v>
      </c>
      <c r="M908" s="8">
        <v>256</v>
      </c>
      <c r="N908" s="5" t="s">
        <v>1536</v>
      </c>
      <c r="O908" s="7">
        <v>46104</v>
      </c>
    </row>
    <row r="909" spans="1:15" x14ac:dyDescent="0.25">
      <c r="A909" s="5" t="s">
        <v>4</v>
      </c>
      <c r="B909" s="5" t="s">
        <v>4025</v>
      </c>
      <c r="D909" s="5" t="s">
        <v>1140</v>
      </c>
      <c r="E909" s="5" t="s">
        <v>4026</v>
      </c>
      <c r="F909" s="5" t="s">
        <v>1813</v>
      </c>
      <c r="G909" s="6">
        <v>46122.43472222222</v>
      </c>
      <c r="H909" s="7">
        <v>46134</v>
      </c>
      <c r="I909" s="6">
        <v>46130.371527777781</v>
      </c>
      <c r="J909" s="7">
        <v>46128</v>
      </c>
      <c r="K909" s="5" t="s">
        <v>1527</v>
      </c>
      <c r="L909" s="5" t="s">
        <v>1535</v>
      </c>
      <c r="M909" s="8">
        <v>253.9</v>
      </c>
      <c r="N909" s="5" t="s">
        <v>1536</v>
      </c>
      <c r="O909" s="7">
        <v>46128</v>
      </c>
    </row>
    <row r="910" spans="1:15" x14ac:dyDescent="0.25">
      <c r="A910" s="5" t="s">
        <v>4</v>
      </c>
      <c r="B910" s="5" t="s">
        <v>4027</v>
      </c>
      <c r="D910" s="5" t="s">
        <v>684</v>
      </c>
      <c r="E910" s="5" t="s">
        <v>4028</v>
      </c>
      <c r="F910" s="5" t="s">
        <v>4029</v>
      </c>
      <c r="G910" s="6">
        <v>46029.691666666666</v>
      </c>
      <c r="H910" s="7">
        <v>46036</v>
      </c>
      <c r="I910" s="5" t="s">
        <v>4030</v>
      </c>
      <c r="J910" s="7">
        <v>46051</v>
      </c>
      <c r="K910" s="5" t="s">
        <v>1527</v>
      </c>
      <c r="L910" s="5" t="s">
        <v>1621</v>
      </c>
      <c r="M910" s="8">
        <v>253.16</v>
      </c>
      <c r="N910" s="5" t="s">
        <v>1536</v>
      </c>
      <c r="O910" s="7">
        <v>46051</v>
      </c>
    </row>
    <row r="911" spans="1:15" x14ac:dyDescent="0.25">
      <c r="A911" s="5" t="s">
        <v>4</v>
      </c>
      <c r="B911" s="5" t="s">
        <v>4031</v>
      </c>
      <c r="D911" s="5" t="s">
        <v>514</v>
      </c>
      <c r="E911" s="5" t="s">
        <v>4032</v>
      </c>
      <c r="F911" s="5" t="s">
        <v>1548</v>
      </c>
      <c r="G911" s="6">
        <v>46037.696527777778</v>
      </c>
      <c r="H911" s="7">
        <v>46050</v>
      </c>
      <c r="I911" s="5" t="s">
        <v>3986</v>
      </c>
      <c r="J911" s="7">
        <v>46052</v>
      </c>
      <c r="K911" s="5" t="s">
        <v>1527</v>
      </c>
      <c r="L911" s="5" t="s">
        <v>1564</v>
      </c>
      <c r="M911" s="8">
        <v>253</v>
      </c>
      <c r="N911" s="5" t="s">
        <v>1536</v>
      </c>
      <c r="O911" s="7">
        <v>46052</v>
      </c>
    </row>
    <row r="912" spans="1:15" x14ac:dyDescent="0.25">
      <c r="A912" s="5" t="s">
        <v>4</v>
      </c>
      <c r="B912" s="5" t="s">
        <v>4033</v>
      </c>
      <c r="D912" s="5" t="s">
        <v>303</v>
      </c>
      <c r="E912" s="5" t="s">
        <v>4034</v>
      </c>
      <c r="F912" s="5" t="s">
        <v>4035</v>
      </c>
      <c r="G912" s="6">
        <v>46028.359722222223</v>
      </c>
      <c r="H912" s="7">
        <v>46035</v>
      </c>
      <c r="I912" s="6">
        <v>46035.730555555558</v>
      </c>
      <c r="J912" s="7">
        <v>46035</v>
      </c>
      <c r="K912" s="5" t="s">
        <v>1527</v>
      </c>
      <c r="L912" s="5" t="s">
        <v>1621</v>
      </c>
      <c r="M912" s="8">
        <v>252.88</v>
      </c>
      <c r="N912" s="5" t="s">
        <v>1536</v>
      </c>
      <c r="O912" s="7">
        <v>46035</v>
      </c>
    </row>
    <row r="913" spans="1:15" x14ac:dyDescent="0.25">
      <c r="A913" s="5" t="s">
        <v>4</v>
      </c>
      <c r="B913" s="5" t="s">
        <v>4036</v>
      </c>
      <c r="D913" s="5" t="s">
        <v>793</v>
      </c>
      <c r="E913" s="5" t="s">
        <v>4037</v>
      </c>
      <c r="F913" s="5" t="s">
        <v>1532</v>
      </c>
      <c r="G913" s="6">
        <v>46156.68472222222</v>
      </c>
      <c r="H913" s="7">
        <v>46167</v>
      </c>
      <c r="I913" s="6">
        <v>46167.745833333334</v>
      </c>
      <c r="J913" s="7">
        <v>46167</v>
      </c>
      <c r="K913" s="5" t="s">
        <v>1527</v>
      </c>
      <c r="L913" s="5" t="s">
        <v>1535</v>
      </c>
      <c r="M913" s="8">
        <v>252.7</v>
      </c>
      <c r="N913" s="5" t="s">
        <v>1536</v>
      </c>
      <c r="O913" s="7">
        <v>46167</v>
      </c>
    </row>
    <row r="914" spans="1:15" x14ac:dyDescent="0.25">
      <c r="A914" s="5" t="s">
        <v>4</v>
      </c>
      <c r="B914" s="5" t="s">
        <v>4038</v>
      </c>
      <c r="D914" s="5" t="s">
        <v>653</v>
      </c>
      <c r="E914" s="5" t="s">
        <v>4039</v>
      </c>
      <c r="F914" s="5" t="s">
        <v>4040</v>
      </c>
      <c r="G914" s="6">
        <v>46125.413888888892</v>
      </c>
      <c r="H914" s="7">
        <v>46132</v>
      </c>
      <c r="I914" s="6">
        <v>46132.618055555555</v>
      </c>
      <c r="J914" s="7">
        <v>46132</v>
      </c>
      <c r="K914" s="5" t="s">
        <v>1527</v>
      </c>
      <c r="L914" s="5" t="s">
        <v>1564</v>
      </c>
      <c r="M914" s="8">
        <v>252.05</v>
      </c>
      <c r="N914" s="5" t="s">
        <v>1536</v>
      </c>
      <c r="O914" s="7">
        <v>46132</v>
      </c>
    </row>
    <row r="915" spans="1:15" x14ac:dyDescent="0.25">
      <c r="A915" s="5" t="s">
        <v>4</v>
      </c>
      <c r="B915" s="5" t="s">
        <v>4041</v>
      </c>
      <c r="D915" s="5" t="s">
        <v>1139</v>
      </c>
      <c r="E915" s="5" t="s">
        <v>4042</v>
      </c>
      <c r="F915" s="5" t="s">
        <v>4043</v>
      </c>
      <c r="G915" s="6">
        <v>46132.67291666667</v>
      </c>
      <c r="H915" s="7">
        <v>46147</v>
      </c>
      <c r="I915" s="6">
        <v>46141.345138888886</v>
      </c>
      <c r="J915" s="7">
        <v>46140</v>
      </c>
      <c r="K915" s="5" t="s">
        <v>1527</v>
      </c>
      <c r="L915" s="5" t="s">
        <v>1564</v>
      </c>
      <c r="M915" s="8">
        <v>251.7</v>
      </c>
      <c r="N915" s="5" t="s">
        <v>1536</v>
      </c>
      <c r="O915" s="7">
        <v>46140</v>
      </c>
    </row>
    <row r="916" spans="1:15" hidden="1" x14ac:dyDescent="0.25">
      <c r="A916" s="5" t="s">
        <v>1522</v>
      </c>
      <c r="B916" s="5" t="s">
        <v>4044</v>
      </c>
      <c r="D916" s="5" t="s">
        <v>1510</v>
      </c>
      <c r="E916" s="5" t="s">
        <v>2466</v>
      </c>
      <c r="F916" s="5" t="s">
        <v>3389</v>
      </c>
      <c r="G916" s="6">
        <v>46043.643750000003</v>
      </c>
      <c r="H916" s="7">
        <v>46050</v>
      </c>
      <c r="I916" s="5" t="s">
        <v>4045</v>
      </c>
      <c r="J916" s="7">
        <v>46051</v>
      </c>
      <c r="K916" s="5" t="s">
        <v>1527</v>
      </c>
      <c r="L916" s="5" t="s">
        <v>1621</v>
      </c>
      <c r="M916" s="8">
        <v>251.24</v>
      </c>
      <c r="N916" s="5" t="s">
        <v>1536</v>
      </c>
      <c r="O916" s="7">
        <v>46051</v>
      </c>
    </row>
    <row r="917" spans="1:15" x14ac:dyDescent="0.25">
      <c r="A917" s="5" t="s">
        <v>4</v>
      </c>
      <c r="B917" s="5" t="s">
        <v>4046</v>
      </c>
      <c r="D917" s="5" t="s">
        <v>296</v>
      </c>
      <c r="E917" s="5" t="s">
        <v>4047</v>
      </c>
      <c r="F917" s="5" t="s">
        <v>4048</v>
      </c>
      <c r="G917" s="6">
        <v>46062.715277777781</v>
      </c>
      <c r="H917" s="7">
        <v>46069</v>
      </c>
      <c r="I917" s="5" t="s">
        <v>4049</v>
      </c>
      <c r="J917" s="7">
        <v>46070</v>
      </c>
      <c r="K917" s="5" t="s">
        <v>1527</v>
      </c>
      <c r="L917" s="5" t="s">
        <v>1621</v>
      </c>
      <c r="M917" s="8">
        <v>250.78</v>
      </c>
      <c r="N917" s="5" t="s">
        <v>1536</v>
      </c>
      <c r="O917" s="7">
        <v>46070</v>
      </c>
    </row>
    <row r="918" spans="1:15" hidden="1" x14ac:dyDescent="0.25">
      <c r="A918" s="5" t="s">
        <v>1522</v>
      </c>
      <c r="B918" s="5" t="s">
        <v>4050</v>
      </c>
      <c r="D918" s="5" t="s">
        <v>1481</v>
      </c>
      <c r="E918" s="5" t="s">
        <v>2220</v>
      </c>
      <c r="F918" s="5" t="s">
        <v>1548</v>
      </c>
      <c r="G918" s="6">
        <v>46094.361111111109</v>
      </c>
      <c r="H918" s="7">
        <v>46101</v>
      </c>
      <c r="I918" s="6">
        <v>46099.752083333333</v>
      </c>
      <c r="J918" s="7">
        <v>46099</v>
      </c>
      <c r="K918" s="5" t="s">
        <v>1527</v>
      </c>
      <c r="L918" s="5" t="s">
        <v>1528</v>
      </c>
      <c r="M918" s="8">
        <v>250</v>
      </c>
      <c r="N918" s="5" t="s">
        <v>1536</v>
      </c>
      <c r="O918" s="7">
        <v>46099</v>
      </c>
    </row>
    <row r="919" spans="1:15" hidden="1" x14ac:dyDescent="0.25">
      <c r="A919" s="5" t="s">
        <v>1522</v>
      </c>
      <c r="B919" s="5" t="s">
        <v>4051</v>
      </c>
      <c r="D919" s="5" t="s">
        <v>17</v>
      </c>
      <c r="E919" s="5" t="s">
        <v>4052</v>
      </c>
      <c r="F919" s="5" t="s">
        <v>4053</v>
      </c>
      <c r="G919" s="6">
        <v>46113.607638888891</v>
      </c>
      <c r="H919" s="7">
        <v>46122</v>
      </c>
      <c r="I919" s="5" t="s">
        <v>4054</v>
      </c>
      <c r="J919" s="7">
        <v>46128</v>
      </c>
      <c r="K919" s="5" t="s">
        <v>1527</v>
      </c>
      <c r="L919" s="5" t="s">
        <v>1528</v>
      </c>
      <c r="M919" s="8">
        <v>250</v>
      </c>
      <c r="N919" s="5" t="s">
        <v>1536</v>
      </c>
      <c r="O919" s="7">
        <v>46128</v>
      </c>
    </row>
    <row r="920" spans="1:15" x14ac:dyDescent="0.25">
      <c r="A920" s="5" t="s">
        <v>4</v>
      </c>
      <c r="B920" s="5" t="s">
        <v>4055</v>
      </c>
      <c r="D920" s="5" t="s">
        <v>1326</v>
      </c>
      <c r="E920" s="5" t="s">
        <v>4056</v>
      </c>
      <c r="F920" s="5" t="s">
        <v>4057</v>
      </c>
      <c r="G920" s="6">
        <v>46134.714583333334</v>
      </c>
      <c r="H920" s="7">
        <v>46142</v>
      </c>
      <c r="I920" s="6">
        <v>46141.73333333333</v>
      </c>
      <c r="J920" s="7">
        <v>46140</v>
      </c>
      <c r="K920" s="5" t="s">
        <v>1527</v>
      </c>
      <c r="L920" s="5" t="s">
        <v>1535</v>
      </c>
      <c r="M920" s="8">
        <v>250</v>
      </c>
      <c r="N920" s="5" t="s">
        <v>1536</v>
      </c>
      <c r="O920" s="7">
        <v>46140</v>
      </c>
    </row>
    <row r="921" spans="1:15" x14ac:dyDescent="0.25">
      <c r="A921" s="5" t="s">
        <v>4</v>
      </c>
      <c r="B921" s="5" t="s">
        <v>4058</v>
      </c>
      <c r="D921" s="5" t="s">
        <v>1387</v>
      </c>
      <c r="E921" s="5" t="s">
        <v>4059</v>
      </c>
      <c r="F921" s="5" t="s">
        <v>1548</v>
      </c>
      <c r="G921" s="6">
        <v>46028.379861111112</v>
      </c>
      <c r="H921" s="7">
        <v>46043</v>
      </c>
      <c r="I921" s="5" t="s">
        <v>4060</v>
      </c>
      <c r="J921" s="7">
        <v>46049</v>
      </c>
      <c r="K921" s="5" t="s">
        <v>1527</v>
      </c>
      <c r="L921" s="5" t="s">
        <v>1564</v>
      </c>
      <c r="M921" s="8">
        <v>249.5</v>
      </c>
      <c r="N921" s="5" t="s">
        <v>1536</v>
      </c>
      <c r="O921" s="7">
        <v>46049</v>
      </c>
    </row>
    <row r="922" spans="1:15" hidden="1" x14ac:dyDescent="0.25">
      <c r="A922" s="5" t="s">
        <v>1522</v>
      </c>
      <c r="B922" s="5" t="s">
        <v>4061</v>
      </c>
      <c r="D922" s="5" t="s">
        <v>1468</v>
      </c>
      <c r="E922" s="5" t="s">
        <v>3732</v>
      </c>
      <c r="F922" s="5" t="s">
        <v>4062</v>
      </c>
      <c r="G922" s="6">
        <v>46049.481944444444</v>
      </c>
      <c r="H922" s="7">
        <v>46056</v>
      </c>
      <c r="I922" s="5" t="s">
        <v>4063</v>
      </c>
      <c r="J922" s="7">
        <v>46058</v>
      </c>
      <c r="K922" s="5" t="s">
        <v>1527</v>
      </c>
      <c r="L922" s="5" t="s">
        <v>1528</v>
      </c>
      <c r="M922" s="8">
        <v>248.64</v>
      </c>
      <c r="N922" s="5" t="s">
        <v>1536</v>
      </c>
      <c r="O922" s="7">
        <v>46058</v>
      </c>
    </row>
    <row r="923" spans="1:15" x14ac:dyDescent="0.25">
      <c r="A923" s="5" t="s">
        <v>4</v>
      </c>
      <c r="B923" s="5" t="s">
        <v>4064</v>
      </c>
      <c r="D923" s="5" t="s">
        <v>1131</v>
      </c>
      <c r="E923" s="5" t="s">
        <v>4065</v>
      </c>
      <c r="F923" s="5" t="s">
        <v>4066</v>
      </c>
      <c r="G923" s="6">
        <v>46071.637499999997</v>
      </c>
      <c r="H923" s="7">
        <v>46080</v>
      </c>
      <c r="I923" s="5" t="s">
        <v>1533</v>
      </c>
      <c r="J923" s="7">
        <v>46080</v>
      </c>
      <c r="K923" s="5" t="s">
        <v>1534</v>
      </c>
      <c r="L923" s="5" t="s">
        <v>1621</v>
      </c>
      <c r="M923" s="8">
        <v>246.98</v>
      </c>
      <c r="N923" s="5" t="s">
        <v>1536</v>
      </c>
      <c r="O923" s="7">
        <v>46080</v>
      </c>
    </row>
    <row r="924" spans="1:15" x14ac:dyDescent="0.25">
      <c r="A924" s="5" t="s">
        <v>4</v>
      </c>
      <c r="B924" s="5" t="s">
        <v>4067</v>
      </c>
      <c r="D924" s="5" t="s">
        <v>1128</v>
      </c>
      <c r="E924" s="5" t="s">
        <v>4068</v>
      </c>
      <c r="F924" s="5" t="s">
        <v>4069</v>
      </c>
      <c r="G924" s="6">
        <v>46136.6875</v>
      </c>
      <c r="H924" s="7">
        <v>46143</v>
      </c>
      <c r="I924" s="5" t="s">
        <v>4070</v>
      </c>
      <c r="J924" s="7">
        <v>46146</v>
      </c>
      <c r="K924" s="5" t="s">
        <v>1527</v>
      </c>
      <c r="L924" s="5" t="s">
        <v>1621</v>
      </c>
      <c r="M924" s="8">
        <v>245.41</v>
      </c>
      <c r="N924" s="5" t="s">
        <v>1536</v>
      </c>
      <c r="O924" s="7">
        <v>46146</v>
      </c>
    </row>
    <row r="925" spans="1:15" x14ac:dyDescent="0.25">
      <c r="A925" s="5" t="s">
        <v>4</v>
      </c>
      <c r="B925" s="5" t="s">
        <v>4071</v>
      </c>
      <c r="D925" s="5" t="s">
        <v>1435</v>
      </c>
      <c r="E925" s="5" t="s">
        <v>4072</v>
      </c>
      <c r="F925" s="5" t="s">
        <v>1548</v>
      </c>
      <c r="G925" s="6">
        <v>46055.713194444441</v>
      </c>
      <c r="H925" s="7">
        <v>46066</v>
      </c>
      <c r="I925" s="5" t="s">
        <v>3509</v>
      </c>
      <c r="J925" s="7">
        <v>46069</v>
      </c>
      <c r="K925" s="5" t="s">
        <v>1527</v>
      </c>
      <c r="L925" s="5" t="s">
        <v>1564</v>
      </c>
      <c r="M925" s="8">
        <v>245</v>
      </c>
      <c r="N925" s="5" t="s">
        <v>1536</v>
      </c>
      <c r="O925" s="7">
        <v>46069</v>
      </c>
    </row>
    <row r="926" spans="1:15" x14ac:dyDescent="0.25">
      <c r="A926" s="5" t="s">
        <v>4</v>
      </c>
      <c r="B926" s="5" t="s">
        <v>4073</v>
      </c>
      <c r="D926" s="5" t="s">
        <v>1435</v>
      </c>
      <c r="E926" s="5" t="s">
        <v>4072</v>
      </c>
      <c r="F926" s="5" t="s">
        <v>1770</v>
      </c>
      <c r="G926" s="6">
        <v>46118.679861111108</v>
      </c>
      <c r="H926" s="7">
        <v>46125</v>
      </c>
      <c r="I926" s="6">
        <v>46125.470833333333</v>
      </c>
      <c r="J926" s="7">
        <v>46121</v>
      </c>
      <c r="K926" s="5" t="s">
        <v>1527</v>
      </c>
      <c r="L926" s="5" t="s">
        <v>1564</v>
      </c>
      <c r="M926" s="8">
        <v>245</v>
      </c>
      <c r="N926" s="5" t="s">
        <v>1536</v>
      </c>
      <c r="O926" s="7">
        <v>46121</v>
      </c>
    </row>
    <row r="927" spans="1:15" x14ac:dyDescent="0.25">
      <c r="A927" s="5" t="s">
        <v>4</v>
      </c>
      <c r="B927" s="5" t="s">
        <v>4074</v>
      </c>
      <c r="D927" s="5" t="s">
        <v>1452</v>
      </c>
      <c r="E927" s="5" t="s">
        <v>4075</v>
      </c>
      <c r="F927" s="5" t="s">
        <v>1759</v>
      </c>
      <c r="G927" s="6">
        <v>46142.381944444445</v>
      </c>
      <c r="H927" s="7">
        <v>46156</v>
      </c>
      <c r="I927" s="6">
        <v>46150.602083333331</v>
      </c>
      <c r="J927" s="7">
        <v>46150</v>
      </c>
      <c r="K927" s="5" t="s">
        <v>1527</v>
      </c>
      <c r="L927" s="5" t="s">
        <v>1564</v>
      </c>
      <c r="M927" s="8">
        <v>245</v>
      </c>
      <c r="N927" s="5" t="s">
        <v>1536</v>
      </c>
      <c r="O927" s="7">
        <v>46150</v>
      </c>
    </row>
    <row r="928" spans="1:15" x14ac:dyDescent="0.25">
      <c r="A928" s="5" t="s">
        <v>4</v>
      </c>
      <c r="B928" s="5" t="s">
        <v>4076</v>
      </c>
      <c r="D928" s="5" t="s">
        <v>476</v>
      </c>
      <c r="E928" s="5" t="s">
        <v>4077</v>
      </c>
      <c r="F928" s="5" t="s">
        <v>3458</v>
      </c>
      <c r="G928" s="6">
        <v>46155.638194444444</v>
      </c>
      <c r="H928" s="7">
        <v>46169</v>
      </c>
      <c r="I928" s="5" t="s">
        <v>3502</v>
      </c>
      <c r="J928" s="7">
        <v>46168</v>
      </c>
      <c r="K928" s="5" t="s">
        <v>1527</v>
      </c>
      <c r="L928" s="5" t="s">
        <v>1564</v>
      </c>
      <c r="M928" s="8">
        <v>245</v>
      </c>
      <c r="N928" s="5" t="s">
        <v>1536</v>
      </c>
      <c r="O928" s="7">
        <v>46168</v>
      </c>
    </row>
    <row r="929" spans="1:15" x14ac:dyDescent="0.25">
      <c r="A929" s="5" t="s">
        <v>4</v>
      </c>
      <c r="B929" s="5" t="s">
        <v>4078</v>
      </c>
      <c r="D929" s="5" t="s">
        <v>1435</v>
      </c>
      <c r="E929" s="5" t="s">
        <v>4072</v>
      </c>
      <c r="F929" s="5" t="s">
        <v>1770</v>
      </c>
      <c r="G929" s="6">
        <v>46160.343055555553</v>
      </c>
      <c r="H929" s="7">
        <v>46169</v>
      </c>
      <c r="I929" s="5" t="s">
        <v>4079</v>
      </c>
      <c r="J929" s="7">
        <v>46176</v>
      </c>
      <c r="K929" s="5" t="s">
        <v>1527</v>
      </c>
      <c r="L929" s="5" t="s">
        <v>1535</v>
      </c>
      <c r="M929" s="8">
        <v>245</v>
      </c>
      <c r="N929" s="5" t="s">
        <v>1536</v>
      </c>
      <c r="O929" s="7">
        <v>46176</v>
      </c>
    </row>
    <row r="930" spans="1:15" x14ac:dyDescent="0.25">
      <c r="A930" s="5" t="s">
        <v>4</v>
      </c>
      <c r="B930" s="5" t="s">
        <v>4080</v>
      </c>
      <c r="D930" s="5" t="s">
        <v>1124</v>
      </c>
      <c r="E930" s="5" t="s">
        <v>4081</v>
      </c>
      <c r="F930" s="5" t="s">
        <v>1738</v>
      </c>
      <c r="G930" s="6">
        <v>46161.629166666666</v>
      </c>
      <c r="H930" s="7">
        <v>46170</v>
      </c>
      <c r="I930" s="5" t="s">
        <v>4082</v>
      </c>
      <c r="J930" s="7">
        <v>46170</v>
      </c>
      <c r="K930" s="5" t="s">
        <v>1527</v>
      </c>
      <c r="L930" s="5" t="s">
        <v>1564</v>
      </c>
      <c r="M930" s="8">
        <v>245</v>
      </c>
      <c r="N930" s="5" t="s">
        <v>1536</v>
      </c>
      <c r="O930" s="7">
        <v>46170</v>
      </c>
    </row>
    <row r="931" spans="1:15" x14ac:dyDescent="0.25">
      <c r="A931" s="5" t="s">
        <v>4</v>
      </c>
      <c r="B931" s="5" t="s">
        <v>4083</v>
      </c>
      <c r="D931" s="5" t="s">
        <v>300</v>
      </c>
      <c r="E931" s="5" t="s">
        <v>4084</v>
      </c>
      <c r="F931" s="5" t="s">
        <v>1548</v>
      </c>
      <c r="G931" s="6">
        <v>46031.632638888892</v>
      </c>
      <c r="H931" s="7">
        <v>46044</v>
      </c>
      <c r="I931" s="5" t="s">
        <v>2592</v>
      </c>
      <c r="J931" s="7">
        <v>46048</v>
      </c>
      <c r="K931" s="5" t="s">
        <v>1527</v>
      </c>
      <c r="L931" s="5" t="s">
        <v>1564</v>
      </c>
      <c r="M931" s="9">
        <v>244.86</v>
      </c>
      <c r="N931" s="5" t="s">
        <v>1536</v>
      </c>
      <c r="O931" s="7">
        <v>46048</v>
      </c>
    </row>
    <row r="932" spans="1:15" x14ac:dyDescent="0.25">
      <c r="A932" s="5" t="s">
        <v>4</v>
      </c>
      <c r="B932" s="5" t="s">
        <v>4085</v>
      </c>
      <c r="D932" s="5" t="s">
        <v>1457</v>
      </c>
      <c r="E932" s="5" t="s">
        <v>2764</v>
      </c>
      <c r="F932" s="5" t="s">
        <v>1532</v>
      </c>
      <c r="G932" s="6">
        <v>46140.565972222219</v>
      </c>
      <c r="H932" s="7">
        <v>46146</v>
      </c>
      <c r="I932" s="5" t="s">
        <v>4086</v>
      </c>
      <c r="J932" s="7">
        <v>46147</v>
      </c>
      <c r="K932" s="5" t="s">
        <v>1527</v>
      </c>
      <c r="L932" s="5" t="s">
        <v>1535</v>
      </c>
      <c r="M932" s="8">
        <v>244.65</v>
      </c>
      <c r="N932" s="5" t="s">
        <v>1536</v>
      </c>
      <c r="O932" s="7">
        <v>46147</v>
      </c>
    </row>
    <row r="933" spans="1:15" x14ac:dyDescent="0.25">
      <c r="A933" s="5" t="s">
        <v>4</v>
      </c>
      <c r="B933" s="5" t="s">
        <v>4087</v>
      </c>
      <c r="D933" s="5" t="s">
        <v>1099</v>
      </c>
      <c r="E933" s="5" t="s">
        <v>4088</v>
      </c>
      <c r="F933" s="5" t="s">
        <v>4089</v>
      </c>
      <c r="G933" s="6">
        <v>46126.752083333333</v>
      </c>
      <c r="H933" s="7">
        <v>46134</v>
      </c>
      <c r="I933" s="6">
        <v>46132.618055555555</v>
      </c>
      <c r="J933" s="7">
        <v>46132</v>
      </c>
      <c r="K933" s="5" t="s">
        <v>1527</v>
      </c>
      <c r="L933" s="5" t="s">
        <v>1564</v>
      </c>
      <c r="M933" s="8">
        <v>243.16</v>
      </c>
      <c r="N933" s="5" t="s">
        <v>1536</v>
      </c>
      <c r="O933" s="7">
        <v>46132</v>
      </c>
    </row>
    <row r="934" spans="1:15" x14ac:dyDescent="0.25">
      <c r="A934" s="5" t="s">
        <v>4</v>
      </c>
      <c r="B934" s="5" t="s">
        <v>4090</v>
      </c>
      <c r="D934" s="5" t="s">
        <v>609</v>
      </c>
      <c r="E934" s="5" t="s">
        <v>4091</v>
      </c>
      <c r="F934" s="5" t="s">
        <v>1548</v>
      </c>
      <c r="G934" s="6">
        <v>46028.731249999997</v>
      </c>
      <c r="H934" s="7">
        <v>46041</v>
      </c>
      <c r="I934" s="5" t="s">
        <v>4092</v>
      </c>
      <c r="J934" s="7">
        <v>46044</v>
      </c>
      <c r="K934" s="5" t="s">
        <v>1527</v>
      </c>
      <c r="L934" s="5" t="s">
        <v>1564</v>
      </c>
      <c r="M934" s="8">
        <v>243</v>
      </c>
      <c r="N934" s="5" t="s">
        <v>1536</v>
      </c>
      <c r="O934" s="7">
        <v>46044</v>
      </c>
    </row>
    <row r="935" spans="1:15" x14ac:dyDescent="0.25">
      <c r="A935" s="5" t="s">
        <v>4</v>
      </c>
      <c r="B935" s="5" t="s">
        <v>4093</v>
      </c>
      <c r="D935" s="5" t="s">
        <v>1202</v>
      </c>
      <c r="E935" s="5" t="s">
        <v>4094</v>
      </c>
      <c r="F935" s="5" t="s">
        <v>1548</v>
      </c>
      <c r="G935" s="6">
        <v>46037.419444444444</v>
      </c>
      <c r="H935" s="7">
        <v>46050</v>
      </c>
      <c r="I935" s="6">
        <v>46050.745138888888</v>
      </c>
      <c r="J935" s="7">
        <v>46050</v>
      </c>
      <c r="K935" s="5" t="s">
        <v>1527</v>
      </c>
      <c r="L935" s="5" t="s">
        <v>1564</v>
      </c>
      <c r="M935" s="8">
        <v>243</v>
      </c>
      <c r="N935" s="5" t="s">
        <v>1536</v>
      </c>
      <c r="O935" s="7">
        <v>46050</v>
      </c>
    </row>
    <row r="936" spans="1:15" x14ac:dyDescent="0.25">
      <c r="A936" s="5" t="s">
        <v>4</v>
      </c>
      <c r="B936" s="5" t="s">
        <v>4095</v>
      </c>
      <c r="D936" s="5" t="s">
        <v>1019</v>
      </c>
      <c r="E936" s="5" t="s">
        <v>4096</v>
      </c>
      <c r="F936" s="5" t="s">
        <v>1738</v>
      </c>
      <c r="G936" s="6">
        <v>46064.411111111112</v>
      </c>
      <c r="H936" s="7">
        <v>46078</v>
      </c>
      <c r="I936" s="6">
        <v>46071.615972222222</v>
      </c>
      <c r="J936" s="7">
        <v>46071</v>
      </c>
      <c r="K936" s="5" t="s">
        <v>1527</v>
      </c>
      <c r="L936" s="5" t="s">
        <v>1564</v>
      </c>
      <c r="M936" s="8">
        <v>243</v>
      </c>
      <c r="N936" s="5" t="s">
        <v>1536</v>
      </c>
      <c r="O936" s="7">
        <v>46071</v>
      </c>
    </row>
    <row r="937" spans="1:15" x14ac:dyDescent="0.25">
      <c r="A937" s="5" t="s">
        <v>4</v>
      </c>
      <c r="B937" s="5" t="s">
        <v>4097</v>
      </c>
      <c r="D937" s="5" t="s">
        <v>315</v>
      </c>
      <c r="E937" s="5" t="s">
        <v>4098</v>
      </c>
      <c r="F937" s="5" t="s">
        <v>1548</v>
      </c>
      <c r="G937" s="6">
        <v>46167.585416666669</v>
      </c>
      <c r="H937" s="7">
        <v>46178</v>
      </c>
      <c r="I937" s="5" t="s">
        <v>4099</v>
      </c>
      <c r="J937" s="7">
        <v>46184</v>
      </c>
      <c r="K937" s="5" t="s">
        <v>1527</v>
      </c>
      <c r="L937" s="5" t="s">
        <v>1535</v>
      </c>
      <c r="M937" s="8">
        <v>242</v>
      </c>
      <c r="N937" s="5" t="s">
        <v>1529</v>
      </c>
      <c r="O937" s="7">
        <v>46184</v>
      </c>
    </row>
    <row r="938" spans="1:15" x14ac:dyDescent="0.25">
      <c r="A938" s="5" t="s">
        <v>4</v>
      </c>
      <c r="B938" s="5" t="s">
        <v>4100</v>
      </c>
      <c r="D938" s="5" t="s">
        <v>1163</v>
      </c>
      <c r="E938" s="5" t="s">
        <v>4101</v>
      </c>
      <c r="F938" s="5" t="s">
        <v>4102</v>
      </c>
      <c r="G938" s="6">
        <v>46147.650694444441</v>
      </c>
      <c r="H938" s="7">
        <v>46154</v>
      </c>
      <c r="I938" s="6">
        <v>46153.594444444447</v>
      </c>
      <c r="J938" s="7">
        <v>46153</v>
      </c>
      <c r="K938" s="5" t="s">
        <v>1527</v>
      </c>
      <c r="L938" s="5" t="s">
        <v>1621</v>
      </c>
      <c r="M938" s="8">
        <v>241.2</v>
      </c>
      <c r="N938" s="5" t="s">
        <v>1536</v>
      </c>
      <c r="O938" s="7">
        <v>46153</v>
      </c>
    </row>
    <row r="939" spans="1:15" hidden="1" x14ac:dyDescent="0.25">
      <c r="A939" s="5" t="s">
        <v>1522</v>
      </c>
      <c r="B939" s="5" t="s">
        <v>4103</v>
      </c>
      <c r="D939" s="5" t="s">
        <v>1454</v>
      </c>
      <c r="E939" s="5" t="s">
        <v>1694</v>
      </c>
      <c r="F939" s="5" t="s">
        <v>1548</v>
      </c>
      <c r="G939" s="6">
        <v>46142.678472222222</v>
      </c>
      <c r="H939" s="7">
        <v>46155</v>
      </c>
      <c r="I939" s="5" t="s">
        <v>4104</v>
      </c>
      <c r="J939" s="7">
        <v>46154</v>
      </c>
      <c r="K939" s="5" t="s">
        <v>1527</v>
      </c>
      <c r="L939" s="5" t="s">
        <v>1528</v>
      </c>
      <c r="M939" s="8">
        <v>240</v>
      </c>
      <c r="N939" s="5" t="s">
        <v>1529</v>
      </c>
      <c r="O939" s="7">
        <v>46154</v>
      </c>
    </row>
    <row r="940" spans="1:15" x14ac:dyDescent="0.25">
      <c r="A940" s="5" t="s">
        <v>4</v>
      </c>
      <c r="B940" s="5" t="s">
        <v>4105</v>
      </c>
      <c r="D940" s="5" t="s">
        <v>694</v>
      </c>
      <c r="E940" s="5" t="s">
        <v>4106</v>
      </c>
      <c r="F940" s="5" t="s">
        <v>1548</v>
      </c>
      <c r="G940" s="6">
        <v>46050.450694444444</v>
      </c>
      <c r="H940" s="7">
        <v>46063</v>
      </c>
      <c r="I940" s="5" t="s">
        <v>2835</v>
      </c>
      <c r="J940" s="7">
        <v>46065</v>
      </c>
      <c r="K940" s="5" t="s">
        <v>1527</v>
      </c>
      <c r="L940" s="5" t="s">
        <v>1564</v>
      </c>
      <c r="M940" s="8">
        <v>240</v>
      </c>
      <c r="N940" s="5" t="s">
        <v>1536</v>
      </c>
      <c r="O940" s="7">
        <v>46065</v>
      </c>
    </row>
    <row r="941" spans="1:15" x14ac:dyDescent="0.25">
      <c r="A941" s="5" t="s">
        <v>4</v>
      </c>
      <c r="B941" s="5" t="s">
        <v>4107</v>
      </c>
      <c r="D941" s="5" t="s">
        <v>1307</v>
      </c>
      <c r="E941" s="5" t="s">
        <v>4108</v>
      </c>
      <c r="F941" s="5" t="s">
        <v>1759</v>
      </c>
      <c r="G941" s="6">
        <v>46083.708333333336</v>
      </c>
      <c r="H941" s="7">
        <v>46094</v>
      </c>
      <c r="I941" s="5" t="s">
        <v>4109</v>
      </c>
      <c r="J941" s="7">
        <v>46111</v>
      </c>
      <c r="K941" s="5" t="s">
        <v>1527</v>
      </c>
      <c r="L941" s="5" t="s">
        <v>1564</v>
      </c>
      <c r="M941" s="8">
        <v>240</v>
      </c>
      <c r="N941" s="5" t="s">
        <v>1536</v>
      </c>
      <c r="O941" s="7">
        <v>46111</v>
      </c>
    </row>
    <row r="942" spans="1:15" x14ac:dyDescent="0.25">
      <c r="A942" s="5" t="s">
        <v>4</v>
      </c>
      <c r="B942" s="5" t="s">
        <v>4110</v>
      </c>
      <c r="D942" s="5" t="s">
        <v>276</v>
      </c>
      <c r="E942" s="5" t="s">
        <v>4111</v>
      </c>
      <c r="F942" s="5" t="s">
        <v>1759</v>
      </c>
      <c r="G942" s="6">
        <v>46155.472916666666</v>
      </c>
      <c r="H942" s="7">
        <v>46169</v>
      </c>
      <c r="I942" s="6">
        <v>46161.413888888892</v>
      </c>
      <c r="J942" s="7">
        <v>46160</v>
      </c>
      <c r="K942" s="5" t="s">
        <v>1527</v>
      </c>
      <c r="L942" s="5" t="s">
        <v>1564</v>
      </c>
      <c r="M942" s="8">
        <v>240</v>
      </c>
      <c r="N942" s="5" t="s">
        <v>1536</v>
      </c>
      <c r="O942" s="7">
        <v>46160</v>
      </c>
    </row>
    <row r="943" spans="1:15" x14ac:dyDescent="0.25">
      <c r="A943" s="5" t="s">
        <v>4</v>
      </c>
      <c r="B943" s="5" t="s">
        <v>4112</v>
      </c>
      <c r="D943" s="5" t="s">
        <v>435</v>
      </c>
      <c r="E943" s="5" t="s">
        <v>4113</v>
      </c>
      <c r="F943" s="5" t="s">
        <v>1738</v>
      </c>
      <c r="G943" s="6">
        <v>46157.462500000001</v>
      </c>
      <c r="H943" s="7">
        <v>46167</v>
      </c>
      <c r="I943" s="5" t="s">
        <v>4114</v>
      </c>
      <c r="J943" s="7">
        <v>46168</v>
      </c>
      <c r="K943" s="5" t="s">
        <v>1527</v>
      </c>
      <c r="L943" s="5" t="s">
        <v>1564</v>
      </c>
      <c r="M943" s="8">
        <v>240</v>
      </c>
      <c r="N943" s="5" t="s">
        <v>1536</v>
      </c>
      <c r="O943" s="7">
        <v>46168</v>
      </c>
    </row>
    <row r="944" spans="1:15" x14ac:dyDescent="0.25">
      <c r="A944" s="5" t="s">
        <v>4</v>
      </c>
      <c r="B944" s="5">
        <v>39151</v>
      </c>
      <c r="D944" s="5" t="s">
        <v>1505</v>
      </c>
      <c r="E944" s="5" t="s">
        <v>4115</v>
      </c>
      <c r="F944" s="5" t="s">
        <v>4116</v>
      </c>
      <c r="G944" s="6">
        <v>46111.668055555558</v>
      </c>
      <c r="H944" s="7">
        <v>46111</v>
      </c>
      <c r="I944" s="5" t="s">
        <v>1578</v>
      </c>
      <c r="J944" s="7">
        <v>46162</v>
      </c>
      <c r="K944" s="5" t="s">
        <v>1527</v>
      </c>
      <c r="L944" s="5" t="s">
        <v>1564</v>
      </c>
      <c r="M944" s="8">
        <v>239.8</v>
      </c>
      <c r="N944" s="5" t="s">
        <v>1536</v>
      </c>
      <c r="O944" s="7">
        <v>46162</v>
      </c>
    </row>
    <row r="945" spans="1:15" x14ac:dyDescent="0.25">
      <c r="A945" s="5" t="s">
        <v>4</v>
      </c>
      <c r="B945" s="5">
        <v>39482</v>
      </c>
      <c r="D945" s="5" t="s">
        <v>1505</v>
      </c>
      <c r="E945" s="5" t="s">
        <v>4115</v>
      </c>
      <c r="F945" s="5" t="s">
        <v>4116</v>
      </c>
      <c r="G945" s="6">
        <v>46132.379861111112</v>
      </c>
      <c r="H945" s="7">
        <v>46142</v>
      </c>
      <c r="I945" s="5" t="s">
        <v>1533</v>
      </c>
      <c r="J945" s="5" t="s">
        <v>1533</v>
      </c>
      <c r="K945" s="5" t="s">
        <v>1540</v>
      </c>
      <c r="L945" s="5" t="s">
        <v>1564</v>
      </c>
      <c r="M945" s="8">
        <v>239.8</v>
      </c>
      <c r="N945" s="5" t="s">
        <v>1541</v>
      </c>
      <c r="O945" s="5" t="s">
        <v>1533</v>
      </c>
    </row>
    <row r="946" spans="1:15" x14ac:dyDescent="0.25">
      <c r="A946" s="5" t="s">
        <v>4</v>
      </c>
      <c r="B946" s="5" t="s">
        <v>4117</v>
      </c>
      <c r="D946" s="5" t="s">
        <v>1087</v>
      </c>
      <c r="E946" s="5" t="s">
        <v>4118</v>
      </c>
      <c r="F946" s="5" t="s">
        <v>4119</v>
      </c>
      <c r="G946" s="6">
        <v>46106.7</v>
      </c>
      <c r="H946" s="7">
        <v>46112</v>
      </c>
      <c r="I946" s="6">
        <v>46108.65347222222</v>
      </c>
      <c r="J946" s="7">
        <v>46108</v>
      </c>
      <c r="K946" s="5" t="s">
        <v>1527</v>
      </c>
      <c r="L946" s="5" t="s">
        <v>1621</v>
      </c>
      <c r="M946" s="8">
        <v>239.79</v>
      </c>
      <c r="N946" s="5" t="s">
        <v>1536</v>
      </c>
      <c r="O946" s="7">
        <v>46108</v>
      </c>
    </row>
    <row r="947" spans="1:15" x14ac:dyDescent="0.25">
      <c r="A947" s="5" t="s">
        <v>4</v>
      </c>
      <c r="B947" s="5" t="s">
        <v>4120</v>
      </c>
      <c r="D947" s="5" t="s">
        <v>364</v>
      </c>
      <c r="E947" s="5" t="s">
        <v>4121</v>
      </c>
      <c r="F947" s="5" t="s">
        <v>4122</v>
      </c>
      <c r="G947" s="6">
        <v>46156.470138888886</v>
      </c>
      <c r="H947" s="7">
        <v>46156</v>
      </c>
      <c r="I947" s="6">
        <v>46156.313194444447</v>
      </c>
      <c r="J947" s="7">
        <v>46156</v>
      </c>
      <c r="K947" s="5" t="s">
        <v>1527</v>
      </c>
      <c r="L947" s="5" t="s">
        <v>1535</v>
      </c>
      <c r="M947" s="8">
        <v>239.7</v>
      </c>
      <c r="N947" s="5" t="s">
        <v>1536</v>
      </c>
      <c r="O947" s="7">
        <v>46156</v>
      </c>
    </row>
    <row r="948" spans="1:15" x14ac:dyDescent="0.25">
      <c r="A948" s="5" t="s">
        <v>4</v>
      </c>
      <c r="B948" s="5" t="s">
        <v>4123</v>
      </c>
      <c r="D948" s="5" t="s">
        <v>1441</v>
      </c>
      <c r="E948" s="5" t="s">
        <v>4124</v>
      </c>
      <c r="F948" s="5" t="s">
        <v>4125</v>
      </c>
      <c r="G948" s="6">
        <v>46139.722222222219</v>
      </c>
      <c r="H948" s="7">
        <v>46146</v>
      </c>
      <c r="I948" s="6">
        <v>46141.613888888889</v>
      </c>
      <c r="J948" s="7">
        <v>46141</v>
      </c>
      <c r="K948" s="5" t="s">
        <v>1527</v>
      </c>
      <c r="L948" s="5" t="s">
        <v>1621</v>
      </c>
      <c r="M948" s="8">
        <v>239.52</v>
      </c>
      <c r="N948" s="5" t="s">
        <v>1536</v>
      </c>
      <c r="O948" s="7">
        <v>46141</v>
      </c>
    </row>
    <row r="949" spans="1:15" x14ac:dyDescent="0.25">
      <c r="A949" s="5" t="s">
        <v>4</v>
      </c>
      <c r="B949" s="5" t="s">
        <v>4126</v>
      </c>
      <c r="D949" s="5" t="s">
        <v>1309</v>
      </c>
      <c r="E949" s="5" t="s">
        <v>4127</v>
      </c>
      <c r="F949" s="5" t="s">
        <v>3035</v>
      </c>
      <c r="G949" s="6">
        <v>46163.690972222219</v>
      </c>
      <c r="H949" s="7">
        <v>46175</v>
      </c>
      <c r="I949" s="5" t="s">
        <v>4128</v>
      </c>
      <c r="J949" s="7">
        <v>46176</v>
      </c>
      <c r="K949" s="5" t="s">
        <v>1527</v>
      </c>
      <c r="L949" s="5" t="s">
        <v>1564</v>
      </c>
      <c r="M949" s="8">
        <v>239.5</v>
      </c>
      <c r="N949" s="5" t="s">
        <v>1529</v>
      </c>
      <c r="O949" s="7">
        <v>46176</v>
      </c>
    </row>
    <row r="950" spans="1:15" hidden="1" x14ac:dyDescent="0.25">
      <c r="A950" s="5" t="s">
        <v>1522</v>
      </c>
      <c r="B950" s="5" t="s">
        <v>4129</v>
      </c>
      <c r="D950" s="5" t="s">
        <v>1510</v>
      </c>
      <c r="E950" s="5" t="s">
        <v>2466</v>
      </c>
      <c r="F950" s="5" t="s">
        <v>3434</v>
      </c>
      <c r="G950" s="6">
        <v>46128.709722222222</v>
      </c>
      <c r="H950" s="7">
        <v>46141</v>
      </c>
      <c r="I950" s="5" t="s">
        <v>4130</v>
      </c>
      <c r="J950" s="7">
        <v>46146</v>
      </c>
      <c r="K950" s="5" t="s">
        <v>1527</v>
      </c>
      <c r="L950" s="5" t="s">
        <v>1621</v>
      </c>
      <c r="M950" s="8">
        <v>239.4</v>
      </c>
      <c r="N950" s="5" t="s">
        <v>1529</v>
      </c>
      <c r="O950" s="7">
        <v>46146</v>
      </c>
    </row>
    <row r="951" spans="1:15" x14ac:dyDescent="0.25">
      <c r="A951" s="5" t="s">
        <v>4</v>
      </c>
      <c r="B951" s="5" t="s">
        <v>4131</v>
      </c>
      <c r="D951" s="5" t="s">
        <v>427</v>
      </c>
      <c r="E951" s="5" t="s">
        <v>4132</v>
      </c>
      <c r="F951" s="5" t="s">
        <v>4133</v>
      </c>
      <c r="G951" s="6">
        <v>46091.598611111112</v>
      </c>
      <c r="H951" s="7">
        <v>46098</v>
      </c>
      <c r="I951" s="5" t="s">
        <v>4134</v>
      </c>
      <c r="J951" s="7">
        <v>46105</v>
      </c>
      <c r="K951" s="5" t="s">
        <v>1527</v>
      </c>
      <c r="L951" s="5" t="s">
        <v>1621</v>
      </c>
      <c r="M951" s="8">
        <v>239.19</v>
      </c>
      <c r="N951" s="5" t="s">
        <v>1536</v>
      </c>
      <c r="O951" s="7">
        <v>46105</v>
      </c>
    </row>
    <row r="952" spans="1:15" x14ac:dyDescent="0.25">
      <c r="A952" s="5" t="s">
        <v>4</v>
      </c>
      <c r="B952" s="5" t="s">
        <v>4135</v>
      </c>
      <c r="D952" s="5" t="s">
        <v>1458</v>
      </c>
      <c r="E952" s="5" t="s">
        <v>3610</v>
      </c>
      <c r="F952" s="5" t="s">
        <v>1548</v>
      </c>
      <c r="G952" s="6">
        <v>46051.38958333333</v>
      </c>
      <c r="H952" s="7">
        <v>46064</v>
      </c>
      <c r="I952" s="5" t="s">
        <v>4136</v>
      </c>
      <c r="J952" s="7">
        <v>46066</v>
      </c>
      <c r="K952" s="5" t="s">
        <v>1527</v>
      </c>
      <c r="L952" s="5" t="s">
        <v>1564</v>
      </c>
      <c r="M952" s="8">
        <v>237</v>
      </c>
      <c r="N952" s="5" t="s">
        <v>1536</v>
      </c>
      <c r="O952" s="7">
        <v>46066</v>
      </c>
    </row>
    <row r="953" spans="1:15" x14ac:dyDescent="0.25">
      <c r="A953" s="5" t="s">
        <v>4</v>
      </c>
      <c r="B953" s="5" t="s">
        <v>4137</v>
      </c>
      <c r="D953" s="5" t="s">
        <v>1354</v>
      </c>
      <c r="E953" s="5" t="s">
        <v>2378</v>
      </c>
      <c r="F953" s="5" t="s">
        <v>1532</v>
      </c>
      <c r="G953" s="6">
        <v>46127.345138888886</v>
      </c>
      <c r="H953" s="7">
        <v>46146</v>
      </c>
      <c r="I953" s="5" t="s">
        <v>1533</v>
      </c>
      <c r="J953" s="7">
        <v>46127</v>
      </c>
      <c r="K953" s="5" t="s">
        <v>1540</v>
      </c>
      <c r="L953" s="5" t="s">
        <v>1535</v>
      </c>
      <c r="M953" s="8">
        <v>235.7</v>
      </c>
      <c r="N953" s="5" t="s">
        <v>1536</v>
      </c>
      <c r="O953" s="7">
        <v>46127</v>
      </c>
    </row>
    <row r="954" spans="1:15" x14ac:dyDescent="0.25">
      <c r="A954" s="5" t="s">
        <v>4</v>
      </c>
      <c r="B954" s="5" t="s">
        <v>4138</v>
      </c>
      <c r="D954" s="5" t="s">
        <v>619</v>
      </c>
      <c r="E954" s="5" t="s">
        <v>4139</v>
      </c>
      <c r="F954" s="5" t="s">
        <v>4140</v>
      </c>
      <c r="G954" s="6">
        <v>46079.642361111109</v>
      </c>
      <c r="H954" s="7">
        <v>46092</v>
      </c>
      <c r="I954" s="6">
        <v>46091.73541666667</v>
      </c>
      <c r="J954" s="7">
        <v>46087</v>
      </c>
      <c r="K954" s="5" t="s">
        <v>1527</v>
      </c>
      <c r="L954" s="5" t="s">
        <v>1621</v>
      </c>
      <c r="M954" s="8">
        <v>235.51</v>
      </c>
      <c r="N954" s="5" t="s">
        <v>1536</v>
      </c>
      <c r="O954" s="7">
        <v>46087</v>
      </c>
    </row>
    <row r="955" spans="1:15" x14ac:dyDescent="0.25">
      <c r="A955" s="5" t="s">
        <v>4</v>
      </c>
      <c r="B955" s="5" t="s">
        <v>4141</v>
      </c>
      <c r="D955" s="5" t="s">
        <v>661</v>
      </c>
      <c r="E955" s="5" t="s">
        <v>4142</v>
      </c>
      <c r="F955" s="5" t="s">
        <v>4143</v>
      </c>
      <c r="G955" s="6">
        <v>46064.617361111108</v>
      </c>
      <c r="H955" s="7">
        <v>46078</v>
      </c>
      <c r="I955" s="6">
        <v>46078.69027777778</v>
      </c>
      <c r="J955" s="7">
        <v>46078</v>
      </c>
      <c r="K955" s="5" t="s">
        <v>1527</v>
      </c>
      <c r="L955" s="5" t="s">
        <v>1564</v>
      </c>
      <c r="M955" s="8">
        <v>235</v>
      </c>
      <c r="N955" s="5" t="s">
        <v>1536</v>
      </c>
      <c r="O955" s="7">
        <v>46078</v>
      </c>
    </row>
    <row r="956" spans="1:15" x14ac:dyDescent="0.25">
      <c r="A956" s="5" t="s">
        <v>4</v>
      </c>
      <c r="B956" s="5" t="s">
        <v>4144</v>
      </c>
      <c r="D956" s="5" t="s">
        <v>1433</v>
      </c>
      <c r="E956" s="5" t="s">
        <v>4145</v>
      </c>
      <c r="F956" s="5" t="s">
        <v>4146</v>
      </c>
      <c r="G956" s="6">
        <v>46073.45208333333</v>
      </c>
      <c r="H956" s="7">
        <v>46084</v>
      </c>
      <c r="I956" s="6">
        <v>46079.620138888888</v>
      </c>
      <c r="J956" s="7">
        <v>46079</v>
      </c>
      <c r="K956" s="5" t="s">
        <v>1527</v>
      </c>
      <c r="L956" s="5" t="s">
        <v>1535</v>
      </c>
      <c r="M956" s="8">
        <v>235</v>
      </c>
      <c r="N956" s="5" t="s">
        <v>1536</v>
      </c>
      <c r="O956" s="7">
        <v>46079</v>
      </c>
    </row>
    <row r="957" spans="1:15" x14ac:dyDescent="0.25">
      <c r="A957" s="5" t="s">
        <v>4</v>
      </c>
      <c r="B957" s="5" t="s">
        <v>4147</v>
      </c>
      <c r="D957" s="5" t="s">
        <v>1304</v>
      </c>
      <c r="E957" s="5" t="s">
        <v>4148</v>
      </c>
      <c r="F957" s="5" t="s">
        <v>4149</v>
      </c>
      <c r="G957" s="6">
        <v>46098.688194444447</v>
      </c>
      <c r="H957" s="7">
        <v>46101</v>
      </c>
      <c r="I957" s="6">
        <v>46100.627083333333</v>
      </c>
      <c r="J957" s="7">
        <v>46100</v>
      </c>
      <c r="K957" s="5" t="s">
        <v>1527</v>
      </c>
      <c r="L957" s="5" t="s">
        <v>1535</v>
      </c>
      <c r="M957" s="8">
        <v>235</v>
      </c>
      <c r="N957" s="5" t="s">
        <v>1536</v>
      </c>
      <c r="O957" s="7">
        <v>46100</v>
      </c>
    </row>
    <row r="958" spans="1:15" x14ac:dyDescent="0.25">
      <c r="A958" s="5" t="s">
        <v>4</v>
      </c>
      <c r="B958" s="5" t="s">
        <v>4150</v>
      </c>
      <c r="D958" s="5" t="s">
        <v>73</v>
      </c>
      <c r="E958" s="5" t="s">
        <v>4151</v>
      </c>
      <c r="F958" s="5" t="s">
        <v>1759</v>
      </c>
      <c r="G958" s="6">
        <v>46108.330555555556</v>
      </c>
      <c r="H958" s="7">
        <v>46122</v>
      </c>
      <c r="I958" s="5" t="s">
        <v>4152</v>
      </c>
      <c r="J958" s="7">
        <v>46118</v>
      </c>
      <c r="K958" s="5" t="s">
        <v>1527</v>
      </c>
      <c r="L958" s="5" t="s">
        <v>1564</v>
      </c>
      <c r="M958" s="8">
        <v>235</v>
      </c>
      <c r="N958" s="5" t="s">
        <v>1536</v>
      </c>
      <c r="O958" s="7">
        <v>46118</v>
      </c>
    </row>
    <row r="959" spans="1:15" x14ac:dyDescent="0.25">
      <c r="A959" s="5" t="s">
        <v>4</v>
      </c>
      <c r="B959" s="5" t="s">
        <v>4153</v>
      </c>
      <c r="D959" s="5" t="s">
        <v>1136</v>
      </c>
      <c r="E959" s="5" t="s">
        <v>4154</v>
      </c>
      <c r="F959" s="5" t="s">
        <v>4155</v>
      </c>
      <c r="G959" s="6">
        <v>46072.502083333333</v>
      </c>
      <c r="H959" s="7">
        <v>46085</v>
      </c>
      <c r="I959" s="6">
        <v>46079.620138888888</v>
      </c>
      <c r="J959" s="7">
        <v>46079</v>
      </c>
      <c r="K959" s="5" t="s">
        <v>1527</v>
      </c>
      <c r="L959" s="5" t="s">
        <v>1564</v>
      </c>
      <c r="M959" s="8">
        <v>234.9</v>
      </c>
      <c r="N959" s="5" t="s">
        <v>1536</v>
      </c>
      <c r="O959" s="7">
        <v>46079</v>
      </c>
    </row>
    <row r="960" spans="1:15" x14ac:dyDescent="0.25">
      <c r="A960" s="5" t="s">
        <v>4</v>
      </c>
      <c r="B960" s="5" t="s">
        <v>4156</v>
      </c>
      <c r="D960" s="5" t="s">
        <v>1371</v>
      </c>
      <c r="E960" s="5" t="s">
        <v>2598</v>
      </c>
      <c r="F960" s="5" t="s">
        <v>4157</v>
      </c>
      <c r="G960" s="6">
        <v>46056.376388888886</v>
      </c>
      <c r="H960" s="7">
        <v>46066</v>
      </c>
      <c r="I960" s="5" t="s">
        <v>3405</v>
      </c>
      <c r="J960" s="7">
        <v>46073</v>
      </c>
      <c r="K960" s="5" t="s">
        <v>1527</v>
      </c>
      <c r="L960" s="5" t="s">
        <v>1535</v>
      </c>
      <c r="M960" s="9">
        <v>234.5</v>
      </c>
      <c r="N960" s="5" t="s">
        <v>1536</v>
      </c>
      <c r="O960" s="7">
        <v>46073</v>
      </c>
    </row>
    <row r="961" spans="1:15" hidden="1" x14ac:dyDescent="0.25">
      <c r="A961" s="5" t="s">
        <v>1522</v>
      </c>
      <c r="B961" s="5" t="s">
        <v>4158</v>
      </c>
      <c r="D961" s="5" t="s">
        <v>741</v>
      </c>
      <c r="E961" s="5" t="s">
        <v>4159</v>
      </c>
      <c r="F961" s="5" t="s">
        <v>4160</v>
      </c>
      <c r="G961" s="6">
        <v>46106.344444444447</v>
      </c>
      <c r="H961" s="7">
        <v>46114</v>
      </c>
      <c r="I961" s="5" t="s">
        <v>1533</v>
      </c>
      <c r="J961" s="5" t="s">
        <v>1533</v>
      </c>
      <c r="K961" s="5" t="s">
        <v>1534</v>
      </c>
      <c r="L961" s="5" t="s">
        <v>1528</v>
      </c>
      <c r="M961" s="8">
        <v>234</v>
      </c>
      <c r="N961" s="5" t="s">
        <v>1541</v>
      </c>
      <c r="O961" s="5" t="s">
        <v>1533</v>
      </c>
    </row>
    <row r="962" spans="1:15" x14ac:dyDescent="0.25">
      <c r="A962" s="5" t="s">
        <v>4</v>
      </c>
      <c r="B962" s="5" t="s">
        <v>4161</v>
      </c>
      <c r="D962" s="5" t="s">
        <v>249</v>
      </c>
      <c r="E962" s="5" t="s">
        <v>4162</v>
      </c>
      <c r="F962" s="5" t="s">
        <v>4163</v>
      </c>
      <c r="G962" s="6">
        <v>46154.638888888891</v>
      </c>
      <c r="H962" s="7">
        <v>46157</v>
      </c>
      <c r="I962" s="6">
        <v>46156.508333333331</v>
      </c>
      <c r="J962" s="7">
        <v>46156</v>
      </c>
      <c r="K962" s="5" t="s">
        <v>1527</v>
      </c>
      <c r="L962" s="5" t="s">
        <v>1535</v>
      </c>
      <c r="M962" s="8">
        <v>234</v>
      </c>
      <c r="N962" s="5" t="s">
        <v>1536</v>
      </c>
      <c r="O962" s="7">
        <v>46156</v>
      </c>
    </row>
    <row r="963" spans="1:15" x14ac:dyDescent="0.25">
      <c r="A963" s="5" t="s">
        <v>4</v>
      </c>
      <c r="B963" s="5" t="s">
        <v>4164</v>
      </c>
      <c r="D963" s="5" t="s">
        <v>451</v>
      </c>
      <c r="E963" s="5" t="s">
        <v>4165</v>
      </c>
      <c r="F963" s="5" t="s">
        <v>4166</v>
      </c>
      <c r="G963" s="6">
        <v>46037.618055555555</v>
      </c>
      <c r="H963" s="7">
        <v>46045</v>
      </c>
      <c r="I963" s="5" t="s">
        <v>3008</v>
      </c>
      <c r="J963" s="7">
        <v>46051</v>
      </c>
      <c r="K963" s="5" t="s">
        <v>1527</v>
      </c>
      <c r="L963" s="5" t="s">
        <v>1621</v>
      </c>
      <c r="M963" s="8">
        <v>233.72</v>
      </c>
      <c r="N963" s="5" t="s">
        <v>1536</v>
      </c>
      <c r="O963" s="7">
        <v>46051</v>
      </c>
    </row>
    <row r="964" spans="1:15" hidden="1" x14ac:dyDescent="0.25">
      <c r="A964" s="5" t="s">
        <v>1522</v>
      </c>
      <c r="B964" s="5">
        <v>38901</v>
      </c>
      <c r="D964" s="5" t="s">
        <v>547</v>
      </c>
      <c r="E964" s="5" t="s">
        <v>4167</v>
      </c>
      <c r="F964" s="5" t="s">
        <v>4168</v>
      </c>
      <c r="G964" s="6">
        <v>46097.4375</v>
      </c>
      <c r="H964" s="7">
        <v>46105</v>
      </c>
      <c r="I964" s="5" t="s">
        <v>2634</v>
      </c>
      <c r="J964" s="7">
        <v>46106</v>
      </c>
      <c r="K964" s="5" t="s">
        <v>1527</v>
      </c>
      <c r="L964" s="5" t="s">
        <v>1528</v>
      </c>
      <c r="M964" s="8">
        <v>233.42</v>
      </c>
      <c r="N964" s="5" t="s">
        <v>1536</v>
      </c>
      <c r="O964" s="7">
        <v>46106</v>
      </c>
    </row>
    <row r="965" spans="1:15" x14ac:dyDescent="0.25">
      <c r="A965" s="5" t="s">
        <v>4</v>
      </c>
      <c r="B965" s="5">
        <v>38871</v>
      </c>
      <c r="D965" s="5" t="s">
        <v>663</v>
      </c>
      <c r="E965" s="5" t="s">
        <v>4169</v>
      </c>
      <c r="F965" s="5" t="s">
        <v>4170</v>
      </c>
      <c r="G965" s="6">
        <v>46093.642361111109</v>
      </c>
      <c r="H965" s="7">
        <v>46105</v>
      </c>
      <c r="I965" s="5" t="s">
        <v>4171</v>
      </c>
      <c r="J965" s="7">
        <v>46118</v>
      </c>
      <c r="K965" s="5" t="s">
        <v>1527</v>
      </c>
      <c r="L965" s="5" t="s">
        <v>1535</v>
      </c>
      <c r="M965" s="8">
        <v>233</v>
      </c>
      <c r="N965" s="5" t="s">
        <v>1536</v>
      </c>
      <c r="O965" s="7">
        <v>46118</v>
      </c>
    </row>
    <row r="966" spans="1:15" x14ac:dyDescent="0.25">
      <c r="A966" s="5" t="s">
        <v>4</v>
      </c>
      <c r="B966" s="5" t="s">
        <v>4172</v>
      </c>
      <c r="D966" s="5" t="s">
        <v>290</v>
      </c>
      <c r="E966" s="5" t="s">
        <v>4173</v>
      </c>
      <c r="F966" s="5" t="s">
        <v>2740</v>
      </c>
      <c r="G966" s="6">
        <v>46114.652777777781</v>
      </c>
      <c r="H966" s="7">
        <v>46121</v>
      </c>
      <c r="I966" s="5" t="s">
        <v>4174</v>
      </c>
      <c r="J966" s="7">
        <v>46125</v>
      </c>
      <c r="K966" s="5" t="s">
        <v>1527</v>
      </c>
      <c r="L966" s="5" t="s">
        <v>1564</v>
      </c>
      <c r="M966" s="8">
        <v>232.65</v>
      </c>
      <c r="N966" s="5" t="s">
        <v>1536</v>
      </c>
      <c r="O966" s="7">
        <v>46125</v>
      </c>
    </row>
    <row r="967" spans="1:15" x14ac:dyDescent="0.25">
      <c r="A967" s="5" t="s">
        <v>4</v>
      </c>
      <c r="B967" s="5" t="s">
        <v>4175</v>
      </c>
      <c r="D967" s="5" t="s">
        <v>380</v>
      </c>
      <c r="E967" s="5" t="s">
        <v>4176</v>
      </c>
      <c r="F967" s="5" t="s">
        <v>4177</v>
      </c>
      <c r="G967" s="6">
        <v>46051.675000000003</v>
      </c>
      <c r="H967" s="7">
        <v>46058</v>
      </c>
      <c r="I967" s="6">
        <v>46056.613888888889</v>
      </c>
      <c r="J967" s="7">
        <v>46056</v>
      </c>
      <c r="K967" s="5" t="s">
        <v>1527</v>
      </c>
      <c r="L967" s="5" t="s">
        <v>1621</v>
      </c>
      <c r="M967" s="8">
        <v>232.05</v>
      </c>
      <c r="N967" s="5" t="s">
        <v>1536</v>
      </c>
      <c r="O967" s="7">
        <v>46056</v>
      </c>
    </row>
    <row r="968" spans="1:15" x14ac:dyDescent="0.25">
      <c r="A968" s="5" t="s">
        <v>4</v>
      </c>
      <c r="B968" s="5" t="s">
        <v>4178</v>
      </c>
      <c r="D968" s="5" t="s">
        <v>779</v>
      </c>
      <c r="E968" s="5" t="s">
        <v>4179</v>
      </c>
      <c r="F968" s="5" t="s">
        <v>1548</v>
      </c>
      <c r="G968" s="6">
        <v>46064.697916666664</v>
      </c>
      <c r="H968" s="7">
        <v>46077</v>
      </c>
      <c r="I968" s="5" t="s">
        <v>4180</v>
      </c>
      <c r="J968" s="7">
        <v>46080</v>
      </c>
      <c r="K968" s="5" t="s">
        <v>1527</v>
      </c>
      <c r="L968" s="5" t="s">
        <v>1535</v>
      </c>
      <c r="M968" s="8">
        <v>232</v>
      </c>
      <c r="N968" s="5" t="s">
        <v>1536</v>
      </c>
      <c r="O968" s="7">
        <v>46080</v>
      </c>
    </row>
    <row r="969" spans="1:15" x14ac:dyDescent="0.25">
      <c r="A969" s="5" t="s">
        <v>4</v>
      </c>
      <c r="B969" s="5" t="s">
        <v>4181</v>
      </c>
      <c r="D969" s="5" t="s">
        <v>176</v>
      </c>
      <c r="E969" s="5" t="s">
        <v>4182</v>
      </c>
      <c r="F969" s="5" t="s">
        <v>1548</v>
      </c>
      <c r="G969" s="6">
        <v>46042.470833333333</v>
      </c>
      <c r="H969" s="7">
        <v>46055</v>
      </c>
      <c r="I969" s="5" t="s">
        <v>4183</v>
      </c>
      <c r="J969" s="7">
        <v>46059</v>
      </c>
      <c r="K969" s="5" t="s">
        <v>1527</v>
      </c>
      <c r="L969" s="5" t="s">
        <v>1564</v>
      </c>
      <c r="M969" s="8">
        <v>231.5</v>
      </c>
      <c r="N969" s="5" t="s">
        <v>1536</v>
      </c>
      <c r="O969" s="7">
        <v>46059</v>
      </c>
    </row>
    <row r="970" spans="1:15" x14ac:dyDescent="0.25">
      <c r="A970" s="5" t="s">
        <v>4</v>
      </c>
      <c r="B970" s="5" t="s">
        <v>4184</v>
      </c>
      <c r="D970" s="5" t="s">
        <v>781</v>
      </c>
      <c r="E970" s="5" t="s">
        <v>4185</v>
      </c>
      <c r="F970" s="5" t="s">
        <v>1548</v>
      </c>
      <c r="G970" s="6">
        <v>46035.688888888886</v>
      </c>
      <c r="H970" s="7">
        <v>46048</v>
      </c>
      <c r="I970" s="6">
        <v>46045.694444444445</v>
      </c>
      <c r="J970" s="7">
        <v>46045</v>
      </c>
      <c r="K970" s="5" t="s">
        <v>1527</v>
      </c>
      <c r="L970" s="5" t="s">
        <v>1564</v>
      </c>
      <c r="M970" s="8">
        <v>231</v>
      </c>
      <c r="N970" s="5" t="s">
        <v>1536</v>
      </c>
      <c r="O970" s="7">
        <v>46045</v>
      </c>
    </row>
    <row r="971" spans="1:15" x14ac:dyDescent="0.25">
      <c r="A971" s="5" t="s">
        <v>4</v>
      </c>
      <c r="B971" s="5" t="s">
        <v>4186</v>
      </c>
      <c r="D971" s="5" t="s">
        <v>330</v>
      </c>
      <c r="E971" s="5" t="s">
        <v>4187</v>
      </c>
      <c r="F971" s="5" t="s">
        <v>1702</v>
      </c>
      <c r="G971" s="6">
        <v>46094.665972222225</v>
      </c>
      <c r="H971" s="7">
        <v>46108</v>
      </c>
      <c r="I971" s="6">
        <v>46107.699305555558</v>
      </c>
      <c r="J971" s="7">
        <v>46107</v>
      </c>
      <c r="K971" s="5" t="s">
        <v>1527</v>
      </c>
      <c r="L971" s="5" t="s">
        <v>1564</v>
      </c>
      <c r="M971" s="8">
        <v>231</v>
      </c>
      <c r="N971" s="5" t="s">
        <v>1536</v>
      </c>
      <c r="O971" s="7">
        <v>46107</v>
      </c>
    </row>
    <row r="972" spans="1:15" x14ac:dyDescent="0.25">
      <c r="A972" s="5" t="s">
        <v>4</v>
      </c>
      <c r="B972" s="5" t="s">
        <v>4188</v>
      </c>
      <c r="D972" s="5" t="s">
        <v>231</v>
      </c>
      <c r="E972" s="5" t="s">
        <v>4189</v>
      </c>
      <c r="F972" s="5" t="s">
        <v>4190</v>
      </c>
      <c r="G972" s="6">
        <v>46132.668749999997</v>
      </c>
      <c r="H972" s="7">
        <v>46139</v>
      </c>
      <c r="I972" s="6">
        <v>46139.611111111109</v>
      </c>
      <c r="J972" s="7">
        <v>46139</v>
      </c>
      <c r="K972" s="5" t="s">
        <v>1527</v>
      </c>
      <c r="L972" s="5" t="s">
        <v>1621</v>
      </c>
      <c r="M972" s="8">
        <v>230.77</v>
      </c>
      <c r="N972" s="5" t="s">
        <v>1536</v>
      </c>
      <c r="O972" s="7">
        <v>46139</v>
      </c>
    </row>
    <row r="973" spans="1:15" hidden="1" x14ac:dyDescent="0.25">
      <c r="A973" s="5" t="s">
        <v>1522</v>
      </c>
      <c r="B973" s="5" t="s">
        <v>4191</v>
      </c>
      <c r="D973" s="5" t="s">
        <v>1488</v>
      </c>
      <c r="E973" s="5" t="s">
        <v>1995</v>
      </c>
      <c r="F973" s="5" t="s">
        <v>1996</v>
      </c>
      <c r="G973" s="6">
        <v>46059.372916666667</v>
      </c>
      <c r="H973" s="7">
        <v>46066</v>
      </c>
      <c r="I973" s="6">
        <v>46062.654861111114</v>
      </c>
      <c r="J973" s="7">
        <v>46062</v>
      </c>
      <c r="K973" s="5" t="s">
        <v>1527</v>
      </c>
      <c r="L973" s="5" t="s">
        <v>1528</v>
      </c>
      <c r="M973" s="8">
        <v>230.41</v>
      </c>
      <c r="N973" s="5" t="s">
        <v>1536</v>
      </c>
      <c r="O973" s="7">
        <v>46062</v>
      </c>
    </row>
    <row r="974" spans="1:15" hidden="1" x14ac:dyDescent="0.25">
      <c r="A974" s="5" t="s">
        <v>1522</v>
      </c>
      <c r="B974" s="5" t="s">
        <v>4192</v>
      </c>
      <c r="D974" s="5" t="s">
        <v>1510</v>
      </c>
      <c r="E974" s="5" t="s">
        <v>2466</v>
      </c>
      <c r="F974" s="5" t="s">
        <v>3389</v>
      </c>
      <c r="G974" s="6">
        <v>46029.726388888892</v>
      </c>
      <c r="H974" s="7">
        <v>46035</v>
      </c>
      <c r="I974" s="6">
        <v>46034.706944444442</v>
      </c>
      <c r="J974" s="7">
        <v>46034</v>
      </c>
      <c r="K974" s="5" t="s">
        <v>1527</v>
      </c>
      <c r="L974" s="5" t="s">
        <v>1621</v>
      </c>
      <c r="M974" s="8">
        <v>230.4</v>
      </c>
      <c r="N974" s="5" t="s">
        <v>1536</v>
      </c>
      <c r="O974" s="7">
        <v>46034</v>
      </c>
    </row>
    <row r="975" spans="1:15" hidden="1" x14ac:dyDescent="0.25">
      <c r="A975" s="5" t="s">
        <v>1522</v>
      </c>
      <c r="B975" s="5" t="s">
        <v>4193</v>
      </c>
      <c r="D975" s="5" t="s">
        <v>1510</v>
      </c>
      <c r="E975" s="5" t="s">
        <v>2466</v>
      </c>
      <c r="F975" s="5" t="s">
        <v>3389</v>
      </c>
      <c r="G975" s="6">
        <v>46035.486111111109</v>
      </c>
      <c r="H975" s="7">
        <v>46041</v>
      </c>
      <c r="I975" s="5" t="s">
        <v>4194</v>
      </c>
      <c r="J975" s="7">
        <v>46042</v>
      </c>
      <c r="K975" s="5" t="s">
        <v>1527</v>
      </c>
      <c r="L975" s="5" t="s">
        <v>1621</v>
      </c>
      <c r="M975" s="8">
        <v>230.4</v>
      </c>
      <c r="N975" s="5" t="s">
        <v>1536</v>
      </c>
      <c r="O975" s="7">
        <v>46042</v>
      </c>
    </row>
    <row r="976" spans="1:15" hidden="1" x14ac:dyDescent="0.25">
      <c r="A976" s="5" t="s">
        <v>1522</v>
      </c>
      <c r="B976" s="5" t="s">
        <v>4195</v>
      </c>
      <c r="D976" s="5" t="s">
        <v>1510</v>
      </c>
      <c r="E976" s="5" t="s">
        <v>2466</v>
      </c>
      <c r="F976" s="5" t="s">
        <v>3389</v>
      </c>
      <c r="G976" s="6">
        <v>46037.597916666666</v>
      </c>
      <c r="H976" s="7">
        <v>46044</v>
      </c>
      <c r="I976" s="5" t="s">
        <v>4196</v>
      </c>
      <c r="J976" s="7">
        <v>46050</v>
      </c>
      <c r="K976" s="5" t="s">
        <v>1527</v>
      </c>
      <c r="L976" s="5" t="s">
        <v>1621</v>
      </c>
      <c r="M976" s="8">
        <v>230.4</v>
      </c>
      <c r="N976" s="5" t="s">
        <v>1536</v>
      </c>
      <c r="O976" s="7">
        <v>46050</v>
      </c>
    </row>
    <row r="977" spans="1:15" hidden="1" x14ac:dyDescent="0.25">
      <c r="A977" s="5" t="s">
        <v>1522</v>
      </c>
      <c r="B977" s="5" t="s">
        <v>4197</v>
      </c>
      <c r="D977" s="5" t="s">
        <v>1510</v>
      </c>
      <c r="E977" s="5" t="s">
        <v>2466</v>
      </c>
      <c r="F977" s="5" t="s">
        <v>3389</v>
      </c>
      <c r="G977" s="6">
        <v>46041.459027777775</v>
      </c>
      <c r="H977" s="7">
        <v>46041</v>
      </c>
      <c r="I977" s="6">
        <v>46041.700694444444</v>
      </c>
      <c r="J977" s="7">
        <v>46041</v>
      </c>
      <c r="K977" s="5" t="s">
        <v>1527</v>
      </c>
      <c r="L977" s="5" t="s">
        <v>1554</v>
      </c>
      <c r="M977" s="8">
        <v>230.4</v>
      </c>
      <c r="N977" s="5" t="s">
        <v>1536</v>
      </c>
      <c r="O977" s="7">
        <v>46041</v>
      </c>
    </row>
    <row r="978" spans="1:15" hidden="1" x14ac:dyDescent="0.25">
      <c r="A978" s="5" t="s">
        <v>1522</v>
      </c>
      <c r="B978" s="5" t="s">
        <v>4198</v>
      </c>
      <c r="D978" s="5" t="s">
        <v>1510</v>
      </c>
      <c r="E978" s="5" t="s">
        <v>2466</v>
      </c>
      <c r="F978" s="5" t="s">
        <v>3389</v>
      </c>
      <c r="G978" s="6">
        <v>46050.703472222223</v>
      </c>
      <c r="H978" s="7">
        <v>46055</v>
      </c>
      <c r="I978" s="5" t="s">
        <v>2455</v>
      </c>
      <c r="J978" s="7">
        <v>46062</v>
      </c>
      <c r="K978" s="5" t="s">
        <v>1527</v>
      </c>
      <c r="L978" s="5" t="s">
        <v>1621</v>
      </c>
      <c r="M978" s="8">
        <v>230.4</v>
      </c>
      <c r="N978" s="5" t="s">
        <v>1536</v>
      </c>
      <c r="O978" s="7">
        <v>46062</v>
      </c>
    </row>
    <row r="979" spans="1:15" hidden="1" x14ac:dyDescent="0.25">
      <c r="A979" s="5" t="s">
        <v>1522</v>
      </c>
      <c r="B979" s="5" t="s">
        <v>4199</v>
      </c>
      <c r="D979" s="5" t="s">
        <v>1510</v>
      </c>
      <c r="E979" s="5" t="s">
        <v>2466</v>
      </c>
      <c r="F979" s="5" t="s">
        <v>3389</v>
      </c>
      <c r="G979" s="6">
        <v>46057.694444444445</v>
      </c>
      <c r="H979" s="7">
        <v>46063</v>
      </c>
      <c r="I979" s="5" t="s">
        <v>4200</v>
      </c>
      <c r="J979" s="7">
        <v>46073</v>
      </c>
      <c r="K979" s="5" t="s">
        <v>1527</v>
      </c>
      <c r="L979" s="5" t="s">
        <v>1621</v>
      </c>
      <c r="M979" s="8">
        <v>230.4</v>
      </c>
      <c r="N979" s="5" t="s">
        <v>1536</v>
      </c>
      <c r="O979" s="7">
        <v>46073</v>
      </c>
    </row>
    <row r="980" spans="1:15" hidden="1" x14ac:dyDescent="0.25">
      <c r="A980" s="5" t="s">
        <v>1522</v>
      </c>
      <c r="B980" s="5" t="s">
        <v>4201</v>
      </c>
      <c r="D980" s="5" t="s">
        <v>1510</v>
      </c>
      <c r="E980" s="5" t="s">
        <v>2466</v>
      </c>
      <c r="F980" s="5" t="s">
        <v>3389</v>
      </c>
      <c r="G980" s="6">
        <v>46072.688194444447</v>
      </c>
      <c r="H980" s="7">
        <v>46078</v>
      </c>
      <c r="I980" s="6">
        <v>46078.689583333333</v>
      </c>
      <c r="J980" s="7">
        <v>46078</v>
      </c>
      <c r="K980" s="5" t="s">
        <v>1527</v>
      </c>
      <c r="L980" s="5" t="s">
        <v>1621</v>
      </c>
      <c r="M980" s="8">
        <v>230.4</v>
      </c>
      <c r="N980" s="5" t="s">
        <v>1536</v>
      </c>
      <c r="O980" s="7">
        <v>46078</v>
      </c>
    </row>
    <row r="981" spans="1:15" hidden="1" x14ac:dyDescent="0.25">
      <c r="A981" s="5" t="s">
        <v>1522</v>
      </c>
      <c r="B981" s="5" t="s">
        <v>4202</v>
      </c>
      <c r="D981" s="5" t="s">
        <v>1510</v>
      </c>
      <c r="E981" s="5" t="s">
        <v>2466</v>
      </c>
      <c r="F981" s="5" t="s">
        <v>3389</v>
      </c>
      <c r="G981" s="6">
        <v>46072.705555555556</v>
      </c>
      <c r="H981" s="7">
        <v>46077</v>
      </c>
      <c r="I981" s="5" t="s">
        <v>3669</v>
      </c>
      <c r="J981" s="7">
        <v>46078</v>
      </c>
      <c r="K981" s="5" t="s">
        <v>1527</v>
      </c>
      <c r="L981" s="5" t="s">
        <v>1621</v>
      </c>
      <c r="M981" s="8">
        <v>230.4</v>
      </c>
      <c r="N981" s="5" t="s">
        <v>1536</v>
      </c>
      <c r="O981" s="7">
        <v>46078</v>
      </c>
    </row>
    <row r="982" spans="1:15" hidden="1" x14ac:dyDescent="0.25">
      <c r="A982" s="5" t="s">
        <v>1522</v>
      </c>
      <c r="B982" s="5" t="s">
        <v>4203</v>
      </c>
      <c r="D982" s="5" t="s">
        <v>1510</v>
      </c>
      <c r="E982" s="5" t="s">
        <v>2466</v>
      </c>
      <c r="F982" s="5" t="s">
        <v>3389</v>
      </c>
      <c r="G982" s="6">
        <v>46092.459722222222</v>
      </c>
      <c r="H982" s="7">
        <v>46097</v>
      </c>
      <c r="I982" s="6">
        <v>46097.600694444445</v>
      </c>
      <c r="J982" s="7">
        <v>46097</v>
      </c>
      <c r="K982" s="5" t="s">
        <v>1527</v>
      </c>
      <c r="L982" s="5" t="s">
        <v>1621</v>
      </c>
      <c r="M982" s="8">
        <v>230.4</v>
      </c>
      <c r="N982" s="5" t="s">
        <v>1536</v>
      </c>
      <c r="O982" s="7">
        <v>46097</v>
      </c>
    </row>
    <row r="983" spans="1:15" hidden="1" x14ac:dyDescent="0.25">
      <c r="A983" s="5" t="s">
        <v>1522</v>
      </c>
      <c r="B983" s="5" t="s">
        <v>4204</v>
      </c>
      <c r="D983" s="5" t="s">
        <v>1510</v>
      </c>
      <c r="E983" s="5" t="s">
        <v>2466</v>
      </c>
      <c r="F983" s="5" t="s">
        <v>3389</v>
      </c>
      <c r="G983" s="6">
        <v>46097.647916666669</v>
      </c>
      <c r="H983" s="7">
        <v>46101</v>
      </c>
      <c r="I983" s="5" t="s">
        <v>4205</v>
      </c>
      <c r="J983" s="7">
        <v>46113</v>
      </c>
      <c r="K983" s="5" t="s">
        <v>1527</v>
      </c>
      <c r="L983" s="5" t="s">
        <v>1621</v>
      </c>
      <c r="M983" s="8">
        <v>230.4</v>
      </c>
      <c r="N983" s="5" t="s">
        <v>1536</v>
      </c>
      <c r="O983" s="7">
        <v>46113</v>
      </c>
    </row>
    <row r="984" spans="1:15" hidden="1" x14ac:dyDescent="0.25">
      <c r="A984" s="5" t="s">
        <v>1522</v>
      </c>
      <c r="B984" s="5" t="s">
        <v>4206</v>
      </c>
      <c r="D984" s="5" t="s">
        <v>1510</v>
      </c>
      <c r="E984" s="5" t="s">
        <v>2466</v>
      </c>
      <c r="F984" s="5" t="s">
        <v>3389</v>
      </c>
      <c r="G984" s="6">
        <v>46128.729166666664</v>
      </c>
      <c r="H984" s="7">
        <v>46134</v>
      </c>
      <c r="I984" s="6">
        <v>46134.627083333333</v>
      </c>
      <c r="J984" s="7">
        <v>46134</v>
      </c>
      <c r="K984" s="5" t="s">
        <v>1527</v>
      </c>
      <c r="L984" s="5" t="s">
        <v>1621</v>
      </c>
      <c r="M984" s="8">
        <v>230.4</v>
      </c>
      <c r="N984" s="5" t="s">
        <v>1529</v>
      </c>
      <c r="O984" s="7">
        <v>46134</v>
      </c>
    </row>
    <row r="985" spans="1:15" hidden="1" x14ac:dyDescent="0.25">
      <c r="A985" s="5" t="s">
        <v>1522</v>
      </c>
      <c r="B985" s="5" t="s">
        <v>4207</v>
      </c>
      <c r="D985" s="5" t="s">
        <v>1510</v>
      </c>
      <c r="E985" s="5" t="s">
        <v>2466</v>
      </c>
      <c r="F985" s="5" t="s">
        <v>3389</v>
      </c>
      <c r="G985" s="6">
        <v>46141.713888888888</v>
      </c>
      <c r="H985" s="7">
        <v>46150</v>
      </c>
      <c r="I985" s="5" t="s">
        <v>3936</v>
      </c>
      <c r="J985" s="7">
        <v>46167</v>
      </c>
      <c r="K985" s="5" t="s">
        <v>1527</v>
      </c>
      <c r="L985" s="5" t="s">
        <v>1621</v>
      </c>
      <c r="M985" s="8">
        <v>230.4</v>
      </c>
      <c r="N985" s="5" t="s">
        <v>1529</v>
      </c>
      <c r="O985" s="7">
        <v>46167</v>
      </c>
    </row>
    <row r="986" spans="1:15" x14ac:dyDescent="0.25">
      <c r="A986" s="5" t="s">
        <v>4</v>
      </c>
      <c r="B986" s="5" t="s">
        <v>4208</v>
      </c>
      <c r="D986" s="5" t="s">
        <v>1234</v>
      </c>
      <c r="E986" s="5" t="s">
        <v>4209</v>
      </c>
      <c r="F986" s="5" t="s">
        <v>1548</v>
      </c>
      <c r="G986" s="6">
        <v>46050.35</v>
      </c>
      <c r="H986" s="7">
        <v>46063</v>
      </c>
      <c r="I986" s="5" t="s">
        <v>2835</v>
      </c>
      <c r="J986" s="7">
        <v>46065</v>
      </c>
      <c r="K986" s="5" t="s">
        <v>1527</v>
      </c>
      <c r="L986" s="5" t="s">
        <v>1564</v>
      </c>
      <c r="M986" s="8">
        <v>230.05</v>
      </c>
      <c r="N986" s="5" t="s">
        <v>1536</v>
      </c>
      <c r="O986" s="7">
        <v>46065</v>
      </c>
    </row>
    <row r="987" spans="1:15" hidden="1" x14ac:dyDescent="0.25">
      <c r="A987" s="5" t="s">
        <v>1522</v>
      </c>
      <c r="B987" s="5" t="s">
        <v>4210</v>
      </c>
      <c r="D987" s="5" t="s">
        <v>976</v>
      </c>
      <c r="E987" s="5" t="s">
        <v>4211</v>
      </c>
      <c r="F987" s="5" t="s">
        <v>1548</v>
      </c>
      <c r="G987" s="6">
        <v>46036.390972222223</v>
      </c>
      <c r="H987" s="7">
        <v>46044</v>
      </c>
      <c r="I987" s="6">
        <v>46043.732638888891</v>
      </c>
      <c r="J987" s="7">
        <v>46043</v>
      </c>
      <c r="K987" s="5" t="s">
        <v>1527</v>
      </c>
      <c r="L987" s="5" t="s">
        <v>1528</v>
      </c>
      <c r="M987" s="8">
        <v>230</v>
      </c>
      <c r="N987" s="5" t="s">
        <v>1536</v>
      </c>
      <c r="O987" s="7">
        <v>46043</v>
      </c>
    </row>
    <row r="988" spans="1:15" x14ac:dyDescent="0.25">
      <c r="A988" s="5" t="s">
        <v>4</v>
      </c>
      <c r="B988" s="5" t="s">
        <v>4212</v>
      </c>
      <c r="D988" s="5" t="s">
        <v>1509</v>
      </c>
      <c r="E988" s="5" t="s">
        <v>3024</v>
      </c>
      <c r="F988" s="5" t="s">
        <v>4213</v>
      </c>
      <c r="G988" s="6">
        <v>46078.702777777777</v>
      </c>
      <c r="H988" s="7">
        <v>46087</v>
      </c>
      <c r="I988" s="5" t="s">
        <v>4214</v>
      </c>
      <c r="J988" s="7">
        <v>46092</v>
      </c>
      <c r="K988" s="5" t="s">
        <v>1527</v>
      </c>
      <c r="L988" s="5" t="s">
        <v>1535</v>
      </c>
      <c r="M988" s="8">
        <v>230</v>
      </c>
      <c r="N988" s="5" t="s">
        <v>1536</v>
      </c>
      <c r="O988" s="7">
        <v>46092</v>
      </c>
    </row>
    <row r="989" spans="1:15" x14ac:dyDescent="0.25">
      <c r="A989" s="5" t="s">
        <v>4</v>
      </c>
      <c r="B989" s="5" t="s">
        <v>4215</v>
      </c>
      <c r="D989" s="5" t="s">
        <v>417</v>
      </c>
      <c r="E989" s="5" t="s">
        <v>4216</v>
      </c>
      <c r="F989" s="5" t="s">
        <v>1567</v>
      </c>
      <c r="G989" s="6">
        <v>46079.482638888891</v>
      </c>
      <c r="H989" s="7">
        <v>46087</v>
      </c>
      <c r="I989" s="6">
        <v>46084.618055555555</v>
      </c>
      <c r="J989" s="7">
        <v>46084</v>
      </c>
      <c r="K989" s="5" t="s">
        <v>1527</v>
      </c>
      <c r="L989" s="5" t="s">
        <v>1564</v>
      </c>
      <c r="M989" s="8">
        <v>229.5</v>
      </c>
      <c r="N989" s="5" t="s">
        <v>1536</v>
      </c>
      <c r="O989" s="7">
        <v>46084</v>
      </c>
    </row>
    <row r="990" spans="1:15" x14ac:dyDescent="0.25">
      <c r="A990" s="5" t="s">
        <v>4</v>
      </c>
      <c r="B990" s="5" t="s">
        <v>4217</v>
      </c>
      <c r="D990" s="5" t="s">
        <v>1295</v>
      </c>
      <c r="E990" s="5" t="s">
        <v>4218</v>
      </c>
      <c r="F990" s="5" t="s">
        <v>4219</v>
      </c>
      <c r="G990" s="6">
        <v>46171.42291666667</v>
      </c>
      <c r="H990" s="7">
        <v>46182</v>
      </c>
      <c r="I990" s="5" t="s">
        <v>1533</v>
      </c>
      <c r="J990" s="7">
        <v>46184</v>
      </c>
      <c r="K990" s="5" t="s">
        <v>1534</v>
      </c>
      <c r="L990" s="5" t="s">
        <v>1535</v>
      </c>
      <c r="M990" s="8">
        <v>229.5</v>
      </c>
      <c r="N990" s="5" t="s">
        <v>1529</v>
      </c>
      <c r="O990" s="7">
        <v>46184</v>
      </c>
    </row>
    <row r="991" spans="1:15" hidden="1" x14ac:dyDescent="0.25">
      <c r="A991" s="5" t="s">
        <v>1522</v>
      </c>
      <c r="B991" s="5">
        <v>38679</v>
      </c>
      <c r="D991" s="5" t="s">
        <v>1510</v>
      </c>
      <c r="E991" s="5" t="s">
        <v>2466</v>
      </c>
      <c r="F991" s="5" t="s">
        <v>2074</v>
      </c>
      <c r="G991" s="6">
        <v>46083.636111111111</v>
      </c>
      <c r="H991" s="7">
        <v>46087</v>
      </c>
      <c r="I991" s="5" t="s">
        <v>4220</v>
      </c>
      <c r="J991" s="7">
        <v>46094</v>
      </c>
      <c r="K991" s="5" t="s">
        <v>1527</v>
      </c>
      <c r="L991" s="5" t="s">
        <v>1564</v>
      </c>
      <c r="M991" s="8">
        <v>228.4</v>
      </c>
      <c r="N991" s="5" t="s">
        <v>1536</v>
      </c>
      <c r="O991" s="7">
        <v>46094</v>
      </c>
    </row>
    <row r="992" spans="1:15" hidden="1" x14ac:dyDescent="0.25">
      <c r="A992" s="5" t="s">
        <v>1522</v>
      </c>
      <c r="B992" s="5">
        <v>38999</v>
      </c>
      <c r="D992" s="5" t="s">
        <v>1510</v>
      </c>
      <c r="E992" s="5" t="s">
        <v>2466</v>
      </c>
      <c r="F992" s="5" t="s">
        <v>2074</v>
      </c>
      <c r="G992" s="6">
        <v>46101.382638888892</v>
      </c>
      <c r="H992" s="7">
        <v>46111</v>
      </c>
      <c r="I992" s="6">
        <v>46111.696527777778</v>
      </c>
      <c r="J992" s="7">
        <v>46111</v>
      </c>
      <c r="K992" s="5" t="s">
        <v>1527</v>
      </c>
      <c r="L992" s="5" t="s">
        <v>1564</v>
      </c>
      <c r="M992" s="8">
        <v>228.4</v>
      </c>
      <c r="N992" s="5" t="s">
        <v>1536</v>
      </c>
      <c r="O992" s="7">
        <v>46111</v>
      </c>
    </row>
    <row r="993" spans="1:15" hidden="1" x14ac:dyDescent="0.25">
      <c r="A993" s="5" t="s">
        <v>1522</v>
      </c>
      <c r="B993" s="5" t="s">
        <v>4221</v>
      </c>
      <c r="D993" s="5" t="s">
        <v>1510</v>
      </c>
      <c r="E993" s="5" t="s">
        <v>2466</v>
      </c>
      <c r="F993" s="5" t="s">
        <v>3389</v>
      </c>
      <c r="G993" s="6">
        <v>46049.424305555556</v>
      </c>
      <c r="H993" s="7">
        <v>46055</v>
      </c>
      <c r="I993" s="6">
        <v>46055.640277777777</v>
      </c>
      <c r="J993" s="7">
        <v>46055</v>
      </c>
      <c r="K993" s="5" t="s">
        <v>1527</v>
      </c>
      <c r="L993" s="5" t="s">
        <v>1621</v>
      </c>
      <c r="M993" s="8">
        <v>228.4</v>
      </c>
      <c r="N993" s="5" t="s">
        <v>1536</v>
      </c>
      <c r="O993" s="7">
        <v>46055</v>
      </c>
    </row>
    <row r="994" spans="1:15" hidden="1" x14ac:dyDescent="0.25">
      <c r="A994" s="5" t="s">
        <v>1522</v>
      </c>
      <c r="B994" s="5" t="s">
        <v>4222</v>
      </c>
      <c r="D994" s="5" t="s">
        <v>1510</v>
      </c>
      <c r="E994" s="5" t="s">
        <v>2466</v>
      </c>
      <c r="F994" s="5" t="s">
        <v>3389</v>
      </c>
      <c r="G994" s="6">
        <v>46055.715277777781</v>
      </c>
      <c r="H994" s="7">
        <v>46059</v>
      </c>
      <c r="I994" s="5" t="s">
        <v>4223</v>
      </c>
      <c r="J994" s="7">
        <v>46076</v>
      </c>
      <c r="K994" s="5" t="s">
        <v>1527</v>
      </c>
      <c r="L994" s="5" t="s">
        <v>1621</v>
      </c>
      <c r="M994" s="8">
        <v>228.4</v>
      </c>
      <c r="N994" s="5" t="s">
        <v>1536</v>
      </c>
      <c r="O994" s="7">
        <v>46076</v>
      </c>
    </row>
    <row r="995" spans="1:15" hidden="1" x14ac:dyDescent="0.25">
      <c r="A995" s="5" t="s">
        <v>1522</v>
      </c>
      <c r="B995" s="5" t="s">
        <v>4224</v>
      </c>
      <c r="D995" s="5" t="s">
        <v>1510</v>
      </c>
      <c r="E995" s="5" t="s">
        <v>2466</v>
      </c>
      <c r="F995" s="5" t="s">
        <v>3389</v>
      </c>
      <c r="G995" s="6">
        <v>46094.65625</v>
      </c>
      <c r="H995" s="7">
        <v>46100</v>
      </c>
      <c r="I995" s="5" t="s">
        <v>4225</v>
      </c>
      <c r="J995" s="7">
        <v>46127</v>
      </c>
      <c r="K995" s="5" t="s">
        <v>1527</v>
      </c>
      <c r="L995" s="5" t="s">
        <v>1621</v>
      </c>
      <c r="M995" s="8">
        <v>228.4</v>
      </c>
      <c r="N995" s="5" t="s">
        <v>1536</v>
      </c>
      <c r="O995" s="7">
        <v>46127</v>
      </c>
    </row>
    <row r="996" spans="1:15" x14ac:dyDescent="0.25">
      <c r="A996" s="5" t="s">
        <v>4</v>
      </c>
      <c r="B996" s="5" t="s">
        <v>4226</v>
      </c>
      <c r="D996" s="5" t="s">
        <v>680</v>
      </c>
      <c r="E996" s="5" t="s">
        <v>4227</v>
      </c>
      <c r="F996" s="5" t="s">
        <v>4228</v>
      </c>
      <c r="G996" s="6">
        <v>46163.70416666667</v>
      </c>
      <c r="H996" s="7">
        <v>46170</v>
      </c>
      <c r="I996" s="6">
        <v>46169.736805555556</v>
      </c>
      <c r="J996" s="7">
        <v>46169</v>
      </c>
      <c r="K996" s="5" t="s">
        <v>1527</v>
      </c>
      <c r="L996" s="5" t="s">
        <v>1621</v>
      </c>
      <c r="M996" s="8">
        <v>228.16</v>
      </c>
      <c r="N996" s="5" t="s">
        <v>1536</v>
      </c>
      <c r="O996" s="7">
        <v>46169</v>
      </c>
    </row>
    <row r="997" spans="1:15" hidden="1" x14ac:dyDescent="0.25">
      <c r="A997" s="5" t="s">
        <v>1522</v>
      </c>
      <c r="B997" s="5" t="s">
        <v>4229</v>
      </c>
      <c r="D997" s="5" t="s">
        <v>1510</v>
      </c>
      <c r="E997" s="5" t="s">
        <v>2466</v>
      </c>
      <c r="F997" s="5" t="s">
        <v>2467</v>
      </c>
      <c r="G997" s="6">
        <v>46058.633333333331</v>
      </c>
      <c r="H997" s="7">
        <v>46062</v>
      </c>
      <c r="I997" s="5" t="s">
        <v>4230</v>
      </c>
      <c r="J997" s="7">
        <v>46063</v>
      </c>
      <c r="K997" s="5" t="s">
        <v>1527</v>
      </c>
      <c r="L997" s="5" t="s">
        <v>1621</v>
      </c>
      <c r="M997" s="8">
        <v>228</v>
      </c>
      <c r="N997" s="5" t="s">
        <v>1536</v>
      </c>
      <c r="O997" s="7">
        <v>46063</v>
      </c>
    </row>
    <row r="998" spans="1:15" x14ac:dyDescent="0.25">
      <c r="A998" s="5" t="s">
        <v>4</v>
      </c>
      <c r="B998" s="5" t="s">
        <v>4231</v>
      </c>
      <c r="D998" s="5" t="s">
        <v>647</v>
      </c>
      <c r="E998" s="5" t="s">
        <v>4232</v>
      </c>
      <c r="F998" s="5" t="s">
        <v>1738</v>
      </c>
      <c r="G998" s="6">
        <v>46141.372916666667</v>
      </c>
      <c r="H998" s="7">
        <v>46157</v>
      </c>
      <c r="I998" s="6">
        <v>46153.59375</v>
      </c>
      <c r="J998" s="7">
        <v>46141</v>
      </c>
      <c r="K998" s="5" t="s">
        <v>1527</v>
      </c>
      <c r="L998" s="5" t="s">
        <v>1564</v>
      </c>
      <c r="M998" s="8">
        <v>228</v>
      </c>
      <c r="N998" s="5" t="s">
        <v>1536</v>
      </c>
      <c r="O998" s="7">
        <v>46141</v>
      </c>
    </row>
    <row r="999" spans="1:15" x14ac:dyDescent="0.25">
      <c r="A999" s="5" t="s">
        <v>4</v>
      </c>
      <c r="B999" s="5" t="s">
        <v>4233</v>
      </c>
      <c r="D999" s="5" t="s">
        <v>808</v>
      </c>
      <c r="E999" s="5" t="s">
        <v>4234</v>
      </c>
      <c r="F999" s="5" t="s">
        <v>1532</v>
      </c>
      <c r="G999" s="6">
        <v>46156.71597222222</v>
      </c>
      <c r="H999" s="7">
        <v>46167</v>
      </c>
      <c r="I999" s="5" t="s">
        <v>4235</v>
      </c>
      <c r="J999" s="7">
        <v>46168</v>
      </c>
      <c r="K999" s="5" t="s">
        <v>1527</v>
      </c>
      <c r="L999" s="5" t="s">
        <v>1535</v>
      </c>
      <c r="M999" s="8">
        <v>228</v>
      </c>
      <c r="N999" s="5" t="s">
        <v>1536</v>
      </c>
      <c r="O999" s="7">
        <v>46168</v>
      </c>
    </row>
    <row r="1000" spans="1:15" x14ac:dyDescent="0.25">
      <c r="A1000" s="5" t="s">
        <v>4</v>
      </c>
      <c r="B1000" s="5" t="s">
        <v>4236</v>
      </c>
      <c r="D1000" s="5" t="s">
        <v>954</v>
      </c>
      <c r="E1000" s="5" t="s">
        <v>4237</v>
      </c>
      <c r="F1000" s="5" t="s">
        <v>4238</v>
      </c>
      <c r="G1000" s="6">
        <v>46079.344444444447</v>
      </c>
      <c r="H1000" s="7">
        <v>46092</v>
      </c>
      <c r="I1000" s="6">
        <v>46086.518750000003</v>
      </c>
      <c r="J1000" s="7">
        <v>46086</v>
      </c>
      <c r="K1000" s="5" t="s">
        <v>1527</v>
      </c>
      <c r="L1000" s="5" t="s">
        <v>1564</v>
      </c>
      <c r="M1000" s="8">
        <v>227.8</v>
      </c>
      <c r="N1000" s="5" t="s">
        <v>1536</v>
      </c>
      <c r="O1000" s="7">
        <v>46086</v>
      </c>
    </row>
    <row r="1001" spans="1:15" x14ac:dyDescent="0.25">
      <c r="A1001" s="5" t="s">
        <v>4</v>
      </c>
      <c r="B1001" s="5" t="s">
        <v>4239</v>
      </c>
      <c r="D1001" s="5" t="s">
        <v>505</v>
      </c>
      <c r="E1001" s="5" t="s">
        <v>4240</v>
      </c>
      <c r="F1001" s="5" t="s">
        <v>1759</v>
      </c>
      <c r="G1001" s="6">
        <v>46087.668055555558</v>
      </c>
      <c r="H1001" s="7">
        <v>46097</v>
      </c>
      <c r="I1001" s="6">
        <v>46093.597916666666</v>
      </c>
      <c r="J1001" s="7">
        <v>46093</v>
      </c>
      <c r="K1001" s="5" t="s">
        <v>1527</v>
      </c>
      <c r="L1001" s="5" t="s">
        <v>1564</v>
      </c>
      <c r="M1001" s="8">
        <v>227.7</v>
      </c>
      <c r="N1001" s="5" t="s">
        <v>1536</v>
      </c>
      <c r="O1001" s="7">
        <v>46093</v>
      </c>
    </row>
    <row r="1002" spans="1:15" x14ac:dyDescent="0.25">
      <c r="A1002" s="5" t="s">
        <v>4</v>
      </c>
      <c r="B1002" s="5" t="s">
        <v>4241</v>
      </c>
      <c r="D1002" s="5" t="s">
        <v>1085</v>
      </c>
      <c r="E1002" s="5" t="s">
        <v>4242</v>
      </c>
      <c r="F1002" s="5" t="s">
        <v>4243</v>
      </c>
      <c r="G1002" s="6">
        <v>46062.685416666667</v>
      </c>
      <c r="H1002" s="7">
        <v>46073</v>
      </c>
      <c r="I1002" s="5" t="s">
        <v>4244</v>
      </c>
      <c r="J1002" s="7">
        <v>46078</v>
      </c>
      <c r="K1002" s="5" t="s">
        <v>1527</v>
      </c>
      <c r="L1002" s="5" t="s">
        <v>1564</v>
      </c>
      <c r="M1002" s="8">
        <v>227.5</v>
      </c>
      <c r="N1002" s="5" t="s">
        <v>1536</v>
      </c>
      <c r="O1002" s="7">
        <v>46078</v>
      </c>
    </row>
    <row r="1003" spans="1:15" x14ac:dyDescent="0.25">
      <c r="A1003" s="5" t="s">
        <v>4</v>
      </c>
      <c r="B1003" s="5" t="s">
        <v>4245</v>
      </c>
      <c r="D1003" s="5" t="s">
        <v>750</v>
      </c>
      <c r="E1003" s="5" t="s">
        <v>4246</v>
      </c>
      <c r="F1003" s="5" t="s">
        <v>1548</v>
      </c>
      <c r="G1003" s="6">
        <v>46042.602083333331</v>
      </c>
      <c r="H1003" s="7">
        <v>46055</v>
      </c>
      <c r="I1003" s="5" t="s">
        <v>4247</v>
      </c>
      <c r="J1003" s="7">
        <v>46064</v>
      </c>
      <c r="K1003" s="5" t="s">
        <v>1527</v>
      </c>
      <c r="L1003" s="5" t="s">
        <v>1564</v>
      </c>
      <c r="M1003" s="8">
        <v>227.1</v>
      </c>
      <c r="N1003" s="5" t="s">
        <v>1536</v>
      </c>
      <c r="O1003" s="7">
        <v>46064</v>
      </c>
    </row>
    <row r="1004" spans="1:15" x14ac:dyDescent="0.25">
      <c r="A1004" s="5" t="s">
        <v>4</v>
      </c>
      <c r="B1004" s="5" t="s">
        <v>4248</v>
      </c>
      <c r="D1004" s="5" t="s">
        <v>1387</v>
      </c>
      <c r="E1004" s="5" t="s">
        <v>4059</v>
      </c>
      <c r="F1004" s="5" t="s">
        <v>1770</v>
      </c>
      <c r="G1004" s="6">
        <v>46064.512499999997</v>
      </c>
      <c r="H1004" s="7">
        <v>46078</v>
      </c>
      <c r="I1004" s="6">
        <v>46078.690972222219</v>
      </c>
      <c r="J1004" s="7">
        <v>46078</v>
      </c>
      <c r="K1004" s="5" t="s">
        <v>1527</v>
      </c>
      <c r="L1004" s="5" t="s">
        <v>1564</v>
      </c>
      <c r="M1004" s="8">
        <v>227</v>
      </c>
      <c r="N1004" s="5" t="s">
        <v>1536</v>
      </c>
      <c r="O1004" s="7">
        <v>46078</v>
      </c>
    </row>
    <row r="1005" spans="1:15" x14ac:dyDescent="0.25">
      <c r="A1005" s="5" t="s">
        <v>4</v>
      </c>
      <c r="B1005" s="5" t="s">
        <v>4249</v>
      </c>
      <c r="D1005" s="5" t="s">
        <v>1330</v>
      </c>
      <c r="E1005" s="5" t="s">
        <v>4250</v>
      </c>
      <c r="F1005" s="5" t="s">
        <v>4251</v>
      </c>
      <c r="G1005" s="6">
        <v>46085.711111111108</v>
      </c>
      <c r="H1005" s="7">
        <v>46091</v>
      </c>
      <c r="I1005" s="6">
        <v>46090.635416666664</v>
      </c>
      <c r="J1005" s="7">
        <v>46090</v>
      </c>
      <c r="K1005" s="5" t="s">
        <v>1527</v>
      </c>
      <c r="L1005" s="5" t="s">
        <v>1621</v>
      </c>
      <c r="M1005" s="8">
        <v>226.5</v>
      </c>
      <c r="N1005" s="5" t="s">
        <v>1536</v>
      </c>
      <c r="O1005" s="7">
        <v>46090</v>
      </c>
    </row>
    <row r="1006" spans="1:15" x14ac:dyDescent="0.25">
      <c r="A1006" s="5" t="s">
        <v>4</v>
      </c>
      <c r="B1006" s="5" t="s">
        <v>4252</v>
      </c>
      <c r="D1006" s="5" t="s">
        <v>165</v>
      </c>
      <c r="E1006" s="5" t="s">
        <v>4253</v>
      </c>
      <c r="F1006" s="5" t="s">
        <v>1548</v>
      </c>
      <c r="G1006" s="6">
        <v>46034.567361111112</v>
      </c>
      <c r="H1006" s="7">
        <v>46045</v>
      </c>
      <c r="I1006" s="6">
        <v>46045.695833333331</v>
      </c>
      <c r="J1006" s="7">
        <v>46045</v>
      </c>
      <c r="K1006" s="5" t="s">
        <v>1527</v>
      </c>
      <c r="L1006" s="5" t="s">
        <v>1564</v>
      </c>
      <c r="M1006" s="8">
        <v>226</v>
      </c>
      <c r="N1006" s="5" t="s">
        <v>1536</v>
      </c>
      <c r="O1006" s="7">
        <v>46045</v>
      </c>
    </row>
    <row r="1007" spans="1:15" x14ac:dyDescent="0.25">
      <c r="A1007" s="5" t="s">
        <v>4</v>
      </c>
      <c r="B1007" s="5" t="s">
        <v>4254</v>
      </c>
      <c r="D1007" s="5" t="s">
        <v>503</v>
      </c>
      <c r="E1007" s="5" t="s">
        <v>4255</v>
      </c>
      <c r="F1007" s="5" t="s">
        <v>1548</v>
      </c>
      <c r="G1007" s="6">
        <v>46055.664583333331</v>
      </c>
      <c r="H1007" s="7">
        <v>46055</v>
      </c>
      <c r="I1007" s="5" t="s">
        <v>4256</v>
      </c>
      <c r="J1007" s="7">
        <v>46055</v>
      </c>
      <c r="K1007" s="5" t="s">
        <v>1527</v>
      </c>
      <c r="L1007" s="5" t="s">
        <v>1564</v>
      </c>
      <c r="M1007" s="8">
        <v>226</v>
      </c>
      <c r="N1007" s="5" t="s">
        <v>1536</v>
      </c>
      <c r="O1007" s="7">
        <v>46055</v>
      </c>
    </row>
    <row r="1008" spans="1:15" x14ac:dyDescent="0.25">
      <c r="A1008" s="5" t="s">
        <v>4</v>
      </c>
      <c r="B1008" s="5" t="s">
        <v>4257</v>
      </c>
      <c r="D1008" s="5" t="s">
        <v>888</v>
      </c>
      <c r="E1008" s="5" t="s">
        <v>4258</v>
      </c>
      <c r="F1008" s="5" t="s">
        <v>1532</v>
      </c>
      <c r="G1008" s="6">
        <v>46163.65625</v>
      </c>
      <c r="H1008" s="7">
        <v>46174</v>
      </c>
      <c r="I1008" s="6">
        <v>46171.623611111114</v>
      </c>
      <c r="J1008" s="7">
        <v>46170</v>
      </c>
      <c r="K1008" s="5" t="s">
        <v>1527</v>
      </c>
      <c r="L1008" s="5" t="s">
        <v>1535</v>
      </c>
      <c r="M1008" s="8">
        <v>225.8</v>
      </c>
      <c r="N1008" s="5" t="s">
        <v>1536</v>
      </c>
      <c r="O1008" s="7">
        <v>46170</v>
      </c>
    </row>
    <row r="1009" spans="1:15" x14ac:dyDescent="0.25">
      <c r="A1009" s="5" t="s">
        <v>4</v>
      </c>
      <c r="B1009" s="5" t="s">
        <v>4259</v>
      </c>
      <c r="D1009" s="5" t="s">
        <v>1078</v>
      </c>
      <c r="E1009" s="5" t="s">
        <v>4260</v>
      </c>
      <c r="F1009" s="5" t="s">
        <v>1548</v>
      </c>
      <c r="G1009" s="6">
        <v>46045.44027777778</v>
      </c>
      <c r="H1009" s="7">
        <v>46058</v>
      </c>
      <c r="I1009" s="5" t="s">
        <v>4261</v>
      </c>
      <c r="J1009" s="7">
        <v>46064</v>
      </c>
      <c r="K1009" s="5" t="s">
        <v>1527</v>
      </c>
      <c r="L1009" s="5" t="s">
        <v>1564</v>
      </c>
      <c r="M1009" s="8">
        <v>225.75</v>
      </c>
      <c r="N1009" s="5" t="s">
        <v>1536</v>
      </c>
      <c r="O1009" s="7">
        <v>46064</v>
      </c>
    </row>
    <row r="1010" spans="1:15" x14ac:dyDescent="0.25">
      <c r="A1010" s="5" t="s">
        <v>4</v>
      </c>
      <c r="B1010" s="5" t="s">
        <v>4262</v>
      </c>
      <c r="D1010" s="5" t="s">
        <v>1358</v>
      </c>
      <c r="E1010" s="5" t="s">
        <v>4263</v>
      </c>
      <c r="F1010" s="5" t="s">
        <v>1759</v>
      </c>
      <c r="G1010" s="6">
        <v>46097.675000000003</v>
      </c>
      <c r="H1010" s="7">
        <v>46104</v>
      </c>
      <c r="I1010" s="5" t="s">
        <v>1533</v>
      </c>
      <c r="J1010" s="7">
        <v>46105</v>
      </c>
      <c r="K1010" s="5" t="s">
        <v>1534</v>
      </c>
      <c r="L1010" s="5" t="s">
        <v>1564</v>
      </c>
      <c r="M1010" s="8">
        <v>225.5</v>
      </c>
      <c r="N1010" s="5" t="s">
        <v>1536</v>
      </c>
      <c r="O1010" s="7">
        <v>46105</v>
      </c>
    </row>
    <row r="1011" spans="1:15" x14ac:dyDescent="0.25">
      <c r="A1011" s="5" t="s">
        <v>4</v>
      </c>
      <c r="B1011" s="5" t="s">
        <v>4264</v>
      </c>
      <c r="D1011" s="5" t="s">
        <v>1345</v>
      </c>
      <c r="E1011" s="5" t="s">
        <v>1806</v>
      </c>
      <c r="F1011" s="5" t="s">
        <v>3022</v>
      </c>
      <c r="G1011" s="6">
        <v>46042.563888888886</v>
      </c>
      <c r="H1011" s="7">
        <v>46042</v>
      </c>
      <c r="I1011" s="6">
        <v>46042.622916666667</v>
      </c>
      <c r="J1011" s="7">
        <v>46042</v>
      </c>
      <c r="K1011" s="5" t="s">
        <v>1527</v>
      </c>
      <c r="L1011" s="5" t="s">
        <v>1535</v>
      </c>
      <c r="M1011" s="8">
        <v>225</v>
      </c>
      <c r="N1011" s="5" t="s">
        <v>1536</v>
      </c>
      <c r="O1011" s="7">
        <v>46042</v>
      </c>
    </row>
    <row r="1012" spans="1:15" x14ac:dyDescent="0.25">
      <c r="A1012" s="5" t="s">
        <v>4</v>
      </c>
      <c r="B1012" s="5" t="s">
        <v>4265</v>
      </c>
      <c r="D1012" s="5" t="s">
        <v>1474</v>
      </c>
      <c r="E1012" s="5" t="s">
        <v>3803</v>
      </c>
      <c r="F1012" s="5" t="s">
        <v>4266</v>
      </c>
      <c r="G1012" s="6">
        <v>46051.595138888886</v>
      </c>
      <c r="H1012" s="7">
        <v>46062</v>
      </c>
      <c r="I1012" s="6">
        <v>46062.655555555553</v>
      </c>
      <c r="J1012" s="7">
        <v>46062</v>
      </c>
      <c r="K1012" s="5" t="s">
        <v>1527</v>
      </c>
      <c r="L1012" s="5" t="s">
        <v>1535</v>
      </c>
      <c r="M1012" s="8">
        <v>225</v>
      </c>
      <c r="N1012" s="5" t="s">
        <v>1536</v>
      </c>
      <c r="O1012" s="7">
        <v>46062</v>
      </c>
    </row>
    <row r="1013" spans="1:15" x14ac:dyDescent="0.25">
      <c r="A1013" s="5" t="s">
        <v>4</v>
      </c>
      <c r="B1013" s="5" t="s">
        <v>4267</v>
      </c>
      <c r="D1013" s="5" t="s">
        <v>1423</v>
      </c>
      <c r="E1013" s="5" t="s">
        <v>4268</v>
      </c>
      <c r="F1013" s="5" t="s">
        <v>4269</v>
      </c>
      <c r="G1013" s="6">
        <v>46087.423611111109</v>
      </c>
      <c r="H1013" s="7">
        <v>46100</v>
      </c>
      <c r="I1013" s="5" t="s">
        <v>1533</v>
      </c>
      <c r="J1013" s="7">
        <v>46098</v>
      </c>
      <c r="K1013" s="5" t="s">
        <v>1534</v>
      </c>
      <c r="L1013" s="5" t="s">
        <v>1564</v>
      </c>
      <c r="M1013" s="8">
        <v>225</v>
      </c>
      <c r="N1013" s="5" t="s">
        <v>1536</v>
      </c>
      <c r="O1013" s="7">
        <v>46098</v>
      </c>
    </row>
    <row r="1014" spans="1:15" x14ac:dyDescent="0.25">
      <c r="A1014" s="5" t="s">
        <v>4</v>
      </c>
      <c r="B1014" s="5" t="s">
        <v>4270</v>
      </c>
      <c r="D1014" s="5" t="s">
        <v>63</v>
      </c>
      <c r="E1014" s="5" t="s">
        <v>4271</v>
      </c>
      <c r="F1014" s="5" t="s">
        <v>1532</v>
      </c>
      <c r="G1014" s="6">
        <v>46160.68472222222</v>
      </c>
      <c r="H1014" s="7">
        <v>46169</v>
      </c>
      <c r="I1014" s="5" t="s">
        <v>4272</v>
      </c>
      <c r="J1014" s="7">
        <v>46171</v>
      </c>
      <c r="K1014" s="5" t="s">
        <v>1527</v>
      </c>
      <c r="L1014" s="5" t="s">
        <v>1535</v>
      </c>
      <c r="M1014" s="8">
        <v>224.9</v>
      </c>
      <c r="N1014" s="5" t="s">
        <v>1536</v>
      </c>
      <c r="O1014" s="7">
        <v>46171</v>
      </c>
    </row>
    <row r="1015" spans="1:15" x14ac:dyDescent="0.25">
      <c r="A1015" s="5" t="s">
        <v>4</v>
      </c>
      <c r="B1015" s="5" t="s">
        <v>4273</v>
      </c>
      <c r="D1015" s="5" t="s">
        <v>393</v>
      </c>
      <c r="E1015" s="5" t="s">
        <v>4274</v>
      </c>
      <c r="F1015" s="5" t="s">
        <v>1532</v>
      </c>
      <c r="G1015" s="6">
        <v>46148.597916666666</v>
      </c>
      <c r="H1015" s="7">
        <v>46157</v>
      </c>
      <c r="I1015" s="5" t="s">
        <v>4275</v>
      </c>
      <c r="J1015" s="7">
        <v>46160</v>
      </c>
      <c r="K1015" s="5" t="s">
        <v>1527</v>
      </c>
      <c r="L1015" s="5" t="s">
        <v>1535</v>
      </c>
      <c r="M1015" s="8">
        <v>224.6</v>
      </c>
      <c r="N1015" s="5" t="s">
        <v>1536</v>
      </c>
      <c r="O1015" s="7">
        <v>46160</v>
      </c>
    </row>
    <row r="1016" spans="1:15" x14ac:dyDescent="0.25">
      <c r="A1016" s="5" t="s">
        <v>4</v>
      </c>
      <c r="B1016" s="5" t="s">
        <v>4276</v>
      </c>
      <c r="D1016" s="5" t="s">
        <v>766</v>
      </c>
      <c r="E1016" s="5" t="s">
        <v>4277</v>
      </c>
      <c r="F1016" s="5" t="s">
        <v>4278</v>
      </c>
      <c r="G1016" s="6">
        <v>46092.71875</v>
      </c>
      <c r="H1016" s="7">
        <v>46099</v>
      </c>
      <c r="I1016" s="6">
        <v>46098.661111111112</v>
      </c>
      <c r="J1016" s="7">
        <v>46098</v>
      </c>
      <c r="K1016" s="5" t="s">
        <v>1527</v>
      </c>
      <c r="L1016" s="5" t="s">
        <v>1621</v>
      </c>
      <c r="M1016" s="8">
        <v>224.21</v>
      </c>
      <c r="N1016" s="5" t="s">
        <v>1536</v>
      </c>
      <c r="O1016" s="7">
        <v>46098</v>
      </c>
    </row>
    <row r="1017" spans="1:15" x14ac:dyDescent="0.25">
      <c r="A1017" s="5" t="s">
        <v>4</v>
      </c>
      <c r="B1017" s="5" t="s">
        <v>4279</v>
      </c>
      <c r="D1017" s="5" t="s">
        <v>882</v>
      </c>
      <c r="E1017" s="5" t="s">
        <v>4280</v>
      </c>
      <c r="F1017" s="5" t="s">
        <v>1738</v>
      </c>
      <c r="G1017" s="6">
        <v>46139.592361111114</v>
      </c>
      <c r="H1017" s="7">
        <v>46153</v>
      </c>
      <c r="I1017" s="6">
        <v>46146.716666666667</v>
      </c>
      <c r="J1017" s="7">
        <v>46146</v>
      </c>
      <c r="K1017" s="5" t="s">
        <v>1527</v>
      </c>
      <c r="L1017" s="5" t="s">
        <v>1564</v>
      </c>
      <c r="M1017" s="8">
        <v>224</v>
      </c>
      <c r="N1017" s="5" t="s">
        <v>1536</v>
      </c>
      <c r="O1017" s="7">
        <v>46146</v>
      </c>
    </row>
    <row r="1018" spans="1:15" x14ac:dyDescent="0.25">
      <c r="A1018" s="5" t="s">
        <v>4</v>
      </c>
      <c r="B1018" s="5" t="s">
        <v>4281</v>
      </c>
      <c r="D1018" s="5" t="s">
        <v>1448</v>
      </c>
      <c r="E1018" s="5" t="s">
        <v>1821</v>
      </c>
      <c r="F1018" s="5" t="s">
        <v>1738</v>
      </c>
      <c r="G1018" s="6">
        <v>46163.356944444444</v>
      </c>
      <c r="H1018" s="7">
        <v>46171</v>
      </c>
      <c r="I1018" s="5" t="s">
        <v>3384</v>
      </c>
      <c r="J1018" s="7">
        <v>46171</v>
      </c>
      <c r="K1018" s="5" t="s">
        <v>1527</v>
      </c>
      <c r="L1018" s="5" t="s">
        <v>1564</v>
      </c>
      <c r="M1018" s="8">
        <v>224</v>
      </c>
      <c r="N1018" s="5" t="s">
        <v>1529</v>
      </c>
      <c r="O1018" s="7">
        <v>46171</v>
      </c>
    </row>
    <row r="1019" spans="1:15" x14ac:dyDescent="0.25">
      <c r="A1019" s="5" t="s">
        <v>4</v>
      </c>
      <c r="B1019" s="5" t="s">
        <v>4282</v>
      </c>
      <c r="D1019" s="5" t="s">
        <v>293</v>
      </c>
      <c r="E1019" s="5" t="s">
        <v>4283</v>
      </c>
      <c r="F1019" s="5" t="s">
        <v>2875</v>
      </c>
      <c r="G1019" s="6">
        <v>46149.397222222222</v>
      </c>
      <c r="H1019" s="7">
        <v>46160</v>
      </c>
      <c r="I1019" s="6">
        <v>46155.446527777778</v>
      </c>
      <c r="J1019" s="7">
        <v>46155</v>
      </c>
      <c r="K1019" s="5" t="s">
        <v>1527</v>
      </c>
      <c r="L1019" s="5" t="s">
        <v>1535</v>
      </c>
      <c r="M1019" s="8">
        <v>223</v>
      </c>
      <c r="N1019" s="5" t="s">
        <v>1536</v>
      </c>
      <c r="O1019" s="7">
        <v>46155</v>
      </c>
    </row>
    <row r="1020" spans="1:15" hidden="1" x14ac:dyDescent="0.25">
      <c r="A1020" s="5" t="s">
        <v>1522</v>
      </c>
      <c r="B1020" s="5" t="s">
        <v>4284</v>
      </c>
      <c r="D1020" s="5" t="s">
        <v>1508</v>
      </c>
      <c r="E1020" s="5" t="s">
        <v>2606</v>
      </c>
      <c r="F1020" s="5" t="s">
        <v>4285</v>
      </c>
      <c r="G1020" s="6">
        <v>46086.697222222225</v>
      </c>
      <c r="H1020" s="7">
        <v>46091</v>
      </c>
      <c r="I1020" s="5" t="s">
        <v>4286</v>
      </c>
      <c r="J1020" s="7">
        <v>46091</v>
      </c>
      <c r="K1020" s="5" t="s">
        <v>1527</v>
      </c>
      <c r="L1020" s="5" t="s">
        <v>1528</v>
      </c>
      <c r="M1020" s="8">
        <v>222</v>
      </c>
      <c r="N1020" s="5" t="s">
        <v>1536</v>
      </c>
      <c r="O1020" s="7">
        <v>46091</v>
      </c>
    </row>
    <row r="1021" spans="1:15" x14ac:dyDescent="0.25">
      <c r="A1021" s="5" t="s">
        <v>4</v>
      </c>
      <c r="B1021" s="5" t="s">
        <v>4287</v>
      </c>
      <c r="D1021" s="5" t="s">
        <v>606</v>
      </c>
      <c r="E1021" s="5" t="s">
        <v>4288</v>
      </c>
      <c r="F1021" s="5" t="s">
        <v>1548</v>
      </c>
      <c r="G1021" s="6">
        <v>46044.48333333333</v>
      </c>
      <c r="H1021" s="7">
        <v>46057</v>
      </c>
      <c r="I1021" s="5" t="s">
        <v>4289</v>
      </c>
      <c r="J1021" s="7">
        <v>46063</v>
      </c>
      <c r="K1021" s="5" t="s">
        <v>1527</v>
      </c>
      <c r="L1021" s="5" t="s">
        <v>1564</v>
      </c>
      <c r="M1021" s="8">
        <v>222</v>
      </c>
      <c r="N1021" s="5" t="s">
        <v>1536</v>
      </c>
      <c r="O1021" s="7">
        <v>46063</v>
      </c>
    </row>
    <row r="1022" spans="1:15" x14ac:dyDescent="0.25">
      <c r="A1022" s="5" t="s">
        <v>4</v>
      </c>
      <c r="B1022" s="5" t="s">
        <v>4290</v>
      </c>
      <c r="D1022" s="5" t="s">
        <v>432</v>
      </c>
      <c r="E1022" s="5" t="s">
        <v>4291</v>
      </c>
      <c r="F1022" s="5" t="s">
        <v>4292</v>
      </c>
      <c r="G1022" s="6">
        <v>46085.743055555555</v>
      </c>
      <c r="H1022" s="7">
        <v>46091</v>
      </c>
      <c r="I1022" s="6">
        <v>46087.7</v>
      </c>
      <c r="J1022" s="7">
        <v>46087</v>
      </c>
      <c r="K1022" s="5" t="s">
        <v>1527</v>
      </c>
      <c r="L1022" s="5" t="s">
        <v>1621</v>
      </c>
      <c r="M1022" s="8">
        <v>221.58</v>
      </c>
      <c r="N1022" s="5" t="s">
        <v>1536</v>
      </c>
      <c r="O1022" s="7">
        <v>46087</v>
      </c>
    </row>
    <row r="1023" spans="1:15" x14ac:dyDescent="0.25">
      <c r="A1023" s="5" t="s">
        <v>4</v>
      </c>
      <c r="B1023" s="5" t="s">
        <v>4293</v>
      </c>
      <c r="D1023" s="5" t="s">
        <v>126</v>
      </c>
      <c r="E1023" s="5" t="s">
        <v>4294</v>
      </c>
      <c r="F1023" s="5" t="s">
        <v>1770</v>
      </c>
      <c r="G1023" s="6">
        <v>46076.478472222225</v>
      </c>
      <c r="H1023" s="7">
        <v>46087</v>
      </c>
      <c r="I1023" s="6">
        <v>46086.508333333331</v>
      </c>
      <c r="J1023" s="7">
        <v>46086</v>
      </c>
      <c r="K1023" s="5" t="s">
        <v>1527</v>
      </c>
      <c r="L1023" s="5" t="s">
        <v>1564</v>
      </c>
      <c r="M1023" s="8">
        <v>220.9</v>
      </c>
      <c r="N1023" s="5" t="s">
        <v>1536</v>
      </c>
      <c r="O1023" s="7">
        <v>46086</v>
      </c>
    </row>
    <row r="1024" spans="1:15" hidden="1" x14ac:dyDescent="0.25">
      <c r="A1024" s="5" t="s">
        <v>1522</v>
      </c>
      <c r="B1024" s="5" t="s">
        <v>4295</v>
      </c>
      <c r="D1024" s="5" t="s">
        <v>177</v>
      </c>
      <c r="E1024" s="5" t="s">
        <v>4296</v>
      </c>
      <c r="F1024" s="5" t="s">
        <v>4297</v>
      </c>
      <c r="G1024" s="6">
        <v>46027.503472222219</v>
      </c>
      <c r="H1024" s="7">
        <v>46035</v>
      </c>
      <c r="I1024" s="5" t="s">
        <v>4298</v>
      </c>
      <c r="J1024" s="7">
        <v>46041</v>
      </c>
      <c r="K1024" s="5" t="s">
        <v>1527</v>
      </c>
      <c r="L1024" s="5" t="s">
        <v>1528</v>
      </c>
      <c r="M1024" s="8">
        <v>220</v>
      </c>
      <c r="N1024" s="5" t="s">
        <v>1536</v>
      </c>
      <c r="O1024" s="7">
        <v>46041</v>
      </c>
    </row>
    <row r="1025" spans="1:15" hidden="1" x14ac:dyDescent="0.25">
      <c r="A1025" s="5" t="s">
        <v>1522</v>
      </c>
      <c r="B1025" s="5" t="s">
        <v>4299</v>
      </c>
      <c r="D1025" s="5" t="s">
        <v>1426</v>
      </c>
      <c r="E1025" s="5" t="s">
        <v>3737</v>
      </c>
      <c r="F1025" s="5" t="s">
        <v>4300</v>
      </c>
      <c r="G1025" s="6">
        <v>46141.665277777778</v>
      </c>
      <c r="H1025" s="7">
        <v>46150</v>
      </c>
      <c r="I1025" s="6">
        <v>46148.59652777778</v>
      </c>
      <c r="J1025" s="7">
        <v>46148</v>
      </c>
      <c r="K1025" s="5" t="s">
        <v>1527</v>
      </c>
      <c r="L1025" s="5" t="s">
        <v>1528</v>
      </c>
      <c r="M1025" s="8">
        <v>220</v>
      </c>
      <c r="N1025" s="5" t="s">
        <v>1536</v>
      </c>
      <c r="O1025" s="7">
        <v>46148</v>
      </c>
    </row>
    <row r="1026" spans="1:15" x14ac:dyDescent="0.25">
      <c r="A1026" s="5" t="s">
        <v>4</v>
      </c>
      <c r="B1026" s="5" t="s">
        <v>4301</v>
      </c>
      <c r="D1026" s="5" t="s">
        <v>1314</v>
      </c>
      <c r="E1026" s="5" t="s">
        <v>4302</v>
      </c>
      <c r="F1026" s="5" t="s">
        <v>1738</v>
      </c>
      <c r="G1026" s="6">
        <v>46065.489583333336</v>
      </c>
      <c r="H1026" s="7">
        <v>46079</v>
      </c>
      <c r="I1026" s="5" t="s">
        <v>4303</v>
      </c>
      <c r="J1026" s="7">
        <v>46080</v>
      </c>
      <c r="K1026" s="5" t="s">
        <v>1527</v>
      </c>
      <c r="L1026" s="5" t="s">
        <v>1564</v>
      </c>
      <c r="M1026" s="8">
        <v>220</v>
      </c>
      <c r="N1026" s="5" t="s">
        <v>1536</v>
      </c>
      <c r="O1026" s="7">
        <v>46080</v>
      </c>
    </row>
    <row r="1027" spans="1:15" x14ac:dyDescent="0.25">
      <c r="A1027" s="5" t="s">
        <v>4</v>
      </c>
      <c r="B1027" s="5" t="s">
        <v>4304</v>
      </c>
      <c r="D1027" s="5" t="s">
        <v>322</v>
      </c>
      <c r="E1027" s="5" t="s">
        <v>4305</v>
      </c>
      <c r="F1027" s="5" t="s">
        <v>1738</v>
      </c>
      <c r="G1027" s="6">
        <v>46135.607638888891</v>
      </c>
      <c r="H1027" s="7">
        <v>46149</v>
      </c>
      <c r="I1027" s="6">
        <v>46146.716666666667</v>
      </c>
      <c r="J1027" s="7">
        <v>46146</v>
      </c>
      <c r="K1027" s="5" t="s">
        <v>1527</v>
      </c>
      <c r="L1027" s="5" t="s">
        <v>1564</v>
      </c>
      <c r="M1027" s="8">
        <v>220</v>
      </c>
      <c r="N1027" s="5" t="s">
        <v>1536</v>
      </c>
      <c r="O1027" s="7">
        <v>46146</v>
      </c>
    </row>
    <row r="1028" spans="1:15" x14ac:dyDescent="0.25">
      <c r="A1028" s="5" t="s">
        <v>4</v>
      </c>
      <c r="B1028" s="5" t="s">
        <v>4306</v>
      </c>
      <c r="D1028" s="5" t="s">
        <v>966</v>
      </c>
      <c r="E1028" s="5" t="s">
        <v>4307</v>
      </c>
      <c r="F1028" s="5" t="s">
        <v>4308</v>
      </c>
      <c r="G1028" s="6">
        <v>46171.665972222225</v>
      </c>
      <c r="H1028" s="7">
        <v>46178</v>
      </c>
      <c r="I1028" s="6">
        <v>46178.490972222222</v>
      </c>
      <c r="J1028" s="7">
        <v>46176</v>
      </c>
      <c r="K1028" s="5" t="s">
        <v>1527</v>
      </c>
      <c r="L1028" s="5" t="s">
        <v>3243</v>
      </c>
      <c r="M1028" s="8">
        <v>219.51</v>
      </c>
      <c r="N1028" s="5" t="s">
        <v>1536</v>
      </c>
      <c r="O1028" s="7">
        <v>46176</v>
      </c>
    </row>
    <row r="1029" spans="1:15" x14ac:dyDescent="0.25">
      <c r="A1029" s="5" t="s">
        <v>4</v>
      </c>
      <c r="B1029" s="5" t="s">
        <v>4309</v>
      </c>
      <c r="D1029" s="5" t="s">
        <v>549</v>
      </c>
      <c r="E1029" s="5" t="s">
        <v>4310</v>
      </c>
      <c r="F1029" s="5" t="s">
        <v>1813</v>
      </c>
      <c r="G1029" s="6">
        <v>46035.643750000003</v>
      </c>
      <c r="H1029" s="7">
        <v>46045</v>
      </c>
      <c r="I1029" s="6">
        <v>46045.695138888892</v>
      </c>
      <c r="J1029" s="7">
        <v>46045</v>
      </c>
      <c r="K1029" s="5" t="s">
        <v>1527</v>
      </c>
      <c r="L1029" s="5" t="s">
        <v>1535</v>
      </c>
      <c r="M1029" s="8">
        <v>217.7</v>
      </c>
      <c r="N1029" s="5" t="s">
        <v>1536</v>
      </c>
      <c r="O1029" s="7">
        <v>46045</v>
      </c>
    </row>
    <row r="1030" spans="1:15" x14ac:dyDescent="0.25">
      <c r="A1030" s="5" t="s">
        <v>4</v>
      </c>
      <c r="B1030" s="5" t="s">
        <v>4311</v>
      </c>
      <c r="D1030" s="5" t="s">
        <v>1270</v>
      </c>
      <c r="E1030" s="5" t="s">
        <v>1747</v>
      </c>
      <c r="F1030" s="5" t="s">
        <v>1532</v>
      </c>
      <c r="G1030" s="6">
        <v>46122.580555555556</v>
      </c>
      <c r="H1030" s="7">
        <v>46134</v>
      </c>
      <c r="I1030" s="5" t="s">
        <v>4312</v>
      </c>
      <c r="J1030" s="7">
        <v>46139</v>
      </c>
      <c r="K1030" s="5" t="s">
        <v>1527</v>
      </c>
      <c r="L1030" s="5" t="s">
        <v>1535</v>
      </c>
      <c r="M1030" s="8">
        <v>216.5</v>
      </c>
      <c r="N1030" s="5" t="s">
        <v>1536</v>
      </c>
      <c r="O1030" s="7">
        <v>46139</v>
      </c>
    </row>
    <row r="1031" spans="1:15" x14ac:dyDescent="0.25">
      <c r="A1031" s="5" t="s">
        <v>4</v>
      </c>
      <c r="B1031" s="5" t="s">
        <v>4313</v>
      </c>
      <c r="D1031" s="5" t="s">
        <v>787</v>
      </c>
      <c r="E1031" s="5" t="s">
        <v>4314</v>
      </c>
      <c r="F1031" s="5" t="s">
        <v>1759</v>
      </c>
      <c r="G1031" s="6">
        <v>46104.499305555553</v>
      </c>
      <c r="H1031" s="7">
        <v>46118</v>
      </c>
      <c r="I1031" s="5" t="s">
        <v>4315</v>
      </c>
      <c r="J1031" s="7">
        <v>46118</v>
      </c>
      <c r="K1031" s="5" t="s">
        <v>1527</v>
      </c>
      <c r="L1031" s="5" t="s">
        <v>1564</v>
      </c>
      <c r="M1031" s="8">
        <v>216.3</v>
      </c>
      <c r="N1031" s="5" t="s">
        <v>1536</v>
      </c>
      <c r="O1031" s="7">
        <v>46118</v>
      </c>
    </row>
    <row r="1032" spans="1:15" x14ac:dyDescent="0.25">
      <c r="A1032" s="5" t="s">
        <v>4</v>
      </c>
      <c r="B1032" s="5" t="s">
        <v>4316</v>
      </c>
      <c r="D1032" s="5" t="s">
        <v>1472</v>
      </c>
      <c r="E1032" s="5" t="s">
        <v>4317</v>
      </c>
      <c r="F1032" s="5" t="s">
        <v>1532</v>
      </c>
      <c r="G1032" s="6">
        <v>46044.70208333333</v>
      </c>
      <c r="H1032" s="7">
        <v>46049</v>
      </c>
      <c r="I1032" s="5" t="s">
        <v>4318</v>
      </c>
      <c r="J1032" s="7">
        <v>46052</v>
      </c>
      <c r="K1032" s="5" t="s">
        <v>1527</v>
      </c>
      <c r="L1032" s="5" t="s">
        <v>1535</v>
      </c>
      <c r="M1032" s="8">
        <v>216</v>
      </c>
      <c r="N1032" s="5" t="s">
        <v>1536</v>
      </c>
      <c r="O1032" s="7">
        <v>46052</v>
      </c>
    </row>
    <row r="1033" spans="1:15" x14ac:dyDescent="0.25">
      <c r="A1033" s="5" t="s">
        <v>4</v>
      </c>
      <c r="B1033" s="5" t="s">
        <v>4319</v>
      </c>
      <c r="D1033" s="5" t="s">
        <v>1287</v>
      </c>
      <c r="E1033" s="5" t="s">
        <v>4320</v>
      </c>
      <c r="F1033" s="5" t="s">
        <v>1532</v>
      </c>
      <c r="G1033" s="6">
        <v>46155.390972222223</v>
      </c>
      <c r="H1033" s="7">
        <v>46162</v>
      </c>
      <c r="I1033" s="5" t="s">
        <v>3826</v>
      </c>
      <c r="J1033" s="7">
        <v>46163</v>
      </c>
      <c r="K1033" s="5" t="s">
        <v>1527</v>
      </c>
      <c r="L1033" s="5" t="s">
        <v>1535</v>
      </c>
      <c r="M1033" s="8">
        <v>216</v>
      </c>
      <c r="N1033" s="5" t="s">
        <v>1536</v>
      </c>
      <c r="O1033" s="7">
        <v>46163</v>
      </c>
    </row>
    <row r="1034" spans="1:15" x14ac:dyDescent="0.25">
      <c r="A1034" s="5" t="s">
        <v>4</v>
      </c>
      <c r="B1034" s="5" t="s">
        <v>4321</v>
      </c>
      <c r="D1034" s="5" t="s">
        <v>1205</v>
      </c>
      <c r="E1034" s="5" t="s">
        <v>4322</v>
      </c>
      <c r="F1034" s="5" t="s">
        <v>4323</v>
      </c>
      <c r="G1034" s="6">
        <v>46127.446527777778</v>
      </c>
      <c r="H1034" s="7">
        <v>46141</v>
      </c>
      <c r="I1034" s="6">
        <v>46141.614583333336</v>
      </c>
      <c r="J1034" s="7">
        <v>46141</v>
      </c>
      <c r="K1034" s="5" t="s">
        <v>1527</v>
      </c>
      <c r="L1034" s="5" t="s">
        <v>1564</v>
      </c>
      <c r="M1034" s="8">
        <v>215.8</v>
      </c>
      <c r="N1034" s="5" t="s">
        <v>1536</v>
      </c>
      <c r="O1034" s="7">
        <v>46141</v>
      </c>
    </row>
    <row r="1035" spans="1:15" x14ac:dyDescent="0.25">
      <c r="A1035" s="5" t="s">
        <v>4</v>
      </c>
      <c r="B1035" s="5" t="s">
        <v>4324</v>
      </c>
      <c r="D1035" s="5" t="s">
        <v>1245</v>
      </c>
      <c r="E1035" s="5" t="s">
        <v>4325</v>
      </c>
      <c r="F1035" s="5" t="s">
        <v>1738</v>
      </c>
      <c r="G1035" s="6">
        <v>46118.447222222225</v>
      </c>
      <c r="H1035" s="7">
        <v>46125</v>
      </c>
      <c r="I1035" s="5" t="s">
        <v>4326</v>
      </c>
      <c r="J1035" s="7">
        <v>46125</v>
      </c>
      <c r="K1035" s="5" t="s">
        <v>1527</v>
      </c>
      <c r="L1035" s="5" t="s">
        <v>1564</v>
      </c>
      <c r="M1035" s="8">
        <v>215.25</v>
      </c>
      <c r="N1035" s="5" t="s">
        <v>1536</v>
      </c>
      <c r="O1035" s="7">
        <v>46125</v>
      </c>
    </row>
    <row r="1036" spans="1:15" x14ac:dyDescent="0.25">
      <c r="A1036" s="5" t="s">
        <v>4</v>
      </c>
      <c r="B1036" s="5" t="s">
        <v>4327</v>
      </c>
      <c r="D1036" s="5" t="s">
        <v>638</v>
      </c>
      <c r="E1036" s="5" t="s">
        <v>4328</v>
      </c>
      <c r="F1036" s="5" t="s">
        <v>4329</v>
      </c>
      <c r="G1036" s="6">
        <v>46036.620833333334</v>
      </c>
      <c r="H1036" s="7">
        <v>46044</v>
      </c>
      <c r="I1036" s="6">
        <v>46044.670138888891</v>
      </c>
      <c r="J1036" s="7">
        <v>46044</v>
      </c>
      <c r="K1036" s="5" t="s">
        <v>1527</v>
      </c>
      <c r="L1036" s="5" t="s">
        <v>1621</v>
      </c>
      <c r="M1036" s="8">
        <v>215.07</v>
      </c>
      <c r="N1036" s="5" t="s">
        <v>1536</v>
      </c>
      <c r="O1036" s="7">
        <v>46044</v>
      </c>
    </row>
    <row r="1037" spans="1:15" x14ac:dyDescent="0.25">
      <c r="A1037" s="5" t="s">
        <v>4</v>
      </c>
      <c r="B1037" s="5" t="s">
        <v>4330</v>
      </c>
      <c r="D1037" s="5" t="s">
        <v>1473</v>
      </c>
      <c r="E1037" s="5" t="s">
        <v>1747</v>
      </c>
      <c r="F1037" s="5" t="s">
        <v>1759</v>
      </c>
      <c r="G1037" s="6">
        <v>46080.520833333336</v>
      </c>
      <c r="H1037" s="7">
        <v>46093</v>
      </c>
      <c r="I1037" s="6">
        <v>46090.636111111111</v>
      </c>
      <c r="J1037" s="7">
        <v>46090</v>
      </c>
      <c r="K1037" s="5" t="s">
        <v>1527</v>
      </c>
      <c r="L1037" s="5" t="s">
        <v>1564</v>
      </c>
      <c r="M1037" s="8">
        <v>215</v>
      </c>
      <c r="N1037" s="5" t="s">
        <v>1536</v>
      </c>
      <c r="O1037" s="7">
        <v>46090</v>
      </c>
    </row>
    <row r="1038" spans="1:15" x14ac:dyDescent="0.25">
      <c r="A1038" s="5" t="s">
        <v>4</v>
      </c>
      <c r="B1038" s="5" t="s">
        <v>4331</v>
      </c>
      <c r="D1038" s="5" t="s">
        <v>1466</v>
      </c>
      <c r="E1038" s="5" t="s">
        <v>3753</v>
      </c>
      <c r="F1038" s="5" t="s">
        <v>2306</v>
      </c>
      <c r="G1038" s="6">
        <v>46119.597222222219</v>
      </c>
      <c r="H1038" s="7">
        <v>46132</v>
      </c>
      <c r="I1038" s="6">
        <v>46125.472916666666</v>
      </c>
      <c r="J1038" s="7">
        <v>46122</v>
      </c>
      <c r="K1038" s="5" t="s">
        <v>1527</v>
      </c>
      <c r="L1038" s="5" t="s">
        <v>1564</v>
      </c>
      <c r="M1038" s="8">
        <v>213.5</v>
      </c>
      <c r="N1038" s="5" t="s">
        <v>1536</v>
      </c>
      <c r="O1038" s="7">
        <v>46122</v>
      </c>
    </row>
    <row r="1039" spans="1:15" x14ac:dyDescent="0.25">
      <c r="A1039" s="5" t="s">
        <v>4</v>
      </c>
      <c r="B1039" s="5" t="s">
        <v>4332</v>
      </c>
      <c r="D1039" s="5" t="s">
        <v>688</v>
      </c>
      <c r="E1039" s="5" t="s">
        <v>4333</v>
      </c>
      <c r="F1039" s="5" t="s">
        <v>4334</v>
      </c>
      <c r="G1039" s="6">
        <v>46156.625</v>
      </c>
      <c r="H1039" s="7">
        <v>46163</v>
      </c>
      <c r="I1039" s="5" t="s">
        <v>4335</v>
      </c>
      <c r="J1039" s="7">
        <v>46168</v>
      </c>
      <c r="K1039" s="5" t="s">
        <v>1527</v>
      </c>
      <c r="L1039" s="5" t="s">
        <v>1621</v>
      </c>
      <c r="M1039" s="8">
        <v>213.29</v>
      </c>
      <c r="N1039" s="5" t="s">
        <v>1536</v>
      </c>
      <c r="O1039" s="7">
        <v>46168</v>
      </c>
    </row>
    <row r="1040" spans="1:15" x14ac:dyDescent="0.25">
      <c r="A1040" s="5" t="s">
        <v>4</v>
      </c>
      <c r="B1040" s="5" t="s">
        <v>4336</v>
      </c>
      <c r="D1040" s="5" t="s">
        <v>1161</v>
      </c>
      <c r="E1040" s="5" t="s">
        <v>4337</v>
      </c>
      <c r="F1040" s="5" t="s">
        <v>1813</v>
      </c>
      <c r="G1040" s="6">
        <v>46111.36041666667</v>
      </c>
      <c r="H1040" s="7">
        <v>46120</v>
      </c>
      <c r="I1040" s="5" t="s">
        <v>4338</v>
      </c>
      <c r="J1040" s="7">
        <v>46125</v>
      </c>
      <c r="K1040" s="5" t="s">
        <v>1527</v>
      </c>
      <c r="L1040" s="5" t="s">
        <v>1535</v>
      </c>
      <c r="M1040" s="8">
        <v>213</v>
      </c>
      <c r="N1040" s="5" t="s">
        <v>1536</v>
      </c>
      <c r="O1040" s="7">
        <v>46125</v>
      </c>
    </row>
    <row r="1041" spans="1:15" hidden="1" x14ac:dyDescent="0.25">
      <c r="A1041" s="5" t="s">
        <v>1522</v>
      </c>
      <c r="B1041" s="5" t="s">
        <v>4339</v>
      </c>
      <c r="D1041" s="5" t="s">
        <v>1426</v>
      </c>
      <c r="E1041" s="5" t="s">
        <v>3737</v>
      </c>
      <c r="F1041" s="5" t="s">
        <v>4340</v>
      </c>
      <c r="G1041" s="6">
        <v>46122.581250000003</v>
      </c>
      <c r="H1041" s="7">
        <v>46128</v>
      </c>
      <c r="I1041" s="6">
        <v>46128.763888888891</v>
      </c>
      <c r="J1041" s="7">
        <v>46128</v>
      </c>
      <c r="K1041" s="5" t="s">
        <v>1527</v>
      </c>
      <c r="L1041" s="5" t="s">
        <v>1528</v>
      </c>
      <c r="M1041" s="8">
        <v>212</v>
      </c>
      <c r="N1041" s="5" t="s">
        <v>1536</v>
      </c>
      <c r="O1041" s="7">
        <v>46128</v>
      </c>
    </row>
    <row r="1042" spans="1:15" x14ac:dyDescent="0.25">
      <c r="A1042" s="5" t="s">
        <v>4</v>
      </c>
      <c r="B1042" s="5" t="s">
        <v>4341</v>
      </c>
      <c r="D1042" s="5" t="s">
        <v>237</v>
      </c>
      <c r="E1042" s="5" t="s">
        <v>4342</v>
      </c>
      <c r="F1042" s="5" t="s">
        <v>1813</v>
      </c>
      <c r="G1042" s="6">
        <v>46146.42291666667</v>
      </c>
      <c r="H1042" s="7">
        <v>46155</v>
      </c>
      <c r="I1042" s="6">
        <v>46150.600694444445</v>
      </c>
      <c r="J1042" s="7">
        <v>46150</v>
      </c>
      <c r="K1042" s="5" t="s">
        <v>1527</v>
      </c>
      <c r="L1042" s="5" t="s">
        <v>1535</v>
      </c>
      <c r="M1042" s="8">
        <v>212</v>
      </c>
      <c r="N1042" s="5" t="s">
        <v>1536</v>
      </c>
      <c r="O1042" s="7">
        <v>46150</v>
      </c>
    </row>
    <row r="1043" spans="1:15" x14ac:dyDescent="0.25">
      <c r="A1043" s="5" t="s">
        <v>4</v>
      </c>
      <c r="B1043" s="5" t="s">
        <v>4343</v>
      </c>
      <c r="D1043" s="5" t="s">
        <v>1409</v>
      </c>
      <c r="E1043" s="5" t="s">
        <v>3462</v>
      </c>
      <c r="F1043" s="5" t="s">
        <v>4344</v>
      </c>
      <c r="G1043" s="6">
        <v>46129.368055555555</v>
      </c>
      <c r="H1043" s="7">
        <v>46146</v>
      </c>
      <c r="I1043" s="5" t="s">
        <v>4345</v>
      </c>
      <c r="J1043" s="7">
        <v>46148</v>
      </c>
      <c r="K1043" s="5" t="s">
        <v>1527</v>
      </c>
      <c r="L1043" s="5" t="s">
        <v>1564</v>
      </c>
      <c r="M1043" s="9">
        <v>211.6</v>
      </c>
      <c r="N1043" s="5" t="s">
        <v>1536</v>
      </c>
      <c r="O1043" s="7">
        <v>46148</v>
      </c>
    </row>
    <row r="1044" spans="1:15" x14ac:dyDescent="0.25">
      <c r="A1044" s="5" t="s">
        <v>4</v>
      </c>
      <c r="B1044" s="5" t="s">
        <v>4346</v>
      </c>
      <c r="D1044" s="5" t="s">
        <v>1280</v>
      </c>
      <c r="E1044" s="5" t="s">
        <v>4347</v>
      </c>
      <c r="F1044" s="5" t="s">
        <v>1759</v>
      </c>
      <c r="G1044" s="6">
        <v>46094.390277777777</v>
      </c>
      <c r="H1044" s="7">
        <v>46111</v>
      </c>
      <c r="I1044" s="5" t="s">
        <v>4348</v>
      </c>
      <c r="J1044" s="7">
        <v>46094</v>
      </c>
      <c r="K1044" s="5" t="s">
        <v>1527</v>
      </c>
      <c r="L1044" s="5" t="s">
        <v>1564</v>
      </c>
      <c r="M1044" s="8">
        <v>211</v>
      </c>
      <c r="N1044" s="5" t="s">
        <v>1536</v>
      </c>
      <c r="O1044" s="7">
        <v>46094</v>
      </c>
    </row>
    <row r="1045" spans="1:15" x14ac:dyDescent="0.25">
      <c r="A1045" s="5" t="s">
        <v>4</v>
      </c>
      <c r="B1045" s="5" t="s">
        <v>4349</v>
      </c>
      <c r="D1045" s="5" t="s">
        <v>1337</v>
      </c>
      <c r="E1045" s="5" t="s">
        <v>1910</v>
      </c>
      <c r="F1045" s="5" t="s">
        <v>1813</v>
      </c>
      <c r="G1045" s="6">
        <v>46090.636111111111</v>
      </c>
      <c r="H1045" s="7">
        <v>46099</v>
      </c>
      <c r="I1045" s="5" t="s">
        <v>4350</v>
      </c>
      <c r="J1045" s="7">
        <v>46105</v>
      </c>
      <c r="K1045" s="5" t="s">
        <v>1527</v>
      </c>
      <c r="L1045" s="5" t="s">
        <v>1535</v>
      </c>
      <c r="M1045" s="8">
        <v>210.98</v>
      </c>
      <c r="N1045" s="5" t="s">
        <v>1536</v>
      </c>
      <c r="O1045" s="7">
        <v>46105</v>
      </c>
    </row>
    <row r="1046" spans="1:15" hidden="1" x14ac:dyDescent="0.25">
      <c r="A1046" s="5" t="s">
        <v>1522</v>
      </c>
      <c r="B1046" s="5">
        <v>38311</v>
      </c>
      <c r="D1046" s="5" t="s">
        <v>1495</v>
      </c>
      <c r="E1046" s="5" t="s">
        <v>1935</v>
      </c>
      <c r="F1046" s="5" t="s">
        <v>4351</v>
      </c>
      <c r="G1046" s="6">
        <v>46058.620833333334</v>
      </c>
      <c r="H1046" s="7">
        <v>46062</v>
      </c>
      <c r="I1046" s="5" t="s">
        <v>4352</v>
      </c>
      <c r="J1046" s="7">
        <v>46064</v>
      </c>
      <c r="K1046" s="5" t="s">
        <v>1527</v>
      </c>
      <c r="L1046" s="5" t="s">
        <v>1528</v>
      </c>
      <c r="M1046" s="8">
        <v>210</v>
      </c>
      <c r="N1046" s="5" t="s">
        <v>1536</v>
      </c>
      <c r="O1046" s="7">
        <v>46064</v>
      </c>
    </row>
    <row r="1047" spans="1:15" x14ac:dyDescent="0.25">
      <c r="A1047" s="5" t="s">
        <v>4</v>
      </c>
      <c r="B1047" s="5" t="s">
        <v>4353</v>
      </c>
      <c r="D1047" s="5" t="s">
        <v>497</v>
      </c>
      <c r="E1047" s="5" t="s">
        <v>4354</v>
      </c>
      <c r="F1047" s="5" t="s">
        <v>1548</v>
      </c>
      <c r="G1047" s="6">
        <v>46038.68472222222</v>
      </c>
      <c r="H1047" s="7">
        <v>46051</v>
      </c>
      <c r="I1047" s="5" t="s">
        <v>3963</v>
      </c>
      <c r="J1047" s="7">
        <v>46062</v>
      </c>
      <c r="K1047" s="5" t="s">
        <v>1527</v>
      </c>
      <c r="L1047" s="5" t="s">
        <v>1564</v>
      </c>
      <c r="M1047" s="8">
        <v>210</v>
      </c>
      <c r="N1047" s="5" t="s">
        <v>1536</v>
      </c>
      <c r="O1047" s="7">
        <v>46062</v>
      </c>
    </row>
    <row r="1048" spans="1:15" x14ac:dyDescent="0.25">
      <c r="A1048" s="5" t="s">
        <v>4</v>
      </c>
      <c r="B1048" s="5" t="s">
        <v>4355</v>
      </c>
      <c r="D1048" s="5" t="s">
        <v>441</v>
      </c>
      <c r="E1048" s="5" t="s">
        <v>4356</v>
      </c>
      <c r="F1048" s="5" t="s">
        <v>2637</v>
      </c>
      <c r="G1048" s="6">
        <v>46078.590277777781</v>
      </c>
      <c r="H1048" s="7">
        <v>46080</v>
      </c>
      <c r="I1048" s="5" t="s">
        <v>4357</v>
      </c>
      <c r="J1048" s="7">
        <v>46080</v>
      </c>
      <c r="K1048" s="5" t="s">
        <v>1527</v>
      </c>
      <c r="L1048" s="5" t="s">
        <v>1564</v>
      </c>
      <c r="M1048" s="8">
        <v>210</v>
      </c>
      <c r="N1048" s="5" t="s">
        <v>1536</v>
      </c>
      <c r="O1048" s="7">
        <v>46080</v>
      </c>
    </row>
    <row r="1049" spans="1:15" x14ac:dyDescent="0.25">
      <c r="A1049" s="5" t="s">
        <v>4</v>
      </c>
      <c r="B1049" s="5" t="s">
        <v>4358</v>
      </c>
      <c r="D1049" s="5" t="s">
        <v>1388</v>
      </c>
      <c r="E1049" s="5" t="s">
        <v>4359</v>
      </c>
      <c r="F1049" s="5" t="s">
        <v>4360</v>
      </c>
      <c r="G1049" s="6">
        <v>46098.586111111108</v>
      </c>
      <c r="H1049" s="7">
        <v>46107</v>
      </c>
      <c r="I1049" s="5" t="s">
        <v>4361</v>
      </c>
      <c r="J1049" s="7">
        <v>46119</v>
      </c>
      <c r="K1049" s="5" t="s">
        <v>1527</v>
      </c>
      <c r="L1049" s="5" t="s">
        <v>1564</v>
      </c>
      <c r="M1049" s="8">
        <v>210</v>
      </c>
      <c r="N1049" s="5" t="s">
        <v>1536</v>
      </c>
      <c r="O1049" s="7">
        <v>46119</v>
      </c>
    </row>
    <row r="1050" spans="1:15" x14ac:dyDescent="0.25">
      <c r="A1050" s="5" t="s">
        <v>4</v>
      </c>
      <c r="B1050" s="5" t="s">
        <v>4362</v>
      </c>
      <c r="D1050" s="5" t="s">
        <v>529</v>
      </c>
      <c r="E1050" s="5" t="s">
        <v>4363</v>
      </c>
      <c r="F1050" s="5" t="s">
        <v>2740</v>
      </c>
      <c r="G1050" s="6">
        <v>46154.59375</v>
      </c>
      <c r="H1050" s="7">
        <v>46167</v>
      </c>
      <c r="I1050" s="6">
        <v>46161.700694444444</v>
      </c>
      <c r="J1050" s="7">
        <v>46154</v>
      </c>
      <c r="K1050" s="5" t="s">
        <v>1527</v>
      </c>
      <c r="L1050" s="5" t="s">
        <v>1564</v>
      </c>
      <c r="M1050" s="8">
        <v>210</v>
      </c>
      <c r="N1050" s="5" t="s">
        <v>1536</v>
      </c>
      <c r="O1050" s="7">
        <v>46154</v>
      </c>
    </row>
    <row r="1051" spans="1:15" x14ac:dyDescent="0.25">
      <c r="A1051" s="5" t="s">
        <v>4</v>
      </c>
      <c r="B1051" s="5" t="s">
        <v>4364</v>
      </c>
      <c r="D1051" s="5" t="s">
        <v>611</v>
      </c>
      <c r="E1051" s="5" t="s">
        <v>4365</v>
      </c>
      <c r="F1051" s="5" t="s">
        <v>4366</v>
      </c>
      <c r="G1051" s="6">
        <v>46139.668055555558</v>
      </c>
      <c r="H1051" s="7">
        <v>46146</v>
      </c>
      <c r="I1051" s="6">
        <v>46146.716666666667</v>
      </c>
      <c r="J1051" s="7">
        <v>46146</v>
      </c>
      <c r="K1051" s="5" t="s">
        <v>1527</v>
      </c>
      <c r="L1051" s="5" t="s">
        <v>1621</v>
      </c>
      <c r="M1051" s="8">
        <v>209.15</v>
      </c>
      <c r="N1051" s="5" t="s">
        <v>1536</v>
      </c>
      <c r="O1051" s="7">
        <v>46146</v>
      </c>
    </row>
    <row r="1052" spans="1:15" x14ac:dyDescent="0.25">
      <c r="A1052" s="5" t="s">
        <v>4</v>
      </c>
      <c r="B1052" s="5" t="s">
        <v>4367</v>
      </c>
      <c r="D1052" s="5" t="s">
        <v>1476</v>
      </c>
      <c r="E1052" s="5" t="s">
        <v>4368</v>
      </c>
      <c r="F1052" s="5" t="s">
        <v>1899</v>
      </c>
      <c r="G1052" s="6">
        <v>46125.46597222222</v>
      </c>
      <c r="H1052" s="7">
        <v>46139</v>
      </c>
      <c r="I1052" s="6">
        <v>46136.680555555555</v>
      </c>
      <c r="J1052" s="7">
        <v>46128</v>
      </c>
      <c r="K1052" s="5" t="s">
        <v>1527</v>
      </c>
      <c r="L1052" s="5" t="s">
        <v>1564</v>
      </c>
      <c r="M1052" s="8">
        <v>208</v>
      </c>
      <c r="N1052" s="5" t="s">
        <v>1536</v>
      </c>
      <c r="O1052" s="7">
        <v>46128</v>
      </c>
    </row>
    <row r="1053" spans="1:15" x14ac:dyDescent="0.25">
      <c r="A1053" s="5" t="s">
        <v>4</v>
      </c>
      <c r="B1053" s="5" t="s">
        <v>4369</v>
      </c>
      <c r="D1053" s="5" t="s">
        <v>1476</v>
      </c>
      <c r="E1053" s="5" t="s">
        <v>4368</v>
      </c>
      <c r="F1053" s="5" t="s">
        <v>1899</v>
      </c>
      <c r="G1053" s="6">
        <v>46154.584027777775</v>
      </c>
      <c r="H1053" s="7">
        <v>46163</v>
      </c>
      <c r="I1053" s="5" t="s">
        <v>4370</v>
      </c>
      <c r="J1053" s="7">
        <v>46163</v>
      </c>
      <c r="K1053" s="5" t="s">
        <v>1527</v>
      </c>
      <c r="L1053" s="5" t="s">
        <v>1535</v>
      </c>
      <c r="M1053" s="8">
        <v>208</v>
      </c>
      <c r="N1053" s="5" t="s">
        <v>1536</v>
      </c>
      <c r="O1053" s="7">
        <v>46163</v>
      </c>
    </row>
    <row r="1054" spans="1:15" x14ac:dyDescent="0.25">
      <c r="A1054" s="5" t="s">
        <v>4</v>
      </c>
      <c r="B1054" s="5" t="s">
        <v>4371</v>
      </c>
      <c r="D1054" s="5" t="s">
        <v>579</v>
      </c>
      <c r="E1054" s="5" t="s">
        <v>4372</v>
      </c>
      <c r="F1054" s="5" t="s">
        <v>1548</v>
      </c>
      <c r="G1054" s="6">
        <v>46038.615972222222</v>
      </c>
      <c r="H1054" s="7">
        <v>46051</v>
      </c>
      <c r="I1054" s="5" t="s">
        <v>4373</v>
      </c>
      <c r="J1054" s="7">
        <v>46057</v>
      </c>
      <c r="K1054" s="5" t="s">
        <v>1527</v>
      </c>
      <c r="L1054" s="5" t="s">
        <v>1564</v>
      </c>
      <c r="M1054" s="8">
        <v>206.7</v>
      </c>
      <c r="N1054" s="5" t="s">
        <v>1536</v>
      </c>
      <c r="O1054" s="7">
        <v>46057</v>
      </c>
    </row>
    <row r="1055" spans="1:15" x14ac:dyDescent="0.25">
      <c r="A1055" s="5" t="s">
        <v>4</v>
      </c>
      <c r="B1055" s="5" t="s">
        <v>4374</v>
      </c>
      <c r="D1055" s="5" t="s">
        <v>187</v>
      </c>
      <c r="E1055" s="5" t="s">
        <v>4375</v>
      </c>
      <c r="F1055" s="5" t="s">
        <v>1548</v>
      </c>
      <c r="G1055" s="6">
        <v>46036.616666666669</v>
      </c>
      <c r="H1055" s="7">
        <v>46049</v>
      </c>
      <c r="I1055" s="5" t="s">
        <v>3109</v>
      </c>
      <c r="J1055" s="7">
        <v>46052</v>
      </c>
      <c r="K1055" s="5" t="s">
        <v>1527</v>
      </c>
      <c r="L1055" s="5" t="s">
        <v>1564</v>
      </c>
      <c r="M1055" s="8">
        <v>205</v>
      </c>
      <c r="N1055" s="5" t="s">
        <v>1536</v>
      </c>
      <c r="O1055" s="7">
        <v>46052</v>
      </c>
    </row>
    <row r="1056" spans="1:15" x14ac:dyDescent="0.25">
      <c r="A1056" s="5" t="s">
        <v>4</v>
      </c>
      <c r="B1056" s="5" t="s">
        <v>4376</v>
      </c>
      <c r="D1056" s="5" t="s">
        <v>26</v>
      </c>
      <c r="E1056" s="5" t="s">
        <v>4377</v>
      </c>
      <c r="F1056" s="5" t="s">
        <v>1770</v>
      </c>
      <c r="G1056" s="6">
        <v>46090.71597222222</v>
      </c>
      <c r="H1056" s="7">
        <v>46101</v>
      </c>
      <c r="I1056" s="5" t="s">
        <v>1908</v>
      </c>
      <c r="J1056" s="7">
        <v>46106</v>
      </c>
      <c r="K1056" s="5" t="s">
        <v>1527</v>
      </c>
      <c r="L1056" s="5" t="s">
        <v>1564</v>
      </c>
      <c r="M1056" s="8">
        <v>205</v>
      </c>
      <c r="N1056" s="5" t="s">
        <v>1536</v>
      </c>
      <c r="O1056" s="7">
        <v>46106</v>
      </c>
    </row>
    <row r="1057" spans="1:15" x14ac:dyDescent="0.25">
      <c r="A1057" s="5" t="s">
        <v>4</v>
      </c>
      <c r="B1057" s="5" t="s">
        <v>4378</v>
      </c>
      <c r="D1057" s="5" t="s">
        <v>1060</v>
      </c>
      <c r="E1057" s="5" t="s">
        <v>4379</v>
      </c>
      <c r="F1057" s="5" t="s">
        <v>3035</v>
      </c>
      <c r="G1057" s="6">
        <v>46063.470138888886</v>
      </c>
      <c r="H1057" s="7">
        <v>46076</v>
      </c>
      <c r="I1057" s="6">
        <v>46070.487500000003</v>
      </c>
      <c r="J1057" s="7">
        <v>46070</v>
      </c>
      <c r="K1057" s="5" t="s">
        <v>1527</v>
      </c>
      <c r="L1057" s="5" t="s">
        <v>1564</v>
      </c>
      <c r="M1057" s="8">
        <v>204.33</v>
      </c>
      <c r="N1057" s="5" t="s">
        <v>1536</v>
      </c>
      <c r="O1057" s="7">
        <v>46070</v>
      </c>
    </row>
    <row r="1058" spans="1:15" x14ac:dyDescent="0.25">
      <c r="A1058" s="5" t="s">
        <v>4</v>
      </c>
      <c r="B1058" s="5" t="s">
        <v>4380</v>
      </c>
      <c r="D1058" s="5" t="s">
        <v>1098</v>
      </c>
      <c r="E1058" s="5" t="s">
        <v>4381</v>
      </c>
      <c r="F1058" s="5" t="s">
        <v>1770</v>
      </c>
      <c r="G1058" s="6">
        <v>46161.693749999999</v>
      </c>
      <c r="H1058" s="7">
        <v>46174</v>
      </c>
      <c r="I1058" s="6">
        <v>46168.734722222223</v>
      </c>
      <c r="J1058" s="7">
        <v>46168</v>
      </c>
      <c r="K1058" s="5" t="s">
        <v>1527</v>
      </c>
      <c r="L1058" s="5" t="s">
        <v>1564</v>
      </c>
      <c r="M1058" s="8">
        <v>203.75</v>
      </c>
      <c r="N1058" s="5" t="s">
        <v>1536</v>
      </c>
      <c r="O1058" s="7">
        <v>46168</v>
      </c>
    </row>
    <row r="1059" spans="1:15" x14ac:dyDescent="0.25">
      <c r="A1059" s="5" t="s">
        <v>4</v>
      </c>
      <c r="B1059" s="5" t="s">
        <v>4382</v>
      </c>
      <c r="D1059" s="5" t="s">
        <v>153</v>
      </c>
      <c r="E1059" s="5" t="s">
        <v>4383</v>
      </c>
      <c r="F1059" s="5" t="s">
        <v>1813</v>
      </c>
      <c r="G1059" s="6">
        <v>46084.445138888892</v>
      </c>
      <c r="H1059" s="7">
        <v>46094</v>
      </c>
      <c r="I1059" s="5" t="s">
        <v>4384</v>
      </c>
      <c r="J1059" s="7">
        <v>46099</v>
      </c>
      <c r="K1059" s="5" t="s">
        <v>1527</v>
      </c>
      <c r="L1059" s="5" t="s">
        <v>1535</v>
      </c>
      <c r="M1059" s="8">
        <v>203.6</v>
      </c>
      <c r="N1059" s="5" t="s">
        <v>1536</v>
      </c>
      <c r="O1059" s="7">
        <v>46099</v>
      </c>
    </row>
    <row r="1060" spans="1:15" x14ac:dyDescent="0.25">
      <c r="A1060" s="5" t="s">
        <v>4</v>
      </c>
      <c r="B1060" s="5" t="s">
        <v>4385</v>
      </c>
      <c r="D1060" s="5" t="s">
        <v>554</v>
      </c>
      <c r="E1060" s="5" t="s">
        <v>4386</v>
      </c>
      <c r="F1060" s="5" t="s">
        <v>1548</v>
      </c>
      <c r="G1060" s="6">
        <v>46029.39166666667</v>
      </c>
      <c r="H1060" s="7">
        <v>46041</v>
      </c>
      <c r="I1060" s="5" t="s">
        <v>4387</v>
      </c>
      <c r="J1060" s="7">
        <v>46045</v>
      </c>
      <c r="K1060" s="5" t="s">
        <v>1527</v>
      </c>
      <c r="L1060" s="5" t="s">
        <v>1564</v>
      </c>
      <c r="M1060" s="8">
        <v>203.3</v>
      </c>
      <c r="N1060" s="5" t="s">
        <v>1536</v>
      </c>
      <c r="O1060" s="7">
        <v>46045</v>
      </c>
    </row>
    <row r="1061" spans="1:15" x14ac:dyDescent="0.25">
      <c r="A1061" s="5" t="s">
        <v>4</v>
      </c>
      <c r="B1061" s="5" t="s">
        <v>4388</v>
      </c>
      <c r="D1061" s="5" t="s">
        <v>973</v>
      </c>
      <c r="E1061" s="5" t="s">
        <v>4389</v>
      </c>
      <c r="F1061" s="5" t="s">
        <v>1738</v>
      </c>
      <c r="G1061" s="6">
        <v>46169.429166666669</v>
      </c>
      <c r="H1061" s="7">
        <v>46183</v>
      </c>
      <c r="I1061" s="6">
        <v>46178.494444444441</v>
      </c>
      <c r="J1061" s="7">
        <v>46178</v>
      </c>
      <c r="K1061" s="5" t="s">
        <v>1527</v>
      </c>
      <c r="L1061" s="5" t="s">
        <v>1564</v>
      </c>
      <c r="M1061" s="8">
        <v>203</v>
      </c>
      <c r="N1061" s="5" t="s">
        <v>1529</v>
      </c>
      <c r="O1061" s="7">
        <v>46178</v>
      </c>
    </row>
    <row r="1062" spans="1:15" hidden="1" x14ac:dyDescent="0.25">
      <c r="A1062" s="5" t="s">
        <v>1522</v>
      </c>
      <c r="B1062" s="5" t="s">
        <v>4390</v>
      </c>
      <c r="D1062" s="5" t="s">
        <v>1496</v>
      </c>
      <c r="E1062" s="5" t="s">
        <v>1885</v>
      </c>
      <c r="F1062" s="5" t="s">
        <v>4391</v>
      </c>
      <c r="G1062" s="6">
        <v>46142.588888888888</v>
      </c>
      <c r="H1062" s="7">
        <v>46149</v>
      </c>
      <c r="I1062" s="6">
        <v>46147.40902777778</v>
      </c>
      <c r="J1062" s="7">
        <v>46147</v>
      </c>
      <c r="K1062" s="5" t="s">
        <v>1527</v>
      </c>
      <c r="L1062" s="5" t="s">
        <v>1528</v>
      </c>
      <c r="M1062" s="8">
        <v>202.5</v>
      </c>
      <c r="N1062" s="5" t="s">
        <v>1536</v>
      </c>
      <c r="O1062" s="7">
        <v>46147</v>
      </c>
    </row>
    <row r="1063" spans="1:15" x14ac:dyDescent="0.25">
      <c r="A1063" s="5" t="s">
        <v>4</v>
      </c>
      <c r="B1063" s="5" t="s">
        <v>4392</v>
      </c>
      <c r="D1063" s="5" t="s">
        <v>1291</v>
      </c>
      <c r="E1063" s="5" t="s">
        <v>2048</v>
      </c>
      <c r="F1063" s="5" t="s">
        <v>1759</v>
      </c>
      <c r="G1063" s="6">
        <v>46134.70416666667</v>
      </c>
      <c r="H1063" s="7">
        <v>46148</v>
      </c>
      <c r="I1063" s="6">
        <v>46142.647916666669</v>
      </c>
      <c r="J1063" s="7">
        <v>46141</v>
      </c>
      <c r="K1063" s="5" t="s">
        <v>1527</v>
      </c>
      <c r="L1063" s="5" t="s">
        <v>1564</v>
      </c>
      <c r="M1063" s="8">
        <v>201.43</v>
      </c>
      <c r="N1063" s="5" t="s">
        <v>1536</v>
      </c>
      <c r="O1063" s="7">
        <v>46141</v>
      </c>
    </row>
    <row r="1064" spans="1:15" x14ac:dyDescent="0.25">
      <c r="A1064" s="5" t="s">
        <v>4</v>
      </c>
      <c r="B1064" s="5" t="s">
        <v>4393</v>
      </c>
      <c r="D1064" s="5" t="s">
        <v>543</v>
      </c>
      <c r="E1064" s="5" t="s">
        <v>4394</v>
      </c>
      <c r="F1064" s="5" t="s">
        <v>2118</v>
      </c>
      <c r="G1064" s="6">
        <v>46107.390277777777</v>
      </c>
      <c r="H1064" s="7">
        <v>46121</v>
      </c>
      <c r="I1064" s="5" t="s">
        <v>4395</v>
      </c>
      <c r="J1064" s="7">
        <v>46118</v>
      </c>
      <c r="K1064" s="5" t="s">
        <v>1527</v>
      </c>
      <c r="L1064" s="5" t="s">
        <v>1564</v>
      </c>
      <c r="M1064" s="8">
        <v>201</v>
      </c>
      <c r="N1064" s="5" t="s">
        <v>1536</v>
      </c>
      <c r="O1064" s="7">
        <v>46118</v>
      </c>
    </row>
    <row r="1065" spans="1:15" x14ac:dyDescent="0.25">
      <c r="A1065" s="5" t="s">
        <v>4</v>
      </c>
      <c r="B1065" s="5" t="s">
        <v>4396</v>
      </c>
      <c r="D1065" s="5" t="s">
        <v>1441</v>
      </c>
      <c r="E1065" s="5" t="s">
        <v>4124</v>
      </c>
      <c r="F1065" s="5" t="s">
        <v>4397</v>
      </c>
      <c r="G1065" s="6">
        <v>46139.715277777781</v>
      </c>
      <c r="H1065" s="7">
        <v>46146</v>
      </c>
      <c r="I1065" s="6">
        <v>46141.613888888889</v>
      </c>
      <c r="J1065" s="7">
        <v>46141</v>
      </c>
      <c r="K1065" s="5" t="s">
        <v>1527</v>
      </c>
      <c r="L1065" s="5" t="s">
        <v>1621</v>
      </c>
      <c r="M1065" s="8">
        <v>200.52</v>
      </c>
      <c r="N1065" s="5" t="s">
        <v>1536</v>
      </c>
      <c r="O1065" s="7">
        <v>46141</v>
      </c>
    </row>
    <row r="1066" spans="1:15" x14ac:dyDescent="0.25">
      <c r="A1066" s="5" t="s">
        <v>4</v>
      </c>
      <c r="B1066" s="5" t="s">
        <v>4398</v>
      </c>
      <c r="D1066" s="5" t="s">
        <v>1497</v>
      </c>
      <c r="E1066" s="5" t="s">
        <v>1600</v>
      </c>
      <c r="F1066" s="5" t="s">
        <v>1532</v>
      </c>
      <c r="G1066" s="6">
        <v>46128.614583333336</v>
      </c>
      <c r="H1066" s="7">
        <v>46139</v>
      </c>
      <c r="I1066" s="6">
        <v>46136.681944444441</v>
      </c>
      <c r="J1066" s="7">
        <v>46135</v>
      </c>
      <c r="K1066" s="5" t="s">
        <v>1527</v>
      </c>
      <c r="L1066" s="5" t="s">
        <v>1535</v>
      </c>
      <c r="M1066" s="8">
        <v>200.5</v>
      </c>
      <c r="N1066" s="5" t="s">
        <v>1536</v>
      </c>
      <c r="O1066" s="7">
        <v>46135</v>
      </c>
    </row>
    <row r="1067" spans="1:15" hidden="1" x14ac:dyDescent="0.25">
      <c r="A1067" s="5" t="s">
        <v>1522</v>
      </c>
      <c r="B1067" s="5" t="s">
        <v>4399</v>
      </c>
      <c r="D1067" s="5" t="s">
        <v>71</v>
      </c>
      <c r="E1067" s="5" t="s">
        <v>4400</v>
      </c>
      <c r="F1067" s="5" t="s">
        <v>1548</v>
      </c>
      <c r="G1067" s="6">
        <v>46154.366666666669</v>
      </c>
      <c r="H1067" s="7">
        <v>46157</v>
      </c>
      <c r="I1067" s="6">
        <v>46157.711111111108</v>
      </c>
      <c r="J1067" s="7">
        <v>46161</v>
      </c>
      <c r="K1067" s="5" t="s">
        <v>1527</v>
      </c>
      <c r="L1067" s="5" t="s">
        <v>1528</v>
      </c>
      <c r="M1067" s="8">
        <v>200</v>
      </c>
      <c r="N1067" s="5" t="s">
        <v>1536</v>
      </c>
      <c r="O1067" s="7">
        <v>46161</v>
      </c>
    </row>
    <row r="1068" spans="1:15" x14ac:dyDescent="0.25">
      <c r="A1068" s="5" t="s">
        <v>4</v>
      </c>
      <c r="B1068" s="5" t="s">
        <v>4401</v>
      </c>
      <c r="D1068" s="5" t="s">
        <v>1509</v>
      </c>
      <c r="E1068" s="5" t="s">
        <v>1543</v>
      </c>
      <c r="F1068" s="5" t="s">
        <v>4402</v>
      </c>
      <c r="G1068" s="6">
        <v>46057.680555555555</v>
      </c>
      <c r="H1068" s="7">
        <v>46066</v>
      </c>
      <c r="I1068" s="6">
        <v>46065.638194444444</v>
      </c>
      <c r="J1068" s="7">
        <v>46065</v>
      </c>
      <c r="K1068" s="5" t="s">
        <v>1527</v>
      </c>
      <c r="L1068" s="5" t="s">
        <v>1535</v>
      </c>
      <c r="M1068" s="8">
        <v>200</v>
      </c>
      <c r="N1068" s="5" t="s">
        <v>1536</v>
      </c>
      <c r="O1068" s="7">
        <v>46065</v>
      </c>
    </row>
    <row r="1069" spans="1:15" x14ac:dyDescent="0.25">
      <c r="A1069" s="5" t="s">
        <v>4</v>
      </c>
      <c r="B1069" s="5" t="s">
        <v>4403</v>
      </c>
      <c r="D1069" s="5" t="s">
        <v>1377</v>
      </c>
      <c r="E1069" s="5" t="s">
        <v>4404</v>
      </c>
      <c r="F1069" s="5" t="s">
        <v>1738</v>
      </c>
      <c r="G1069" s="6">
        <v>46079.467361111114</v>
      </c>
      <c r="H1069" s="7">
        <v>46092</v>
      </c>
      <c r="I1069" s="5" t="s">
        <v>4405</v>
      </c>
      <c r="J1069" s="7">
        <v>46087</v>
      </c>
      <c r="K1069" s="5" t="s">
        <v>1527</v>
      </c>
      <c r="L1069" s="5" t="s">
        <v>1564</v>
      </c>
      <c r="M1069" s="8">
        <v>200</v>
      </c>
      <c r="N1069" s="5" t="s">
        <v>1536</v>
      </c>
      <c r="O1069" s="7">
        <v>46087</v>
      </c>
    </row>
    <row r="1070" spans="1:15" x14ac:dyDescent="0.25">
      <c r="A1070" s="5" t="s">
        <v>4</v>
      </c>
      <c r="B1070" s="5" t="s">
        <v>4406</v>
      </c>
      <c r="D1070" s="5" t="s">
        <v>714</v>
      </c>
      <c r="E1070" s="5" t="s">
        <v>4407</v>
      </c>
      <c r="F1070" s="5" t="s">
        <v>1738</v>
      </c>
      <c r="G1070" s="6">
        <v>46087.498611111114</v>
      </c>
      <c r="H1070" s="7">
        <v>46100</v>
      </c>
      <c r="I1070" s="5" t="s">
        <v>4408</v>
      </c>
      <c r="J1070" s="7">
        <v>46104</v>
      </c>
      <c r="K1070" s="5" t="s">
        <v>1527</v>
      </c>
      <c r="L1070" s="5" t="s">
        <v>1564</v>
      </c>
      <c r="M1070" s="8">
        <v>200</v>
      </c>
      <c r="N1070" s="5" t="s">
        <v>1536</v>
      </c>
      <c r="O1070" s="7">
        <v>46104</v>
      </c>
    </row>
    <row r="1071" spans="1:15" x14ac:dyDescent="0.25">
      <c r="A1071" s="5" t="s">
        <v>4</v>
      </c>
      <c r="B1071" s="5" t="s">
        <v>4409</v>
      </c>
      <c r="D1071" s="5" t="s">
        <v>181</v>
      </c>
      <c r="E1071" s="5" t="s">
        <v>2648</v>
      </c>
      <c r="F1071" s="5" t="s">
        <v>1770</v>
      </c>
      <c r="G1071" s="6">
        <v>46091.618055555555</v>
      </c>
      <c r="H1071" s="7">
        <v>46104</v>
      </c>
      <c r="I1071" s="6">
        <v>46104.708333333336</v>
      </c>
      <c r="J1071" s="7">
        <v>46104</v>
      </c>
      <c r="K1071" s="5" t="s">
        <v>1527</v>
      </c>
      <c r="L1071" s="5" t="s">
        <v>1564</v>
      </c>
      <c r="M1071" s="8">
        <v>200</v>
      </c>
      <c r="N1071" s="5" t="s">
        <v>1536</v>
      </c>
      <c r="O1071" s="7">
        <v>46104</v>
      </c>
    </row>
    <row r="1072" spans="1:15" x14ac:dyDescent="0.25">
      <c r="A1072" s="5" t="s">
        <v>4</v>
      </c>
      <c r="B1072" s="5" t="s">
        <v>4410</v>
      </c>
      <c r="D1072" s="5" t="s">
        <v>983</v>
      </c>
      <c r="E1072" s="5" t="s">
        <v>4411</v>
      </c>
      <c r="F1072" s="5" t="s">
        <v>4412</v>
      </c>
      <c r="G1072" s="6">
        <v>46125.594444444447</v>
      </c>
      <c r="H1072" s="7">
        <v>46125</v>
      </c>
      <c r="I1072" s="6">
        <v>46125.691666666666</v>
      </c>
      <c r="J1072" s="7">
        <v>46125</v>
      </c>
      <c r="K1072" s="5" t="s">
        <v>1527</v>
      </c>
      <c r="L1072" s="5" t="s">
        <v>1564</v>
      </c>
      <c r="M1072" s="8">
        <v>200</v>
      </c>
      <c r="N1072" s="5" t="s">
        <v>1536</v>
      </c>
      <c r="O1072" s="7">
        <v>46125</v>
      </c>
    </row>
    <row r="1073" spans="1:15" x14ac:dyDescent="0.25">
      <c r="A1073" s="5" t="s">
        <v>4</v>
      </c>
      <c r="B1073" s="5" t="s">
        <v>4413</v>
      </c>
      <c r="D1073" s="5" t="s">
        <v>933</v>
      </c>
      <c r="E1073" s="5" t="s">
        <v>4414</v>
      </c>
      <c r="F1073" s="5" t="s">
        <v>4415</v>
      </c>
      <c r="G1073" s="6">
        <v>46120.603472222225</v>
      </c>
      <c r="H1073" s="7">
        <v>46122</v>
      </c>
      <c r="I1073" s="5" t="s">
        <v>4416</v>
      </c>
      <c r="J1073" s="7">
        <v>46125</v>
      </c>
      <c r="K1073" s="5" t="s">
        <v>1527</v>
      </c>
      <c r="L1073" s="5" t="s">
        <v>1564</v>
      </c>
      <c r="M1073" s="8">
        <v>199.9</v>
      </c>
      <c r="N1073" s="5" t="s">
        <v>1536</v>
      </c>
      <c r="O1073" s="7">
        <v>46125</v>
      </c>
    </row>
    <row r="1074" spans="1:15" hidden="1" x14ac:dyDescent="0.25">
      <c r="A1074" s="5" t="s">
        <v>1522</v>
      </c>
      <c r="B1074" s="5" t="s">
        <v>4417</v>
      </c>
      <c r="D1074" s="5" t="s">
        <v>1510</v>
      </c>
      <c r="E1074" s="5" t="s">
        <v>2466</v>
      </c>
      <c r="F1074" s="5" t="s">
        <v>3434</v>
      </c>
      <c r="G1074" s="6">
        <v>46114.701388888891</v>
      </c>
      <c r="H1074" s="7">
        <v>46118</v>
      </c>
      <c r="I1074" s="5" t="s">
        <v>4418</v>
      </c>
      <c r="J1074" s="7">
        <v>46125</v>
      </c>
      <c r="K1074" s="5" t="s">
        <v>1527</v>
      </c>
      <c r="L1074" s="5" t="s">
        <v>1621</v>
      </c>
      <c r="M1074" s="8">
        <v>199.5</v>
      </c>
      <c r="N1074" s="5" t="s">
        <v>1536</v>
      </c>
      <c r="O1074" s="7">
        <v>46125</v>
      </c>
    </row>
    <row r="1075" spans="1:15" x14ac:dyDescent="0.25">
      <c r="A1075" s="5" t="s">
        <v>4</v>
      </c>
      <c r="B1075" s="5" t="s">
        <v>4419</v>
      </c>
      <c r="D1075" s="5" t="s">
        <v>40</v>
      </c>
      <c r="E1075" s="5" t="s">
        <v>4420</v>
      </c>
      <c r="F1075" s="5" t="s">
        <v>4421</v>
      </c>
      <c r="G1075" s="6">
        <v>46105.520833333336</v>
      </c>
      <c r="H1075" s="7">
        <v>46119</v>
      </c>
      <c r="I1075" s="6">
        <v>46113.615972222222</v>
      </c>
      <c r="J1075" s="7">
        <v>46113</v>
      </c>
      <c r="K1075" s="5" t="s">
        <v>1527</v>
      </c>
      <c r="L1075" s="5" t="s">
        <v>1564</v>
      </c>
      <c r="M1075" s="8">
        <v>199.2</v>
      </c>
      <c r="N1075" s="5" t="s">
        <v>1536</v>
      </c>
      <c r="O1075" s="7">
        <v>46113</v>
      </c>
    </row>
    <row r="1076" spans="1:15" x14ac:dyDescent="0.25">
      <c r="A1076" s="5" t="s">
        <v>4</v>
      </c>
      <c r="B1076" s="5" t="s">
        <v>4422</v>
      </c>
      <c r="D1076" s="5" t="s">
        <v>1081</v>
      </c>
      <c r="E1076" s="5" t="s">
        <v>4423</v>
      </c>
      <c r="F1076" s="5" t="s">
        <v>4424</v>
      </c>
      <c r="G1076" s="6">
        <v>46111.673611111109</v>
      </c>
      <c r="H1076" s="7">
        <v>46118</v>
      </c>
      <c r="I1076" s="5" t="s">
        <v>4315</v>
      </c>
      <c r="J1076" s="7">
        <v>46118</v>
      </c>
      <c r="K1076" s="5" t="s">
        <v>1527</v>
      </c>
      <c r="L1076" s="5" t="s">
        <v>1621</v>
      </c>
      <c r="M1076" s="8">
        <v>199.1</v>
      </c>
      <c r="N1076" s="5" t="s">
        <v>1536</v>
      </c>
      <c r="O1076" s="7">
        <v>46118</v>
      </c>
    </row>
    <row r="1077" spans="1:15" x14ac:dyDescent="0.25">
      <c r="A1077" s="5" t="s">
        <v>4</v>
      </c>
      <c r="B1077" s="5" t="s">
        <v>4425</v>
      </c>
      <c r="D1077" s="5" t="s">
        <v>148</v>
      </c>
      <c r="E1077" s="5" t="s">
        <v>4426</v>
      </c>
      <c r="F1077" s="5" t="s">
        <v>1759</v>
      </c>
      <c r="G1077" s="6">
        <v>46162.617361111108</v>
      </c>
      <c r="H1077" s="7">
        <v>46175</v>
      </c>
      <c r="I1077" s="5" t="s">
        <v>3808</v>
      </c>
      <c r="J1077" s="7">
        <v>46182</v>
      </c>
      <c r="K1077" s="5" t="s">
        <v>1527</v>
      </c>
      <c r="L1077" s="5" t="s">
        <v>1564</v>
      </c>
      <c r="M1077" s="8">
        <v>199</v>
      </c>
      <c r="N1077" s="5" t="s">
        <v>1536</v>
      </c>
      <c r="O1077" s="7">
        <v>46182</v>
      </c>
    </row>
    <row r="1078" spans="1:15" hidden="1" x14ac:dyDescent="0.25">
      <c r="A1078" s="5" t="s">
        <v>1522</v>
      </c>
      <c r="B1078" s="5" t="s">
        <v>4427</v>
      </c>
      <c r="D1078" s="5" t="s">
        <v>1493</v>
      </c>
      <c r="E1078" s="5" t="s">
        <v>3338</v>
      </c>
      <c r="F1078" s="5" t="s">
        <v>1548</v>
      </c>
      <c r="G1078" s="6">
        <v>46031.694444444445</v>
      </c>
      <c r="H1078" s="7">
        <v>46042</v>
      </c>
      <c r="I1078" s="5" t="s">
        <v>4428</v>
      </c>
      <c r="J1078" s="7">
        <v>46044</v>
      </c>
      <c r="K1078" s="5" t="s">
        <v>1527</v>
      </c>
      <c r="L1078" s="5" t="s">
        <v>1528</v>
      </c>
      <c r="M1078" s="8">
        <v>198</v>
      </c>
      <c r="N1078" s="5" t="s">
        <v>1536</v>
      </c>
      <c r="O1078" s="7">
        <v>46044</v>
      </c>
    </row>
    <row r="1079" spans="1:15" x14ac:dyDescent="0.25">
      <c r="A1079" s="5" t="s">
        <v>4</v>
      </c>
      <c r="B1079" s="5" t="s">
        <v>4429</v>
      </c>
      <c r="D1079" s="5" t="s">
        <v>1199</v>
      </c>
      <c r="E1079" s="5" t="s">
        <v>4430</v>
      </c>
      <c r="F1079" s="5" t="s">
        <v>1567</v>
      </c>
      <c r="G1079" s="6">
        <v>46139.675000000003</v>
      </c>
      <c r="H1079" s="7">
        <v>46142</v>
      </c>
      <c r="I1079" s="6">
        <v>46142.740972222222</v>
      </c>
      <c r="J1079" s="7">
        <v>46142</v>
      </c>
      <c r="K1079" s="5" t="s">
        <v>1527</v>
      </c>
      <c r="L1079" s="5" t="s">
        <v>1564</v>
      </c>
      <c r="M1079" s="8">
        <v>198</v>
      </c>
      <c r="N1079" s="5" t="s">
        <v>1536</v>
      </c>
      <c r="O1079" s="7">
        <v>46142</v>
      </c>
    </row>
    <row r="1080" spans="1:15" hidden="1" x14ac:dyDescent="0.25">
      <c r="A1080" s="5" t="s">
        <v>1522</v>
      </c>
      <c r="B1080" s="5" t="s">
        <v>4431</v>
      </c>
      <c r="D1080" s="5" t="s">
        <v>1510</v>
      </c>
      <c r="E1080" s="5" t="s">
        <v>2466</v>
      </c>
      <c r="F1080" s="5" t="s">
        <v>2467</v>
      </c>
      <c r="G1080" s="6">
        <v>46066.67083333333</v>
      </c>
      <c r="H1080" s="7">
        <v>46071</v>
      </c>
      <c r="I1080" s="6">
        <v>46071.615277777775</v>
      </c>
      <c r="J1080" s="7">
        <v>46071</v>
      </c>
      <c r="K1080" s="5" t="s">
        <v>1527</v>
      </c>
      <c r="L1080" s="5" t="s">
        <v>1621</v>
      </c>
      <c r="M1080" s="8">
        <v>197.6</v>
      </c>
      <c r="N1080" s="5" t="s">
        <v>1536</v>
      </c>
      <c r="O1080" s="7">
        <v>46071</v>
      </c>
    </row>
    <row r="1081" spans="1:15" hidden="1" x14ac:dyDescent="0.25">
      <c r="A1081" s="5" t="s">
        <v>1522</v>
      </c>
      <c r="B1081" s="5" t="s">
        <v>4432</v>
      </c>
      <c r="D1081" s="5" t="s">
        <v>1510</v>
      </c>
      <c r="E1081" s="5" t="s">
        <v>2466</v>
      </c>
      <c r="F1081" s="5" t="s">
        <v>2467</v>
      </c>
      <c r="G1081" s="6">
        <v>46106.743055555555</v>
      </c>
      <c r="H1081" s="7">
        <v>46108</v>
      </c>
      <c r="I1081" s="5" t="s">
        <v>4433</v>
      </c>
      <c r="J1081" s="7">
        <v>46111</v>
      </c>
      <c r="K1081" s="5" t="s">
        <v>1527</v>
      </c>
      <c r="L1081" s="5" t="s">
        <v>1621</v>
      </c>
      <c r="M1081" s="8">
        <v>197.6</v>
      </c>
      <c r="N1081" s="5" t="s">
        <v>1536</v>
      </c>
      <c r="O1081" s="7">
        <v>46111</v>
      </c>
    </row>
    <row r="1082" spans="1:15" x14ac:dyDescent="0.25">
      <c r="A1082" s="5" t="s">
        <v>4</v>
      </c>
      <c r="B1082" s="5" t="s">
        <v>4434</v>
      </c>
      <c r="D1082" s="5" t="s">
        <v>425</v>
      </c>
      <c r="E1082" s="5" t="s">
        <v>4435</v>
      </c>
      <c r="F1082" s="5" t="s">
        <v>1641</v>
      </c>
      <c r="G1082" s="6">
        <v>46078.425694444442</v>
      </c>
      <c r="H1082" s="7">
        <v>46091</v>
      </c>
      <c r="I1082" s="6">
        <v>46087.701388888891</v>
      </c>
      <c r="J1082" s="7">
        <v>46087</v>
      </c>
      <c r="K1082" s="5" t="s">
        <v>1527</v>
      </c>
      <c r="L1082" s="5" t="s">
        <v>1564</v>
      </c>
      <c r="M1082" s="8">
        <v>197.2</v>
      </c>
      <c r="N1082" s="5" t="s">
        <v>1536</v>
      </c>
      <c r="O1082" s="7">
        <v>46087</v>
      </c>
    </row>
    <row r="1083" spans="1:15" x14ac:dyDescent="0.25">
      <c r="A1083" s="5" t="s">
        <v>4</v>
      </c>
      <c r="B1083" s="5" t="s">
        <v>4436</v>
      </c>
      <c r="D1083" s="5" t="s">
        <v>759</v>
      </c>
      <c r="E1083" s="5" t="s">
        <v>4437</v>
      </c>
      <c r="F1083" s="5" t="s">
        <v>1759</v>
      </c>
      <c r="G1083" s="6">
        <v>46065.691666666666</v>
      </c>
      <c r="H1083" s="7">
        <v>46079</v>
      </c>
      <c r="I1083" s="6">
        <v>46078.691666666666</v>
      </c>
      <c r="J1083" s="7">
        <v>46078</v>
      </c>
      <c r="K1083" s="5" t="s">
        <v>1527</v>
      </c>
      <c r="L1083" s="5" t="s">
        <v>1564</v>
      </c>
      <c r="M1083" s="8">
        <v>196.9</v>
      </c>
      <c r="N1083" s="5" t="s">
        <v>1536</v>
      </c>
      <c r="O1083" s="7">
        <v>46078</v>
      </c>
    </row>
    <row r="1084" spans="1:15" x14ac:dyDescent="0.25">
      <c r="A1084" s="5" t="s">
        <v>4</v>
      </c>
      <c r="B1084" s="5" t="s">
        <v>4438</v>
      </c>
      <c r="D1084" s="5" t="s">
        <v>1135</v>
      </c>
      <c r="E1084" s="5" t="s">
        <v>4439</v>
      </c>
      <c r="F1084" s="5" t="s">
        <v>4440</v>
      </c>
      <c r="G1084" s="6">
        <v>46125.741666666669</v>
      </c>
      <c r="H1084" s="7">
        <v>46132</v>
      </c>
      <c r="I1084" s="6">
        <v>46132.618055555555</v>
      </c>
      <c r="J1084" s="7">
        <v>46132</v>
      </c>
      <c r="K1084" s="5" t="s">
        <v>1527</v>
      </c>
      <c r="L1084" s="5" t="s">
        <v>1564</v>
      </c>
      <c r="M1084" s="8">
        <v>196.65</v>
      </c>
      <c r="N1084" s="5" t="s">
        <v>1536</v>
      </c>
      <c r="O1084" s="7">
        <v>46132</v>
      </c>
    </row>
    <row r="1085" spans="1:15" x14ac:dyDescent="0.25">
      <c r="A1085" s="5" t="s">
        <v>4</v>
      </c>
      <c r="B1085" s="5" t="s">
        <v>4441</v>
      </c>
      <c r="D1085" s="5" t="s">
        <v>1460</v>
      </c>
      <c r="E1085" s="5" t="s">
        <v>4442</v>
      </c>
      <c r="F1085" s="5" t="s">
        <v>4443</v>
      </c>
      <c r="G1085" s="6">
        <v>46090.506249999999</v>
      </c>
      <c r="H1085" s="7">
        <v>46101</v>
      </c>
      <c r="I1085" s="5" t="s">
        <v>4444</v>
      </c>
      <c r="J1085" s="7">
        <v>46104</v>
      </c>
      <c r="K1085" s="5" t="s">
        <v>1527</v>
      </c>
      <c r="L1085" s="5" t="s">
        <v>1564</v>
      </c>
      <c r="M1085" s="8">
        <v>196.4</v>
      </c>
      <c r="N1085" s="5" t="s">
        <v>1536</v>
      </c>
      <c r="O1085" s="7">
        <v>46104</v>
      </c>
    </row>
    <row r="1086" spans="1:15" x14ac:dyDescent="0.25">
      <c r="A1086" s="5" t="s">
        <v>4</v>
      </c>
      <c r="B1086" s="5" t="s">
        <v>4445</v>
      </c>
      <c r="D1086" s="5" t="s">
        <v>325</v>
      </c>
      <c r="E1086" s="5" t="s">
        <v>4446</v>
      </c>
      <c r="F1086" s="5" t="s">
        <v>1759</v>
      </c>
      <c r="G1086" s="6">
        <v>46156.699305555558</v>
      </c>
      <c r="H1086" s="7">
        <v>46167</v>
      </c>
      <c r="I1086" s="5" t="s">
        <v>4447</v>
      </c>
      <c r="J1086" s="7">
        <v>46171</v>
      </c>
      <c r="K1086" s="5" t="s">
        <v>1527</v>
      </c>
      <c r="L1086" s="5" t="s">
        <v>1564</v>
      </c>
      <c r="M1086" s="8">
        <v>196.4</v>
      </c>
      <c r="N1086" s="5" t="s">
        <v>1536</v>
      </c>
      <c r="O1086" s="7">
        <v>46171</v>
      </c>
    </row>
    <row r="1087" spans="1:15" hidden="1" x14ac:dyDescent="0.25">
      <c r="A1087" s="5" t="s">
        <v>1522</v>
      </c>
      <c r="B1087" s="5" t="s">
        <v>4448</v>
      </c>
      <c r="D1087" s="5" t="s">
        <v>1502</v>
      </c>
      <c r="E1087" s="5" t="s">
        <v>3761</v>
      </c>
      <c r="F1087" s="5" t="s">
        <v>1548</v>
      </c>
      <c r="G1087" s="6">
        <v>46056.447916666664</v>
      </c>
      <c r="H1087" s="7">
        <v>46062</v>
      </c>
      <c r="I1087" s="5" t="s">
        <v>2489</v>
      </c>
      <c r="J1087" s="7">
        <v>46063</v>
      </c>
      <c r="K1087" s="5" t="s">
        <v>1527</v>
      </c>
      <c r="L1087" s="5" t="s">
        <v>1528</v>
      </c>
      <c r="M1087" s="8">
        <v>196.1</v>
      </c>
      <c r="N1087" s="5" t="s">
        <v>1536</v>
      </c>
      <c r="O1087" s="7">
        <v>46063</v>
      </c>
    </row>
    <row r="1088" spans="1:15" hidden="1" x14ac:dyDescent="0.25">
      <c r="A1088" s="5" t="s">
        <v>1522</v>
      </c>
      <c r="B1088" s="5" t="s">
        <v>4449</v>
      </c>
      <c r="D1088" s="5" t="s">
        <v>12</v>
      </c>
      <c r="E1088" s="5" t="s">
        <v>4450</v>
      </c>
      <c r="F1088" s="5" t="s">
        <v>4451</v>
      </c>
      <c r="G1088" s="6">
        <v>46034.684027777781</v>
      </c>
      <c r="H1088" s="7">
        <v>46038</v>
      </c>
      <c r="I1088" s="5" t="s">
        <v>4452</v>
      </c>
      <c r="J1088" s="7">
        <v>46041</v>
      </c>
      <c r="K1088" s="5" t="s">
        <v>1527</v>
      </c>
      <c r="L1088" s="5" t="s">
        <v>1528</v>
      </c>
      <c r="M1088" s="8">
        <v>195</v>
      </c>
      <c r="N1088" s="5" t="s">
        <v>1536</v>
      </c>
      <c r="O1088" s="7">
        <v>46041</v>
      </c>
    </row>
    <row r="1089" spans="1:15" x14ac:dyDescent="0.25">
      <c r="A1089" s="5" t="s">
        <v>4</v>
      </c>
      <c r="B1089" s="5" t="s">
        <v>4453</v>
      </c>
      <c r="D1089" s="5" t="s">
        <v>1246</v>
      </c>
      <c r="E1089" s="5" t="s">
        <v>4454</v>
      </c>
      <c r="F1089" s="5" t="s">
        <v>1548</v>
      </c>
      <c r="G1089" s="6">
        <v>46041.4375</v>
      </c>
      <c r="H1089" s="7">
        <v>46052</v>
      </c>
      <c r="I1089" s="6">
        <v>46048.672222222223</v>
      </c>
      <c r="J1089" s="7">
        <v>46048</v>
      </c>
      <c r="K1089" s="5" t="s">
        <v>1527</v>
      </c>
      <c r="L1089" s="5" t="s">
        <v>1564</v>
      </c>
      <c r="M1089" s="8">
        <v>195</v>
      </c>
      <c r="N1089" s="5" t="s">
        <v>1536</v>
      </c>
      <c r="O1089" s="7">
        <v>46048</v>
      </c>
    </row>
    <row r="1090" spans="1:15" x14ac:dyDescent="0.25">
      <c r="A1090" s="5" t="s">
        <v>4</v>
      </c>
      <c r="B1090" s="5" t="s">
        <v>4455</v>
      </c>
      <c r="D1090" s="5" t="s">
        <v>166</v>
      </c>
      <c r="E1090" s="5" t="s">
        <v>4456</v>
      </c>
      <c r="F1090" s="5" t="s">
        <v>1770</v>
      </c>
      <c r="G1090" s="6">
        <v>46077.395833333336</v>
      </c>
      <c r="H1090" s="7">
        <v>46090</v>
      </c>
      <c r="I1090" s="6">
        <v>46084.617361111108</v>
      </c>
      <c r="J1090" s="7">
        <v>46083</v>
      </c>
      <c r="K1090" s="5" t="s">
        <v>1527</v>
      </c>
      <c r="L1090" s="5" t="s">
        <v>1564</v>
      </c>
      <c r="M1090" s="8">
        <v>195</v>
      </c>
      <c r="N1090" s="5" t="s">
        <v>1536</v>
      </c>
      <c r="O1090" s="7">
        <v>46083</v>
      </c>
    </row>
    <row r="1091" spans="1:15" x14ac:dyDescent="0.25">
      <c r="A1091" s="5" t="s">
        <v>4</v>
      </c>
      <c r="B1091" s="5" t="s">
        <v>4457</v>
      </c>
      <c r="D1091" s="5" t="s">
        <v>266</v>
      </c>
      <c r="E1091" s="5" t="s">
        <v>2758</v>
      </c>
      <c r="F1091" s="5" t="s">
        <v>1759</v>
      </c>
      <c r="G1091" s="6">
        <v>46136.62222222222</v>
      </c>
      <c r="H1091" s="7">
        <v>46150</v>
      </c>
      <c r="I1091" s="6">
        <v>46142.740277777775</v>
      </c>
      <c r="J1091" s="7">
        <v>46142</v>
      </c>
      <c r="K1091" s="5" t="s">
        <v>1527</v>
      </c>
      <c r="L1091" s="5" t="s">
        <v>1564</v>
      </c>
      <c r="M1091" s="8">
        <v>195</v>
      </c>
      <c r="N1091" s="5" t="s">
        <v>1536</v>
      </c>
      <c r="O1091" s="7">
        <v>46142</v>
      </c>
    </row>
    <row r="1092" spans="1:15" x14ac:dyDescent="0.25">
      <c r="A1092" s="5" t="s">
        <v>4</v>
      </c>
      <c r="B1092" s="5" t="s">
        <v>4458</v>
      </c>
      <c r="D1092" s="5" t="s">
        <v>128</v>
      </c>
      <c r="E1092" s="5" t="s">
        <v>4459</v>
      </c>
      <c r="F1092" s="5" t="s">
        <v>1759</v>
      </c>
      <c r="G1092" s="6">
        <v>46162.413194444445</v>
      </c>
      <c r="H1092" s="7">
        <v>46175</v>
      </c>
      <c r="I1092" s="6">
        <v>46171.626388888886</v>
      </c>
      <c r="J1092" s="7">
        <v>46171</v>
      </c>
      <c r="K1092" s="5" t="s">
        <v>1527</v>
      </c>
      <c r="L1092" s="5" t="s">
        <v>1564</v>
      </c>
      <c r="M1092" s="8">
        <v>195</v>
      </c>
      <c r="N1092" s="5" t="s">
        <v>1536</v>
      </c>
      <c r="O1092" s="7">
        <v>46171</v>
      </c>
    </row>
    <row r="1093" spans="1:15" hidden="1" x14ac:dyDescent="0.25">
      <c r="A1093" s="5" t="s">
        <v>1522</v>
      </c>
      <c r="B1093" s="5" t="s">
        <v>4460</v>
      </c>
      <c r="D1093" s="5" t="s">
        <v>602</v>
      </c>
      <c r="E1093" s="5" t="s">
        <v>4461</v>
      </c>
      <c r="F1093" s="5" t="s">
        <v>3617</v>
      </c>
      <c r="G1093" s="6">
        <v>46045.433333333334</v>
      </c>
      <c r="H1093" s="7">
        <v>46052</v>
      </c>
      <c r="I1093" s="6">
        <v>46045.695138888892</v>
      </c>
      <c r="J1093" s="7">
        <v>46045</v>
      </c>
      <c r="K1093" s="5" t="s">
        <v>1527</v>
      </c>
      <c r="L1093" s="5" t="s">
        <v>1528</v>
      </c>
      <c r="M1093" s="8">
        <v>194.9</v>
      </c>
      <c r="N1093" s="5" t="s">
        <v>1536</v>
      </c>
      <c r="O1093" s="7">
        <v>46045</v>
      </c>
    </row>
    <row r="1094" spans="1:15" x14ac:dyDescent="0.25">
      <c r="A1094" s="5" t="s">
        <v>4</v>
      </c>
      <c r="B1094" s="5" t="s">
        <v>4462</v>
      </c>
      <c r="D1094" s="5" t="s">
        <v>61</v>
      </c>
      <c r="E1094" s="5" t="s">
        <v>4463</v>
      </c>
      <c r="F1094" s="5" t="s">
        <v>1548</v>
      </c>
      <c r="G1094" s="6">
        <v>46042.351388888892</v>
      </c>
      <c r="H1094" s="7">
        <v>46055</v>
      </c>
      <c r="I1094" s="6">
        <v>46043.732638888891</v>
      </c>
      <c r="J1094" s="7">
        <v>46043</v>
      </c>
      <c r="K1094" s="5" t="s">
        <v>1527</v>
      </c>
      <c r="L1094" s="5" t="s">
        <v>1564</v>
      </c>
      <c r="M1094" s="8">
        <v>194.9</v>
      </c>
      <c r="N1094" s="5" t="s">
        <v>1536</v>
      </c>
      <c r="O1094" s="7">
        <v>46043</v>
      </c>
    </row>
    <row r="1095" spans="1:15" x14ac:dyDescent="0.25">
      <c r="A1095" s="5" t="s">
        <v>4</v>
      </c>
      <c r="B1095" s="5" t="s">
        <v>4464</v>
      </c>
      <c r="D1095" s="5" t="s">
        <v>1427</v>
      </c>
      <c r="E1095" s="5" t="s">
        <v>4465</v>
      </c>
      <c r="F1095" s="5" t="s">
        <v>4466</v>
      </c>
      <c r="G1095" s="6">
        <v>46058.696527777778</v>
      </c>
      <c r="H1095" s="7">
        <v>46065</v>
      </c>
      <c r="I1095" s="5" t="s">
        <v>4467</v>
      </c>
      <c r="J1095" s="7">
        <v>46066</v>
      </c>
      <c r="K1095" s="5" t="s">
        <v>1527</v>
      </c>
      <c r="L1095" s="5" t="s">
        <v>1535</v>
      </c>
      <c r="M1095" s="8">
        <v>194.2</v>
      </c>
      <c r="N1095" s="5" t="s">
        <v>1536</v>
      </c>
      <c r="O1095" s="7">
        <v>46066</v>
      </c>
    </row>
    <row r="1096" spans="1:15" x14ac:dyDescent="0.25">
      <c r="A1096" s="5" t="s">
        <v>4</v>
      </c>
      <c r="B1096" s="5" t="s">
        <v>4468</v>
      </c>
      <c r="D1096" s="5" t="s">
        <v>1424</v>
      </c>
      <c r="E1096" s="5" t="s">
        <v>4469</v>
      </c>
      <c r="F1096" s="5" t="s">
        <v>1759</v>
      </c>
      <c r="G1096" s="6">
        <v>46087.427777777775</v>
      </c>
      <c r="H1096" s="7">
        <v>46100</v>
      </c>
      <c r="I1096" s="6">
        <v>46098.661111111112</v>
      </c>
      <c r="J1096" s="7">
        <v>46098</v>
      </c>
      <c r="K1096" s="5" t="s">
        <v>1527</v>
      </c>
      <c r="L1096" s="5" t="s">
        <v>1564</v>
      </c>
      <c r="M1096" s="8">
        <v>194</v>
      </c>
      <c r="N1096" s="5" t="s">
        <v>1536</v>
      </c>
      <c r="O1096" s="7">
        <v>46098</v>
      </c>
    </row>
    <row r="1097" spans="1:15" x14ac:dyDescent="0.25">
      <c r="A1097" s="5" t="s">
        <v>4</v>
      </c>
      <c r="B1097" s="5" t="s">
        <v>4470</v>
      </c>
      <c r="D1097" s="5" t="s">
        <v>865</v>
      </c>
      <c r="E1097" s="5" t="s">
        <v>4471</v>
      </c>
      <c r="F1097" s="5" t="s">
        <v>4472</v>
      </c>
      <c r="G1097" s="6">
        <v>46134.680555555555</v>
      </c>
      <c r="H1097" s="7">
        <v>46141</v>
      </c>
      <c r="I1097" s="6">
        <v>46141.613194444442</v>
      </c>
      <c r="J1097" s="7">
        <v>46141</v>
      </c>
      <c r="K1097" s="5" t="s">
        <v>1527</v>
      </c>
      <c r="L1097" s="5" t="s">
        <v>1621</v>
      </c>
      <c r="M1097" s="8">
        <v>193.95</v>
      </c>
      <c r="N1097" s="5" t="s">
        <v>1536</v>
      </c>
      <c r="O1097" s="7">
        <v>46141</v>
      </c>
    </row>
    <row r="1098" spans="1:15" x14ac:dyDescent="0.25">
      <c r="A1098" s="5" t="s">
        <v>4</v>
      </c>
      <c r="B1098" s="5" t="s">
        <v>4473</v>
      </c>
      <c r="D1098" s="5" t="s">
        <v>881</v>
      </c>
      <c r="E1098" s="5" t="s">
        <v>4474</v>
      </c>
      <c r="F1098" s="5" t="s">
        <v>4475</v>
      </c>
      <c r="G1098" s="6">
        <v>46157.602777777778</v>
      </c>
      <c r="H1098" s="7">
        <v>46164</v>
      </c>
      <c r="I1098" s="5" t="s">
        <v>4476</v>
      </c>
      <c r="J1098" s="7">
        <v>46170</v>
      </c>
      <c r="K1098" s="5" t="s">
        <v>1527</v>
      </c>
      <c r="L1098" s="5" t="s">
        <v>1621</v>
      </c>
      <c r="M1098" s="8">
        <v>193.95</v>
      </c>
      <c r="N1098" s="5" t="s">
        <v>1536</v>
      </c>
      <c r="O1098" s="7">
        <v>46170</v>
      </c>
    </row>
    <row r="1099" spans="1:15" x14ac:dyDescent="0.25">
      <c r="A1099" s="5" t="s">
        <v>4</v>
      </c>
      <c r="B1099" s="5" t="s">
        <v>4477</v>
      </c>
      <c r="D1099" s="5" t="s">
        <v>398</v>
      </c>
      <c r="E1099" s="5" t="s">
        <v>4478</v>
      </c>
      <c r="F1099" s="5" t="s">
        <v>4479</v>
      </c>
      <c r="G1099" s="6">
        <v>46161.370138888888</v>
      </c>
      <c r="H1099" s="7">
        <v>46168</v>
      </c>
      <c r="I1099" s="5" t="s">
        <v>4480</v>
      </c>
      <c r="J1099" s="7">
        <v>46170</v>
      </c>
      <c r="K1099" s="5" t="s">
        <v>1527</v>
      </c>
      <c r="L1099" s="5" t="s">
        <v>1621</v>
      </c>
      <c r="M1099" s="8">
        <v>193.95</v>
      </c>
      <c r="N1099" s="5" t="s">
        <v>1536</v>
      </c>
      <c r="O1099" s="7">
        <v>46170</v>
      </c>
    </row>
    <row r="1100" spans="1:15" x14ac:dyDescent="0.25">
      <c r="A1100" s="5" t="s">
        <v>4</v>
      </c>
      <c r="B1100" s="5" t="s">
        <v>4481</v>
      </c>
      <c r="D1100" s="5" t="s">
        <v>1141</v>
      </c>
      <c r="E1100" s="5" t="s">
        <v>4482</v>
      </c>
      <c r="F1100" s="5" t="s">
        <v>1759</v>
      </c>
      <c r="G1100" s="6">
        <v>46065.354166666664</v>
      </c>
      <c r="H1100" s="7">
        <v>46079</v>
      </c>
      <c r="I1100" s="5" t="s">
        <v>4483</v>
      </c>
      <c r="J1100" s="7">
        <v>46080</v>
      </c>
      <c r="K1100" s="5" t="s">
        <v>1527</v>
      </c>
      <c r="L1100" s="5" t="s">
        <v>1564</v>
      </c>
      <c r="M1100" s="8">
        <v>193.4</v>
      </c>
      <c r="N1100" s="5" t="s">
        <v>1536</v>
      </c>
      <c r="O1100" s="7">
        <v>46080</v>
      </c>
    </row>
    <row r="1101" spans="1:15" x14ac:dyDescent="0.25">
      <c r="A1101" s="5" t="s">
        <v>4</v>
      </c>
      <c r="B1101" s="5" t="s">
        <v>4484</v>
      </c>
      <c r="D1101" s="5" t="s">
        <v>920</v>
      </c>
      <c r="E1101" s="5" t="s">
        <v>4485</v>
      </c>
      <c r="F1101" s="5" t="s">
        <v>4486</v>
      </c>
      <c r="G1101" s="6">
        <v>46057.727777777778</v>
      </c>
      <c r="H1101" s="7">
        <v>46064</v>
      </c>
      <c r="I1101" s="5" t="s">
        <v>4487</v>
      </c>
      <c r="J1101" s="7">
        <v>46073</v>
      </c>
      <c r="K1101" s="5" t="s">
        <v>1527</v>
      </c>
      <c r="L1101" s="5" t="s">
        <v>1621</v>
      </c>
      <c r="M1101" s="8">
        <v>193.27</v>
      </c>
      <c r="N1101" s="5" t="s">
        <v>1536</v>
      </c>
      <c r="O1101" s="7">
        <v>46073</v>
      </c>
    </row>
    <row r="1102" spans="1:15" x14ac:dyDescent="0.25">
      <c r="A1102" s="5" t="s">
        <v>4</v>
      </c>
      <c r="B1102" s="5" t="s">
        <v>4488</v>
      </c>
      <c r="D1102" s="5" t="s">
        <v>1070</v>
      </c>
      <c r="E1102" s="5" t="s">
        <v>4489</v>
      </c>
      <c r="F1102" s="5" t="s">
        <v>4490</v>
      </c>
      <c r="G1102" s="6">
        <v>46071.624305555553</v>
      </c>
      <c r="H1102" s="7">
        <v>46080</v>
      </c>
      <c r="I1102" s="6">
        <v>46078.692361111112</v>
      </c>
      <c r="J1102" s="7">
        <v>46078</v>
      </c>
      <c r="K1102" s="5" t="s">
        <v>1527</v>
      </c>
      <c r="L1102" s="5" t="s">
        <v>1535</v>
      </c>
      <c r="M1102" s="8">
        <v>192.5</v>
      </c>
      <c r="N1102" s="5" t="s">
        <v>1536</v>
      </c>
      <c r="O1102" s="7">
        <v>46078</v>
      </c>
    </row>
    <row r="1103" spans="1:15" x14ac:dyDescent="0.25">
      <c r="A1103" s="5" t="s">
        <v>4</v>
      </c>
      <c r="B1103" s="5" t="s">
        <v>4491</v>
      </c>
      <c r="D1103" s="5" t="s">
        <v>118</v>
      </c>
      <c r="E1103" s="5" t="s">
        <v>4492</v>
      </c>
      <c r="F1103" s="5" t="s">
        <v>4493</v>
      </c>
      <c r="G1103" s="6">
        <v>46080.509722222225</v>
      </c>
      <c r="H1103" s="7">
        <v>46093</v>
      </c>
      <c r="I1103" s="6">
        <v>46087.70208333333</v>
      </c>
      <c r="J1103" s="7">
        <v>46087</v>
      </c>
      <c r="K1103" s="5" t="s">
        <v>1527</v>
      </c>
      <c r="L1103" s="5" t="s">
        <v>1564</v>
      </c>
      <c r="M1103" s="8">
        <v>192.5</v>
      </c>
      <c r="N1103" s="5" t="s">
        <v>1536</v>
      </c>
      <c r="O1103" s="7">
        <v>46087</v>
      </c>
    </row>
    <row r="1104" spans="1:15" x14ac:dyDescent="0.25">
      <c r="A1104" s="5" t="s">
        <v>4</v>
      </c>
      <c r="B1104" s="5" t="s">
        <v>4494</v>
      </c>
      <c r="D1104" s="5" t="s">
        <v>159</v>
      </c>
      <c r="E1104" s="5" t="s">
        <v>4495</v>
      </c>
      <c r="F1104" s="5" t="s">
        <v>1770</v>
      </c>
      <c r="G1104" s="6">
        <v>46084.668749999997</v>
      </c>
      <c r="H1104" s="7">
        <v>46097</v>
      </c>
      <c r="I1104" s="6">
        <v>46092.606944444444</v>
      </c>
      <c r="J1104" s="7">
        <v>46092</v>
      </c>
      <c r="K1104" s="5" t="s">
        <v>1527</v>
      </c>
      <c r="L1104" s="5" t="s">
        <v>1564</v>
      </c>
      <c r="M1104" s="8">
        <v>192.5</v>
      </c>
      <c r="N1104" s="5" t="s">
        <v>1536</v>
      </c>
      <c r="O1104" s="7">
        <v>46092</v>
      </c>
    </row>
    <row r="1105" spans="1:15" x14ac:dyDescent="0.25">
      <c r="A1105" s="5" t="s">
        <v>4</v>
      </c>
      <c r="B1105" s="5" t="s">
        <v>4496</v>
      </c>
      <c r="D1105" s="5" t="s">
        <v>1362</v>
      </c>
      <c r="E1105" s="5" t="s">
        <v>4497</v>
      </c>
      <c r="F1105" s="5" t="s">
        <v>1770</v>
      </c>
      <c r="G1105" s="6">
        <v>46118.604166666664</v>
      </c>
      <c r="H1105" s="7">
        <v>46129</v>
      </c>
      <c r="I1105" s="6">
        <v>46125.47152777778</v>
      </c>
      <c r="J1105" s="7">
        <v>46121</v>
      </c>
      <c r="K1105" s="5" t="s">
        <v>1527</v>
      </c>
      <c r="L1105" s="5" t="s">
        <v>1564</v>
      </c>
      <c r="M1105" s="8">
        <v>192.5</v>
      </c>
      <c r="N1105" s="5" t="s">
        <v>1536</v>
      </c>
      <c r="O1105" s="7">
        <v>46121</v>
      </c>
    </row>
    <row r="1106" spans="1:15" x14ac:dyDescent="0.25">
      <c r="A1106" s="5" t="s">
        <v>4</v>
      </c>
      <c r="B1106" s="5" t="s">
        <v>4498</v>
      </c>
      <c r="D1106" s="5" t="s">
        <v>801</v>
      </c>
      <c r="E1106" s="5" t="s">
        <v>4499</v>
      </c>
      <c r="F1106" s="5" t="s">
        <v>4500</v>
      </c>
      <c r="G1106" s="6">
        <v>46076.701388888891</v>
      </c>
      <c r="H1106" s="7">
        <v>46083</v>
      </c>
      <c r="I1106" s="5" t="s">
        <v>4501</v>
      </c>
      <c r="J1106" s="7">
        <v>46080</v>
      </c>
      <c r="K1106" s="5" t="s">
        <v>1527</v>
      </c>
      <c r="L1106" s="5" t="s">
        <v>1621</v>
      </c>
      <c r="M1106" s="8">
        <v>192.18</v>
      </c>
      <c r="N1106" s="5" t="s">
        <v>1536</v>
      </c>
      <c r="O1106" s="7">
        <v>46080</v>
      </c>
    </row>
    <row r="1107" spans="1:15" x14ac:dyDescent="0.25">
      <c r="A1107" s="5" t="s">
        <v>4</v>
      </c>
      <c r="B1107" s="5" t="s">
        <v>4502</v>
      </c>
      <c r="D1107" s="5" t="s">
        <v>392</v>
      </c>
      <c r="E1107" s="5" t="s">
        <v>4503</v>
      </c>
      <c r="F1107" s="5" t="s">
        <v>1548</v>
      </c>
      <c r="G1107" s="6">
        <v>46045.601388888892</v>
      </c>
      <c r="H1107" s="7">
        <v>46058</v>
      </c>
      <c r="I1107" s="5" t="s">
        <v>2352</v>
      </c>
      <c r="J1107" s="7">
        <v>46064</v>
      </c>
      <c r="K1107" s="5" t="s">
        <v>1527</v>
      </c>
      <c r="L1107" s="5" t="s">
        <v>1564</v>
      </c>
      <c r="M1107" s="8">
        <v>192</v>
      </c>
      <c r="N1107" s="5" t="s">
        <v>1536</v>
      </c>
      <c r="O1107" s="7">
        <v>46064</v>
      </c>
    </row>
    <row r="1108" spans="1:15" x14ac:dyDescent="0.25">
      <c r="A1108" s="5" t="s">
        <v>4</v>
      </c>
      <c r="B1108" s="5" t="s">
        <v>4504</v>
      </c>
      <c r="D1108" s="5" t="s">
        <v>789</v>
      </c>
      <c r="E1108" s="5" t="s">
        <v>4505</v>
      </c>
      <c r="F1108" s="5" t="s">
        <v>1813</v>
      </c>
      <c r="G1108" s="6">
        <v>46065.617361111108</v>
      </c>
      <c r="H1108" s="7">
        <v>46077</v>
      </c>
      <c r="I1108" s="6">
        <v>46076.634722222225</v>
      </c>
      <c r="J1108" s="7">
        <v>46076</v>
      </c>
      <c r="K1108" s="5" t="s">
        <v>1527</v>
      </c>
      <c r="L1108" s="5" t="s">
        <v>1535</v>
      </c>
      <c r="M1108" s="8">
        <v>192</v>
      </c>
      <c r="N1108" s="5" t="s">
        <v>1536</v>
      </c>
      <c r="O1108" s="7">
        <v>46076</v>
      </c>
    </row>
    <row r="1109" spans="1:15" x14ac:dyDescent="0.25">
      <c r="A1109" s="5" t="s">
        <v>4</v>
      </c>
      <c r="B1109" s="5" t="s">
        <v>4506</v>
      </c>
      <c r="D1109" s="5" t="s">
        <v>369</v>
      </c>
      <c r="E1109" s="5" t="s">
        <v>4507</v>
      </c>
      <c r="F1109" s="5" t="s">
        <v>1532</v>
      </c>
      <c r="G1109" s="6">
        <v>46125.667361111111</v>
      </c>
      <c r="H1109" s="7">
        <v>46136</v>
      </c>
      <c r="I1109" s="6">
        <v>46136.681250000001</v>
      </c>
      <c r="J1109" s="7">
        <v>46134</v>
      </c>
      <c r="K1109" s="5" t="s">
        <v>1527</v>
      </c>
      <c r="L1109" s="5" t="s">
        <v>1535</v>
      </c>
      <c r="M1109" s="8">
        <v>192</v>
      </c>
      <c r="N1109" s="5" t="s">
        <v>1536</v>
      </c>
      <c r="O1109" s="7">
        <v>46134</v>
      </c>
    </row>
    <row r="1110" spans="1:15" x14ac:dyDescent="0.25">
      <c r="A1110" s="5" t="s">
        <v>4</v>
      </c>
      <c r="B1110" s="5" t="s">
        <v>4508</v>
      </c>
      <c r="D1110" s="5" t="s">
        <v>1026</v>
      </c>
      <c r="E1110" s="5" t="s">
        <v>4509</v>
      </c>
      <c r="F1110" s="5" t="s">
        <v>4510</v>
      </c>
      <c r="G1110" s="6">
        <v>46142.681944444441</v>
      </c>
      <c r="H1110" s="7">
        <v>46148</v>
      </c>
      <c r="I1110" s="6">
        <v>46147.684027777781</v>
      </c>
      <c r="J1110" s="7">
        <v>46147</v>
      </c>
      <c r="K1110" s="5" t="s">
        <v>1527</v>
      </c>
      <c r="L1110" s="5" t="s">
        <v>1621</v>
      </c>
      <c r="M1110" s="8">
        <v>190.98</v>
      </c>
      <c r="N1110" s="5" t="s">
        <v>1536</v>
      </c>
      <c r="O1110" s="7">
        <v>46147</v>
      </c>
    </row>
    <row r="1111" spans="1:15" x14ac:dyDescent="0.25">
      <c r="A1111" s="5" t="s">
        <v>4</v>
      </c>
      <c r="B1111" s="5" t="s">
        <v>4511</v>
      </c>
      <c r="D1111" s="5" t="s">
        <v>345</v>
      </c>
      <c r="E1111" s="5" t="s">
        <v>4512</v>
      </c>
      <c r="F1111" s="5" t="s">
        <v>1813</v>
      </c>
      <c r="G1111" s="6">
        <v>46041.426388888889</v>
      </c>
      <c r="H1111" s="7">
        <v>46050</v>
      </c>
      <c r="I1111" s="5" t="s">
        <v>4513</v>
      </c>
      <c r="J1111" s="7">
        <v>46055</v>
      </c>
      <c r="K1111" s="5" t="s">
        <v>1527</v>
      </c>
      <c r="L1111" s="5" t="s">
        <v>1535</v>
      </c>
      <c r="M1111" s="8">
        <v>190.5</v>
      </c>
      <c r="N1111" s="5" t="s">
        <v>1536</v>
      </c>
      <c r="O1111" s="7">
        <v>46055</v>
      </c>
    </row>
    <row r="1112" spans="1:15" x14ac:dyDescent="0.25">
      <c r="A1112" s="5" t="s">
        <v>4</v>
      </c>
      <c r="B1112" s="5" t="s">
        <v>4514</v>
      </c>
      <c r="D1112" s="5" t="s">
        <v>1159</v>
      </c>
      <c r="E1112" s="5" t="s">
        <v>4515</v>
      </c>
      <c r="F1112" s="5" t="s">
        <v>1770</v>
      </c>
      <c r="G1112" s="6">
        <v>46085.53402777778</v>
      </c>
      <c r="H1112" s="7">
        <v>46098</v>
      </c>
      <c r="I1112" s="5" t="s">
        <v>4516</v>
      </c>
      <c r="J1112" s="7">
        <v>46100</v>
      </c>
      <c r="K1112" s="5" t="s">
        <v>1527</v>
      </c>
      <c r="L1112" s="5" t="s">
        <v>1564</v>
      </c>
      <c r="M1112" s="8">
        <v>190.5</v>
      </c>
      <c r="N1112" s="5" t="s">
        <v>1536</v>
      </c>
      <c r="O1112" s="7">
        <v>46100</v>
      </c>
    </row>
    <row r="1113" spans="1:15" x14ac:dyDescent="0.25">
      <c r="A1113" s="5" t="s">
        <v>4</v>
      </c>
      <c r="B1113" s="5" t="s">
        <v>4517</v>
      </c>
      <c r="D1113" s="5" t="s">
        <v>207</v>
      </c>
      <c r="E1113" s="5" t="s">
        <v>4518</v>
      </c>
      <c r="F1113" s="5" t="s">
        <v>4519</v>
      </c>
      <c r="G1113" s="6">
        <v>46076.731249999997</v>
      </c>
      <c r="H1113" s="7">
        <v>46083</v>
      </c>
      <c r="I1113" s="6">
        <v>46079.619444444441</v>
      </c>
      <c r="J1113" s="7">
        <v>46079</v>
      </c>
      <c r="K1113" s="5" t="s">
        <v>1527</v>
      </c>
      <c r="L1113" s="5" t="s">
        <v>1621</v>
      </c>
      <c r="M1113" s="8">
        <v>190.44</v>
      </c>
      <c r="N1113" s="5" t="s">
        <v>1536</v>
      </c>
      <c r="O1113" s="7">
        <v>46079</v>
      </c>
    </row>
    <row r="1114" spans="1:15" x14ac:dyDescent="0.25">
      <c r="A1114" s="5" t="s">
        <v>4</v>
      </c>
      <c r="B1114" s="5" t="s">
        <v>4520</v>
      </c>
      <c r="D1114" s="5" t="s">
        <v>454</v>
      </c>
      <c r="E1114" s="5" t="s">
        <v>4521</v>
      </c>
      <c r="F1114" s="5" t="s">
        <v>1567</v>
      </c>
      <c r="G1114" s="6">
        <v>46105.678472222222</v>
      </c>
      <c r="H1114" s="7">
        <v>46119</v>
      </c>
      <c r="I1114" s="6">
        <v>46112.376388888886</v>
      </c>
      <c r="J1114" s="7">
        <v>46108</v>
      </c>
      <c r="K1114" s="5" t="s">
        <v>1527</v>
      </c>
      <c r="L1114" s="5" t="s">
        <v>1564</v>
      </c>
      <c r="M1114" s="8">
        <v>190.4</v>
      </c>
      <c r="N1114" s="5" t="s">
        <v>1536</v>
      </c>
      <c r="O1114" s="7">
        <v>46108</v>
      </c>
    </row>
    <row r="1115" spans="1:15" x14ac:dyDescent="0.25">
      <c r="A1115" s="5" t="s">
        <v>4</v>
      </c>
      <c r="B1115" s="5" t="s">
        <v>4522</v>
      </c>
      <c r="D1115" s="5" t="s">
        <v>1351</v>
      </c>
      <c r="E1115" s="5" t="s">
        <v>4523</v>
      </c>
      <c r="F1115" s="5" t="s">
        <v>1770</v>
      </c>
      <c r="G1115" s="6">
        <v>46113.361805555556</v>
      </c>
      <c r="H1115" s="7">
        <v>46127</v>
      </c>
      <c r="I1115" s="6">
        <v>46123.325694444444</v>
      </c>
      <c r="J1115" s="7">
        <v>46113</v>
      </c>
      <c r="K1115" s="5" t="s">
        <v>1527</v>
      </c>
      <c r="L1115" s="5" t="s">
        <v>1564</v>
      </c>
      <c r="M1115" s="8">
        <v>190.13</v>
      </c>
      <c r="N1115" s="5" t="s">
        <v>1536</v>
      </c>
      <c r="O1115" s="7">
        <v>46113</v>
      </c>
    </row>
    <row r="1116" spans="1:15" x14ac:dyDescent="0.25">
      <c r="A1116" s="5" t="s">
        <v>4</v>
      </c>
      <c r="B1116" s="5" t="s">
        <v>4524</v>
      </c>
      <c r="D1116" s="5" t="s">
        <v>7</v>
      </c>
      <c r="E1116" s="5" t="s">
        <v>4525</v>
      </c>
      <c r="F1116" s="5" t="s">
        <v>4526</v>
      </c>
      <c r="G1116" s="6">
        <v>46132.634722222225</v>
      </c>
      <c r="H1116" s="7">
        <v>46139</v>
      </c>
      <c r="I1116" s="6">
        <v>46139.612500000003</v>
      </c>
      <c r="J1116" s="7">
        <v>46139</v>
      </c>
      <c r="K1116" s="5" t="s">
        <v>1527</v>
      </c>
      <c r="L1116" s="5" t="s">
        <v>1621</v>
      </c>
      <c r="M1116" s="8">
        <v>190.12</v>
      </c>
      <c r="N1116" s="5" t="s">
        <v>1536</v>
      </c>
      <c r="O1116" s="7">
        <v>46139</v>
      </c>
    </row>
    <row r="1117" spans="1:15" x14ac:dyDescent="0.25">
      <c r="A1117" s="5" t="s">
        <v>4</v>
      </c>
      <c r="B1117" s="5" t="s">
        <v>4527</v>
      </c>
      <c r="D1117" s="5" t="s">
        <v>1259</v>
      </c>
      <c r="E1117" s="5" t="s">
        <v>4528</v>
      </c>
      <c r="F1117" s="5" t="s">
        <v>4529</v>
      </c>
      <c r="G1117" s="6">
        <v>46092.734027777777</v>
      </c>
      <c r="H1117" s="7">
        <v>46099</v>
      </c>
      <c r="I1117" s="5" t="s">
        <v>2323</v>
      </c>
      <c r="J1117" s="7">
        <v>46104</v>
      </c>
      <c r="K1117" s="5" t="s">
        <v>1527</v>
      </c>
      <c r="L1117" s="5" t="s">
        <v>1621</v>
      </c>
      <c r="M1117" s="8">
        <v>190.05</v>
      </c>
      <c r="N1117" s="5" t="s">
        <v>1536</v>
      </c>
      <c r="O1117" s="7">
        <v>46104</v>
      </c>
    </row>
    <row r="1118" spans="1:15" hidden="1" x14ac:dyDescent="0.25">
      <c r="A1118" s="5" t="s">
        <v>1522</v>
      </c>
      <c r="B1118" s="5" t="s">
        <v>4530</v>
      </c>
      <c r="D1118" s="5" t="s">
        <v>1510</v>
      </c>
      <c r="E1118" s="5" t="s">
        <v>2466</v>
      </c>
      <c r="F1118" s="5" t="s">
        <v>2467</v>
      </c>
      <c r="G1118" s="6">
        <v>46037.629861111112</v>
      </c>
      <c r="H1118" s="7">
        <v>46041</v>
      </c>
      <c r="I1118" s="6">
        <v>46041.700694444444</v>
      </c>
      <c r="J1118" s="7">
        <v>46065</v>
      </c>
      <c r="K1118" s="5" t="s">
        <v>1527</v>
      </c>
      <c r="L1118" s="5" t="s">
        <v>1621</v>
      </c>
      <c r="M1118" s="8">
        <v>190</v>
      </c>
      <c r="N1118" s="5" t="s">
        <v>1536</v>
      </c>
      <c r="O1118" s="7">
        <v>46065</v>
      </c>
    </row>
    <row r="1119" spans="1:15" x14ac:dyDescent="0.25">
      <c r="A1119" s="5" t="s">
        <v>4</v>
      </c>
      <c r="B1119" s="5" t="s">
        <v>4531</v>
      </c>
      <c r="D1119" s="5" t="s">
        <v>1298</v>
      </c>
      <c r="E1119" s="5" t="s">
        <v>2302</v>
      </c>
      <c r="F1119" s="5" t="s">
        <v>4532</v>
      </c>
      <c r="G1119" s="6">
        <v>46094.597916666666</v>
      </c>
      <c r="H1119" s="7">
        <v>46108</v>
      </c>
      <c r="I1119" s="6">
        <v>46100.628472222219</v>
      </c>
      <c r="J1119" s="7">
        <v>46100</v>
      </c>
      <c r="K1119" s="5" t="s">
        <v>1527</v>
      </c>
      <c r="L1119" s="5" t="s">
        <v>1564</v>
      </c>
      <c r="M1119" s="8">
        <v>190</v>
      </c>
      <c r="N1119" s="5" t="s">
        <v>1536</v>
      </c>
      <c r="O1119" s="7">
        <v>46100</v>
      </c>
    </row>
    <row r="1120" spans="1:15" x14ac:dyDescent="0.25">
      <c r="A1120" s="5" t="s">
        <v>4</v>
      </c>
      <c r="B1120" s="5" t="s">
        <v>4533</v>
      </c>
      <c r="D1120" s="5" t="s">
        <v>456</v>
      </c>
      <c r="E1120" s="5" t="s">
        <v>4534</v>
      </c>
      <c r="F1120" s="5" t="s">
        <v>4535</v>
      </c>
      <c r="G1120" s="6">
        <v>46100.472222222219</v>
      </c>
      <c r="H1120" s="7">
        <v>46113</v>
      </c>
      <c r="I1120" s="6">
        <v>46108.65347222222</v>
      </c>
      <c r="J1120" s="7">
        <v>46108</v>
      </c>
      <c r="K1120" s="5" t="s">
        <v>1527</v>
      </c>
      <c r="L1120" s="5" t="s">
        <v>1564</v>
      </c>
      <c r="M1120" s="8">
        <v>190</v>
      </c>
      <c r="N1120" s="5" t="s">
        <v>1536</v>
      </c>
      <c r="O1120" s="7">
        <v>46108</v>
      </c>
    </row>
    <row r="1121" spans="1:15" x14ac:dyDescent="0.25">
      <c r="A1121" s="5" t="s">
        <v>4</v>
      </c>
      <c r="B1121" s="5" t="s">
        <v>4536</v>
      </c>
      <c r="D1121" s="5" t="s">
        <v>945</v>
      </c>
      <c r="E1121" s="5" t="s">
        <v>4537</v>
      </c>
      <c r="F1121" s="5" t="s">
        <v>1738</v>
      </c>
      <c r="G1121" s="6">
        <v>46168.686805555553</v>
      </c>
      <c r="H1121" s="7">
        <v>46182</v>
      </c>
      <c r="I1121" s="6">
        <v>46178.486805555556</v>
      </c>
      <c r="J1121" s="7">
        <v>46176</v>
      </c>
      <c r="K1121" s="5" t="s">
        <v>1527</v>
      </c>
      <c r="L1121" s="5" t="s">
        <v>1564</v>
      </c>
      <c r="M1121" s="8">
        <v>190</v>
      </c>
      <c r="N1121" s="5" t="s">
        <v>1536</v>
      </c>
      <c r="O1121" s="7">
        <v>46176</v>
      </c>
    </row>
    <row r="1122" spans="1:15" x14ac:dyDescent="0.25">
      <c r="A1122" s="5" t="s">
        <v>4</v>
      </c>
      <c r="B1122" s="5" t="s">
        <v>4538</v>
      </c>
      <c r="D1122" s="5" t="s">
        <v>286</v>
      </c>
      <c r="E1122" s="5" t="s">
        <v>4539</v>
      </c>
      <c r="F1122" s="5" t="s">
        <v>4540</v>
      </c>
      <c r="G1122" s="6">
        <v>46076.426388888889</v>
      </c>
      <c r="H1122" s="7">
        <v>46087</v>
      </c>
      <c r="I1122" s="6">
        <v>46084.615277777775</v>
      </c>
      <c r="J1122" s="7">
        <v>46083</v>
      </c>
      <c r="K1122" s="5" t="s">
        <v>1527</v>
      </c>
      <c r="L1122" s="5" t="s">
        <v>1564</v>
      </c>
      <c r="M1122" s="8">
        <v>189.5</v>
      </c>
      <c r="N1122" s="5" t="s">
        <v>1536</v>
      </c>
      <c r="O1122" s="7">
        <v>46083</v>
      </c>
    </row>
    <row r="1123" spans="1:15" x14ac:dyDescent="0.25">
      <c r="A1123" s="5" t="s">
        <v>4</v>
      </c>
      <c r="B1123" s="5" t="s">
        <v>4541</v>
      </c>
      <c r="D1123" s="5" t="s">
        <v>352</v>
      </c>
      <c r="E1123" s="5" t="s">
        <v>4542</v>
      </c>
      <c r="F1123" s="5" t="s">
        <v>4543</v>
      </c>
      <c r="G1123" s="6">
        <v>46163.635416666664</v>
      </c>
      <c r="H1123" s="7">
        <v>46170</v>
      </c>
      <c r="I1123" s="5" t="s">
        <v>2626</v>
      </c>
      <c r="J1123" s="7">
        <v>46171</v>
      </c>
      <c r="K1123" s="5" t="s">
        <v>1527</v>
      </c>
      <c r="L1123" s="5" t="s">
        <v>1621</v>
      </c>
      <c r="M1123" s="8">
        <v>189.49</v>
      </c>
      <c r="N1123" s="5" t="s">
        <v>1536</v>
      </c>
      <c r="O1123" s="7">
        <v>46171</v>
      </c>
    </row>
    <row r="1124" spans="1:15" x14ac:dyDescent="0.25">
      <c r="A1124" s="5" t="s">
        <v>4</v>
      </c>
      <c r="B1124" s="5" t="s">
        <v>4544</v>
      </c>
      <c r="D1124" s="5" t="s">
        <v>308</v>
      </c>
      <c r="E1124" s="5" t="s">
        <v>4545</v>
      </c>
      <c r="F1124" s="5" t="s">
        <v>1548</v>
      </c>
      <c r="G1124" s="6">
        <v>46049.421527777777</v>
      </c>
      <c r="H1124" s="7">
        <v>46049</v>
      </c>
      <c r="I1124" s="6">
        <v>46049.424305555556</v>
      </c>
      <c r="J1124" s="7">
        <v>46049</v>
      </c>
      <c r="K1124" s="5" t="s">
        <v>1527</v>
      </c>
      <c r="L1124" s="5" t="s">
        <v>1564</v>
      </c>
      <c r="M1124" s="8">
        <v>189</v>
      </c>
      <c r="N1124" s="5" t="s">
        <v>1536</v>
      </c>
      <c r="O1124" s="7">
        <v>46049</v>
      </c>
    </row>
    <row r="1125" spans="1:15" x14ac:dyDescent="0.25">
      <c r="A1125" s="5" t="s">
        <v>4</v>
      </c>
      <c r="B1125" s="5" t="s">
        <v>4546</v>
      </c>
      <c r="D1125" s="5" t="s">
        <v>1106</v>
      </c>
      <c r="E1125" s="5" t="s">
        <v>4547</v>
      </c>
      <c r="F1125" s="5" t="s">
        <v>1759</v>
      </c>
      <c r="G1125" s="6">
        <v>46125.476388888892</v>
      </c>
      <c r="H1125" s="7">
        <v>46139</v>
      </c>
      <c r="I1125" s="6">
        <v>46129.593055555553</v>
      </c>
      <c r="J1125" s="7">
        <v>46129</v>
      </c>
      <c r="K1125" s="5" t="s">
        <v>1527</v>
      </c>
      <c r="L1125" s="5" t="s">
        <v>1564</v>
      </c>
      <c r="M1125" s="8">
        <v>189</v>
      </c>
      <c r="N1125" s="5" t="s">
        <v>1536</v>
      </c>
      <c r="O1125" s="7">
        <v>46129</v>
      </c>
    </row>
    <row r="1126" spans="1:15" x14ac:dyDescent="0.25">
      <c r="A1126" s="5" t="s">
        <v>4</v>
      </c>
      <c r="B1126" s="5" t="s">
        <v>4548</v>
      </c>
      <c r="D1126" s="5" t="s">
        <v>998</v>
      </c>
      <c r="E1126" s="5" t="s">
        <v>4549</v>
      </c>
      <c r="F1126" s="5" t="s">
        <v>4550</v>
      </c>
      <c r="G1126" s="6">
        <v>46127.422222222223</v>
      </c>
      <c r="H1126" s="7">
        <v>46141</v>
      </c>
      <c r="I1126" s="6">
        <v>46141.613194444442</v>
      </c>
      <c r="J1126" s="7">
        <v>46141</v>
      </c>
      <c r="K1126" s="5" t="s">
        <v>1527</v>
      </c>
      <c r="L1126" s="5" t="s">
        <v>1564</v>
      </c>
      <c r="M1126" s="8">
        <v>189</v>
      </c>
      <c r="N1126" s="5" t="s">
        <v>1536</v>
      </c>
      <c r="O1126" s="7">
        <v>46141</v>
      </c>
    </row>
    <row r="1127" spans="1:15" x14ac:dyDescent="0.25">
      <c r="A1127" s="5" t="s">
        <v>4</v>
      </c>
      <c r="B1127" s="5" t="s">
        <v>4551</v>
      </c>
      <c r="D1127" s="5" t="s">
        <v>1364</v>
      </c>
      <c r="E1127" s="5" t="s">
        <v>4552</v>
      </c>
      <c r="F1127" s="5" t="s">
        <v>1738</v>
      </c>
      <c r="G1127" s="6">
        <v>46134.655555555553</v>
      </c>
      <c r="H1127" s="7">
        <v>46148</v>
      </c>
      <c r="I1127" s="6">
        <v>46141.613194444442</v>
      </c>
      <c r="J1127" s="7">
        <v>46141</v>
      </c>
      <c r="K1127" s="5" t="s">
        <v>1527</v>
      </c>
      <c r="L1127" s="5" t="s">
        <v>1564</v>
      </c>
      <c r="M1127" s="8">
        <v>189</v>
      </c>
      <c r="N1127" s="5" t="s">
        <v>1536</v>
      </c>
      <c r="O1127" s="7">
        <v>46141</v>
      </c>
    </row>
    <row r="1128" spans="1:15" hidden="1" x14ac:dyDescent="0.25">
      <c r="A1128" s="5" t="s">
        <v>1522</v>
      </c>
      <c r="B1128" s="5" t="s">
        <v>4553</v>
      </c>
      <c r="D1128" s="5" t="s">
        <v>664</v>
      </c>
      <c r="E1128" s="5" t="s">
        <v>4554</v>
      </c>
      <c r="F1128" s="5" t="s">
        <v>4555</v>
      </c>
      <c r="G1128" s="6">
        <v>46036.382638888892</v>
      </c>
      <c r="H1128" s="7">
        <v>46042</v>
      </c>
      <c r="I1128" s="5" t="s">
        <v>4556</v>
      </c>
      <c r="J1128" s="7">
        <v>46048</v>
      </c>
      <c r="K1128" s="5" t="s">
        <v>1527</v>
      </c>
      <c r="L1128" s="5" t="s">
        <v>1528</v>
      </c>
      <c r="M1128" s="8">
        <v>188.81</v>
      </c>
      <c r="N1128" s="5" t="s">
        <v>1536</v>
      </c>
      <c r="O1128" s="7">
        <v>46048</v>
      </c>
    </row>
    <row r="1129" spans="1:15" x14ac:dyDescent="0.25">
      <c r="A1129" s="5" t="s">
        <v>4</v>
      </c>
      <c r="B1129" s="5" t="s">
        <v>4557</v>
      </c>
      <c r="D1129" s="5" t="s">
        <v>1411</v>
      </c>
      <c r="E1129" s="5" t="s">
        <v>4558</v>
      </c>
      <c r="F1129" s="5" t="s">
        <v>4559</v>
      </c>
      <c r="G1129" s="6">
        <v>46128.501388888886</v>
      </c>
      <c r="H1129" s="7">
        <v>46142</v>
      </c>
      <c r="I1129" s="6">
        <v>46139.753472222219</v>
      </c>
      <c r="J1129" s="7">
        <v>46135</v>
      </c>
      <c r="K1129" s="5" t="s">
        <v>1527</v>
      </c>
      <c r="L1129" s="5" t="s">
        <v>1564</v>
      </c>
      <c r="M1129" s="8">
        <v>188.8</v>
      </c>
      <c r="N1129" s="5" t="s">
        <v>1536</v>
      </c>
      <c r="O1129" s="7">
        <v>46135</v>
      </c>
    </row>
    <row r="1130" spans="1:15" x14ac:dyDescent="0.25">
      <c r="A1130" s="5" t="s">
        <v>4</v>
      </c>
      <c r="B1130" s="5" t="s">
        <v>4560</v>
      </c>
      <c r="D1130" s="5" t="s">
        <v>1386</v>
      </c>
      <c r="E1130" s="5" t="s">
        <v>4561</v>
      </c>
      <c r="F1130" s="5" t="s">
        <v>1548</v>
      </c>
      <c r="G1130" s="6">
        <v>46028.527777777781</v>
      </c>
      <c r="H1130" s="7">
        <v>46041</v>
      </c>
      <c r="I1130" s="6">
        <v>46038.698611111111</v>
      </c>
      <c r="J1130" s="7">
        <v>46038</v>
      </c>
      <c r="K1130" s="5" t="s">
        <v>1527</v>
      </c>
      <c r="L1130" s="5" t="s">
        <v>1564</v>
      </c>
      <c r="M1130" s="8">
        <v>188.5</v>
      </c>
      <c r="N1130" s="5" t="s">
        <v>1536</v>
      </c>
      <c r="O1130" s="7">
        <v>46038</v>
      </c>
    </row>
    <row r="1131" spans="1:15" x14ac:dyDescent="0.25">
      <c r="A1131" s="5" t="s">
        <v>4</v>
      </c>
      <c r="B1131" s="5" t="s">
        <v>4562</v>
      </c>
      <c r="D1131" s="5" t="s">
        <v>540</v>
      </c>
      <c r="E1131" s="5" t="s">
        <v>4563</v>
      </c>
      <c r="F1131" s="5" t="s">
        <v>4564</v>
      </c>
      <c r="G1131" s="6">
        <v>46071.45416666667</v>
      </c>
      <c r="H1131" s="7">
        <v>46084</v>
      </c>
      <c r="I1131" s="6">
        <v>46079.620138888888</v>
      </c>
      <c r="J1131" s="7">
        <v>46079</v>
      </c>
      <c r="K1131" s="5" t="s">
        <v>1527</v>
      </c>
      <c r="L1131" s="5" t="s">
        <v>1564</v>
      </c>
      <c r="M1131" s="8">
        <v>188.35</v>
      </c>
      <c r="N1131" s="5" t="s">
        <v>1536</v>
      </c>
      <c r="O1131" s="7">
        <v>46079</v>
      </c>
    </row>
    <row r="1132" spans="1:15" x14ac:dyDescent="0.25">
      <c r="A1132" s="5" t="s">
        <v>4</v>
      </c>
      <c r="B1132" s="5" t="s">
        <v>4565</v>
      </c>
      <c r="D1132" s="5" t="s">
        <v>169</v>
      </c>
      <c r="E1132" s="5" t="s">
        <v>4566</v>
      </c>
      <c r="F1132" s="5" t="s">
        <v>1759</v>
      </c>
      <c r="G1132" s="6">
        <v>46134.699305555558</v>
      </c>
      <c r="H1132" s="7">
        <v>46148</v>
      </c>
      <c r="I1132" s="6">
        <v>46141.612500000003</v>
      </c>
      <c r="J1132" s="7">
        <v>46141</v>
      </c>
      <c r="K1132" s="5" t="s">
        <v>1527</v>
      </c>
      <c r="L1132" s="5" t="s">
        <v>1564</v>
      </c>
      <c r="M1132" s="8">
        <v>186.8</v>
      </c>
      <c r="N1132" s="5" t="s">
        <v>1536</v>
      </c>
      <c r="O1132" s="7">
        <v>46141</v>
      </c>
    </row>
    <row r="1133" spans="1:15" x14ac:dyDescent="0.25">
      <c r="A1133" s="5" t="s">
        <v>4</v>
      </c>
      <c r="B1133" s="5" t="s">
        <v>4567</v>
      </c>
      <c r="D1133" s="5" t="s">
        <v>264</v>
      </c>
      <c r="E1133" s="5" t="s">
        <v>4568</v>
      </c>
      <c r="F1133" s="5" t="s">
        <v>1532</v>
      </c>
      <c r="G1133" s="6">
        <v>46155.579861111109</v>
      </c>
      <c r="H1133" s="7">
        <v>46164</v>
      </c>
      <c r="I1133" s="5" t="s">
        <v>4569</v>
      </c>
      <c r="J1133" s="7">
        <v>46167</v>
      </c>
      <c r="K1133" s="5" t="s">
        <v>1527</v>
      </c>
      <c r="L1133" s="5" t="s">
        <v>1535</v>
      </c>
      <c r="M1133" s="8">
        <v>186.6</v>
      </c>
      <c r="N1133" s="5" t="s">
        <v>1529</v>
      </c>
      <c r="O1133" s="7">
        <v>46167</v>
      </c>
    </row>
    <row r="1134" spans="1:15" x14ac:dyDescent="0.25">
      <c r="A1134" s="5" t="s">
        <v>4</v>
      </c>
      <c r="B1134" s="5" t="s">
        <v>4570</v>
      </c>
      <c r="D1134" s="5" t="s">
        <v>879</v>
      </c>
      <c r="E1134" s="5" t="s">
        <v>4571</v>
      </c>
      <c r="F1134" s="5" t="s">
        <v>4572</v>
      </c>
      <c r="G1134" s="6">
        <v>46167.65625</v>
      </c>
      <c r="H1134" s="7">
        <v>46178</v>
      </c>
      <c r="I1134" s="5" t="s">
        <v>4099</v>
      </c>
      <c r="J1134" s="7">
        <v>46184</v>
      </c>
      <c r="K1134" s="5" t="s">
        <v>1527</v>
      </c>
      <c r="L1134" s="5" t="s">
        <v>1564</v>
      </c>
      <c r="M1134" s="8">
        <v>186.1</v>
      </c>
      <c r="N1134" s="5" t="s">
        <v>1536</v>
      </c>
      <c r="O1134" s="7">
        <v>46184</v>
      </c>
    </row>
    <row r="1135" spans="1:15" x14ac:dyDescent="0.25">
      <c r="A1135" s="5" t="s">
        <v>4</v>
      </c>
      <c r="B1135" s="5" t="s">
        <v>4573</v>
      </c>
      <c r="D1135" s="5" t="s">
        <v>968</v>
      </c>
      <c r="E1135" s="5" t="s">
        <v>4574</v>
      </c>
      <c r="F1135" s="5" t="s">
        <v>3458</v>
      </c>
      <c r="G1135" s="6">
        <v>46170.734027777777</v>
      </c>
      <c r="H1135" s="7">
        <v>46183</v>
      </c>
      <c r="I1135" s="6">
        <v>46183.637499999997</v>
      </c>
      <c r="J1135" s="7">
        <v>46181</v>
      </c>
      <c r="K1135" s="5" t="s">
        <v>1527</v>
      </c>
      <c r="L1135" s="5" t="s">
        <v>1564</v>
      </c>
      <c r="M1135" s="8">
        <v>186</v>
      </c>
      <c r="N1135" s="5" t="s">
        <v>1536</v>
      </c>
      <c r="O1135" s="7">
        <v>46181</v>
      </c>
    </row>
    <row r="1136" spans="1:15" x14ac:dyDescent="0.25">
      <c r="A1136" s="5" t="s">
        <v>4</v>
      </c>
      <c r="B1136" s="5" t="s">
        <v>4575</v>
      </c>
      <c r="D1136" s="5" t="s">
        <v>815</v>
      </c>
      <c r="E1136" s="5" t="s">
        <v>4576</v>
      </c>
      <c r="F1136" s="5" t="s">
        <v>1532</v>
      </c>
      <c r="G1136" s="6">
        <v>46030.379861111112</v>
      </c>
      <c r="H1136" s="7">
        <v>46041</v>
      </c>
      <c r="I1136" s="5" t="s">
        <v>4577</v>
      </c>
      <c r="J1136" s="7">
        <v>46044</v>
      </c>
      <c r="K1136" s="5" t="s">
        <v>1527</v>
      </c>
      <c r="L1136" s="5" t="s">
        <v>1535</v>
      </c>
      <c r="M1136" s="8">
        <v>185.8</v>
      </c>
      <c r="N1136" s="5" t="s">
        <v>1536</v>
      </c>
      <c r="O1136" s="7">
        <v>46044</v>
      </c>
    </row>
    <row r="1137" spans="1:15" x14ac:dyDescent="0.25">
      <c r="A1137" s="5" t="s">
        <v>4</v>
      </c>
      <c r="B1137" s="5" t="s">
        <v>4578</v>
      </c>
      <c r="D1137" s="5" t="s">
        <v>1474</v>
      </c>
      <c r="E1137" s="5" t="s">
        <v>3803</v>
      </c>
      <c r="F1137" s="5" t="s">
        <v>1532</v>
      </c>
      <c r="G1137" s="6">
        <v>46035.631944444445</v>
      </c>
      <c r="H1137" s="7">
        <v>46045</v>
      </c>
      <c r="I1137" s="5" t="s">
        <v>4579</v>
      </c>
      <c r="J1137" s="7">
        <v>46049</v>
      </c>
      <c r="K1137" s="5" t="s">
        <v>1527</v>
      </c>
      <c r="L1137" s="5" t="s">
        <v>1535</v>
      </c>
      <c r="M1137" s="8">
        <v>185</v>
      </c>
      <c r="N1137" s="5" t="s">
        <v>1536</v>
      </c>
      <c r="O1137" s="7">
        <v>46049</v>
      </c>
    </row>
    <row r="1138" spans="1:15" x14ac:dyDescent="0.25">
      <c r="A1138" s="5" t="s">
        <v>4</v>
      </c>
      <c r="B1138" s="5" t="s">
        <v>4580</v>
      </c>
      <c r="D1138" s="5" t="s">
        <v>415</v>
      </c>
      <c r="E1138" s="5" t="s">
        <v>4581</v>
      </c>
      <c r="F1138" s="5" t="s">
        <v>1548</v>
      </c>
      <c r="G1138" s="6">
        <v>46036.384722222225</v>
      </c>
      <c r="H1138" s="7">
        <v>46049</v>
      </c>
      <c r="I1138" s="6">
        <v>46044.670138888891</v>
      </c>
      <c r="J1138" s="7">
        <v>46044</v>
      </c>
      <c r="K1138" s="5" t="s">
        <v>1527</v>
      </c>
      <c r="L1138" s="5" t="s">
        <v>1564</v>
      </c>
      <c r="M1138" s="8">
        <v>185</v>
      </c>
      <c r="N1138" s="5" t="s">
        <v>1536</v>
      </c>
      <c r="O1138" s="7">
        <v>46044</v>
      </c>
    </row>
    <row r="1139" spans="1:15" x14ac:dyDescent="0.25">
      <c r="A1139" s="5" t="s">
        <v>4</v>
      </c>
      <c r="B1139" s="5" t="s">
        <v>4582</v>
      </c>
      <c r="D1139" s="5" t="s">
        <v>65</v>
      </c>
      <c r="E1139" s="5" t="s">
        <v>4583</v>
      </c>
      <c r="F1139" s="5" t="s">
        <v>1738</v>
      </c>
      <c r="G1139" s="6">
        <v>46071.591666666667</v>
      </c>
      <c r="H1139" s="7">
        <v>46084</v>
      </c>
      <c r="I1139" s="6">
        <v>46084.617361111108</v>
      </c>
      <c r="J1139" s="7">
        <v>46080</v>
      </c>
      <c r="K1139" s="5" t="s">
        <v>1527</v>
      </c>
      <c r="L1139" s="5" t="s">
        <v>1564</v>
      </c>
      <c r="M1139" s="8">
        <v>185</v>
      </c>
      <c r="N1139" s="5" t="s">
        <v>1536</v>
      </c>
      <c r="O1139" s="7">
        <v>46080</v>
      </c>
    </row>
    <row r="1140" spans="1:15" x14ac:dyDescent="0.25">
      <c r="A1140" s="5" t="s">
        <v>4</v>
      </c>
      <c r="B1140" s="5" t="s">
        <v>4584</v>
      </c>
      <c r="D1140" s="5" t="s">
        <v>941</v>
      </c>
      <c r="E1140" s="5" t="s">
        <v>4585</v>
      </c>
      <c r="F1140" s="5" t="s">
        <v>1770</v>
      </c>
      <c r="G1140" s="6">
        <v>46077.486111111109</v>
      </c>
      <c r="H1140" s="7">
        <v>46090</v>
      </c>
      <c r="I1140" s="6">
        <v>46084.615972222222</v>
      </c>
      <c r="J1140" s="7">
        <v>46083</v>
      </c>
      <c r="K1140" s="5" t="s">
        <v>1527</v>
      </c>
      <c r="L1140" s="5" t="s">
        <v>1564</v>
      </c>
      <c r="M1140" s="8">
        <v>185</v>
      </c>
      <c r="N1140" s="5" t="s">
        <v>1536</v>
      </c>
      <c r="O1140" s="7">
        <v>46083</v>
      </c>
    </row>
    <row r="1141" spans="1:15" x14ac:dyDescent="0.25">
      <c r="A1141" s="5" t="s">
        <v>4</v>
      </c>
      <c r="B1141" s="5" t="s">
        <v>4586</v>
      </c>
      <c r="D1141" s="5" t="s">
        <v>1270</v>
      </c>
      <c r="E1141" s="5" t="s">
        <v>1747</v>
      </c>
      <c r="F1141" s="5" t="s">
        <v>1759</v>
      </c>
      <c r="G1141" s="6">
        <v>46080.520138888889</v>
      </c>
      <c r="H1141" s="7">
        <v>46093</v>
      </c>
      <c r="I1141" s="6">
        <v>46091.50277777778</v>
      </c>
      <c r="J1141" s="7">
        <v>46091</v>
      </c>
      <c r="K1141" s="5" t="s">
        <v>1527</v>
      </c>
      <c r="L1141" s="5" t="s">
        <v>1564</v>
      </c>
      <c r="M1141" s="8">
        <v>185</v>
      </c>
      <c r="N1141" s="5" t="s">
        <v>1536</v>
      </c>
      <c r="O1141" s="7">
        <v>46091</v>
      </c>
    </row>
    <row r="1142" spans="1:15" x14ac:dyDescent="0.25">
      <c r="A1142" s="5" t="s">
        <v>4</v>
      </c>
      <c r="B1142" s="5" t="s">
        <v>4587</v>
      </c>
      <c r="D1142" s="5" t="s">
        <v>170</v>
      </c>
      <c r="E1142" s="5" t="s">
        <v>4588</v>
      </c>
      <c r="F1142" s="5" t="s">
        <v>1759</v>
      </c>
      <c r="G1142" s="6">
        <v>46106.461111111108</v>
      </c>
      <c r="H1142" s="7">
        <v>46120</v>
      </c>
      <c r="I1142" s="5" t="s">
        <v>4589</v>
      </c>
      <c r="J1142" s="7">
        <v>46118</v>
      </c>
      <c r="K1142" s="5" t="s">
        <v>1527</v>
      </c>
      <c r="L1142" s="5" t="s">
        <v>1564</v>
      </c>
      <c r="M1142" s="8">
        <v>185</v>
      </c>
      <c r="N1142" s="5" t="s">
        <v>1536</v>
      </c>
      <c r="O1142" s="7">
        <v>46118</v>
      </c>
    </row>
    <row r="1143" spans="1:15" x14ac:dyDescent="0.25">
      <c r="A1143" s="5" t="s">
        <v>4</v>
      </c>
      <c r="B1143" s="5" t="s">
        <v>4590</v>
      </c>
      <c r="D1143" s="5" t="s">
        <v>39</v>
      </c>
      <c r="E1143" s="5" t="s">
        <v>4591</v>
      </c>
      <c r="F1143" s="5" t="s">
        <v>2306</v>
      </c>
      <c r="G1143" s="6">
        <v>46125.649305555555</v>
      </c>
      <c r="H1143" s="7">
        <v>46139</v>
      </c>
      <c r="I1143" s="6">
        <v>46129.59375</v>
      </c>
      <c r="J1143" s="7">
        <v>46129</v>
      </c>
      <c r="K1143" s="5" t="s">
        <v>1527</v>
      </c>
      <c r="L1143" s="5" t="s">
        <v>1564</v>
      </c>
      <c r="M1143" s="8">
        <v>185</v>
      </c>
      <c r="N1143" s="5" t="s">
        <v>1536</v>
      </c>
      <c r="O1143" s="7">
        <v>46129</v>
      </c>
    </row>
    <row r="1144" spans="1:15" x14ac:dyDescent="0.25">
      <c r="A1144" s="5" t="s">
        <v>4</v>
      </c>
      <c r="B1144" s="5" t="s">
        <v>4592</v>
      </c>
      <c r="D1144" s="5" t="s">
        <v>1197</v>
      </c>
      <c r="E1144" s="5" t="s">
        <v>4593</v>
      </c>
      <c r="F1144" s="5" t="s">
        <v>1770</v>
      </c>
      <c r="G1144" s="6">
        <v>46136.504861111112</v>
      </c>
      <c r="H1144" s="7">
        <v>46150</v>
      </c>
      <c r="I1144" s="6">
        <v>46141.613194444442</v>
      </c>
      <c r="J1144" s="7">
        <v>46141</v>
      </c>
      <c r="K1144" s="5" t="s">
        <v>1527</v>
      </c>
      <c r="L1144" s="5" t="s">
        <v>1564</v>
      </c>
      <c r="M1144" s="8">
        <v>185</v>
      </c>
      <c r="N1144" s="5" t="s">
        <v>1536</v>
      </c>
      <c r="O1144" s="7">
        <v>46141</v>
      </c>
    </row>
    <row r="1145" spans="1:15" x14ac:dyDescent="0.25">
      <c r="A1145" s="5" t="s">
        <v>4</v>
      </c>
      <c r="B1145" s="5" t="s">
        <v>4594</v>
      </c>
      <c r="D1145" s="5" t="s">
        <v>1370</v>
      </c>
      <c r="E1145" s="5" t="s">
        <v>3741</v>
      </c>
      <c r="F1145" s="5" t="s">
        <v>1548</v>
      </c>
      <c r="G1145" s="6">
        <v>46043.65902777778</v>
      </c>
      <c r="H1145" s="7">
        <v>46050</v>
      </c>
      <c r="I1145" s="6">
        <v>46048.672222222223</v>
      </c>
      <c r="J1145" s="7">
        <v>46048</v>
      </c>
      <c r="K1145" s="5" t="s">
        <v>1527</v>
      </c>
      <c r="L1145" s="5" t="s">
        <v>1564</v>
      </c>
      <c r="M1145" s="8">
        <v>184.9</v>
      </c>
      <c r="N1145" s="5" t="s">
        <v>1536</v>
      </c>
      <c r="O1145" s="7">
        <v>46048</v>
      </c>
    </row>
    <row r="1146" spans="1:15" hidden="1" x14ac:dyDescent="0.25">
      <c r="A1146" s="5" t="s">
        <v>1522</v>
      </c>
      <c r="B1146" s="5" t="s">
        <v>4595</v>
      </c>
      <c r="D1146" s="5" t="s">
        <v>595</v>
      </c>
      <c r="E1146" s="5" t="s">
        <v>4596</v>
      </c>
      <c r="F1146" s="5" t="s">
        <v>1548</v>
      </c>
      <c r="G1146" s="6">
        <v>46114.631249999999</v>
      </c>
      <c r="H1146" s="7">
        <v>46126</v>
      </c>
      <c r="I1146" s="5" t="s">
        <v>4597</v>
      </c>
      <c r="J1146" s="7">
        <v>46134</v>
      </c>
      <c r="K1146" s="5" t="s">
        <v>1527</v>
      </c>
      <c r="L1146" s="5" t="s">
        <v>1528</v>
      </c>
      <c r="M1146" s="8">
        <v>184</v>
      </c>
      <c r="N1146" s="5" t="s">
        <v>1536</v>
      </c>
      <c r="O1146" s="7">
        <v>46134</v>
      </c>
    </row>
    <row r="1147" spans="1:15" x14ac:dyDescent="0.25">
      <c r="A1147" s="5" t="s">
        <v>4</v>
      </c>
      <c r="B1147" s="5" t="s">
        <v>4598</v>
      </c>
      <c r="D1147" s="5" t="s">
        <v>120</v>
      </c>
      <c r="E1147" s="5" t="s">
        <v>4599</v>
      </c>
      <c r="F1147" s="5" t="s">
        <v>2637</v>
      </c>
      <c r="G1147" s="6">
        <v>46112.60833333333</v>
      </c>
      <c r="H1147" s="7">
        <v>46126</v>
      </c>
      <c r="I1147" s="5" t="s">
        <v>4600</v>
      </c>
      <c r="J1147" s="7">
        <v>46114</v>
      </c>
      <c r="K1147" s="5" t="s">
        <v>1527</v>
      </c>
      <c r="L1147" s="5" t="s">
        <v>1564</v>
      </c>
      <c r="M1147" s="8">
        <v>183.65</v>
      </c>
      <c r="N1147" s="5" t="s">
        <v>1536</v>
      </c>
      <c r="O1147" s="7">
        <v>46114</v>
      </c>
    </row>
    <row r="1148" spans="1:15" x14ac:dyDescent="0.25">
      <c r="A1148" s="5" t="s">
        <v>4</v>
      </c>
      <c r="B1148" s="5" t="s">
        <v>4601</v>
      </c>
      <c r="D1148" s="5" t="s">
        <v>921</v>
      </c>
      <c r="E1148" s="5" t="s">
        <v>4602</v>
      </c>
      <c r="F1148" s="5" t="s">
        <v>4603</v>
      </c>
      <c r="G1148" s="6">
        <v>46078.708333333336</v>
      </c>
      <c r="H1148" s="7">
        <v>46085</v>
      </c>
      <c r="I1148" s="6">
        <v>46080.67291666667</v>
      </c>
      <c r="J1148" s="7">
        <v>46080</v>
      </c>
      <c r="K1148" s="5" t="s">
        <v>1527</v>
      </c>
      <c r="L1148" s="5" t="s">
        <v>1621</v>
      </c>
      <c r="M1148" s="8">
        <v>183.53</v>
      </c>
      <c r="N1148" s="5" t="s">
        <v>1536</v>
      </c>
      <c r="O1148" s="7">
        <v>46080</v>
      </c>
    </row>
    <row r="1149" spans="1:15" x14ac:dyDescent="0.25">
      <c r="A1149" s="5" t="s">
        <v>4</v>
      </c>
      <c r="B1149" s="5" t="s">
        <v>4604</v>
      </c>
      <c r="D1149" s="5" t="s">
        <v>1220</v>
      </c>
      <c r="E1149" s="5" t="s">
        <v>4605</v>
      </c>
      <c r="F1149" s="5" t="s">
        <v>1770</v>
      </c>
      <c r="G1149" s="6">
        <v>46111.413888888892</v>
      </c>
      <c r="H1149" s="7">
        <v>46125</v>
      </c>
      <c r="I1149" s="6">
        <v>46125.417361111111</v>
      </c>
      <c r="J1149" s="7">
        <v>46120</v>
      </c>
      <c r="K1149" s="5" t="s">
        <v>1527</v>
      </c>
      <c r="L1149" s="5" t="s">
        <v>1564</v>
      </c>
      <c r="M1149" s="8">
        <v>183.2</v>
      </c>
      <c r="N1149" s="5" t="s">
        <v>1536</v>
      </c>
      <c r="O1149" s="7">
        <v>46120</v>
      </c>
    </row>
    <row r="1150" spans="1:15" x14ac:dyDescent="0.25">
      <c r="A1150" s="5" t="s">
        <v>4</v>
      </c>
      <c r="B1150" s="5" t="s">
        <v>4606</v>
      </c>
      <c r="D1150" s="5" t="s">
        <v>570</v>
      </c>
      <c r="E1150" s="5" t="s">
        <v>3534</v>
      </c>
      <c r="F1150" s="5" t="s">
        <v>2875</v>
      </c>
      <c r="G1150" s="6">
        <v>46028.638194444444</v>
      </c>
      <c r="H1150" s="7">
        <v>46037</v>
      </c>
      <c r="I1150" s="5" t="s">
        <v>4607</v>
      </c>
      <c r="J1150" s="7">
        <v>46048</v>
      </c>
      <c r="K1150" s="5" t="s">
        <v>1527</v>
      </c>
      <c r="L1150" s="5" t="s">
        <v>1535</v>
      </c>
      <c r="M1150" s="8">
        <v>182.4</v>
      </c>
      <c r="N1150" s="5" t="s">
        <v>1536</v>
      </c>
      <c r="O1150" s="7">
        <v>46048</v>
      </c>
    </row>
    <row r="1151" spans="1:15" x14ac:dyDescent="0.25">
      <c r="A1151" s="5" t="s">
        <v>4</v>
      </c>
      <c r="B1151" s="5" t="s">
        <v>4608</v>
      </c>
      <c r="D1151" s="5" t="s">
        <v>469</v>
      </c>
      <c r="E1151" s="5" t="s">
        <v>4609</v>
      </c>
      <c r="F1151" s="5" t="s">
        <v>1813</v>
      </c>
      <c r="G1151" s="6">
        <v>46058.554166666669</v>
      </c>
      <c r="H1151" s="7">
        <v>46069</v>
      </c>
      <c r="I1151" s="6">
        <v>46069.477777777778</v>
      </c>
      <c r="J1151" s="7">
        <v>46069</v>
      </c>
      <c r="K1151" s="5" t="s">
        <v>1527</v>
      </c>
      <c r="L1151" s="5" t="s">
        <v>1535</v>
      </c>
      <c r="M1151" s="8">
        <v>182</v>
      </c>
      <c r="N1151" s="5" t="s">
        <v>1536</v>
      </c>
      <c r="O1151" s="7">
        <v>46069</v>
      </c>
    </row>
    <row r="1152" spans="1:15" x14ac:dyDescent="0.25">
      <c r="A1152" s="5" t="s">
        <v>4</v>
      </c>
      <c r="B1152" s="5" t="s">
        <v>4610</v>
      </c>
      <c r="D1152" s="5" t="s">
        <v>1319</v>
      </c>
      <c r="E1152" s="5" t="s">
        <v>4611</v>
      </c>
      <c r="F1152" s="5" t="s">
        <v>1548</v>
      </c>
      <c r="G1152" s="6">
        <v>46078.581250000003</v>
      </c>
      <c r="H1152" s="7">
        <v>46090</v>
      </c>
      <c r="I1152" s="5" t="s">
        <v>4612</v>
      </c>
      <c r="J1152" s="7">
        <v>46093</v>
      </c>
      <c r="K1152" s="5" t="s">
        <v>1527</v>
      </c>
      <c r="L1152" s="5" t="s">
        <v>1535</v>
      </c>
      <c r="M1152" s="8">
        <v>181.6</v>
      </c>
      <c r="N1152" s="5" t="s">
        <v>1536</v>
      </c>
      <c r="O1152" s="7">
        <v>46093</v>
      </c>
    </row>
    <row r="1153" spans="1:15" x14ac:dyDescent="0.25">
      <c r="A1153" s="5" t="s">
        <v>4</v>
      </c>
      <c r="B1153" s="5" t="s">
        <v>4613</v>
      </c>
      <c r="D1153" s="5" t="s">
        <v>1451</v>
      </c>
      <c r="E1153" s="5" t="s">
        <v>2373</v>
      </c>
      <c r="F1153" s="5" t="s">
        <v>2118</v>
      </c>
      <c r="G1153" s="6">
        <v>46139.320138888892</v>
      </c>
      <c r="H1153" s="7">
        <v>46153</v>
      </c>
      <c r="I1153" s="6">
        <v>46142.647222222222</v>
      </c>
      <c r="J1153" s="7">
        <v>46141</v>
      </c>
      <c r="K1153" s="5" t="s">
        <v>1527</v>
      </c>
      <c r="L1153" s="5" t="s">
        <v>1564</v>
      </c>
      <c r="M1153" s="8">
        <v>181.25</v>
      </c>
      <c r="N1153" s="5" t="s">
        <v>1536</v>
      </c>
      <c r="O1153" s="7">
        <v>46141</v>
      </c>
    </row>
    <row r="1154" spans="1:15" x14ac:dyDescent="0.25">
      <c r="A1154" s="5" t="s">
        <v>4</v>
      </c>
      <c r="B1154" s="5" t="s">
        <v>4614</v>
      </c>
      <c r="D1154" s="5" t="s">
        <v>1490</v>
      </c>
      <c r="E1154" s="5" t="s">
        <v>4615</v>
      </c>
      <c r="F1154" s="5" t="s">
        <v>4616</v>
      </c>
      <c r="G1154" s="6">
        <v>46100.681944444441</v>
      </c>
      <c r="H1154" s="7">
        <v>46107</v>
      </c>
      <c r="I1154" s="6">
        <v>46107.699305555558</v>
      </c>
      <c r="J1154" s="7">
        <v>46107</v>
      </c>
      <c r="K1154" s="5" t="s">
        <v>1527</v>
      </c>
      <c r="L1154" s="5" t="s">
        <v>1621</v>
      </c>
      <c r="M1154" s="8">
        <v>181.23</v>
      </c>
      <c r="N1154" s="5" t="s">
        <v>1536</v>
      </c>
      <c r="O1154" s="7">
        <v>46107</v>
      </c>
    </row>
    <row r="1155" spans="1:15" x14ac:dyDescent="0.25">
      <c r="A1155" s="5" t="s">
        <v>4</v>
      </c>
      <c r="B1155" s="5" t="s">
        <v>4617</v>
      </c>
      <c r="D1155" s="5" t="s">
        <v>278</v>
      </c>
      <c r="E1155" s="5" t="s">
        <v>4618</v>
      </c>
      <c r="F1155" s="5" t="s">
        <v>4619</v>
      </c>
      <c r="G1155" s="6">
        <v>46128.67291666667</v>
      </c>
      <c r="H1155" s="7">
        <v>46135</v>
      </c>
      <c r="I1155" s="6">
        <v>46132.618750000001</v>
      </c>
      <c r="J1155" s="7">
        <v>46132</v>
      </c>
      <c r="K1155" s="5" t="s">
        <v>1527</v>
      </c>
      <c r="L1155" s="5" t="s">
        <v>1621</v>
      </c>
      <c r="M1155" s="8">
        <v>180.46</v>
      </c>
      <c r="N1155" s="5" t="s">
        <v>1536</v>
      </c>
      <c r="O1155" s="7">
        <v>46132</v>
      </c>
    </row>
    <row r="1156" spans="1:15" hidden="1" x14ac:dyDescent="0.25">
      <c r="A1156" s="5" t="s">
        <v>1522</v>
      </c>
      <c r="B1156" s="5" t="s">
        <v>4620</v>
      </c>
      <c r="D1156" s="5" t="s">
        <v>1508</v>
      </c>
      <c r="E1156" s="5" t="s">
        <v>2606</v>
      </c>
      <c r="F1156" s="5" t="s">
        <v>4285</v>
      </c>
      <c r="G1156" s="6">
        <v>46083.393055555556</v>
      </c>
      <c r="H1156" s="7">
        <v>46085</v>
      </c>
      <c r="I1156" s="6">
        <v>46085.714583333334</v>
      </c>
      <c r="J1156" s="7">
        <v>46085</v>
      </c>
      <c r="K1156" s="5" t="s">
        <v>1527</v>
      </c>
      <c r="L1156" s="5" t="s">
        <v>1528</v>
      </c>
      <c r="M1156" s="8">
        <v>180</v>
      </c>
      <c r="N1156" s="5" t="s">
        <v>1536</v>
      </c>
      <c r="O1156" s="7">
        <v>46085</v>
      </c>
    </row>
    <row r="1157" spans="1:15" hidden="1" x14ac:dyDescent="0.25">
      <c r="A1157" s="5" t="s">
        <v>1522</v>
      </c>
      <c r="B1157" s="5" t="s">
        <v>4621</v>
      </c>
      <c r="D1157" s="5" t="s">
        <v>1508</v>
      </c>
      <c r="E1157" s="5" t="s">
        <v>2606</v>
      </c>
      <c r="F1157" s="5" t="s">
        <v>4285</v>
      </c>
      <c r="G1157" s="6">
        <v>46108.632638888892</v>
      </c>
      <c r="H1157" s="7">
        <v>46112</v>
      </c>
      <c r="I1157" s="5" t="s">
        <v>4622</v>
      </c>
      <c r="J1157" s="7">
        <v>46114</v>
      </c>
      <c r="K1157" s="5" t="s">
        <v>1527</v>
      </c>
      <c r="L1157" s="5" t="s">
        <v>1528</v>
      </c>
      <c r="M1157" s="8">
        <v>180</v>
      </c>
      <c r="N1157" s="5" t="s">
        <v>1536</v>
      </c>
      <c r="O1157" s="7">
        <v>46114</v>
      </c>
    </row>
    <row r="1158" spans="1:15" hidden="1" x14ac:dyDescent="0.25">
      <c r="A1158" s="5" t="s">
        <v>1522</v>
      </c>
      <c r="B1158" s="5" t="s">
        <v>4623</v>
      </c>
      <c r="D1158" s="5" t="s">
        <v>1508</v>
      </c>
      <c r="E1158" s="5" t="s">
        <v>2606</v>
      </c>
      <c r="F1158" s="5" t="s">
        <v>4285</v>
      </c>
      <c r="G1158" s="6">
        <v>46119.664583333331</v>
      </c>
      <c r="H1158" s="7">
        <v>46122</v>
      </c>
      <c r="I1158" s="5" t="s">
        <v>4624</v>
      </c>
      <c r="J1158" s="7">
        <v>46122</v>
      </c>
      <c r="K1158" s="5" t="s">
        <v>1527</v>
      </c>
      <c r="L1158" s="5" t="s">
        <v>1528</v>
      </c>
      <c r="M1158" s="8">
        <v>180</v>
      </c>
      <c r="N1158" s="5" t="s">
        <v>1536</v>
      </c>
      <c r="O1158" s="7">
        <v>46122</v>
      </c>
    </row>
    <row r="1159" spans="1:15" hidden="1" x14ac:dyDescent="0.25">
      <c r="A1159" s="5" t="s">
        <v>1522</v>
      </c>
      <c r="B1159" s="5" t="s">
        <v>4625</v>
      </c>
      <c r="D1159" s="5" t="s">
        <v>1508</v>
      </c>
      <c r="E1159" s="5" t="s">
        <v>2606</v>
      </c>
      <c r="F1159" s="5" t="s">
        <v>4285</v>
      </c>
      <c r="G1159" s="6">
        <v>46125.597916666666</v>
      </c>
      <c r="H1159" s="7">
        <v>46127</v>
      </c>
      <c r="I1159" s="5" t="s">
        <v>4626</v>
      </c>
      <c r="J1159" s="7">
        <v>46129</v>
      </c>
      <c r="K1159" s="5" t="s">
        <v>1527</v>
      </c>
      <c r="L1159" s="5" t="s">
        <v>1528</v>
      </c>
      <c r="M1159" s="8">
        <v>180</v>
      </c>
      <c r="N1159" s="5" t="s">
        <v>1536</v>
      </c>
      <c r="O1159" s="7">
        <v>46129</v>
      </c>
    </row>
    <row r="1160" spans="1:15" x14ac:dyDescent="0.25">
      <c r="A1160" s="5" t="s">
        <v>4</v>
      </c>
      <c r="B1160" s="5" t="s">
        <v>4627</v>
      </c>
      <c r="D1160" s="5" t="s">
        <v>1314</v>
      </c>
      <c r="E1160" s="5" t="s">
        <v>4302</v>
      </c>
      <c r="F1160" s="5" t="s">
        <v>2118</v>
      </c>
      <c r="G1160" s="6">
        <v>46077.497916666667</v>
      </c>
      <c r="H1160" s="7">
        <v>46090</v>
      </c>
      <c r="I1160" s="6">
        <v>46084.615972222222</v>
      </c>
      <c r="J1160" s="7">
        <v>46083</v>
      </c>
      <c r="K1160" s="5" t="s">
        <v>1527</v>
      </c>
      <c r="L1160" s="5" t="s">
        <v>1564</v>
      </c>
      <c r="M1160" s="8">
        <v>180</v>
      </c>
      <c r="N1160" s="5" t="s">
        <v>1536</v>
      </c>
      <c r="O1160" s="7">
        <v>46083</v>
      </c>
    </row>
    <row r="1161" spans="1:15" x14ac:dyDescent="0.25">
      <c r="A1161" s="5" t="s">
        <v>4</v>
      </c>
      <c r="B1161" s="5" t="s">
        <v>4628</v>
      </c>
      <c r="D1161" s="5" t="s">
        <v>1279</v>
      </c>
      <c r="E1161" s="5" t="s">
        <v>3832</v>
      </c>
      <c r="F1161" s="5" t="s">
        <v>1738</v>
      </c>
      <c r="G1161" s="6">
        <v>46083.438888888886</v>
      </c>
      <c r="H1161" s="7">
        <v>46094</v>
      </c>
      <c r="I1161" s="6">
        <v>46090.738194444442</v>
      </c>
      <c r="J1161" s="7">
        <v>46087</v>
      </c>
      <c r="K1161" s="5" t="s">
        <v>1527</v>
      </c>
      <c r="L1161" s="5" t="s">
        <v>1564</v>
      </c>
      <c r="M1161" s="8">
        <v>180</v>
      </c>
      <c r="N1161" s="5" t="s">
        <v>1536</v>
      </c>
      <c r="O1161" s="7">
        <v>46087</v>
      </c>
    </row>
    <row r="1162" spans="1:15" x14ac:dyDescent="0.25">
      <c r="A1162" s="5" t="s">
        <v>4</v>
      </c>
      <c r="B1162" s="5" t="s">
        <v>4629</v>
      </c>
      <c r="D1162" s="5" t="s">
        <v>811</v>
      </c>
      <c r="E1162" s="5" t="s">
        <v>4630</v>
      </c>
      <c r="F1162" s="5" t="s">
        <v>2118</v>
      </c>
      <c r="G1162" s="6">
        <v>46084.71875</v>
      </c>
      <c r="H1162" s="7">
        <v>46097</v>
      </c>
      <c r="I1162" s="5" t="s">
        <v>4631</v>
      </c>
      <c r="J1162" s="7">
        <v>46100</v>
      </c>
      <c r="K1162" s="5" t="s">
        <v>1527</v>
      </c>
      <c r="L1162" s="5" t="s">
        <v>1564</v>
      </c>
      <c r="M1162" s="8">
        <v>180</v>
      </c>
      <c r="N1162" s="5" t="s">
        <v>1536</v>
      </c>
      <c r="O1162" s="7">
        <v>46100</v>
      </c>
    </row>
    <row r="1163" spans="1:15" x14ac:dyDescent="0.25">
      <c r="A1163" s="5" t="s">
        <v>4</v>
      </c>
      <c r="B1163" s="5" t="s">
        <v>4632</v>
      </c>
      <c r="D1163" s="5" t="s">
        <v>34</v>
      </c>
      <c r="E1163" s="5" t="s">
        <v>4633</v>
      </c>
      <c r="F1163" s="5" t="s">
        <v>2074</v>
      </c>
      <c r="G1163" s="6">
        <v>46113.703472222223</v>
      </c>
      <c r="H1163" s="7">
        <v>46114</v>
      </c>
      <c r="I1163" s="6">
        <v>46114.711805555555</v>
      </c>
      <c r="J1163" s="7">
        <v>46114</v>
      </c>
      <c r="K1163" s="5" t="s">
        <v>1527</v>
      </c>
      <c r="L1163" s="5" t="s">
        <v>1564</v>
      </c>
      <c r="M1163" s="8">
        <v>180</v>
      </c>
      <c r="N1163" s="5" t="s">
        <v>1536</v>
      </c>
      <c r="O1163" s="7">
        <v>46114</v>
      </c>
    </row>
    <row r="1164" spans="1:15" x14ac:dyDescent="0.25">
      <c r="A1164" s="5" t="s">
        <v>4</v>
      </c>
      <c r="B1164" s="5" t="s">
        <v>4634</v>
      </c>
      <c r="D1164" s="5" t="s">
        <v>321</v>
      </c>
      <c r="E1164" s="5" t="s">
        <v>4635</v>
      </c>
      <c r="F1164" s="5" t="s">
        <v>1770</v>
      </c>
      <c r="G1164" s="6">
        <v>46126.631249999999</v>
      </c>
      <c r="H1164" s="7">
        <v>46140</v>
      </c>
      <c r="I1164" s="6">
        <v>46129.59375</v>
      </c>
      <c r="J1164" s="7">
        <v>46129</v>
      </c>
      <c r="K1164" s="5" t="s">
        <v>1527</v>
      </c>
      <c r="L1164" s="5" t="s">
        <v>1564</v>
      </c>
      <c r="M1164" s="8">
        <v>180</v>
      </c>
      <c r="N1164" s="5" t="s">
        <v>1536</v>
      </c>
      <c r="O1164" s="7">
        <v>46129</v>
      </c>
    </row>
    <row r="1165" spans="1:15" x14ac:dyDescent="0.25">
      <c r="A1165" s="5" t="s">
        <v>4</v>
      </c>
      <c r="B1165" s="5" t="s">
        <v>4636</v>
      </c>
      <c r="D1165" s="5" t="s">
        <v>947</v>
      </c>
      <c r="E1165" s="5" t="s">
        <v>4637</v>
      </c>
      <c r="F1165" s="5" t="s">
        <v>1548</v>
      </c>
      <c r="G1165" s="6">
        <v>46149.423611111109</v>
      </c>
      <c r="H1165" s="7">
        <v>46157</v>
      </c>
      <c r="I1165" s="6">
        <v>46155.447222222225</v>
      </c>
      <c r="J1165" s="7">
        <v>46161</v>
      </c>
      <c r="K1165" s="5" t="s">
        <v>1527</v>
      </c>
      <c r="L1165" s="5" t="s">
        <v>1564</v>
      </c>
      <c r="M1165" s="8">
        <v>180</v>
      </c>
      <c r="N1165" s="5" t="s">
        <v>1529</v>
      </c>
      <c r="O1165" s="7">
        <v>46161</v>
      </c>
    </row>
    <row r="1166" spans="1:15" x14ac:dyDescent="0.25">
      <c r="A1166" s="5" t="s">
        <v>4</v>
      </c>
      <c r="B1166" s="5" t="s">
        <v>4638</v>
      </c>
      <c r="D1166" s="5" t="s">
        <v>994</v>
      </c>
      <c r="E1166" s="5" t="s">
        <v>4639</v>
      </c>
      <c r="F1166" s="5" t="s">
        <v>4640</v>
      </c>
      <c r="G1166" s="6">
        <v>46161.668749999997</v>
      </c>
      <c r="H1166" s="7">
        <v>46168</v>
      </c>
      <c r="I1166" s="5" t="s">
        <v>4641</v>
      </c>
      <c r="J1166" s="7">
        <v>46170</v>
      </c>
      <c r="K1166" s="5" t="s">
        <v>1527</v>
      </c>
      <c r="L1166" s="5" t="s">
        <v>1621</v>
      </c>
      <c r="M1166" s="9">
        <v>180</v>
      </c>
      <c r="N1166" s="5" t="s">
        <v>1536</v>
      </c>
      <c r="O1166" s="7">
        <v>46170</v>
      </c>
    </row>
    <row r="1167" spans="1:15" x14ac:dyDescent="0.25">
      <c r="A1167" s="5" t="s">
        <v>4</v>
      </c>
      <c r="B1167" s="5" t="s">
        <v>4642</v>
      </c>
      <c r="D1167" s="5" t="s">
        <v>607</v>
      </c>
      <c r="E1167" s="5" t="s">
        <v>4643</v>
      </c>
      <c r="F1167" s="5" t="s">
        <v>3035</v>
      </c>
      <c r="G1167" s="6">
        <v>46141.703472222223</v>
      </c>
      <c r="H1167" s="7">
        <v>46155</v>
      </c>
      <c r="I1167" s="6">
        <v>46148.599305555559</v>
      </c>
      <c r="J1167" s="7">
        <v>46148</v>
      </c>
      <c r="K1167" s="5" t="s">
        <v>1527</v>
      </c>
      <c r="L1167" s="5" t="s">
        <v>1564</v>
      </c>
      <c r="M1167" s="8">
        <v>179.7</v>
      </c>
      <c r="N1167" s="5" t="s">
        <v>1536</v>
      </c>
      <c r="O1167" s="7">
        <v>46148</v>
      </c>
    </row>
    <row r="1168" spans="1:15" x14ac:dyDescent="0.25">
      <c r="A1168" s="5" t="s">
        <v>4</v>
      </c>
      <c r="B1168" s="5" t="s">
        <v>4644</v>
      </c>
      <c r="D1168" s="5" t="s">
        <v>95</v>
      </c>
      <c r="E1168" s="5" t="s">
        <v>4645</v>
      </c>
      <c r="F1168" s="5" t="s">
        <v>1548</v>
      </c>
      <c r="G1168" s="6">
        <v>46118.709027777775</v>
      </c>
      <c r="H1168" s="7">
        <v>46118</v>
      </c>
      <c r="I1168" s="5" t="s">
        <v>4646</v>
      </c>
      <c r="J1168" s="7">
        <v>46121</v>
      </c>
      <c r="K1168" s="5" t="s">
        <v>1527</v>
      </c>
      <c r="L1168" s="5" t="s">
        <v>1535</v>
      </c>
      <c r="M1168" s="8">
        <v>179.45</v>
      </c>
      <c r="N1168" s="5" t="s">
        <v>1536</v>
      </c>
      <c r="O1168" s="7">
        <v>46121</v>
      </c>
    </row>
    <row r="1169" spans="1:15" x14ac:dyDescent="0.25">
      <c r="A1169" s="5" t="s">
        <v>4</v>
      </c>
      <c r="B1169" s="5" t="s">
        <v>4647</v>
      </c>
      <c r="D1169" s="5" t="s">
        <v>1416</v>
      </c>
      <c r="E1169" s="5" t="s">
        <v>4648</v>
      </c>
      <c r="F1169" s="5" t="s">
        <v>4649</v>
      </c>
      <c r="G1169" s="6">
        <v>46125.678472222222</v>
      </c>
      <c r="H1169" s="7">
        <v>46139</v>
      </c>
      <c r="I1169" s="6">
        <v>46135.62777777778</v>
      </c>
      <c r="J1169" s="7">
        <v>46135</v>
      </c>
      <c r="K1169" s="5" t="s">
        <v>1527</v>
      </c>
      <c r="L1169" s="5" t="s">
        <v>1564</v>
      </c>
      <c r="M1169" s="8">
        <v>179.25</v>
      </c>
      <c r="N1169" s="5" t="s">
        <v>1536</v>
      </c>
      <c r="O1169" s="7">
        <v>46135</v>
      </c>
    </row>
    <row r="1170" spans="1:15" x14ac:dyDescent="0.25">
      <c r="A1170" s="5" t="s">
        <v>4</v>
      </c>
      <c r="B1170" s="5" t="s">
        <v>4650</v>
      </c>
      <c r="D1170" s="5" t="s">
        <v>1355</v>
      </c>
      <c r="E1170" s="5" t="s">
        <v>4651</v>
      </c>
      <c r="F1170" s="5" t="s">
        <v>1759</v>
      </c>
      <c r="G1170" s="6">
        <v>46128.671527777777</v>
      </c>
      <c r="H1170" s="7">
        <v>46142</v>
      </c>
      <c r="I1170" s="6">
        <v>46141.345833333333</v>
      </c>
      <c r="J1170" s="7">
        <v>46140</v>
      </c>
      <c r="K1170" s="5" t="s">
        <v>1527</v>
      </c>
      <c r="L1170" s="5" t="s">
        <v>1564</v>
      </c>
      <c r="M1170" s="8">
        <v>179.05</v>
      </c>
      <c r="N1170" s="5" t="s">
        <v>1536</v>
      </c>
      <c r="O1170" s="7">
        <v>46140</v>
      </c>
    </row>
    <row r="1171" spans="1:15" x14ac:dyDescent="0.25">
      <c r="A1171" s="5" t="s">
        <v>4</v>
      </c>
      <c r="B1171" s="5" t="s">
        <v>4652</v>
      </c>
      <c r="D1171" s="5" t="s">
        <v>1429</v>
      </c>
      <c r="E1171" s="5" t="s">
        <v>4653</v>
      </c>
      <c r="F1171" s="5" t="s">
        <v>1548</v>
      </c>
      <c r="G1171" s="6">
        <v>46052.620138888888</v>
      </c>
      <c r="H1171" s="7">
        <v>46065</v>
      </c>
      <c r="I1171" s="5" t="s">
        <v>4467</v>
      </c>
      <c r="J1171" s="7">
        <v>46066</v>
      </c>
      <c r="K1171" s="5" t="s">
        <v>1527</v>
      </c>
      <c r="L1171" s="5" t="s">
        <v>1564</v>
      </c>
      <c r="M1171" s="8">
        <v>179</v>
      </c>
      <c r="N1171" s="5" t="s">
        <v>1536</v>
      </c>
      <c r="O1171" s="7">
        <v>46066</v>
      </c>
    </row>
    <row r="1172" spans="1:15" x14ac:dyDescent="0.25">
      <c r="A1172" s="5" t="s">
        <v>4</v>
      </c>
      <c r="B1172" s="5" t="s">
        <v>4654</v>
      </c>
      <c r="D1172" s="5" t="s">
        <v>970</v>
      </c>
      <c r="E1172" s="5" t="s">
        <v>4655</v>
      </c>
      <c r="F1172" s="5" t="s">
        <v>1673</v>
      </c>
      <c r="G1172" s="6">
        <v>46156.686111111114</v>
      </c>
      <c r="H1172" s="7">
        <v>46167</v>
      </c>
      <c r="I1172" s="5" t="s">
        <v>4656</v>
      </c>
      <c r="J1172" s="7">
        <v>46164</v>
      </c>
      <c r="K1172" s="5" t="s">
        <v>1527</v>
      </c>
      <c r="L1172" s="5" t="s">
        <v>1564</v>
      </c>
      <c r="M1172" s="8">
        <v>179</v>
      </c>
      <c r="N1172" s="5" t="s">
        <v>1536</v>
      </c>
      <c r="O1172" s="7">
        <v>46164</v>
      </c>
    </row>
    <row r="1173" spans="1:15" x14ac:dyDescent="0.25">
      <c r="A1173" s="5" t="s">
        <v>4</v>
      </c>
      <c r="B1173" s="5" t="s">
        <v>4657</v>
      </c>
      <c r="D1173" s="5" t="s">
        <v>47</v>
      </c>
      <c r="E1173" s="5" t="s">
        <v>4658</v>
      </c>
      <c r="F1173" s="5" t="s">
        <v>4659</v>
      </c>
      <c r="G1173" s="6">
        <v>46154.65625</v>
      </c>
      <c r="H1173" s="7">
        <v>46163</v>
      </c>
      <c r="I1173" s="6">
        <v>46161.415972222225</v>
      </c>
      <c r="J1173" s="7">
        <v>46160</v>
      </c>
      <c r="K1173" s="5" t="s">
        <v>1527</v>
      </c>
      <c r="L1173" s="5" t="s">
        <v>1564</v>
      </c>
      <c r="M1173" s="8">
        <v>178.2</v>
      </c>
      <c r="N1173" s="5" t="s">
        <v>1536</v>
      </c>
      <c r="O1173" s="7">
        <v>46160</v>
      </c>
    </row>
    <row r="1174" spans="1:15" x14ac:dyDescent="0.25">
      <c r="A1174" s="5" t="s">
        <v>4</v>
      </c>
      <c r="B1174" s="5" t="s">
        <v>4660</v>
      </c>
      <c r="D1174" s="5" t="s">
        <v>596</v>
      </c>
      <c r="E1174" s="5" t="s">
        <v>4661</v>
      </c>
      <c r="F1174" s="5" t="s">
        <v>4662</v>
      </c>
      <c r="G1174" s="6">
        <v>46027.573611111111</v>
      </c>
      <c r="H1174" s="7">
        <v>46036</v>
      </c>
      <c r="I1174" s="6">
        <v>46030.709027777775</v>
      </c>
      <c r="J1174" s="7">
        <v>46030</v>
      </c>
      <c r="K1174" s="5" t="s">
        <v>1527</v>
      </c>
      <c r="L1174" s="5" t="s">
        <v>1535</v>
      </c>
      <c r="M1174" s="8">
        <v>177.9</v>
      </c>
      <c r="N1174" s="5" t="s">
        <v>1536</v>
      </c>
      <c r="O1174" s="7">
        <v>46030</v>
      </c>
    </row>
    <row r="1175" spans="1:15" x14ac:dyDescent="0.25">
      <c r="A1175" s="5" t="s">
        <v>4</v>
      </c>
      <c r="B1175" s="5" t="s">
        <v>4663</v>
      </c>
      <c r="D1175" s="5" t="s">
        <v>1267</v>
      </c>
      <c r="E1175" s="5" t="s">
        <v>2747</v>
      </c>
      <c r="F1175" s="5" t="s">
        <v>4540</v>
      </c>
      <c r="G1175" s="6">
        <v>46134.6875</v>
      </c>
      <c r="H1175" s="7">
        <v>46148</v>
      </c>
      <c r="I1175" s="6">
        <v>46141.345138888886</v>
      </c>
      <c r="J1175" s="7">
        <v>46140</v>
      </c>
      <c r="K1175" s="5" t="s">
        <v>1527</v>
      </c>
      <c r="L1175" s="5" t="s">
        <v>1564</v>
      </c>
      <c r="M1175" s="8">
        <v>177</v>
      </c>
      <c r="N1175" s="5" t="s">
        <v>1536</v>
      </c>
      <c r="O1175" s="7">
        <v>46140</v>
      </c>
    </row>
    <row r="1176" spans="1:15" hidden="1" x14ac:dyDescent="0.25">
      <c r="A1176" s="5" t="s">
        <v>1522</v>
      </c>
      <c r="B1176" s="5" t="s">
        <v>4664</v>
      </c>
      <c r="D1176" s="5" t="s">
        <v>171</v>
      </c>
      <c r="E1176" s="5" t="s">
        <v>4665</v>
      </c>
      <c r="F1176" s="5" t="s">
        <v>4666</v>
      </c>
      <c r="G1176" s="6">
        <v>46120.487500000003</v>
      </c>
      <c r="H1176" s="7">
        <v>46122</v>
      </c>
      <c r="I1176" s="5" t="s">
        <v>4667</v>
      </c>
      <c r="J1176" s="7">
        <v>46127</v>
      </c>
      <c r="K1176" s="5" t="s">
        <v>1527</v>
      </c>
      <c r="L1176" s="5" t="s">
        <v>1528</v>
      </c>
      <c r="M1176" s="8">
        <v>176.8</v>
      </c>
      <c r="N1176" s="5" t="s">
        <v>1536</v>
      </c>
      <c r="O1176" s="7">
        <v>46127</v>
      </c>
    </row>
    <row r="1177" spans="1:15" x14ac:dyDescent="0.25">
      <c r="A1177" s="5" t="s">
        <v>4</v>
      </c>
      <c r="B1177" s="5" t="s">
        <v>4668</v>
      </c>
      <c r="D1177" s="5" t="s">
        <v>428</v>
      </c>
      <c r="E1177" s="5" t="s">
        <v>4669</v>
      </c>
      <c r="F1177" s="5" t="s">
        <v>4670</v>
      </c>
      <c r="G1177" s="6">
        <v>46055.672222222223</v>
      </c>
      <c r="H1177" s="7">
        <v>46062</v>
      </c>
      <c r="I1177" s="6">
        <v>46058.76666666667</v>
      </c>
      <c r="J1177" s="7">
        <v>46058</v>
      </c>
      <c r="K1177" s="5" t="s">
        <v>1527</v>
      </c>
      <c r="L1177" s="5" t="s">
        <v>1621</v>
      </c>
      <c r="M1177" s="8">
        <v>176.73</v>
      </c>
      <c r="N1177" s="5" t="s">
        <v>1536</v>
      </c>
      <c r="O1177" s="7">
        <v>46058</v>
      </c>
    </row>
    <row r="1178" spans="1:15" hidden="1" x14ac:dyDescent="0.25">
      <c r="A1178" s="5" t="s">
        <v>1522</v>
      </c>
      <c r="B1178" s="5">
        <v>39909</v>
      </c>
      <c r="D1178" s="5" t="s">
        <v>1507</v>
      </c>
      <c r="E1178" s="5" t="s">
        <v>2247</v>
      </c>
      <c r="F1178" s="5" t="s">
        <v>4671</v>
      </c>
      <c r="G1178" s="6">
        <v>46160.418055555558</v>
      </c>
      <c r="H1178" s="7">
        <v>46167</v>
      </c>
      <c r="I1178" s="5" t="s">
        <v>4672</v>
      </c>
      <c r="J1178" s="7">
        <v>46170</v>
      </c>
      <c r="K1178" s="5" t="s">
        <v>1527</v>
      </c>
      <c r="L1178" s="5" t="s">
        <v>1528</v>
      </c>
      <c r="M1178" s="8">
        <v>176.4</v>
      </c>
      <c r="N1178" s="5" t="s">
        <v>1536</v>
      </c>
      <c r="O1178" s="7">
        <v>46170</v>
      </c>
    </row>
    <row r="1179" spans="1:15" hidden="1" x14ac:dyDescent="0.25">
      <c r="A1179" s="5" t="s">
        <v>1522</v>
      </c>
      <c r="B1179" s="5" t="s">
        <v>4673</v>
      </c>
      <c r="D1179" s="5" t="s">
        <v>1485</v>
      </c>
      <c r="E1179" s="5" t="s">
        <v>2214</v>
      </c>
      <c r="F1179" s="5" t="s">
        <v>1548</v>
      </c>
      <c r="G1179" s="6">
        <v>46141.370138888888</v>
      </c>
      <c r="H1179" s="7">
        <v>46146</v>
      </c>
      <c r="I1179" s="5" t="s">
        <v>4674</v>
      </c>
      <c r="J1179" s="7">
        <v>46150</v>
      </c>
      <c r="K1179" s="5" t="s">
        <v>1527</v>
      </c>
      <c r="L1179" s="5" t="s">
        <v>1528</v>
      </c>
      <c r="M1179" s="8">
        <v>175.3</v>
      </c>
      <c r="N1179" s="5" t="s">
        <v>1529</v>
      </c>
      <c r="O1179" s="7">
        <v>46150</v>
      </c>
    </row>
    <row r="1180" spans="1:15" hidden="1" x14ac:dyDescent="0.25">
      <c r="A1180" s="5" t="s">
        <v>1522</v>
      </c>
      <c r="B1180" s="5" t="s">
        <v>4675</v>
      </c>
      <c r="D1180" s="5" t="s">
        <v>1508</v>
      </c>
      <c r="E1180" s="5" t="s">
        <v>2606</v>
      </c>
      <c r="F1180" s="5" t="s">
        <v>4676</v>
      </c>
      <c r="G1180" s="6">
        <v>46163.706944444442</v>
      </c>
      <c r="H1180" s="7">
        <v>46168</v>
      </c>
      <c r="I1180" s="5" t="s">
        <v>1533</v>
      </c>
      <c r="J1180" s="7">
        <v>46170</v>
      </c>
      <c r="K1180" s="5" t="s">
        <v>1534</v>
      </c>
      <c r="L1180" s="5" t="s">
        <v>1528</v>
      </c>
      <c r="M1180" s="8">
        <v>175.05</v>
      </c>
      <c r="N1180" s="5" t="s">
        <v>1536</v>
      </c>
      <c r="O1180" s="7">
        <v>46170</v>
      </c>
    </row>
    <row r="1181" spans="1:15" x14ac:dyDescent="0.25">
      <c r="A1181" s="5" t="s">
        <v>4</v>
      </c>
      <c r="B1181" s="5" t="s">
        <v>4677</v>
      </c>
      <c r="D1181" s="5" t="s">
        <v>1309</v>
      </c>
      <c r="E1181" s="5" t="s">
        <v>4678</v>
      </c>
      <c r="F1181" s="5" t="s">
        <v>1548</v>
      </c>
      <c r="G1181" s="6">
        <v>46030.458333333336</v>
      </c>
      <c r="H1181" s="7">
        <v>46038</v>
      </c>
      <c r="I1181" s="6">
        <v>46038.698611111111</v>
      </c>
      <c r="J1181" s="7">
        <v>46038</v>
      </c>
      <c r="K1181" s="5" t="s">
        <v>1527</v>
      </c>
      <c r="L1181" s="5" t="s">
        <v>1564</v>
      </c>
      <c r="M1181" s="8">
        <v>175</v>
      </c>
      <c r="N1181" s="5" t="s">
        <v>1536</v>
      </c>
      <c r="O1181" s="7">
        <v>46038</v>
      </c>
    </row>
    <row r="1182" spans="1:15" x14ac:dyDescent="0.25">
      <c r="A1182" s="5" t="s">
        <v>4</v>
      </c>
      <c r="B1182" s="5" t="s">
        <v>4679</v>
      </c>
      <c r="D1182" s="5" t="s">
        <v>1209</v>
      </c>
      <c r="E1182" s="5" t="s">
        <v>4680</v>
      </c>
      <c r="F1182" s="5" t="s">
        <v>1548</v>
      </c>
      <c r="G1182" s="6">
        <v>46035.445833333331</v>
      </c>
      <c r="H1182" s="7">
        <v>46048</v>
      </c>
      <c r="I1182" s="5" t="s">
        <v>4681</v>
      </c>
      <c r="J1182" s="7">
        <v>46051</v>
      </c>
      <c r="K1182" s="5" t="s">
        <v>1527</v>
      </c>
      <c r="L1182" s="5" t="s">
        <v>1564</v>
      </c>
      <c r="M1182" s="8">
        <v>175</v>
      </c>
      <c r="N1182" s="5" t="s">
        <v>1536</v>
      </c>
      <c r="O1182" s="7">
        <v>46051</v>
      </c>
    </row>
    <row r="1183" spans="1:15" x14ac:dyDescent="0.25">
      <c r="A1183" s="5" t="s">
        <v>4</v>
      </c>
      <c r="B1183" s="5" t="s">
        <v>4682</v>
      </c>
      <c r="D1183" s="5" t="s">
        <v>1394</v>
      </c>
      <c r="E1183" s="5" t="s">
        <v>4683</v>
      </c>
      <c r="F1183" s="5" t="s">
        <v>1548</v>
      </c>
      <c r="G1183" s="6">
        <v>46038.706250000003</v>
      </c>
      <c r="H1183" s="7">
        <v>46051</v>
      </c>
      <c r="I1183" s="5" t="s">
        <v>4684</v>
      </c>
      <c r="J1183" s="7">
        <v>46073</v>
      </c>
      <c r="K1183" s="5" t="s">
        <v>1527</v>
      </c>
      <c r="L1183" s="5" t="s">
        <v>1564</v>
      </c>
      <c r="M1183" s="8">
        <v>175</v>
      </c>
      <c r="N1183" s="5" t="s">
        <v>1536</v>
      </c>
      <c r="O1183" s="7">
        <v>46073</v>
      </c>
    </row>
    <row r="1184" spans="1:15" x14ac:dyDescent="0.25">
      <c r="A1184" s="5" t="s">
        <v>4</v>
      </c>
      <c r="B1184" s="5" t="s">
        <v>4685</v>
      </c>
      <c r="D1184" s="5" t="s">
        <v>1222</v>
      </c>
      <c r="E1184" s="5" t="s">
        <v>4686</v>
      </c>
      <c r="F1184" s="5" t="s">
        <v>1548</v>
      </c>
      <c r="G1184" s="6">
        <v>46055.451388888891</v>
      </c>
      <c r="H1184" s="7">
        <v>46066</v>
      </c>
      <c r="I1184" s="6">
        <v>46066.657638888886</v>
      </c>
      <c r="J1184" s="7">
        <v>46066</v>
      </c>
      <c r="K1184" s="5" t="s">
        <v>1527</v>
      </c>
      <c r="L1184" s="5" t="s">
        <v>1564</v>
      </c>
      <c r="M1184" s="8">
        <v>175</v>
      </c>
      <c r="N1184" s="5" t="s">
        <v>1536</v>
      </c>
      <c r="O1184" s="7">
        <v>46066</v>
      </c>
    </row>
    <row r="1185" spans="1:15" x14ac:dyDescent="0.25">
      <c r="A1185" s="5" t="s">
        <v>4</v>
      </c>
      <c r="B1185" s="5" t="s">
        <v>4687</v>
      </c>
      <c r="D1185" s="5" t="s">
        <v>414</v>
      </c>
      <c r="E1185" s="5" t="s">
        <v>4688</v>
      </c>
      <c r="F1185" s="5" t="s">
        <v>2740</v>
      </c>
      <c r="G1185" s="6">
        <v>46079.488888888889</v>
      </c>
      <c r="H1185" s="7">
        <v>46092</v>
      </c>
      <c r="I1185" s="6">
        <v>46087.701388888891</v>
      </c>
      <c r="J1185" s="7">
        <v>46087</v>
      </c>
      <c r="K1185" s="5" t="s">
        <v>1527</v>
      </c>
      <c r="L1185" s="5" t="s">
        <v>1564</v>
      </c>
      <c r="M1185" s="8">
        <v>175</v>
      </c>
      <c r="N1185" s="5" t="s">
        <v>1536</v>
      </c>
      <c r="O1185" s="7">
        <v>46087</v>
      </c>
    </row>
    <row r="1186" spans="1:15" x14ac:dyDescent="0.25">
      <c r="A1186" s="5" t="s">
        <v>4</v>
      </c>
      <c r="B1186" s="5" t="s">
        <v>4689</v>
      </c>
      <c r="D1186" s="5" t="s">
        <v>83</v>
      </c>
      <c r="E1186" s="5" t="s">
        <v>4690</v>
      </c>
      <c r="F1186" s="5" t="s">
        <v>1738</v>
      </c>
      <c r="G1186" s="6">
        <v>46127.486111111109</v>
      </c>
      <c r="H1186" s="7">
        <v>46141</v>
      </c>
      <c r="I1186" s="6">
        <v>46139.611805555556</v>
      </c>
      <c r="J1186" s="7">
        <v>46139</v>
      </c>
      <c r="K1186" s="5" t="s">
        <v>1527</v>
      </c>
      <c r="L1186" s="5" t="s">
        <v>1564</v>
      </c>
      <c r="M1186" s="8">
        <v>175</v>
      </c>
      <c r="N1186" s="5" t="s">
        <v>1536</v>
      </c>
      <c r="O1186" s="7">
        <v>46139</v>
      </c>
    </row>
    <row r="1187" spans="1:15" x14ac:dyDescent="0.25">
      <c r="A1187" s="5" t="s">
        <v>4</v>
      </c>
      <c r="B1187" s="5" t="s">
        <v>4691</v>
      </c>
      <c r="D1187" s="5" t="s">
        <v>1210</v>
      </c>
      <c r="E1187" s="5" t="s">
        <v>4692</v>
      </c>
      <c r="F1187" s="5" t="s">
        <v>1548</v>
      </c>
      <c r="G1187" s="6">
        <v>46051.379861111112</v>
      </c>
      <c r="H1187" s="7">
        <v>46064</v>
      </c>
      <c r="I1187" s="6">
        <v>46052.605555555558</v>
      </c>
      <c r="J1187" s="7">
        <v>46052</v>
      </c>
      <c r="K1187" s="5" t="s">
        <v>1527</v>
      </c>
      <c r="L1187" s="5" t="s">
        <v>1564</v>
      </c>
      <c r="M1187" s="8">
        <v>174.9</v>
      </c>
      <c r="N1187" s="5" t="s">
        <v>1536</v>
      </c>
      <c r="O1187" s="7">
        <v>46052</v>
      </c>
    </row>
    <row r="1188" spans="1:15" x14ac:dyDescent="0.25">
      <c r="A1188" s="5" t="s">
        <v>4</v>
      </c>
      <c r="B1188" s="5">
        <v>38343</v>
      </c>
      <c r="D1188" s="5" t="s">
        <v>1296</v>
      </c>
      <c r="E1188" s="5" t="s">
        <v>4693</v>
      </c>
      <c r="F1188" s="5" t="s">
        <v>4694</v>
      </c>
      <c r="G1188" s="6">
        <v>46059.765972222223</v>
      </c>
      <c r="H1188" s="7">
        <v>46066</v>
      </c>
      <c r="I1188" s="5" t="s">
        <v>4695</v>
      </c>
      <c r="J1188" s="7">
        <v>46077</v>
      </c>
      <c r="K1188" s="5" t="s">
        <v>1527</v>
      </c>
      <c r="L1188" s="5" t="s">
        <v>1564</v>
      </c>
      <c r="M1188" s="8">
        <v>174.89</v>
      </c>
      <c r="N1188" s="5" t="s">
        <v>1536</v>
      </c>
      <c r="O1188" s="7">
        <v>46077</v>
      </c>
    </row>
    <row r="1189" spans="1:15" hidden="1" x14ac:dyDescent="0.25">
      <c r="A1189" s="5" t="s">
        <v>1522</v>
      </c>
      <c r="B1189" s="5" t="s">
        <v>4696</v>
      </c>
      <c r="D1189" s="5" t="s">
        <v>1510</v>
      </c>
      <c r="E1189" s="5" t="s">
        <v>2466</v>
      </c>
      <c r="F1189" s="5" t="s">
        <v>2467</v>
      </c>
      <c r="G1189" s="6">
        <v>46027.736111111109</v>
      </c>
      <c r="H1189" s="7">
        <v>46030</v>
      </c>
      <c r="I1189" s="6">
        <v>46030.704861111109</v>
      </c>
      <c r="J1189" s="7">
        <v>46030</v>
      </c>
      <c r="K1189" s="5" t="s">
        <v>1527</v>
      </c>
      <c r="L1189" s="5" t="s">
        <v>1621</v>
      </c>
      <c r="M1189" s="8">
        <v>174.8</v>
      </c>
      <c r="N1189" s="5" t="s">
        <v>1536</v>
      </c>
      <c r="O1189" s="7">
        <v>46030</v>
      </c>
    </row>
    <row r="1190" spans="1:15" hidden="1" x14ac:dyDescent="0.25">
      <c r="A1190" s="5" t="s">
        <v>1522</v>
      </c>
      <c r="B1190" s="5" t="s">
        <v>4697</v>
      </c>
      <c r="D1190" s="5" t="s">
        <v>1510</v>
      </c>
      <c r="E1190" s="5" t="s">
        <v>2466</v>
      </c>
      <c r="F1190" s="5" t="s">
        <v>2467</v>
      </c>
      <c r="G1190" s="6">
        <v>46034.515277777777</v>
      </c>
      <c r="H1190" s="7">
        <v>46037</v>
      </c>
      <c r="I1190" s="6">
        <v>46035.730555555558</v>
      </c>
      <c r="J1190" s="7">
        <v>46035</v>
      </c>
      <c r="K1190" s="5" t="s">
        <v>1527</v>
      </c>
      <c r="L1190" s="5" t="s">
        <v>1621</v>
      </c>
      <c r="M1190" s="8">
        <v>174.8</v>
      </c>
      <c r="N1190" s="5" t="s">
        <v>1536</v>
      </c>
      <c r="O1190" s="7">
        <v>46035</v>
      </c>
    </row>
    <row r="1191" spans="1:15" hidden="1" x14ac:dyDescent="0.25">
      <c r="A1191" s="5" t="s">
        <v>1522</v>
      </c>
      <c r="B1191" s="5" t="s">
        <v>4698</v>
      </c>
      <c r="D1191" s="5" t="s">
        <v>1510</v>
      </c>
      <c r="E1191" s="5" t="s">
        <v>2466</v>
      </c>
      <c r="F1191" s="5" t="s">
        <v>2467</v>
      </c>
      <c r="G1191" s="6">
        <v>46038.65902777778</v>
      </c>
      <c r="H1191" s="7">
        <v>46041</v>
      </c>
      <c r="I1191" s="5" t="s">
        <v>3182</v>
      </c>
      <c r="J1191" s="7">
        <v>46065</v>
      </c>
      <c r="K1191" s="5" t="s">
        <v>1527</v>
      </c>
      <c r="L1191" s="5" t="s">
        <v>1621</v>
      </c>
      <c r="M1191" s="8">
        <v>174.8</v>
      </c>
      <c r="N1191" s="5" t="s">
        <v>1536</v>
      </c>
      <c r="O1191" s="7">
        <v>46065</v>
      </c>
    </row>
    <row r="1192" spans="1:15" hidden="1" x14ac:dyDescent="0.25">
      <c r="A1192" s="5" t="s">
        <v>1522</v>
      </c>
      <c r="B1192" s="5" t="s">
        <v>4699</v>
      </c>
      <c r="D1192" s="5" t="s">
        <v>1510</v>
      </c>
      <c r="E1192" s="5" t="s">
        <v>2466</v>
      </c>
      <c r="F1192" s="5" t="s">
        <v>2467</v>
      </c>
      <c r="G1192" s="6">
        <v>46062.731249999997</v>
      </c>
      <c r="H1192" s="7">
        <v>46064</v>
      </c>
      <c r="I1192" s="6">
        <v>46064.678472222222</v>
      </c>
      <c r="J1192" s="7">
        <v>46064</v>
      </c>
      <c r="K1192" s="5" t="s">
        <v>1527</v>
      </c>
      <c r="L1192" s="5" t="s">
        <v>1621</v>
      </c>
      <c r="M1192" s="8">
        <v>174.8</v>
      </c>
      <c r="N1192" s="5" t="s">
        <v>1536</v>
      </c>
      <c r="O1192" s="7">
        <v>46064</v>
      </c>
    </row>
    <row r="1193" spans="1:15" hidden="1" x14ac:dyDescent="0.25">
      <c r="A1193" s="5" t="s">
        <v>1522</v>
      </c>
      <c r="B1193" s="5" t="s">
        <v>4700</v>
      </c>
      <c r="D1193" s="5" t="s">
        <v>1510</v>
      </c>
      <c r="E1193" s="5" t="s">
        <v>2466</v>
      </c>
      <c r="F1193" s="5" t="s">
        <v>2467</v>
      </c>
      <c r="G1193" s="6">
        <v>46069.460416666669</v>
      </c>
      <c r="H1193" s="7">
        <v>46071</v>
      </c>
      <c r="I1193" s="6">
        <v>46071.615277777775</v>
      </c>
      <c r="J1193" s="7">
        <v>46071</v>
      </c>
      <c r="K1193" s="5" t="s">
        <v>1527</v>
      </c>
      <c r="L1193" s="5" t="s">
        <v>1621</v>
      </c>
      <c r="M1193" s="8">
        <v>174.8</v>
      </c>
      <c r="N1193" s="5" t="s">
        <v>1536</v>
      </c>
      <c r="O1193" s="7">
        <v>46071</v>
      </c>
    </row>
    <row r="1194" spans="1:15" hidden="1" x14ac:dyDescent="0.25">
      <c r="A1194" s="5" t="s">
        <v>1522</v>
      </c>
      <c r="B1194" s="5" t="s">
        <v>4701</v>
      </c>
      <c r="D1194" s="5" t="s">
        <v>1510</v>
      </c>
      <c r="E1194" s="5" t="s">
        <v>2466</v>
      </c>
      <c r="F1194" s="5" t="s">
        <v>2467</v>
      </c>
      <c r="G1194" s="6">
        <v>46163.606944444444</v>
      </c>
      <c r="H1194" s="7">
        <v>46164</v>
      </c>
      <c r="I1194" s="5" t="s">
        <v>4702</v>
      </c>
      <c r="J1194" s="7">
        <v>46167</v>
      </c>
      <c r="K1194" s="5" t="s">
        <v>1527</v>
      </c>
      <c r="L1194" s="5" t="s">
        <v>1621</v>
      </c>
      <c r="M1194" s="8">
        <v>174.8</v>
      </c>
      <c r="N1194" s="5" t="s">
        <v>1529</v>
      </c>
      <c r="O1194" s="7">
        <v>46167</v>
      </c>
    </row>
    <row r="1195" spans="1:15" x14ac:dyDescent="0.25">
      <c r="A1195" s="5" t="s">
        <v>4</v>
      </c>
      <c r="B1195" s="5" t="s">
        <v>4703</v>
      </c>
      <c r="D1195" s="5" t="s">
        <v>660</v>
      </c>
      <c r="E1195" s="5" t="s">
        <v>4704</v>
      </c>
      <c r="F1195" s="5" t="s">
        <v>4705</v>
      </c>
      <c r="G1195" s="6">
        <v>46125.449305555558</v>
      </c>
      <c r="H1195" s="7">
        <v>46132</v>
      </c>
      <c r="I1195" s="6">
        <v>46132.618055555555</v>
      </c>
      <c r="J1195" s="7">
        <v>46132</v>
      </c>
      <c r="K1195" s="5" t="s">
        <v>1527</v>
      </c>
      <c r="L1195" s="5" t="s">
        <v>1564</v>
      </c>
      <c r="M1195" s="8">
        <v>174.65</v>
      </c>
      <c r="N1195" s="5" t="s">
        <v>1536</v>
      </c>
      <c r="O1195" s="7">
        <v>46132</v>
      </c>
    </row>
    <row r="1196" spans="1:15" x14ac:dyDescent="0.25">
      <c r="A1196" s="5" t="s">
        <v>4</v>
      </c>
      <c r="B1196" s="5" t="s">
        <v>4706</v>
      </c>
      <c r="D1196" s="5" t="s">
        <v>670</v>
      </c>
      <c r="E1196" s="5" t="s">
        <v>4707</v>
      </c>
      <c r="F1196" s="5" t="s">
        <v>4708</v>
      </c>
      <c r="G1196" s="6">
        <v>46146.675000000003</v>
      </c>
      <c r="H1196" s="7">
        <v>46154</v>
      </c>
      <c r="I1196" s="6">
        <v>46154.584027777775</v>
      </c>
      <c r="J1196" s="7">
        <v>46154</v>
      </c>
      <c r="K1196" s="5" t="s">
        <v>1527</v>
      </c>
      <c r="L1196" s="5" t="s">
        <v>1621</v>
      </c>
      <c r="M1196" s="8">
        <v>174.5</v>
      </c>
      <c r="N1196" s="5" t="s">
        <v>1536</v>
      </c>
      <c r="O1196" s="7">
        <v>46154</v>
      </c>
    </row>
    <row r="1197" spans="1:15" x14ac:dyDescent="0.25">
      <c r="A1197" s="5" t="s">
        <v>4</v>
      </c>
      <c r="B1197" s="5" t="s">
        <v>4709</v>
      </c>
      <c r="D1197" s="5" t="s">
        <v>317</v>
      </c>
      <c r="E1197" s="5" t="s">
        <v>4710</v>
      </c>
      <c r="F1197" s="5" t="s">
        <v>4711</v>
      </c>
      <c r="G1197" s="6">
        <v>46146.684027777781</v>
      </c>
      <c r="H1197" s="7">
        <v>46154</v>
      </c>
      <c r="I1197" s="6">
        <v>46150.601388888892</v>
      </c>
      <c r="J1197" s="7">
        <v>46150</v>
      </c>
      <c r="K1197" s="5" t="s">
        <v>1527</v>
      </c>
      <c r="L1197" s="5" t="s">
        <v>1621</v>
      </c>
      <c r="M1197" s="8">
        <v>174.5</v>
      </c>
      <c r="N1197" s="5" t="s">
        <v>1536</v>
      </c>
      <c r="O1197" s="7">
        <v>46150</v>
      </c>
    </row>
    <row r="1198" spans="1:15" x14ac:dyDescent="0.25">
      <c r="A1198" s="5" t="s">
        <v>4</v>
      </c>
      <c r="B1198" s="5" t="s">
        <v>4712</v>
      </c>
      <c r="D1198" s="5" t="s">
        <v>214</v>
      </c>
      <c r="E1198" s="5" t="s">
        <v>4713</v>
      </c>
      <c r="F1198" s="5" t="s">
        <v>4714</v>
      </c>
      <c r="G1198" s="6">
        <v>46146.707638888889</v>
      </c>
      <c r="H1198" s="7">
        <v>46154</v>
      </c>
      <c r="I1198" s="6">
        <v>46150.602083333331</v>
      </c>
      <c r="J1198" s="7">
        <v>46150</v>
      </c>
      <c r="K1198" s="5" t="s">
        <v>1527</v>
      </c>
      <c r="L1198" s="5" t="s">
        <v>1621</v>
      </c>
      <c r="M1198" s="8">
        <v>174.5</v>
      </c>
      <c r="N1198" s="5" t="s">
        <v>1536</v>
      </c>
      <c r="O1198" s="7">
        <v>46150</v>
      </c>
    </row>
    <row r="1199" spans="1:15" x14ac:dyDescent="0.25">
      <c r="A1199" s="5" t="s">
        <v>4</v>
      </c>
      <c r="B1199" s="5" t="s">
        <v>4715</v>
      </c>
      <c r="D1199" s="5" t="s">
        <v>33</v>
      </c>
      <c r="E1199" s="5" t="s">
        <v>4716</v>
      </c>
      <c r="F1199" s="5" t="s">
        <v>4717</v>
      </c>
      <c r="G1199" s="6">
        <v>46111.685416666667</v>
      </c>
      <c r="H1199" s="7">
        <v>46118</v>
      </c>
      <c r="I1199" s="5" t="s">
        <v>4718</v>
      </c>
      <c r="J1199" s="7">
        <v>46118</v>
      </c>
      <c r="K1199" s="5" t="s">
        <v>1527</v>
      </c>
      <c r="L1199" s="5" t="s">
        <v>1621</v>
      </c>
      <c r="M1199" s="8">
        <v>174.23</v>
      </c>
      <c r="N1199" s="5" t="s">
        <v>1536</v>
      </c>
      <c r="O1199" s="7">
        <v>46118</v>
      </c>
    </row>
    <row r="1200" spans="1:15" x14ac:dyDescent="0.25">
      <c r="A1200" s="5" t="s">
        <v>4</v>
      </c>
      <c r="B1200" s="5" t="s">
        <v>4719</v>
      </c>
      <c r="D1200" s="5" t="s">
        <v>988</v>
      </c>
      <c r="E1200" s="5" t="s">
        <v>4720</v>
      </c>
      <c r="F1200" s="5" t="s">
        <v>1532</v>
      </c>
      <c r="G1200" s="6">
        <v>46169.587500000001</v>
      </c>
      <c r="H1200" s="7">
        <v>46178</v>
      </c>
      <c r="I1200" s="5" t="s">
        <v>1533</v>
      </c>
      <c r="J1200" s="7">
        <v>46184</v>
      </c>
      <c r="K1200" s="5" t="s">
        <v>1534</v>
      </c>
      <c r="L1200" s="5" t="s">
        <v>1535</v>
      </c>
      <c r="M1200" s="9">
        <v>174</v>
      </c>
      <c r="N1200" s="5" t="s">
        <v>1529</v>
      </c>
      <c r="O1200" s="7">
        <v>46184</v>
      </c>
    </row>
    <row r="1201" spans="1:15" x14ac:dyDescent="0.25">
      <c r="A1201" s="5" t="s">
        <v>4</v>
      </c>
      <c r="B1201" s="5" t="s">
        <v>4721</v>
      </c>
      <c r="D1201" s="5" t="s">
        <v>337</v>
      </c>
      <c r="E1201" s="5" t="s">
        <v>4722</v>
      </c>
      <c r="F1201" s="5" t="s">
        <v>4723</v>
      </c>
      <c r="G1201" s="6">
        <v>46090.744444444441</v>
      </c>
      <c r="H1201" s="7">
        <v>46094</v>
      </c>
      <c r="I1201" s="5" t="s">
        <v>4724</v>
      </c>
      <c r="J1201" s="7">
        <v>46104</v>
      </c>
      <c r="K1201" s="5" t="s">
        <v>1527</v>
      </c>
      <c r="L1201" s="5" t="s">
        <v>1621</v>
      </c>
      <c r="M1201" s="8">
        <v>173.86</v>
      </c>
      <c r="N1201" s="5" t="s">
        <v>1536</v>
      </c>
      <c r="O1201" s="7">
        <v>46104</v>
      </c>
    </row>
    <row r="1202" spans="1:15" x14ac:dyDescent="0.25">
      <c r="A1202" s="5" t="s">
        <v>4</v>
      </c>
      <c r="B1202" s="5" t="s">
        <v>4725</v>
      </c>
      <c r="D1202" s="5" t="s">
        <v>1293</v>
      </c>
      <c r="E1202" s="5" t="s">
        <v>2268</v>
      </c>
      <c r="F1202" s="5" t="s">
        <v>2269</v>
      </c>
      <c r="G1202" s="6">
        <v>46162.468055555553</v>
      </c>
      <c r="H1202" s="7">
        <v>46171</v>
      </c>
      <c r="I1202" s="6">
        <v>46171.627083333333</v>
      </c>
      <c r="J1202" s="7">
        <v>46171</v>
      </c>
      <c r="K1202" s="5" t="s">
        <v>1527</v>
      </c>
      <c r="L1202" s="5" t="s">
        <v>1535</v>
      </c>
      <c r="M1202" s="8">
        <v>173.7</v>
      </c>
      <c r="N1202" s="5" t="s">
        <v>1536</v>
      </c>
      <c r="O1202" s="7">
        <v>46171</v>
      </c>
    </row>
    <row r="1203" spans="1:15" hidden="1" x14ac:dyDescent="0.25">
      <c r="A1203" s="5" t="s">
        <v>1522</v>
      </c>
      <c r="B1203" s="5" t="s">
        <v>4726</v>
      </c>
      <c r="D1203" s="5" t="s">
        <v>1506</v>
      </c>
      <c r="E1203" s="5" t="s">
        <v>1942</v>
      </c>
      <c r="F1203" s="5" t="s">
        <v>2275</v>
      </c>
      <c r="G1203" s="6">
        <v>46150.57916666667</v>
      </c>
      <c r="H1203" s="7">
        <v>46157</v>
      </c>
      <c r="I1203" s="6">
        <v>46157.710416666669</v>
      </c>
      <c r="J1203" s="7">
        <v>46155</v>
      </c>
      <c r="K1203" s="5" t="s">
        <v>1527</v>
      </c>
      <c r="L1203" s="5" t="s">
        <v>1528</v>
      </c>
      <c r="M1203" s="8">
        <v>173.5</v>
      </c>
      <c r="N1203" s="5" t="s">
        <v>1536</v>
      </c>
      <c r="O1203" s="7">
        <v>46155</v>
      </c>
    </row>
    <row r="1204" spans="1:15" x14ac:dyDescent="0.25">
      <c r="A1204" s="5" t="s">
        <v>4</v>
      </c>
      <c r="B1204" s="5" t="s">
        <v>4727</v>
      </c>
      <c r="D1204" s="5" t="s">
        <v>29</v>
      </c>
      <c r="E1204" s="5" t="s">
        <v>4728</v>
      </c>
      <c r="F1204" s="5" t="s">
        <v>4729</v>
      </c>
      <c r="G1204" s="6">
        <v>46097.65625</v>
      </c>
      <c r="H1204" s="7">
        <v>46104</v>
      </c>
      <c r="I1204" s="5" t="s">
        <v>4730</v>
      </c>
      <c r="J1204" s="7">
        <v>46111</v>
      </c>
      <c r="K1204" s="5" t="s">
        <v>1527</v>
      </c>
      <c r="L1204" s="5" t="s">
        <v>1621</v>
      </c>
      <c r="M1204" s="8">
        <v>173.25</v>
      </c>
      <c r="N1204" s="5" t="s">
        <v>1536</v>
      </c>
      <c r="O1204" s="7">
        <v>46111</v>
      </c>
    </row>
    <row r="1205" spans="1:15" x14ac:dyDescent="0.25">
      <c r="A1205" s="5" t="s">
        <v>4</v>
      </c>
      <c r="B1205" s="5" t="s">
        <v>4731</v>
      </c>
      <c r="D1205" s="5" t="s">
        <v>710</v>
      </c>
      <c r="E1205" s="5" t="s">
        <v>1781</v>
      </c>
      <c r="F1205" s="5" t="s">
        <v>1548</v>
      </c>
      <c r="G1205" s="6">
        <v>46041.604166666664</v>
      </c>
      <c r="H1205" s="7">
        <v>46050</v>
      </c>
      <c r="I1205" s="5" t="s">
        <v>4732</v>
      </c>
      <c r="J1205" s="7">
        <v>46058</v>
      </c>
      <c r="K1205" s="5" t="s">
        <v>1527</v>
      </c>
      <c r="L1205" s="5" t="s">
        <v>1535</v>
      </c>
      <c r="M1205" s="8">
        <v>173</v>
      </c>
      <c r="N1205" s="5" t="s">
        <v>1536</v>
      </c>
      <c r="O1205" s="7">
        <v>46058</v>
      </c>
    </row>
    <row r="1206" spans="1:15" x14ac:dyDescent="0.25">
      <c r="A1206" s="5" t="s">
        <v>4</v>
      </c>
      <c r="B1206" s="5" t="s">
        <v>4733</v>
      </c>
      <c r="D1206" s="5" t="s">
        <v>1442</v>
      </c>
      <c r="E1206" s="5" t="s">
        <v>4734</v>
      </c>
      <c r="F1206" s="5" t="s">
        <v>1813</v>
      </c>
      <c r="G1206" s="6">
        <v>46093.474999999999</v>
      </c>
      <c r="H1206" s="7">
        <v>46106</v>
      </c>
      <c r="I1206" s="5" t="s">
        <v>2748</v>
      </c>
      <c r="J1206" s="7">
        <v>46107</v>
      </c>
      <c r="K1206" s="5" t="s">
        <v>1527</v>
      </c>
      <c r="L1206" s="5" t="s">
        <v>1535</v>
      </c>
      <c r="M1206" s="8">
        <v>173</v>
      </c>
      <c r="N1206" s="5" t="s">
        <v>1536</v>
      </c>
      <c r="O1206" s="7">
        <v>46107</v>
      </c>
    </row>
    <row r="1207" spans="1:15" x14ac:dyDescent="0.25">
      <c r="A1207" s="5" t="s">
        <v>4</v>
      </c>
      <c r="B1207" s="5" t="s">
        <v>4735</v>
      </c>
      <c r="D1207" s="5" t="s">
        <v>182</v>
      </c>
      <c r="E1207" s="5" t="s">
        <v>4736</v>
      </c>
      <c r="F1207" s="5" t="s">
        <v>4737</v>
      </c>
      <c r="G1207" s="6">
        <v>46098.640972222223</v>
      </c>
      <c r="H1207" s="7">
        <v>46104</v>
      </c>
      <c r="I1207" s="6">
        <v>46100.62777777778</v>
      </c>
      <c r="J1207" s="7">
        <v>46100</v>
      </c>
      <c r="K1207" s="5" t="s">
        <v>1527</v>
      </c>
      <c r="L1207" s="5" t="s">
        <v>1621</v>
      </c>
      <c r="M1207" s="8">
        <v>172.96</v>
      </c>
      <c r="N1207" s="5" t="s">
        <v>1536</v>
      </c>
      <c r="O1207" s="7">
        <v>46100</v>
      </c>
    </row>
    <row r="1208" spans="1:15" hidden="1" x14ac:dyDescent="0.25">
      <c r="A1208" s="5" t="s">
        <v>1522</v>
      </c>
      <c r="B1208" s="5">
        <v>38680</v>
      </c>
      <c r="D1208" s="5" t="s">
        <v>1510</v>
      </c>
      <c r="E1208" s="5" t="s">
        <v>2466</v>
      </c>
      <c r="F1208" s="5" t="s">
        <v>2074</v>
      </c>
      <c r="G1208" s="6">
        <v>46083.636805555558</v>
      </c>
      <c r="H1208" s="7">
        <v>46087</v>
      </c>
      <c r="I1208" s="5" t="s">
        <v>4220</v>
      </c>
      <c r="J1208" s="7">
        <v>46094</v>
      </c>
      <c r="K1208" s="5" t="s">
        <v>1527</v>
      </c>
      <c r="L1208" s="5" t="s">
        <v>1564</v>
      </c>
      <c r="M1208" s="8">
        <v>172.8</v>
      </c>
      <c r="N1208" s="5" t="s">
        <v>1536</v>
      </c>
      <c r="O1208" s="7">
        <v>46094</v>
      </c>
    </row>
    <row r="1209" spans="1:15" hidden="1" x14ac:dyDescent="0.25">
      <c r="A1209" s="5" t="s">
        <v>1522</v>
      </c>
      <c r="B1209" s="5" t="s">
        <v>4738</v>
      </c>
      <c r="D1209" s="5" t="s">
        <v>1510</v>
      </c>
      <c r="E1209" s="5" t="s">
        <v>2466</v>
      </c>
      <c r="F1209" s="5" t="s">
        <v>3389</v>
      </c>
      <c r="G1209" s="6">
        <v>46079.65347222222</v>
      </c>
      <c r="H1209" s="7">
        <v>46086</v>
      </c>
      <c r="I1209" s="5" t="s">
        <v>4739</v>
      </c>
      <c r="J1209" s="7">
        <v>46100</v>
      </c>
      <c r="K1209" s="5" t="s">
        <v>1527</v>
      </c>
      <c r="L1209" s="5" t="s">
        <v>1621</v>
      </c>
      <c r="M1209" s="8">
        <v>172.8</v>
      </c>
      <c r="N1209" s="5" t="s">
        <v>1536</v>
      </c>
      <c r="O1209" s="7">
        <v>46100</v>
      </c>
    </row>
    <row r="1210" spans="1:15" hidden="1" x14ac:dyDescent="0.25">
      <c r="A1210" s="5" t="s">
        <v>1522</v>
      </c>
      <c r="B1210" s="5" t="s">
        <v>4740</v>
      </c>
      <c r="D1210" s="5" t="s">
        <v>1510</v>
      </c>
      <c r="E1210" s="5" t="s">
        <v>2466</v>
      </c>
      <c r="F1210" s="5" t="s">
        <v>3389</v>
      </c>
      <c r="G1210" s="6">
        <v>46112.704861111109</v>
      </c>
      <c r="H1210" s="7">
        <v>46120</v>
      </c>
      <c r="I1210" s="5" t="s">
        <v>4741</v>
      </c>
      <c r="J1210" s="7">
        <v>46128</v>
      </c>
      <c r="K1210" s="5" t="s">
        <v>1527</v>
      </c>
      <c r="L1210" s="5" t="s">
        <v>1621</v>
      </c>
      <c r="M1210" s="8">
        <v>172.8</v>
      </c>
      <c r="N1210" s="5" t="s">
        <v>1536</v>
      </c>
      <c r="O1210" s="7">
        <v>46128</v>
      </c>
    </row>
    <row r="1211" spans="1:15" hidden="1" x14ac:dyDescent="0.25">
      <c r="A1211" s="5" t="s">
        <v>1522</v>
      </c>
      <c r="B1211" s="5" t="s">
        <v>4742</v>
      </c>
      <c r="D1211" s="5" t="s">
        <v>1510</v>
      </c>
      <c r="E1211" s="5" t="s">
        <v>2466</v>
      </c>
      <c r="F1211" s="5" t="s">
        <v>3389</v>
      </c>
      <c r="G1211" s="6">
        <v>46114.708333333336</v>
      </c>
      <c r="H1211" s="7">
        <v>46121</v>
      </c>
      <c r="I1211" s="5" t="s">
        <v>4743</v>
      </c>
      <c r="J1211" s="7">
        <v>46134</v>
      </c>
      <c r="K1211" s="5" t="s">
        <v>1527</v>
      </c>
      <c r="L1211" s="5" t="s">
        <v>1621</v>
      </c>
      <c r="M1211" s="8">
        <v>172.8</v>
      </c>
      <c r="N1211" s="5" t="s">
        <v>1529</v>
      </c>
      <c r="O1211" s="7">
        <v>46134</v>
      </c>
    </row>
    <row r="1212" spans="1:15" hidden="1" x14ac:dyDescent="0.25">
      <c r="A1212" s="5" t="s">
        <v>1522</v>
      </c>
      <c r="B1212" s="5" t="s">
        <v>4744</v>
      </c>
      <c r="D1212" s="5" t="s">
        <v>1510</v>
      </c>
      <c r="E1212" s="5" t="s">
        <v>2466</v>
      </c>
      <c r="F1212" s="5" t="s">
        <v>3389</v>
      </c>
      <c r="G1212" s="6">
        <v>46128.71597222222</v>
      </c>
      <c r="H1212" s="7">
        <v>46135</v>
      </c>
      <c r="I1212" s="6">
        <v>46134.627083333333</v>
      </c>
      <c r="J1212" s="7">
        <v>46134</v>
      </c>
      <c r="K1212" s="5" t="s">
        <v>1527</v>
      </c>
      <c r="L1212" s="5" t="s">
        <v>1621</v>
      </c>
      <c r="M1212" s="8">
        <v>172.8</v>
      </c>
      <c r="N1212" s="5" t="s">
        <v>1529</v>
      </c>
      <c r="O1212" s="7">
        <v>46134</v>
      </c>
    </row>
    <row r="1213" spans="1:15" x14ac:dyDescent="0.25">
      <c r="A1213" s="5" t="s">
        <v>4</v>
      </c>
      <c r="B1213" s="5" t="s">
        <v>4745</v>
      </c>
      <c r="D1213" s="5" t="s">
        <v>499</v>
      </c>
      <c r="E1213" s="5" t="s">
        <v>4746</v>
      </c>
      <c r="F1213" s="5" t="s">
        <v>1532</v>
      </c>
      <c r="G1213" s="6">
        <v>46156.711111111108</v>
      </c>
      <c r="H1213" s="7">
        <v>46167</v>
      </c>
      <c r="I1213" s="5" t="s">
        <v>3727</v>
      </c>
      <c r="J1213" s="7">
        <v>46169</v>
      </c>
      <c r="K1213" s="5" t="s">
        <v>1527</v>
      </c>
      <c r="L1213" s="5" t="s">
        <v>1535</v>
      </c>
      <c r="M1213" s="8">
        <v>172</v>
      </c>
      <c r="N1213" s="5" t="s">
        <v>1536</v>
      </c>
      <c r="O1213" s="7">
        <v>46169</v>
      </c>
    </row>
    <row r="1214" spans="1:15" x14ac:dyDescent="0.25">
      <c r="A1214" s="5" t="s">
        <v>4</v>
      </c>
      <c r="B1214" s="5" t="s">
        <v>4747</v>
      </c>
      <c r="D1214" s="5" t="s">
        <v>168</v>
      </c>
      <c r="E1214" s="5" t="s">
        <v>4748</v>
      </c>
      <c r="F1214" s="5" t="s">
        <v>1813</v>
      </c>
      <c r="G1214" s="6">
        <v>46072.34097222222</v>
      </c>
      <c r="H1214" s="7">
        <v>46083</v>
      </c>
      <c r="I1214" s="5" t="s">
        <v>4749</v>
      </c>
      <c r="J1214" s="7">
        <v>46086</v>
      </c>
      <c r="K1214" s="5" t="s">
        <v>1527</v>
      </c>
      <c r="L1214" s="5" t="s">
        <v>1535</v>
      </c>
      <c r="M1214" s="8">
        <v>171.9</v>
      </c>
      <c r="N1214" s="5" t="s">
        <v>1536</v>
      </c>
      <c r="O1214" s="7">
        <v>46086</v>
      </c>
    </row>
    <row r="1215" spans="1:15" hidden="1" x14ac:dyDescent="0.25">
      <c r="A1215" s="5" t="s">
        <v>1522</v>
      </c>
      <c r="B1215" s="5" t="s">
        <v>4750</v>
      </c>
      <c r="D1215" s="5" t="s">
        <v>487</v>
      </c>
      <c r="E1215" s="5" t="s">
        <v>4751</v>
      </c>
      <c r="F1215" s="5" t="s">
        <v>4752</v>
      </c>
      <c r="G1215" s="6">
        <v>46163.488194444442</v>
      </c>
      <c r="H1215" s="7">
        <v>46171</v>
      </c>
      <c r="I1215" s="5" t="s">
        <v>3384</v>
      </c>
      <c r="J1215" s="7">
        <v>46176</v>
      </c>
      <c r="K1215" s="5" t="s">
        <v>1527</v>
      </c>
      <c r="L1215" s="5" t="s">
        <v>1528</v>
      </c>
      <c r="M1215" s="8">
        <v>171.6</v>
      </c>
      <c r="N1215" s="5" t="s">
        <v>1529</v>
      </c>
      <c r="O1215" s="7">
        <v>46176</v>
      </c>
    </row>
    <row r="1216" spans="1:15" x14ac:dyDescent="0.25">
      <c r="A1216" s="5" t="s">
        <v>4</v>
      </c>
      <c r="B1216" s="5" t="s">
        <v>4753</v>
      </c>
      <c r="D1216" s="5" t="s">
        <v>1470</v>
      </c>
      <c r="E1216" s="5" t="s">
        <v>4754</v>
      </c>
      <c r="F1216" s="5" t="s">
        <v>4755</v>
      </c>
      <c r="G1216" s="6">
        <v>46107.352083333331</v>
      </c>
      <c r="H1216" s="7">
        <v>46121</v>
      </c>
      <c r="I1216" s="5" t="s">
        <v>4756</v>
      </c>
      <c r="J1216" s="7">
        <v>46118</v>
      </c>
      <c r="K1216" s="5" t="s">
        <v>1527</v>
      </c>
      <c r="L1216" s="5" t="s">
        <v>1564</v>
      </c>
      <c r="M1216" s="8">
        <v>171.5</v>
      </c>
      <c r="N1216" s="5" t="s">
        <v>1536</v>
      </c>
      <c r="O1216" s="7">
        <v>46118</v>
      </c>
    </row>
    <row r="1217" spans="1:15" hidden="1" x14ac:dyDescent="0.25">
      <c r="A1217" s="5" t="s">
        <v>1522</v>
      </c>
      <c r="B1217" s="5" t="s">
        <v>4757</v>
      </c>
      <c r="D1217" s="5" t="s">
        <v>1510</v>
      </c>
      <c r="E1217" s="5" t="s">
        <v>2466</v>
      </c>
      <c r="F1217" s="5" t="s">
        <v>3389</v>
      </c>
      <c r="G1217" s="6">
        <v>46112.706250000003</v>
      </c>
      <c r="H1217" s="7">
        <v>46120</v>
      </c>
      <c r="I1217" s="5" t="s">
        <v>4758</v>
      </c>
      <c r="J1217" s="7">
        <v>46128</v>
      </c>
      <c r="K1217" s="5" t="s">
        <v>1527</v>
      </c>
      <c r="L1217" s="5" t="s">
        <v>1621</v>
      </c>
      <c r="M1217" s="8">
        <v>171.3</v>
      </c>
      <c r="N1217" s="5" t="s">
        <v>1536</v>
      </c>
      <c r="O1217" s="7">
        <v>46128</v>
      </c>
    </row>
    <row r="1218" spans="1:15" hidden="1" x14ac:dyDescent="0.25">
      <c r="A1218" s="5" t="s">
        <v>1522</v>
      </c>
      <c r="B1218" s="5" t="s">
        <v>4759</v>
      </c>
      <c r="D1218" s="5" t="s">
        <v>1510</v>
      </c>
      <c r="E1218" s="5" t="s">
        <v>2466</v>
      </c>
      <c r="F1218" s="5" t="s">
        <v>3389</v>
      </c>
      <c r="G1218" s="6">
        <v>46114.706944444442</v>
      </c>
      <c r="H1218" s="7">
        <v>46121</v>
      </c>
      <c r="I1218" s="5" t="s">
        <v>4760</v>
      </c>
      <c r="J1218" s="7">
        <v>46136</v>
      </c>
      <c r="K1218" s="5" t="s">
        <v>1527</v>
      </c>
      <c r="L1218" s="5" t="s">
        <v>1621</v>
      </c>
      <c r="M1218" s="8">
        <v>171.3</v>
      </c>
      <c r="N1218" s="5" t="s">
        <v>1529</v>
      </c>
      <c r="O1218" s="7">
        <v>46136</v>
      </c>
    </row>
    <row r="1219" spans="1:15" hidden="1" x14ac:dyDescent="0.25">
      <c r="A1219" s="5" t="s">
        <v>1522</v>
      </c>
      <c r="B1219" s="5" t="s">
        <v>4761</v>
      </c>
      <c r="D1219" s="5" t="s">
        <v>1510</v>
      </c>
      <c r="E1219" s="5" t="s">
        <v>2466</v>
      </c>
      <c r="F1219" s="5" t="s">
        <v>3389</v>
      </c>
      <c r="G1219" s="6">
        <v>46128.719444444447</v>
      </c>
      <c r="H1219" s="7">
        <v>46135</v>
      </c>
      <c r="I1219" s="5" t="s">
        <v>4762</v>
      </c>
      <c r="J1219" s="7">
        <v>46146</v>
      </c>
      <c r="K1219" s="5" t="s">
        <v>1527</v>
      </c>
      <c r="L1219" s="5" t="s">
        <v>1621</v>
      </c>
      <c r="M1219" s="8">
        <v>171.3</v>
      </c>
      <c r="N1219" s="5" t="s">
        <v>1529</v>
      </c>
      <c r="O1219" s="7">
        <v>46146</v>
      </c>
    </row>
    <row r="1220" spans="1:15" hidden="1" x14ac:dyDescent="0.25">
      <c r="A1220" s="5" t="s">
        <v>1522</v>
      </c>
      <c r="B1220" s="5" t="s">
        <v>4763</v>
      </c>
      <c r="D1220" s="5" t="s">
        <v>1510</v>
      </c>
      <c r="E1220" s="5" t="s">
        <v>2466</v>
      </c>
      <c r="F1220" s="5" t="s">
        <v>3389</v>
      </c>
      <c r="G1220" s="6">
        <v>46139.761805555558</v>
      </c>
      <c r="H1220" s="7">
        <v>46146</v>
      </c>
      <c r="I1220" s="5" t="s">
        <v>4764</v>
      </c>
      <c r="J1220" s="7">
        <v>46156</v>
      </c>
      <c r="K1220" s="5" t="s">
        <v>1527</v>
      </c>
      <c r="L1220" s="5" t="s">
        <v>1621</v>
      </c>
      <c r="M1220" s="8">
        <v>171.3</v>
      </c>
      <c r="N1220" s="5" t="s">
        <v>1529</v>
      </c>
      <c r="O1220" s="7">
        <v>46156</v>
      </c>
    </row>
    <row r="1221" spans="1:15" hidden="1" x14ac:dyDescent="0.25">
      <c r="A1221" s="5" t="s">
        <v>1522</v>
      </c>
      <c r="B1221" s="5" t="s">
        <v>4765</v>
      </c>
      <c r="D1221" s="5" t="s">
        <v>1510</v>
      </c>
      <c r="E1221" s="5" t="s">
        <v>2466</v>
      </c>
      <c r="F1221" s="5" t="s">
        <v>3389</v>
      </c>
      <c r="G1221" s="6">
        <v>46142.724305555559</v>
      </c>
      <c r="H1221" s="7">
        <v>46149</v>
      </c>
      <c r="I1221" s="5" t="s">
        <v>4766</v>
      </c>
      <c r="J1221" s="7">
        <v>46167</v>
      </c>
      <c r="K1221" s="5" t="s">
        <v>1527</v>
      </c>
      <c r="L1221" s="5" t="s">
        <v>1621</v>
      </c>
      <c r="M1221" s="8">
        <v>171.3</v>
      </c>
      <c r="N1221" s="5" t="s">
        <v>1529</v>
      </c>
      <c r="O1221" s="7">
        <v>46167</v>
      </c>
    </row>
    <row r="1222" spans="1:15" x14ac:dyDescent="0.25">
      <c r="A1222" s="5" t="s">
        <v>4</v>
      </c>
      <c r="B1222" s="5" t="s">
        <v>4767</v>
      </c>
      <c r="D1222" s="5" t="s">
        <v>955</v>
      </c>
      <c r="E1222" s="5" t="s">
        <v>4768</v>
      </c>
      <c r="F1222" s="5" t="s">
        <v>1548</v>
      </c>
      <c r="G1222" s="6">
        <v>46037.679861111108</v>
      </c>
      <c r="H1222" s="7">
        <v>46050</v>
      </c>
      <c r="I1222" s="6">
        <v>46048.672222222223</v>
      </c>
      <c r="J1222" s="7">
        <v>46037</v>
      </c>
      <c r="K1222" s="5" t="s">
        <v>1527</v>
      </c>
      <c r="L1222" s="5" t="s">
        <v>1564</v>
      </c>
      <c r="M1222" s="8">
        <v>171.3</v>
      </c>
      <c r="N1222" s="5" t="s">
        <v>1536</v>
      </c>
      <c r="O1222" s="7">
        <v>46037</v>
      </c>
    </row>
    <row r="1223" spans="1:15" x14ac:dyDescent="0.25">
      <c r="A1223" s="5" t="s">
        <v>4</v>
      </c>
      <c r="B1223" s="5" t="s">
        <v>4769</v>
      </c>
      <c r="D1223" s="5" t="s">
        <v>1441</v>
      </c>
      <c r="E1223" s="5" t="s">
        <v>4124</v>
      </c>
      <c r="F1223" s="5" t="s">
        <v>4770</v>
      </c>
      <c r="G1223" s="6">
        <v>46079.647916666669</v>
      </c>
      <c r="H1223" s="7">
        <v>46086</v>
      </c>
      <c r="I1223" s="6">
        <v>46084.615972222222</v>
      </c>
      <c r="J1223" s="7">
        <v>46080</v>
      </c>
      <c r="K1223" s="5" t="s">
        <v>1527</v>
      </c>
      <c r="L1223" s="5" t="s">
        <v>1621</v>
      </c>
      <c r="M1223" s="8">
        <v>171.21</v>
      </c>
      <c r="N1223" s="5" t="s">
        <v>1536</v>
      </c>
      <c r="O1223" s="7">
        <v>46080</v>
      </c>
    </row>
    <row r="1224" spans="1:15" hidden="1" x14ac:dyDescent="0.25">
      <c r="A1224" s="5" t="s">
        <v>1522</v>
      </c>
      <c r="B1224" s="5" t="s">
        <v>4771</v>
      </c>
      <c r="D1224" s="5" t="s">
        <v>1510</v>
      </c>
      <c r="E1224" s="5" t="s">
        <v>2466</v>
      </c>
      <c r="F1224" s="5" t="s">
        <v>2467</v>
      </c>
      <c r="G1224" s="6">
        <v>46050.666666666664</v>
      </c>
      <c r="H1224" s="7">
        <v>46055</v>
      </c>
      <c r="I1224" s="6">
        <v>46055.640277777777</v>
      </c>
      <c r="J1224" s="7">
        <v>46055</v>
      </c>
      <c r="K1224" s="5" t="s">
        <v>1527</v>
      </c>
      <c r="L1224" s="5" t="s">
        <v>1621</v>
      </c>
      <c r="M1224" s="8">
        <v>171</v>
      </c>
      <c r="N1224" s="5" t="s">
        <v>1536</v>
      </c>
      <c r="O1224" s="7">
        <v>46055</v>
      </c>
    </row>
    <row r="1225" spans="1:15" hidden="1" x14ac:dyDescent="0.25">
      <c r="A1225" s="5" t="s">
        <v>1522</v>
      </c>
      <c r="B1225" s="5" t="s">
        <v>4772</v>
      </c>
      <c r="D1225" s="5" t="s">
        <v>1510</v>
      </c>
      <c r="E1225" s="5" t="s">
        <v>2466</v>
      </c>
      <c r="F1225" s="5" t="s">
        <v>2467</v>
      </c>
      <c r="G1225" s="6">
        <v>46122.42291666667</v>
      </c>
      <c r="H1225" s="7">
        <v>46125</v>
      </c>
      <c r="I1225" s="6">
        <v>46125.692361111112</v>
      </c>
      <c r="J1225" s="7">
        <v>46125</v>
      </c>
      <c r="K1225" s="5" t="s">
        <v>1527</v>
      </c>
      <c r="L1225" s="5" t="s">
        <v>1621</v>
      </c>
      <c r="M1225" s="8">
        <v>171</v>
      </c>
      <c r="N1225" s="5" t="s">
        <v>1536</v>
      </c>
      <c r="O1225" s="7">
        <v>46125</v>
      </c>
    </row>
    <row r="1226" spans="1:15" x14ac:dyDescent="0.25">
      <c r="A1226" s="5" t="s">
        <v>4</v>
      </c>
      <c r="B1226" s="5" t="s">
        <v>4773</v>
      </c>
      <c r="D1226" s="5" t="s">
        <v>312</v>
      </c>
      <c r="E1226" s="5" t="s">
        <v>4774</v>
      </c>
      <c r="F1226" s="5" t="s">
        <v>1770</v>
      </c>
      <c r="G1226" s="6">
        <v>46058.486111111109</v>
      </c>
      <c r="H1226" s="7">
        <v>46071</v>
      </c>
      <c r="I1226" s="6">
        <v>46066.657638888886</v>
      </c>
      <c r="J1226" s="7">
        <v>46066</v>
      </c>
      <c r="K1226" s="5" t="s">
        <v>1527</v>
      </c>
      <c r="L1226" s="5" t="s">
        <v>1564</v>
      </c>
      <c r="M1226" s="8">
        <v>171</v>
      </c>
      <c r="N1226" s="5" t="s">
        <v>1536</v>
      </c>
      <c r="O1226" s="7">
        <v>46066</v>
      </c>
    </row>
    <row r="1227" spans="1:15" x14ac:dyDescent="0.25">
      <c r="A1227" s="5" t="s">
        <v>4</v>
      </c>
      <c r="B1227" s="5" t="s">
        <v>4775</v>
      </c>
      <c r="D1227" s="5" t="s">
        <v>1471</v>
      </c>
      <c r="E1227" s="5" t="s">
        <v>4776</v>
      </c>
      <c r="F1227" s="5" t="s">
        <v>1548</v>
      </c>
      <c r="G1227" s="6">
        <v>46059.674305555556</v>
      </c>
      <c r="H1227" s="7">
        <v>46070</v>
      </c>
      <c r="I1227" s="6">
        <v>46065.638194444444</v>
      </c>
      <c r="J1227" s="7">
        <v>46065</v>
      </c>
      <c r="K1227" s="5" t="s">
        <v>1527</v>
      </c>
      <c r="L1227" s="5" t="s">
        <v>1535</v>
      </c>
      <c r="M1227" s="8">
        <v>171</v>
      </c>
      <c r="N1227" s="5" t="s">
        <v>1536</v>
      </c>
      <c r="O1227" s="7">
        <v>46065</v>
      </c>
    </row>
    <row r="1228" spans="1:15" x14ac:dyDescent="0.25">
      <c r="A1228" s="5" t="s">
        <v>4</v>
      </c>
      <c r="B1228" s="5" t="s">
        <v>4777</v>
      </c>
      <c r="D1228" s="5" t="s">
        <v>1369</v>
      </c>
      <c r="E1228" s="5" t="s">
        <v>4778</v>
      </c>
      <c r="F1228" s="5" t="s">
        <v>1532</v>
      </c>
      <c r="G1228" s="6">
        <v>46168.581944444442</v>
      </c>
      <c r="H1228" s="7">
        <v>46178</v>
      </c>
      <c r="I1228" s="6">
        <v>46178.489583333336</v>
      </c>
      <c r="J1228" s="7">
        <v>46176</v>
      </c>
      <c r="K1228" s="5" t="s">
        <v>1527</v>
      </c>
      <c r="L1228" s="5" t="s">
        <v>1535</v>
      </c>
      <c r="M1228" s="8">
        <v>171</v>
      </c>
      <c r="N1228" s="5" t="s">
        <v>1529</v>
      </c>
      <c r="O1228" s="7">
        <v>46176</v>
      </c>
    </row>
    <row r="1229" spans="1:15" x14ac:dyDescent="0.25">
      <c r="A1229" s="5" t="s">
        <v>4</v>
      </c>
      <c r="B1229" s="5" t="s">
        <v>4779</v>
      </c>
      <c r="D1229" s="5" t="s">
        <v>883</v>
      </c>
      <c r="E1229" s="5" t="s">
        <v>4780</v>
      </c>
      <c r="F1229" s="5" t="s">
        <v>1813</v>
      </c>
      <c r="G1229" s="6">
        <v>46031.684027777781</v>
      </c>
      <c r="H1229" s="7">
        <v>46041</v>
      </c>
      <c r="I1229" s="6">
        <v>46041.701388888891</v>
      </c>
      <c r="J1229" s="7">
        <v>46041</v>
      </c>
      <c r="K1229" s="5" t="s">
        <v>1527</v>
      </c>
      <c r="L1229" s="5" t="s">
        <v>1535</v>
      </c>
      <c r="M1229" s="8">
        <v>170.5</v>
      </c>
      <c r="N1229" s="5" t="s">
        <v>1536</v>
      </c>
      <c r="O1229" s="7">
        <v>46041</v>
      </c>
    </row>
    <row r="1230" spans="1:15" x14ac:dyDescent="0.25">
      <c r="A1230" s="5" t="s">
        <v>4</v>
      </c>
      <c r="B1230" s="5" t="s">
        <v>4781</v>
      </c>
      <c r="D1230" s="5" t="s">
        <v>699</v>
      </c>
      <c r="E1230" s="5" t="s">
        <v>4782</v>
      </c>
      <c r="F1230" s="5" t="s">
        <v>2118</v>
      </c>
      <c r="G1230" s="6">
        <v>46083.592361111114</v>
      </c>
      <c r="H1230" s="7">
        <v>46094</v>
      </c>
      <c r="I1230" s="6">
        <v>46091.50277777778</v>
      </c>
      <c r="J1230" s="7">
        <v>46091</v>
      </c>
      <c r="K1230" s="5" t="s">
        <v>1527</v>
      </c>
      <c r="L1230" s="5" t="s">
        <v>1564</v>
      </c>
      <c r="M1230" s="8">
        <v>170.2</v>
      </c>
      <c r="N1230" s="5" t="s">
        <v>1536</v>
      </c>
      <c r="O1230" s="7">
        <v>46091</v>
      </c>
    </row>
    <row r="1231" spans="1:15" hidden="1" x14ac:dyDescent="0.25">
      <c r="A1231" s="5" t="s">
        <v>1522</v>
      </c>
      <c r="B1231" s="5" t="s">
        <v>4783</v>
      </c>
      <c r="D1231" s="5" t="s">
        <v>641</v>
      </c>
      <c r="E1231" s="5" t="s">
        <v>4784</v>
      </c>
      <c r="F1231" s="5" t="s">
        <v>4785</v>
      </c>
      <c r="G1231" s="6">
        <v>46164.387499999997</v>
      </c>
      <c r="H1231" s="7">
        <v>46171</v>
      </c>
      <c r="I1231" s="6">
        <v>46171.715277777781</v>
      </c>
      <c r="J1231" s="7">
        <v>46171</v>
      </c>
      <c r="K1231" s="5" t="s">
        <v>1527</v>
      </c>
      <c r="L1231" s="5" t="s">
        <v>1528</v>
      </c>
      <c r="M1231" s="8">
        <v>170</v>
      </c>
      <c r="N1231" s="5" t="s">
        <v>1529</v>
      </c>
      <c r="O1231" s="7">
        <v>46171</v>
      </c>
    </row>
    <row r="1232" spans="1:15" x14ac:dyDescent="0.25">
      <c r="A1232" s="5" t="s">
        <v>4</v>
      </c>
      <c r="B1232" s="5" t="s">
        <v>4786</v>
      </c>
      <c r="D1232" s="5" t="s">
        <v>1194</v>
      </c>
      <c r="E1232" s="5" t="s">
        <v>4787</v>
      </c>
      <c r="F1232" s="5" t="s">
        <v>1738</v>
      </c>
      <c r="G1232" s="6">
        <v>46058.42083333333</v>
      </c>
      <c r="H1232" s="7">
        <v>46065</v>
      </c>
      <c r="I1232" s="5" t="s">
        <v>4788</v>
      </c>
      <c r="J1232" s="7">
        <v>46066</v>
      </c>
      <c r="K1232" s="5" t="s">
        <v>1527</v>
      </c>
      <c r="L1232" s="5" t="s">
        <v>1564</v>
      </c>
      <c r="M1232" s="8">
        <v>170</v>
      </c>
      <c r="N1232" s="5" t="s">
        <v>1536</v>
      </c>
      <c r="O1232" s="7">
        <v>46066</v>
      </c>
    </row>
    <row r="1233" spans="1:15" x14ac:dyDescent="0.25">
      <c r="A1233" s="5" t="s">
        <v>4</v>
      </c>
      <c r="B1233" s="5" t="s">
        <v>4789</v>
      </c>
      <c r="D1233" s="5" t="s">
        <v>1285</v>
      </c>
      <c r="E1233" s="5" t="s">
        <v>2261</v>
      </c>
      <c r="F1233" s="5" t="s">
        <v>1738</v>
      </c>
      <c r="G1233" s="6">
        <v>46085.675694444442</v>
      </c>
      <c r="H1233" s="7">
        <v>46087</v>
      </c>
      <c r="I1233" s="5" t="s">
        <v>4790</v>
      </c>
      <c r="J1233" s="7">
        <v>46090</v>
      </c>
      <c r="K1233" s="5" t="s">
        <v>1527</v>
      </c>
      <c r="L1233" s="5" t="s">
        <v>1564</v>
      </c>
      <c r="M1233" s="8">
        <v>170</v>
      </c>
      <c r="N1233" s="5" t="s">
        <v>1536</v>
      </c>
      <c r="O1233" s="7">
        <v>46090</v>
      </c>
    </row>
    <row r="1234" spans="1:15" x14ac:dyDescent="0.25">
      <c r="A1234" s="5" t="s">
        <v>4</v>
      </c>
      <c r="B1234" s="5" t="s">
        <v>4791</v>
      </c>
      <c r="D1234" s="5" t="s">
        <v>791</v>
      </c>
      <c r="E1234" s="5" t="s">
        <v>4792</v>
      </c>
      <c r="F1234" s="5" t="s">
        <v>1770</v>
      </c>
      <c r="G1234" s="6">
        <v>46111.64166666667</v>
      </c>
      <c r="H1234" s="7">
        <v>46125</v>
      </c>
      <c r="I1234" s="6">
        <v>46125.413888888892</v>
      </c>
      <c r="J1234" s="7">
        <v>46118</v>
      </c>
      <c r="K1234" s="5" t="s">
        <v>1527</v>
      </c>
      <c r="L1234" s="5" t="s">
        <v>1564</v>
      </c>
      <c r="M1234" s="8">
        <v>170</v>
      </c>
      <c r="N1234" s="5" t="s">
        <v>1536</v>
      </c>
      <c r="O1234" s="7">
        <v>46118</v>
      </c>
    </row>
    <row r="1235" spans="1:15" hidden="1" x14ac:dyDescent="0.25">
      <c r="A1235" s="5" t="s">
        <v>1522</v>
      </c>
      <c r="B1235" s="5" t="s">
        <v>4793</v>
      </c>
      <c r="D1235" s="5" t="s">
        <v>1236</v>
      </c>
      <c r="E1235" s="5" t="s">
        <v>4794</v>
      </c>
      <c r="F1235" s="5" t="s">
        <v>1548</v>
      </c>
      <c r="G1235" s="6">
        <v>46170.456944444442</v>
      </c>
      <c r="H1235" s="7">
        <v>46178</v>
      </c>
      <c r="I1235" s="5" t="s">
        <v>4795</v>
      </c>
      <c r="J1235" s="7">
        <v>46181</v>
      </c>
      <c r="K1235" s="5" t="s">
        <v>1527</v>
      </c>
      <c r="L1235" s="5" t="s">
        <v>1528</v>
      </c>
      <c r="M1235" s="8">
        <v>168</v>
      </c>
      <c r="N1235" s="5" t="s">
        <v>1536</v>
      </c>
      <c r="O1235" s="7">
        <v>46181</v>
      </c>
    </row>
    <row r="1236" spans="1:15" x14ac:dyDescent="0.25">
      <c r="A1236" s="5" t="s">
        <v>4</v>
      </c>
      <c r="B1236" s="5" t="s">
        <v>4796</v>
      </c>
      <c r="D1236" s="5" t="s">
        <v>1472</v>
      </c>
      <c r="E1236" s="5" t="s">
        <v>4317</v>
      </c>
      <c r="F1236" s="5" t="s">
        <v>1532</v>
      </c>
      <c r="G1236" s="6">
        <v>46125.615972222222</v>
      </c>
      <c r="H1236" s="7">
        <v>46128</v>
      </c>
      <c r="I1236" s="6">
        <v>46128.762499999997</v>
      </c>
      <c r="J1236" s="7">
        <v>46128</v>
      </c>
      <c r="K1236" s="5" t="s">
        <v>1527</v>
      </c>
      <c r="L1236" s="5" t="s">
        <v>1535</v>
      </c>
      <c r="M1236" s="8">
        <v>168</v>
      </c>
      <c r="N1236" s="5" t="s">
        <v>1536</v>
      </c>
      <c r="O1236" s="7">
        <v>46128</v>
      </c>
    </row>
    <row r="1237" spans="1:15" x14ac:dyDescent="0.25">
      <c r="A1237" s="5" t="s">
        <v>4</v>
      </c>
      <c r="B1237" s="5" t="s">
        <v>4797</v>
      </c>
      <c r="D1237" s="5" t="s">
        <v>1292</v>
      </c>
      <c r="E1237" s="5" t="s">
        <v>4798</v>
      </c>
      <c r="F1237" s="5" t="s">
        <v>4799</v>
      </c>
      <c r="G1237" s="6">
        <v>46077.646527777775</v>
      </c>
      <c r="H1237" s="7">
        <v>46084</v>
      </c>
      <c r="I1237" s="6">
        <v>46079.619444444441</v>
      </c>
      <c r="J1237" s="7">
        <v>46079</v>
      </c>
      <c r="K1237" s="5" t="s">
        <v>1527</v>
      </c>
      <c r="L1237" s="5" t="s">
        <v>1621</v>
      </c>
      <c r="M1237" s="8">
        <v>167.74</v>
      </c>
      <c r="N1237" s="5" t="s">
        <v>1536</v>
      </c>
      <c r="O1237" s="7">
        <v>46079</v>
      </c>
    </row>
    <row r="1238" spans="1:15" x14ac:dyDescent="0.25">
      <c r="A1238" s="5" t="s">
        <v>4</v>
      </c>
      <c r="B1238" s="5" t="s">
        <v>4800</v>
      </c>
      <c r="D1238" s="5" t="s">
        <v>240</v>
      </c>
      <c r="E1238" s="5" t="s">
        <v>4801</v>
      </c>
      <c r="F1238" s="5" t="s">
        <v>4802</v>
      </c>
      <c r="G1238" s="6">
        <v>46161.718055555553</v>
      </c>
      <c r="H1238" s="7">
        <v>46168</v>
      </c>
      <c r="I1238" s="5" t="s">
        <v>4803</v>
      </c>
      <c r="J1238" s="7">
        <v>46170</v>
      </c>
      <c r="K1238" s="5" t="s">
        <v>1527</v>
      </c>
      <c r="L1238" s="5" t="s">
        <v>1621</v>
      </c>
      <c r="M1238" s="8">
        <v>166.63</v>
      </c>
      <c r="N1238" s="5" t="s">
        <v>1536</v>
      </c>
      <c r="O1238" s="7">
        <v>46170</v>
      </c>
    </row>
    <row r="1239" spans="1:15" x14ac:dyDescent="0.25">
      <c r="A1239" s="5" t="s">
        <v>4</v>
      </c>
      <c r="B1239" s="5" t="s">
        <v>4804</v>
      </c>
      <c r="D1239" s="5" t="s">
        <v>251</v>
      </c>
      <c r="E1239" s="5" t="s">
        <v>4805</v>
      </c>
      <c r="F1239" s="5" t="s">
        <v>4806</v>
      </c>
      <c r="G1239" s="6">
        <v>46083.418055555558</v>
      </c>
      <c r="H1239" s="7">
        <v>46122</v>
      </c>
      <c r="I1239" s="5" t="s">
        <v>4807</v>
      </c>
      <c r="J1239" s="7">
        <v>46119</v>
      </c>
      <c r="K1239" s="5" t="s">
        <v>1527</v>
      </c>
      <c r="L1239" s="5" t="s">
        <v>1535</v>
      </c>
      <c r="M1239" s="8">
        <v>166</v>
      </c>
      <c r="N1239" s="5" t="s">
        <v>1536</v>
      </c>
      <c r="O1239" s="7">
        <v>46119</v>
      </c>
    </row>
    <row r="1240" spans="1:15" x14ac:dyDescent="0.25">
      <c r="A1240" s="5" t="s">
        <v>4</v>
      </c>
      <c r="B1240" s="5" t="s">
        <v>4808</v>
      </c>
      <c r="D1240" s="5" t="s">
        <v>1418</v>
      </c>
      <c r="E1240" s="5" t="s">
        <v>4809</v>
      </c>
      <c r="F1240" s="5" t="s">
        <v>4810</v>
      </c>
      <c r="G1240" s="6">
        <v>46107.663194444445</v>
      </c>
      <c r="H1240" s="7">
        <v>46118</v>
      </c>
      <c r="I1240" s="5" t="s">
        <v>4811</v>
      </c>
      <c r="J1240" s="7">
        <v>46125</v>
      </c>
      <c r="K1240" s="5" t="s">
        <v>1527</v>
      </c>
      <c r="L1240" s="5" t="s">
        <v>1535</v>
      </c>
      <c r="M1240" s="8">
        <v>166</v>
      </c>
      <c r="N1240" s="5" t="s">
        <v>1536</v>
      </c>
      <c r="O1240" s="7">
        <v>46125</v>
      </c>
    </row>
    <row r="1241" spans="1:15" x14ac:dyDescent="0.25">
      <c r="A1241" s="5" t="s">
        <v>4</v>
      </c>
      <c r="B1241" s="5" t="s">
        <v>4812</v>
      </c>
      <c r="D1241" s="5" t="s">
        <v>902</v>
      </c>
      <c r="E1241" s="5" t="s">
        <v>4813</v>
      </c>
      <c r="F1241" s="5" t="s">
        <v>1548</v>
      </c>
      <c r="G1241" s="6">
        <v>46057.414583333331</v>
      </c>
      <c r="H1241" s="7">
        <v>46070</v>
      </c>
      <c r="I1241" s="5" t="s">
        <v>3946</v>
      </c>
      <c r="J1241" s="7">
        <v>46071</v>
      </c>
      <c r="K1241" s="5" t="s">
        <v>1527</v>
      </c>
      <c r="L1241" s="5" t="s">
        <v>1564</v>
      </c>
      <c r="M1241" s="8">
        <v>165</v>
      </c>
      <c r="N1241" s="5" t="s">
        <v>1536</v>
      </c>
      <c r="O1241" s="7">
        <v>46071</v>
      </c>
    </row>
    <row r="1242" spans="1:15" x14ac:dyDescent="0.25">
      <c r="A1242" s="5" t="s">
        <v>4</v>
      </c>
      <c r="B1242" s="5" t="s">
        <v>4814</v>
      </c>
      <c r="D1242" s="5" t="s">
        <v>107</v>
      </c>
      <c r="E1242" s="5" t="s">
        <v>4815</v>
      </c>
      <c r="F1242" s="5" t="s">
        <v>1759</v>
      </c>
      <c r="G1242" s="6">
        <v>46083.474999999999</v>
      </c>
      <c r="H1242" s="7">
        <v>46094</v>
      </c>
      <c r="I1242" s="6">
        <v>46090.636111111111</v>
      </c>
      <c r="J1242" s="7">
        <v>46090</v>
      </c>
      <c r="K1242" s="5" t="s">
        <v>1527</v>
      </c>
      <c r="L1242" s="5" t="s">
        <v>1564</v>
      </c>
      <c r="M1242" s="8">
        <v>165</v>
      </c>
      <c r="N1242" s="5" t="s">
        <v>1536</v>
      </c>
      <c r="O1242" s="7">
        <v>46090</v>
      </c>
    </row>
    <row r="1243" spans="1:15" x14ac:dyDescent="0.25">
      <c r="A1243" s="5" t="s">
        <v>4</v>
      </c>
      <c r="B1243" s="5" t="s">
        <v>4816</v>
      </c>
      <c r="D1243" s="5" t="s">
        <v>894</v>
      </c>
      <c r="E1243" s="5" t="s">
        <v>4817</v>
      </c>
      <c r="F1243" s="5" t="s">
        <v>4818</v>
      </c>
      <c r="G1243" s="6">
        <v>46093.548611111109</v>
      </c>
      <c r="H1243" s="7">
        <v>46106</v>
      </c>
      <c r="I1243" s="5" t="s">
        <v>4819</v>
      </c>
      <c r="J1243" s="7">
        <v>46105</v>
      </c>
      <c r="K1243" s="5" t="s">
        <v>1527</v>
      </c>
      <c r="L1243" s="5" t="s">
        <v>1564</v>
      </c>
      <c r="M1243" s="8">
        <v>165</v>
      </c>
      <c r="N1243" s="5" t="s">
        <v>1536</v>
      </c>
      <c r="O1243" s="7">
        <v>46105</v>
      </c>
    </row>
    <row r="1244" spans="1:15" x14ac:dyDescent="0.25">
      <c r="A1244" s="5" t="s">
        <v>4</v>
      </c>
      <c r="B1244" s="5" t="s">
        <v>4820</v>
      </c>
      <c r="D1244" s="5" t="s">
        <v>282</v>
      </c>
      <c r="E1244" s="5" t="s">
        <v>4821</v>
      </c>
      <c r="F1244" s="5" t="s">
        <v>1759</v>
      </c>
      <c r="G1244" s="6">
        <v>46132.491666666669</v>
      </c>
      <c r="H1244" s="7">
        <v>46147</v>
      </c>
      <c r="I1244" s="6">
        <v>46141.612500000003</v>
      </c>
      <c r="J1244" s="7">
        <v>46141</v>
      </c>
      <c r="K1244" s="5" t="s">
        <v>1527</v>
      </c>
      <c r="L1244" s="5" t="s">
        <v>1564</v>
      </c>
      <c r="M1244" s="8">
        <v>165</v>
      </c>
      <c r="N1244" s="5" t="s">
        <v>1536</v>
      </c>
      <c r="O1244" s="7">
        <v>46141</v>
      </c>
    </row>
    <row r="1245" spans="1:15" x14ac:dyDescent="0.25">
      <c r="A1245" s="5" t="s">
        <v>4</v>
      </c>
      <c r="B1245" s="5" t="s">
        <v>4822</v>
      </c>
      <c r="D1245" s="5" t="s">
        <v>324</v>
      </c>
      <c r="E1245" s="5" t="s">
        <v>4823</v>
      </c>
      <c r="F1245" s="5" t="s">
        <v>4824</v>
      </c>
      <c r="G1245" s="6">
        <v>46057.745138888888</v>
      </c>
      <c r="H1245" s="7">
        <v>46064</v>
      </c>
      <c r="I1245" s="5" t="s">
        <v>4825</v>
      </c>
      <c r="J1245" s="7">
        <v>46065</v>
      </c>
      <c r="K1245" s="5" t="s">
        <v>1527</v>
      </c>
      <c r="L1245" s="5" t="s">
        <v>1621</v>
      </c>
      <c r="M1245" s="8">
        <v>164.9</v>
      </c>
      <c r="N1245" s="5" t="s">
        <v>1536</v>
      </c>
      <c r="O1245" s="7">
        <v>46065</v>
      </c>
    </row>
    <row r="1246" spans="1:15" x14ac:dyDescent="0.25">
      <c r="A1246" s="5" t="s">
        <v>4</v>
      </c>
      <c r="B1246" s="5" t="s">
        <v>4826</v>
      </c>
      <c r="D1246" s="5" t="s">
        <v>1215</v>
      </c>
      <c r="E1246" s="5" t="s">
        <v>4827</v>
      </c>
      <c r="F1246" s="5" t="s">
        <v>1663</v>
      </c>
      <c r="G1246" s="6">
        <v>46100.717361111114</v>
      </c>
      <c r="H1246" s="7">
        <v>46113</v>
      </c>
      <c r="I1246" s="6">
        <v>46108.65347222222</v>
      </c>
      <c r="J1246" s="7">
        <v>46108</v>
      </c>
      <c r="K1246" s="5" t="s">
        <v>1527</v>
      </c>
      <c r="L1246" s="5" t="s">
        <v>1564</v>
      </c>
      <c r="M1246" s="8">
        <v>164.8</v>
      </c>
      <c r="N1246" s="5" t="s">
        <v>1536</v>
      </c>
      <c r="O1246" s="7">
        <v>46108</v>
      </c>
    </row>
    <row r="1247" spans="1:15" x14ac:dyDescent="0.25">
      <c r="A1247" s="5" t="s">
        <v>4</v>
      </c>
      <c r="B1247" s="5" t="s">
        <v>4828</v>
      </c>
      <c r="D1247" s="5" t="s">
        <v>583</v>
      </c>
      <c r="E1247" s="5" t="s">
        <v>4829</v>
      </c>
      <c r="F1247" s="5" t="s">
        <v>1663</v>
      </c>
      <c r="G1247" s="6">
        <v>46154.714583333334</v>
      </c>
      <c r="H1247" s="7">
        <v>46167</v>
      </c>
      <c r="I1247" s="6">
        <v>46162.43472222222</v>
      </c>
      <c r="J1247" s="7">
        <v>46162</v>
      </c>
      <c r="K1247" s="5" t="s">
        <v>1527</v>
      </c>
      <c r="L1247" s="5" t="s">
        <v>1564</v>
      </c>
      <c r="M1247" s="8">
        <v>164.8</v>
      </c>
      <c r="N1247" s="5" t="s">
        <v>1536</v>
      </c>
      <c r="O1247" s="7">
        <v>46162</v>
      </c>
    </row>
    <row r="1248" spans="1:15" x14ac:dyDescent="0.25">
      <c r="A1248" s="5" t="s">
        <v>4</v>
      </c>
      <c r="B1248" s="5" t="s">
        <v>4830</v>
      </c>
      <c r="D1248" s="5" t="s">
        <v>492</v>
      </c>
      <c r="E1248" s="5" t="s">
        <v>4831</v>
      </c>
      <c r="F1248" s="5" t="s">
        <v>4832</v>
      </c>
      <c r="G1248" s="6">
        <v>46164.638194444444</v>
      </c>
      <c r="H1248" s="7">
        <v>46168</v>
      </c>
      <c r="I1248" s="6">
        <v>46164.7</v>
      </c>
      <c r="J1248" s="7">
        <v>46164</v>
      </c>
      <c r="K1248" s="5" t="s">
        <v>1527</v>
      </c>
      <c r="L1248" s="5" t="s">
        <v>1564</v>
      </c>
      <c r="M1248" s="8">
        <v>164.8</v>
      </c>
      <c r="N1248" s="5" t="s">
        <v>1536</v>
      </c>
      <c r="O1248" s="7">
        <v>46164</v>
      </c>
    </row>
    <row r="1249" spans="1:15" hidden="1" x14ac:dyDescent="0.25">
      <c r="A1249" s="5" t="s">
        <v>1522</v>
      </c>
      <c r="B1249" s="5" t="s">
        <v>4833</v>
      </c>
      <c r="D1249" s="5" t="s">
        <v>1431</v>
      </c>
      <c r="E1249" s="5" t="s">
        <v>4834</v>
      </c>
      <c r="F1249" s="5" t="s">
        <v>4835</v>
      </c>
      <c r="G1249" s="6">
        <v>46169.707638888889</v>
      </c>
      <c r="H1249" s="7">
        <v>46177</v>
      </c>
      <c r="I1249" s="5" t="s">
        <v>1533</v>
      </c>
      <c r="J1249" s="5" t="s">
        <v>1533</v>
      </c>
      <c r="K1249" s="5" t="s">
        <v>1540</v>
      </c>
      <c r="L1249" s="5" t="s">
        <v>1528</v>
      </c>
      <c r="M1249" s="8">
        <v>164.5</v>
      </c>
      <c r="N1249" s="5" t="s">
        <v>1541</v>
      </c>
      <c r="O1249" s="5" t="s">
        <v>1533</v>
      </c>
    </row>
    <row r="1250" spans="1:15" x14ac:dyDescent="0.25">
      <c r="A1250" s="5" t="s">
        <v>4</v>
      </c>
      <c r="B1250" s="5" t="s">
        <v>4836</v>
      </c>
      <c r="D1250" s="5" t="s">
        <v>1071</v>
      </c>
      <c r="E1250" s="5" t="s">
        <v>4837</v>
      </c>
      <c r="F1250" s="5" t="s">
        <v>4838</v>
      </c>
      <c r="G1250" s="6">
        <v>46051.606944444444</v>
      </c>
      <c r="H1250" s="7">
        <v>46057</v>
      </c>
      <c r="I1250" s="6">
        <v>46057.663888888892</v>
      </c>
      <c r="J1250" s="7">
        <v>46057</v>
      </c>
      <c r="K1250" s="5" t="s">
        <v>1527</v>
      </c>
      <c r="L1250" s="5" t="s">
        <v>1621</v>
      </c>
      <c r="M1250" s="9">
        <v>164.18</v>
      </c>
      <c r="N1250" s="5" t="s">
        <v>1536</v>
      </c>
      <c r="O1250" s="7">
        <v>46057</v>
      </c>
    </row>
    <row r="1251" spans="1:15" x14ac:dyDescent="0.25">
      <c r="A1251" s="5" t="s">
        <v>4</v>
      </c>
      <c r="B1251" s="5" t="s">
        <v>4839</v>
      </c>
      <c r="D1251" s="5" t="s">
        <v>1398</v>
      </c>
      <c r="E1251" s="5" t="s">
        <v>1838</v>
      </c>
      <c r="F1251" s="5" t="s">
        <v>1548</v>
      </c>
      <c r="G1251" s="6">
        <v>46051.622916666667</v>
      </c>
      <c r="H1251" s="7">
        <v>46062</v>
      </c>
      <c r="I1251" s="5" t="s">
        <v>4840</v>
      </c>
      <c r="J1251" s="7">
        <v>46072</v>
      </c>
      <c r="K1251" s="5" t="s">
        <v>1527</v>
      </c>
      <c r="L1251" s="5" t="s">
        <v>1535</v>
      </c>
      <c r="M1251" s="8">
        <v>164</v>
      </c>
      <c r="N1251" s="5" t="s">
        <v>1536</v>
      </c>
      <c r="O1251" s="7">
        <v>46072</v>
      </c>
    </row>
    <row r="1252" spans="1:15" x14ac:dyDescent="0.25">
      <c r="A1252" s="5" t="s">
        <v>4</v>
      </c>
      <c r="B1252" s="5" t="s">
        <v>4841</v>
      </c>
      <c r="D1252" s="5" t="s">
        <v>196</v>
      </c>
      <c r="E1252" s="5" t="s">
        <v>4842</v>
      </c>
      <c r="F1252" s="5" t="s">
        <v>4843</v>
      </c>
      <c r="G1252" s="6">
        <v>46034.648611111108</v>
      </c>
      <c r="H1252" s="7">
        <v>46042</v>
      </c>
      <c r="I1252" s="5" t="s">
        <v>4844</v>
      </c>
      <c r="J1252" s="7">
        <v>46051</v>
      </c>
      <c r="K1252" s="5" t="s">
        <v>1527</v>
      </c>
      <c r="L1252" s="5" t="s">
        <v>1621</v>
      </c>
      <c r="M1252" s="8">
        <v>163.63999999999999</v>
      </c>
      <c r="N1252" s="5" t="s">
        <v>1536</v>
      </c>
      <c r="O1252" s="7">
        <v>46051</v>
      </c>
    </row>
    <row r="1253" spans="1:15" x14ac:dyDescent="0.25">
      <c r="A1253" s="5" t="s">
        <v>4</v>
      </c>
      <c r="B1253" s="5" t="s">
        <v>4845</v>
      </c>
      <c r="D1253" s="5" t="s">
        <v>827</v>
      </c>
      <c r="E1253" s="5" t="s">
        <v>4846</v>
      </c>
      <c r="F1253" s="5" t="s">
        <v>4847</v>
      </c>
      <c r="G1253" s="6">
        <v>46084.675000000003</v>
      </c>
      <c r="H1253" s="7">
        <v>46090</v>
      </c>
      <c r="I1253" s="6">
        <v>46090.635416666664</v>
      </c>
      <c r="J1253" s="7">
        <v>46090</v>
      </c>
      <c r="K1253" s="5" t="s">
        <v>1527</v>
      </c>
      <c r="L1253" s="5" t="s">
        <v>1621</v>
      </c>
      <c r="M1253" s="8">
        <v>163.63</v>
      </c>
      <c r="N1253" s="5" t="s">
        <v>1536</v>
      </c>
      <c r="O1253" s="7">
        <v>46090</v>
      </c>
    </row>
    <row r="1254" spans="1:15" hidden="1" x14ac:dyDescent="0.25">
      <c r="A1254" s="5" t="s">
        <v>1522</v>
      </c>
      <c r="B1254" s="5">
        <v>37866</v>
      </c>
      <c r="D1254" s="5" t="s">
        <v>893</v>
      </c>
      <c r="E1254" s="5" t="s">
        <v>4848</v>
      </c>
      <c r="F1254" s="5" t="s">
        <v>4849</v>
      </c>
      <c r="G1254" s="6">
        <v>46035.39166666667</v>
      </c>
      <c r="H1254" s="7">
        <v>46041</v>
      </c>
      <c r="I1254" s="6">
        <v>46037.633333333331</v>
      </c>
      <c r="J1254" s="7">
        <v>46037</v>
      </c>
      <c r="K1254" s="5" t="s">
        <v>1527</v>
      </c>
      <c r="L1254" s="5" t="s">
        <v>1528</v>
      </c>
      <c r="M1254" s="8">
        <v>163.29</v>
      </c>
      <c r="N1254" s="5" t="s">
        <v>1536</v>
      </c>
      <c r="O1254" s="7">
        <v>46037</v>
      </c>
    </row>
    <row r="1255" spans="1:15" x14ac:dyDescent="0.25">
      <c r="A1255" s="5" t="s">
        <v>4</v>
      </c>
      <c r="B1255" s="5" t="s">
        <v>4850</v>
      </c>
      <c r="D1255" s="5" t="s">
        <v>22</v>
      </c>
      <c r="E1255" s="5" t="s">
        <v>4851</v>
      </c>
      <c r="F1255" s="5" t="s">
        <v>4852</v>
      </c>
      <c r="G1255" s="6">
        <v>46121.783333333333</v>
      </c>
      <c r="H1255" s="7">
        <v>46128</v>
      </c>
      <c r="I1255" s="6">
        <v>46126.635416666664</v>
      </c>
      <c r="J1255" s="7">
        <v>46125</v>
      </c>
      <c r="K1255" s="5" t="s">
        <v>1527</v>
      </c>
      <c r="L1255" s="5" t="s">
        <v>1564</v>
      </c>
      <c r="M1255" s="8">
        <v>163.27000000000001</v>
      </c>
      <c r="N1255" s="5" t="s">
        <v>1536</v>
      </c>
      <c r="O1255" s="7">
        <v>46125</v>
      </c>
    </row>
    <row r="1256" spans="1:15" x14ac:dyDescent="0.25">
      <c r="A1256" s="5" t="s">
        <v>4</v>
      </c>
      <c r="B1256" s="5" t="s">
        <v>4853</v>
      </c>
      <c r="D1256" s="5" t="s">
        <v>164</v>
      </c>
      <c r="E1256" s="5" t="s">
        <v>4854</v>
      </c>
      <c r="F1256" s="5" t="s">
        <v>4855</v>
      </c>
      <c r="G1256" s="6">
        <v>46111.640277777777</v>
      </c>
      <c r="H1256" s="7">
        <v>46118</v>
      </c>
      <c r="I1256" s="6">
        <v>46112.73333333333</v>
      </c>
      <c r="J1256" s="7">
        <v>46112</v>
      </c>
      <c r="K1256" s="5" t="s">
        <v>1527</v>
      </c>
      <c r="L1256" s="5" t="s">
        <v>1621</v>
      </c>
      <c r="M1256" s="8">
        <v>162.93</v>
      </c>
      <c r="N1256" s="5" t="s">
        <v>1536</v>
      </c>
      <c r="O1256" s="7">
        <v>46112</v>
      </c>
    </row>
    <row r="1257" spans="1:15" x14ac:dyDescent="0.25">
      <c r="A1257" s="5" t="s">
        <v>4</v>
      </c>
      <c r="B1257" s="5" t="s">
        <v>4856</v>
      </c>
      <c r="D1257" s="5" t="s">
        <v>943</v>
      </c>
      <c r="E1257" s="5" t="s">
        <v>4857</v>
      </c>
      <c r="F1257" s="5" t="s">
        <v>4858</v>
      </c>
      <c r="G1257" s="6">
        <v>46048.701388888891</v>
      </c>
      <c r="H1257" s="7">
        <v>46055</v>
      </c>
      <c r="I1257" s="6">
        <v>46052.604861111111</v>
      </c>
      <c r="J1257" s="7">
        <v>46052</v>
      </c>
      <c r="K1257" s="5" t="s">
        <v>1527</v>
      </c>
      <c r="L1257" s="5" t="s">
        <v>1621</v>
      </c>
      <c r="M1257" s="8">
        <v>162.77000000000001</v>
      </c>
      <c r="N1257" s="5" t="s">
        <v>1536</v>
      </c>
      <c r="O1257" s="7">
        <v>46052</v>
      </c>
    </row>
    <row r="1258" spans="1:15" hidden="1" x14ac:dyDescent="0.25">
      <c r="A1258" s="5" t="s">
        <v>1522</v>
      </c>
      <c r="B1258" s="5" t="s">
        <v>4859</v>
      </c>
      <c r="D1258" s="5" t="s">
        <v>1507</v>
      </c>
      <c r="E1258" s="5" t="s">
        <v>2247</v>
      </c>
      <c r="F1258" s="5" t="s">
        <v>2306</v>
      </c>
      <c r="G1258" s="6">
        <v>46043.313194444447</v>
      </c>
      <c r="H1258" s="7">
        <v>46051</v>
      </c>
      <c r="I1258" s="6">
        <v>46051.691666666666</v>
      </c>
      <c r="J1258" s="7">
        <v>46051</v>
      </c>
      <c r="K1258" s="5" t="s">
        <v>1527</v>
      </c>
      <c r="L1258" s="5" t="s">
        <v>1528</v>
      </c>
      <c r="M1258" s="8">
        <v>162</v>
      </c>
      <c r="N1258" s="5" t="s">
        <v>1536</v>
      </c>
      <c r="O1258" s="7">
        <v>46051</v>
      </c>
    </row>
    <row r="1259" spans="1:15" x14ac:dyDescent="0.25">
      <c r="A1259" s="5" t="s">
        <v>4</v>
      </c>
      <c r="B1259" s="5" t="s">
        <v>4860</v>
      </c>
      <c r="D1259" s="5" t="s">
        <v>1497</v>
      </c>
      <c r="E1259" s="5" t="s">
        <v>1600</v>
      </c>
      <c r="F1259" s="5" t="s">
        <v>1532</v>
      </c>
      <c r="G1259" s="6">
        <v>46028.720833333333</v>
      </c>
      <c r="H1259" s="7">
        <v>46037</v>
      </c>
      <c r="I1259" s="5" t="s">
        <v>4861</v>
      </c>
      <c r="J1259" s="7">
        <v>46038</v>
      </c>
      <c r="K1259" s="5" t="s">
        <v>1527</v>
      </c>
      <c r="L1259" s="5" t="s">
        <v>1535</v>
      </c>
      <c r="M1259" s="8">
        <v>162</v>
      </c>
      <c r="N1259" s="5" t="s">
        <v>1536</v>
      </c>
      <c r="O1259" s="7">
        <v>46038</v>
      </c>
    </row>
    <row r="1260" spans="1:15" x14ac:dyDescent="0.25">
      <c r="A1260" s="5" t="s">
        <v>4</v>
      </c>
      <c r="B1260" s="5" t="s">
        <v>4862</v>
      </c>
      <c r="D1260" s="5" t="s">
        <v>873</v>
      </c>
      <c r="E1260" s="5" t="s">
        <v>4863</v>
      </c>
      <c r="F1260" s="5" t="s">
        <v>1532</v>
      </c>
      <c r="G1260" s="6">
        <v>46071.661805555559</v>
      </c>
      <c r="H1260" s="7">
        <v>46080</v>
      </c>
      <c r="I1260" s="6">
        <v>46080.67291666667</v>
      </c>
      <c r="J1260" s="7">
        <v>46080</v>
      </c>
      <c r="K1260" s="5" t="s">
        <v>1527</v>
      </c>
      <c r="L1260" s="5" t="s">
        <v>1535</v>
      </c>
      <c r="M1260" s="8">
        <v>161.9</v>
      </c>
      <c r="N1260" s="5" t="s">
        <v>1536</v>
      </c>
      <c r="O1260" s="7">
        <v>46080</v>
      </c>
    </row>
    <row r="1261" spans="1:15" x14ac:dyDescent="0.25">
      <c r="A1261" s="5" t="s">
        <v>4</v>
      </c>
      <c r="B1261" s="5" t="s">
        <v>4864</v>
      </c>
      <c r="D1261" s="5" t="s">
        <v>1142</v>
      </c>
      <c r="E1261" s="5" t="s">
        <v>4865</v>
      </c>
      <c r="F1261" s="5" t="s">
        <v>4866</v>
      </c>
      <c r="G1261" s="6">
        <v>46162.638888888891</v>
      </c>
      <c r="H1261" s="7">
        <v>46169</v>
      </c>
      <c r="I1261" s="5" t="s">
        <v>4867</v>
      </c>
      <c r="J1261" s="7">
        <v>46171</v>
      </c>
      <c r="K1261" s="5" t="s">
        <v>1527</v>
      </c>
      <c r="L1261" s="5" t="s">
        <v>1621</v>
      </c>
      <c r="M1261" s="8">
        <v>161.71</v>
      </c>
      <c r="N1261" s="5" t="s">
        <v>1536</v>
      </c>
      <c r="O1261" s="7">
        <v>46171</v>
      </c>
    </row>
    <row r="1262" spans="1:15" x14ac:dyDescent="0.25">
      <c r="A1262" s="5" t="s">
        <v>4</v>
      </c>
      <c r="B1262" s="5" t="s">
        <v>4868</v>
      </c>
      <c r="D1262" s="5" t="s">
        <v>1218</v>
      </c>
      <c r="E1262" s="5" t="s">
        <v>4869</v>
      </c>
      <c r="F1262" s="5" t="s">
        <v>4870</v>
      </c>
      <c r="G1262" s="6">
        <v>46049.654861111114</v>
      </c>
      <c r="H1262" s="7">
        <v>46057</v>
      </c>
      <c r="I1262" s="5" t="s">
        <v>4871</v>
      </c>
      <c r="J1262" s="7">
        <v>46069</v>
      </c>
      <c r="K1262" s="5" t="s">
        <v>1527</v>
      </c>
      <c r="L1262" s="5" t="s">
        <v>1621</v>
      </c>
      <c r="M1262" s="8">
        <v>161.31</v>
      </c>
      <c r="N1262" s="5" t="s">
        <v>1536</v>
      </c>
      <c r="O1262" s="7">
        <v>46069</v>
      </c>
    </row>
    <row r="1263" spans="1:15" x14ac:dyDescent="0.25">
      <c r="A1263" s="5" t="s">
        <v>4</v>
      </c>
      <c r="B1263" s="5" t="s">
        <v>4872</v>
      </c>
      <c r="D1263" s="5" t="s">
        <v>823</v>
      </c>
      <c r="E1263" s="5" t="s">
        <v>4873</v>
      </c>
      <c r="F1263" s="5" t="s">
        <v>4874</v>
      </c>
      <c r="G1263" s="6">
        <v>46028.609722222223</v>
      </c>
      <c r="H1263" s="7">
        <v>46035</v>
      </c>
      <c r="I1263" s="6">
        <v>46031.615972222222</v>
      </c>
      <c r="J1263" s="7">
        <v>46031</v>
      </c>
      <c r="K1263" s="5" t="s">
        <v>1527</v>
      </c>
      <c r="L1263" s="5" t="s">
        <v>1621</v>
      </c>
      <c r="M1263" s="9">
        <v>160.71</v>
      </c>
      <c r="N1263" s="5" t="s">
        <v>1536</v>
      </c>
      <c r="O1263" s="7">
        <v>46031</v>
      </c>
    </row>
    <row r="1264" spans="1:15" x14ac:dyDescent="0.25">
      <c r="A1264" s="5" t="s">
        <v>4</v>
      </c>
      <c r="B1264" s="5" t="s">
        <v>4875</v>
      </c>
      <c r="D1264" s="5" t="s">
        <v>493</v>
      </c>
      <c r="E1264" s="5" t="s">
        <v>4876</v>
      </c>
      <c r="F1264" s="5" t="s">
        <v>4877</v>
      </c>
      <c r="G1264" s="6">
        <v>46146.701388888891</v>
      </c>
      <c r="H1264" s="7">
        <v>46153</v>
      </c>
      <c r="I1264" s="6">
        <v>46148.598611111112</v>
      </c>
      <c r="J1264" s="7">
        <v>46148</v>
      </c>
      <c r="K1264" s="5" t="s">
        <v>1527</v>
      </c>
      <c r="L1264" s="5" t="s">
        <v>1621</v>
      </c>
      <c r="M1264" s="8">
        <v>160.26</v>
      </c>
      <c r="N1264" s="5" t="s">
        <v>1529</v>
      </c>
      <c r="O1264" s="7">
        <v>46148</v>
      </c>
    </row>
    <row r="1265" spans="1:15" x14ac:dyDescent="0.25">
      <c r="A1265" s="5" t="s">
        <v>4</v>
      </c>
      <c r="B1265" s="5" t="s">
        <v>4878</v>
      </c>
      <c r="D1265" s="5" t="s">
        <v>1393</v>
      </c>
      <c r="E1265" s="5" t="s">
        <v>4879</v>
      </c>
      <c r="F1265" s="5" t="s">
        <v>1548</v>
      </c>
      <c r="G1265" s="6">
        <v>46028.703472222223</v>
      </c>
      <c r="H1265" s="7">
        <v>46041</v>
      </c>
      <c r="I1265" s="6">
        <v>46035.731249999997</v>
      </c>
      <c r="J1265" s="7">
        <v>46035</v>
      </c>
      <c r="K1265" s="5" t="s">
        <v>1527</v>
      </c>
      <c r="L1265" s="5" t="s">
        <v>1564</v>
      </c>
      <c r="M1265" s="8">
        <v>160</v>
      </c>
      <c r="N1265" s="5" t="s">
        <v>1536</v>
      </c>
      <c r="O1265" s="7">
        <v>46035</v>
      </c>
    </row>
    <row r="1266" spans="1:15" x14ac:dyDescent="0.25">
      <c r="A1266" s="5" t="s">
        <v>4</v>
      </c>
      <c r="B1266" s="5" t="s">
        <v>4880</v>
      </c>
      <c r="D1266" s="5" t="s">
        <v>1393</v>
      </c>
      <c r="E1266" s="5" t="s">
        <v>4879</v>
      </c>
      <c r="F1266" s="5" t="s">
        <v>1548</v>
      </c>
      <c r="G1266" s="6">
        <v>46044.63958333333</v>
      </c>
      <c r="H1266" s="7">
        <v>46057</v>
      </c>
      <c r="I1266" s="5" t="s">
        <v>4881</v>
      </c>
      <c r="J1266" s="7">
        <v>46062</v>
      </c>
      <c r="K1266" s="5" t="s">
        <v>1527</v>
      </c>
      <c r="L1266" s="5" t="s">
        <v>1564</v>
      </c>
      <c r="M1266" s="8">
        <v>160</v>
      </c>
      <c r="N1266" s="5" t="s">
        <v>1536</v>
      </c>
      <c r="O1266" s="7">
        <v>46062</v>
      </c>
    </row>
    <row r="1267" spans="1:15" x14ac:dyDescent="0.25">
      <c r="A1267" s="5" t="s">
        <v>4</v>
      </c>
      <c r="B1267" s="5" t="s">
        <v>4882</v>
      </c>
      <c r="D1267" s="5" t="s">
        <v>569</v>
      </c>
      <c r="E1267" s="5" t="s">
        <v>4883</v>
      </c>
      <c r="F1267" s="5" t="s">
        <v>2637</v>
      </c>
      <c r="G1267" s="6">
        <v>46073.525694444441</v>
      </c>
      <c r="H1267" s="7">
        <v>46073</v>
      </c>
      <c r="I1267" s="5" t="s">
        <v>4884</v>
      </c>
      <c r="J1267" s="7">
        <v>46073</v>
      </c>
      <c r="K1267" s="5" t="s">
        <v>1527</v>
      </c>
      <c r="L1267" s="5" t="s">
        <v>1564</v>
      </c>
      <c r="M1267" s="8">
        <v>160</v>
      </c>
      <c r="N1267" s="5" t="s">
        <v>1536</v>
      </c>
      <c r="O1267" s="7">
        <v>46073</v>
      </c>
    </row>
    <row r="1268" spans="1:15" x14ac:dyDescent="0.25">
      <c r="A1268" s="5" t="s">
        <v>4</v>
      </c>
      <c r="B1268" s="5" t="s">
        <v>4885</v>
      </c>
      <c r="D1268" s="5" t="s">
        <v>949</v>
      </c>
      <c r="E1268" s="5" t="s">
        <v>4886</v>
      </c>
      <c r="F1268" s="5" t="s">
        <v>4887</v>
      </c>
      <c r="G1268" s="6">
        <v>46113.388194444444</v>
      </c>
      <c r="H1268" s="7">
        <v>46127</v>
      </c>
      <c r="I1268" s="5" t="s">
        <v>4888</v>
      </c>
      <c r="J1268" s="7">
        <v>46126</v>
      </c>
      <c r="K1268" s="5" t="s">
        <v>1527</v>
      </c>
      <c r="L1268" s="5" t="s">
        <v>1564</v>
      </c>
      <c r="M1268" s="8">
        <v>160</v>
      </c>
      <c r="N1268" s="5" t="s">
        <v>1536</v>
      </c>
      <c r="O1268" s="7">
        <v>46126</v>
      </c>
    </row>
    <row r="1269" spans="1:15" x14ac:dyDescent="0.25">
      <c r="A1269" s="5" t="s">
        <v>4</v>
      </c>
      <c r="B1269" s="5" t="s">
        <v>4889</v>
      </c>
      <c r="D1269" s="5" t="s">
        <v>395</v>
      </c>
      <c r="E1269" s="5" t="s">
        <v>4890</v>
      </c>
      <c r="F1269" s="5" t="s">
        <v>1738</v>
      </c>
      <c r="G1269" s="6">
        <v>46154.688194444447</v>
      </c>
      <c r="H1269" s="7">
        <v>46167</v>
      </c>
      <c r="I1269" s="5" t="s">
        <v>1533</v>
      </c>
      <c r="J1269" s="7">
        <v>46162</v>
      </c>
      <c r="K1269" s="5" t="s">
        <v>1534</v>
      </c>
      <c r="L1269" s="5" t="s">
        <v>1564</v>
      </c>
      <c r="M1269" s="8">
        <v>160</v>
      </c>
      <c r="N1269" s="5" t="s">
        <v>1536</v>
      </c>
      <c r="O1269" s="7">
        <v>46162</v>
      </c>
    </row>
    <row r="1270" spans="1:15" x14ac:dyDescent="0.25">
      <c r="A1270" s="5" t="s">
        <v>4</v>
      </c>
      <c r="B1270" s="5" t="s">
        <v>4891</v>
      </c>
      <c r="D1270" s="5" t="s">
        <v>495</v>
      </c>
      <c r="E1270" s="5" t="s">
        <v>4892</v>
      </c>
      <c r="F1270" s="5" t="s">
        <v>1548</v>
      </c>
      <c r="G1270" s="6">
        <v>46038.561111111114</v>
      </c>
      <c r="H1270" s="7">
        <v>46051</v>
      </c>
      <c r="I1270" s="6">
        <v>46051.484027777777</v>
      </c>
      <c r="J1270" s="7">
        <v>46051</v>
      </c>
      <c r="K1270" s="5" t="s">
        <v>1527</v>
      </c>
      <c r="L1270" s="5" t="s">
        <v>1564</v>
      </c>
      <c r="M1270" s="8">
        <v>159.99</v>
      </c>
      <c r="N1270" s="5" t="s">
        <v>1536</v>
      </c>
      <c r="O1270" s="7">
        <v>46051</v>
      </c>
    </row>
    <row r="1271" spans="1:15" x14ac:dyDescent="0.25">
      <c r="A1271" s="5" t="s">
        <v>4</v>
      </c>
      <c r="B1271" s="5" t="s">
        <v>4893</v>
      </c>
      <c r="D1271" s="5" t="s">
        <v>1505</v>
      </c>
      <c r="E1271" s="5" t="s">
        <v>4115</v>
      </c>
      <c r="F1271" s="5" t="s">
        <v>4894</v>
      </c>
      <c r="G1271" s="6">
        <v>46065.588888888888</v>
      </c>
      <c r="H1271" s="7">
        <v>46065</v>
      </c>
      <c r="I1271" s="5" t="s">
        <v>3497</v>
      </c>
      <c r="J1271" s="7">
        <v>46065</v>
      </c>
      <c r="K1271" s="5" t="s">
        <v>1527</v>
      </c>
      <c r="L1271" s="5" t="s">
        <v>1535</v>
      </c>
      <c r="M1271" s="8">
        <v>159.9</v>
      </c>
      <c r="N1271" s="5" t="s">
        <v>1536</v>
      </c>
      <c r="O1271" s="7">
        <v>46065</v>
      </c>
    </row>
    <row r="1272" spans="1:15" x14ac:dyDescent="0.25">
      <c r="A1272" s="5" t="s">
        <v>4</v>
      </c>
      <c r="B1272" s="5" t="s">
        <v>4895</v>
      </c>
      <c r="D1272" s="5" t="s">
        <v>1478</v>
      </c>
      <c r="E1272" s="5" t="s">
        <v>3515</v>
      </c>
      <c r="F1272" s="5" t="s">
        <v>3566</v>
      </c>
      <c r="G1272" s="6">
        <v>46083.57708333333</v>
      </c>
      <c r="H1272" s="7">
        <v>46083</v>
      </c>
      <c r="I1272" s="5" t="s">
        <v>4896</v>
      </c>
      <c r="J1272" s="7">
        <v>46083</v>
      </c>
      <c r="K1272" s="5" t="s">
        <v>1527</v>
      </c>
      <c r="L1272" s="5" t="s">
        <v>1564</v>
      </c>
      <c r="M1272" s="8">
        <v>159.9</v>
      </c>
      <c r="N1272" s="5" t="s">
        <v>1536</v>
      </c>
      <c r="O1272" s="7">
        <v>46083</v>
      </c>
    </row>
    <row r="1273" spans="1:15" x14ac:dyDescent="0.25">
      <c r="A1273" s="5" t="s">
        <v>4</v>
      </c>
      <c r="B1273" s="5" t="s">
        <v>4897</v>
      </c>
      <c r="D1273" s="5" t="s">
        <v>1478</v>
      </c>
      <c r="E1273" s="5" t="s">
        <v>3515</v>
      </c>
      <c r="F1273" s="5" t="s">
        <v>4898</v>
      </c>
      <c r="G1273" s="6">
        <v>46083.663194444445</v>
      </c>
      <c r="H1273" s="7">
        <v>46083</v>
      </c>
      <c r="I1273" s="5" t="s">
        <v>4896</v>
      </c>
      <c r="J1273" s="7">
        <v>46083</v>
      </c>
      <c r="K1273" s="5" t="s">
        <v>1527</v>
      </c>
      <c r="L1273" s="5" t="s">
        <v>1564</v>
      </c>
      <c r="M1273" s="8">
        <v>159.9</v>
      </c>
      <c r="N1273" s="5" t="s">
        <v>1536</v>
      </c>
      <c r="O1273" s="7">
        <v>46083</v>
      </c>
    </row>
    <row r="1274" spans="1:15" x14ac:dyDescent="0.25">
      <c r="A1274" s="5" t="s">
        <v>4</v>
      </c>
      <c r="B1274" s="5" t="s">
        <v>4899</v>
      </c>
      <c r="D1274" s="5" t="s">
        <v>1165</v>
      </c>
      <c r="E1274" s="5" t="s">
        <v>4900</v>
      </c>
      <c r="F1274" s="5" t="s">
        <v>2637</v>
      </c>
      <c r="G1274" s="6">
        <v>46097.652083333334</v>
      </c>
      <c r="H1274" s="7">
        <v>46097</v>
      </c>
      <c r="I1274" s="6">
        <v>46097.713888888888</v>
      </c>
      <c r="J1274" s="7">
        <v>46097</v>
      </c>
      <c r="K1274" s="5" t="s">
        <v>1527</v>
      </c>
      <c r="L1274" s="5" t="s">
        <v>1564</v>
      </c>
      <c r="M1274" s="8">
        <v>159.9</v>
      </c>
      <c r="N1274" s="5" t="s">
        <v>1536</v>
      </c>
      <c r="O1274" s="7">
        <v>46097</v>
      </c>
    </row>
    <row r="1275" spans="1:15" x14ac:dyDescent="0.25">
      <c r="A1275" s="5" t="s">
        <v>4</v>
      </c>
      <c r="B1275" s="5" t="s">
        <v>4901</v>
      </c>
      <c r="D1275" s="5" t="s">
        <v>412</v>
      </c>
      <c r="E1275" s="5" t="s">
        <v>4902</v>
      </c>
      <c r="F1275" s="5" t="s">
        <v>4898</v>
      </c>
      <c r="G1275" s="6">
        <v>46112.614583333336</v>
      </c>
      <c r="H1275" s="7">
        <v>46112</v>
      </c>
      <c r="I1275" s="6">
        <v>46112.313194444447</v>
      </c>
      <c r="J1275" s="7">
        <v>46112</v>
      </c>
      <c r="K1275" s="5" t="s">
        <v>1527</v>
      </c>
      <c r="L1275" s="5" t="s">
        <v>1564</v>
      </c>
      <c r="M1275" s="8">
        <v>159.9</v>
      </c>
      <c r="N1275" s="5" t="s">
        <v>1536</v>
      </c>
      <c r="O1275" s="7">
        <v>46112</v>
      </c>
    </row>
    <row r="1276" spans="1:15" hidden="1" x14ac:dyDescent="0.25">
      <c r="A1276" s="5" t="s">
        <v>1522</v>
      </c>
      <c r="B1276" s="5" t="s">
        <v>4903</v>
      </c>
      <c r="D1276" s="5" t="s">
        <v>1510</v>
      </c>
      <c r="E1276" s="5" t="s">
        <v>2466</v>
      </c>
      <c r="F1276" s="5" t="s">
        <v>2467</v>
      </c>
      <c r="G1276" s="6">
        <v>46141.705555555556</v>
      </c>
      <c r="H1276" s="7">
        <v>46146</v>
      </c>
      <c r="I1276" s="6">
        <v>46146.71597222222</v>
      </c>
      <c r="J1276" s="7">
        <v>46146</v>
      </c>
      <c r="K1276" s="5" t="s">
        <v>1527</v>
      </c>
      <c r="L1276" s="5" t="s">
        <v>1621</v>
      </c>
      <c r="M1276" s="8">
        <v>159.6</v>
      </c>
      <c r="N1276" s="5" t="s">
        <v>1529</v>
      </c>
      <c r="O1276" s="7">
        <v>46146</v>
      </c>
    </row>
    <row r="1277" spans="1:15" x14ac:dyDescent="0.25">
      <c r="A1277" s="5" t="s">
        <v>4</v>
      </c>
      <c r="B1277" s="5" t="s">
        <v>4904</v>
      </c>
      <c r="D1277" s="5" t="s">
        <v>199</v>
      </c>
      <c r="E1277" s="5" t="s">
        <v>4905</v>
      </c>
      <c r="F1277" s="5" t="s">
        <v>4906</v>
      </c>
      <c r="G1277" s="6">
        <v>46139.70208333333</v>
      </c>
      <c r="H1277" s="7">
        <v>46146</v>
      </c>
      <c r="I1277" s="5" t="s">
        <v>4907</v>
      </c>
      <c r="J1277" s="7">
        <v>46147</v>
      </c>
      <c r="K1277" s="5" t="s">
        <v>1527</v>
      </c>
      <c r="L1277" s="5" t="s">
        <v>1621</v>
      </c>
      <c r="M1277" s="8">
        <v>159.52000000000001</v>
      </c>
      <c r="N1277" s="5" t="s">
        <v>1536</v>
      </c>
      <c r="O1277" s="7">
        <v>46147</v>
      </c>
    </row>
    <row r="1278" spans="1:15" x14ac:dyDescent="0.25">
      <c r="A1278" s="5" t="s">
        <v>4</v>
      </c>
      <c r="B1278" s="5" t="s">
        <v>4908</v>
      </c>
      <c r="D1278" s="5" t="s">
        <v>79</v>
      </c>
      <c r="E1278" s="5" t="s">
        <v>4909</v>
      </c>
      <c r="F1278" s="5" t="s">
        <v>1548</v>
      </c>
      <c r="G1278" s="6">
        <v>46155.713194444441</v>
      </c>
      <c r="H1278" s="7">
        <v>46164</v>
      </c>
      <c r="I1278" s="6">
        <v>46163.787499999999</v>
      </c>
      <c r="J1278" s="7">
        <v>46163</v>
      </c>
      <c r="K1278" s="5" t="s">
        <v>1527</v>
      </c>
      <c r="L1278" s="5" t="s">
        <v>1535</v>
      </c>
      <c r="M1278" s="8">
        <v>159</v>
      </c>
      <c r="N1278" s="5" t="s">
        <v>1536</v>
      </c>
      <c r="O1278" s="7">
        <v>46163</v>
      </c>
    </row>
    <row r="1279" spans="1:15" hidden="1" x14ac:dyDescent="0.25">
      <c r="A1279" s="5" t="s">
        <v>1522</v>
      </c>
      <c r="B1279" s="5" t="s">
        <v>4910</v>
      </c>
      <c r="D1279" s="5" t="s">
        <v>1502</v>
      </c>
      <c r="E1279" s="5" t="s">
        <v>2679</v>
      </c>
      <c r="F1279" s="5" t="s">
        <v>1759</v>
      </c>
      <c r="G1279" s="6">
        <v>46027.470138888886</v>
      </c>
      <c r="H1279" s="7">
        <v>46036</v>
      </c>
      <c r="I1279" s="5" t="s">
        <v>4911</v>
      </c>
      <c r="J1279" s="7">
        <v>46043</v>
      </c>
      <c r="K1279" s="5" t="s">
        <v>1527</v>
      </c>
      <c r="L1279" s="5" t="s">
        <v>1528</v>
      </c>
      <c r="M1279" s="8">
        <v>158.4</v>
      </c>
      <c r="N1279" s="5" t="s">
        <v>1536</v>
      </c>
      <c r="O1279" s="7">
        <v>46043</v>
      </c>
    </row>
    <row r="1280" spans="1:15" hidden="1" x14ac:dyDescent="0.25">
      <c r="A1280" s="5" t="s">
        <v>1522</v>
      </c>
      <c r="B1280" s="5" t="s">
        <v>4912</v>
      </c>
      <c r="D1280" s="5" t="s">
        <v>136</v>
      </c>
      <c r="E1280" s="5" t="s">
        <v>4913</v>
      </c>
      <c r="F1280" s="5" t="s">
        <v>1548</v>
      </c>
      <c r="G1280" s="6">
        <v>46128.395833333336</v>
      </c>
      <c r="H1280" s="7">
        <v>46139</v>
      </c>
      <c r="I1280" s="6">
        <v>46136.606249999997</v>
      </c>
      <c r="J1280" s="7">
        <v>46128</v>
      </c>
      <c r="K1280" s="5" t="s">
        <v>1527</v>
      </c>
      <c r="L1280" s="5" t="s">
        <v>1528</v>
      </c>
      <c r="M1280" s="8">
        <v>158</v>
      </c>
      <c r="N1280" s="5" t="s">
        <v>1536</v>
      </c>
      <c r="O1280" s="7">
        <v>46128</v>
      </c>
    </row>
    <row r="1281" spans="1:15" x14ac:dyDescent="0.25">
      <c r="A1281" s="5" t="s">
        <v>4</v>
      </c>
      <c r="B1281" s="5" t="s">
        <v>4914</v>
      </c>
      <c r="D1281" s="5" t="s">
        <v>1333</v>
      </c>
      <c r="E1281" s="5" t="s">
        <v>3409</v>
      </c>
      <c r="F1281" s="5" t="s">
        <v>4915</v>
      </c>
      <c r="G1281" s="6">
        <v>46118.56527777778</v>
      </c>
      <c r="H1281" s="7">
        <v>46127</v>
      </c>
      <c r="I1281" s="6">
        <v>46126.634027777778</v>
      </c>
      <c r="J1281" s="7">
        <v>46125</v>
      </c>
      <c r="K1281" s="5" t="s">
        <v>1527</v>
      </c>
      <c r="L1281" s="5" t="s">
        <v>1535</v>
      </c>
      <c r="M1281" s="8">
        <v>158</v>
      </c>
      <c r="N1281" s="5" t="s">
        <v>1536</v>
      </c>
      <c r="O1281" s="7">
        <v>46125</v>
      </c>
    </row>
    <row r="1282" spans="1:15" x14ac:dyDescent="0.25">
      <c r="A1282" s="5" t="s">
        <v>4</v>
      </c>
      <c r="B1282" s="5" t="s">
        <v>4916</v>
      </c>
      <c r="D1282" s="5" t="s">
        <v>1185</v>
      </c>
      <c r="E1282" s="5" t="s">
        <v>1781</v>
      </c>
      <c r="F1282" s="5" t="s">
        <v>4917</v>
      </c>
      <c r="G1282" s="6">
        <v>46169.695833333331</v>
      </c>
      <c r="H1282" s="7">
        <v>46178</v>
      </c>
      <c r="I1282" s="6">
        <v>46178.486805555556</v>
      </c>
      <c r="J1282" s="7">
        <v>46176</v>
      </c>
      <c r="K1282" s="5" t="s">
        <v>1527</v>
      </c>
      <c r="L1282" s="5" t="s">
        <v>1535</v>
      </c>
      <c r="M1282" s="8">
        <v>157.4</v>
      </c>
      <c r="N1282" s="5" t="s">
        <v>1536</v>
      </c>
      <c r="O1282" s="7">
        <v>46176</v>
      </c>
    </row>
    <row r="1283" spans="1:15" x14ac:dyDescent="0.25">
      <c r="A1283" s="5" t="s">
        <v>4</v>
      </c>
      <c r="B1283" s="5" t="s">
        <v>4918</v>
      </c>
      <c r="D1283" s="5" t="s">
        <v>277</v>
      </c>
      <c r="E1283" s="5" t="s">
        <v>4919</v>
      </c>
      <c r="F1283" s="5" t="s">
        <v>1548</v>
      </c>
      <c r="G1283" s="6">
        <v>46034.699305555558</v>
      </c>
      <c r="H1283" s="7">
        <v>46045</v>
      </c>
      <c r="I1283" s="5" t="s">
        <v>4920</v>
      </c>
      <c r="J1283" s="7">
        <v>46048</v>
      </c>
      <c r="K1283" s="5" t="s">
        <v>1527</v>
      </c>
      <c r="L1283" s="5" t="s">
        <v>1564</v>
      </c>
      <c r="M1283" s="8">
        <v>157</v>
      </c>
      <c r="N1283" s="5" t="s">
        <v>1536</v>
      </c>
      <c r="O1283" s="7">
        <v>46048</v>
      </c>
    </row>
    <row r="1284" spans="1:15" x14ac:dyDescent="0.25">
      <c r="A1284" s="5" t="s">
        <v>4</v>
      </c>
      <c r="B1284" s="5" t="s">
        <v>4921</v>
      </c>
      <c r="D1284" s="5" t="s">
        <v>466</v>
      </c>
      <c r="E1284" s="5" t="s">
        <v>4922</v>
      </c>
      <c r="F1284" s="5" t="s">
        <v>1759</v>
      </c>
      <c r="G1284" s="6">
        <v>46136.609722222223</v>
      </c>
      <c r="H1284" s="7">
        <v>46150</v>
      </c>
      <c r="I1284" s="6">
        <v>46146.490277777775</v>
      </c>
      <c r="J1284" s="7">
        <v>46146</v>
      </c>
      <c r="K1284" s="5" t="s">
        <v>1527</v>
      </c>
      <c r="L1284" s="5" t="s">
        <v>1564</v>
      </c>
      <c r="M1284" s="8">
        <v>157</v>
      </c>
      <c r="N1284" s="5" t="s">
        <v>1536</v>
      </c>
      <c r="O1284" s="7">
        <v>46146</v>
      </c>
    </row>
    <row r="1285" spans="1:15" x14ac:dyDescent="0.25">
      <c r="A1285" s="5" t="s">
        <v>4</v>
      </c>
      <c r="B1285" s="5" t="s">
        <v>4923</v>
      </c>
      <c r="D1285" s="5" t="s">
        <v>644</v>
      </c>
      <c r="E1285" s="5" t="s">
        <v>4924</v>
      </c>
      <c r="F1285" s="5" t="s">
        <v>4925</v>
      </c>
      <c r="G1285" s="6">
        <v>46077.658333333333</v>
      </c>
      <c r="H1285" s="7">
        <v>46084</v>
      </c>
      <c r="I1285" s="6">
        <v>46079.619444444441</v>
      </c>
      <c r="J1285" s="7">
        <v>46079</v>
      </c>
      <c r="K1285" s="5" t="s">
        <v>1527</v>
      </c>
      <c r="L1285" s="5" t="s">
        <v>1621</v>
      </c>
      <c r="M1285" s="8">
        <v>156.97</v>
      </c>
      <c r="N1285" s="5" t="s">
        <v>1536</v>
      </c>
      <c r="O1285" s="7">
        <v>46079</v>
      </c>
    </row>
    <row r="1286" spans="1:15" x14ac:dyDescent="0.25">
      <c r="A1286" s="5" t="s">
        <v>4</v>
      </c>
      <c r="B1286" s="5" t="s">
        <v>4926</v>
      </c>
      <c r="D1286" s="5" t="s">
        <v>1466</v>
      </c>
      <c r="E1286" s="5" t="s">
        <v>3753</v>
      </c>
      <c r="F1286" s="5" t="s">
        <v>2306</v>
      </c>
      <c r="G1286" s="6">
        <v>46132.677777777775</v>
      </c>
      <c r="H1286" s="7">
        <v>46139</v>
      </c>
      <c r="I1286" s="5" t="s">
        <v>4927</v>
      </c>
      <c r="J1286" s="7">
        <v>46140</v>
      </c>
      <c r="K1286" s="5" t="s">
        <v>1527</v>
      </c>
      <c r="L1286" s="5" t="s">
        <v>1564</v>
      </c>
      <c r="M1286" s="8">
        <v>156.44999999999999</v>
      </c>
      <c r="N1286" s="5" t="s">
        <v>1536</v>
      </c>
      <c r="O1286" s="7">
        <v>46140</v>
      </c>
    </row>
    <row r="1287" spans="1:15" x14ac:dyDescent="0.25">
      <c r="A1287" s="5" t="s">
        <v>4</v>
      </c>
      <c r="B1287" s="5" t="s">
        <v>4928</v>
      </c>
      <c r="D1287" s="5" t="s">
        <v>990</v>
      </c>
      <c r="E1287" s="5" t="s">
        <v>4929</v>
      </c>
      <c r="F1287" s="5" t="s">
        <v>1770</v>
      </c>
      <c r="G1287" s="6">
        <v>46073.649305555555</v>
      </c>
      <c r="H1287" s="7">
        <v>46086</v>
      </c>
      <c r="I1287" s="6">
        <v>46084.616666666669</v>
      </c>
      <c r="J1287" s="7">
        <v>46083</v>
      </c>
      <c r="K1287" s="5" t="s">
        <v>1527</v>
      </c>
      <c r="L1287" s="5" t="s">
        <v>1564</v>
      </c>
      <c r="M1287" s="8">
        <v>156.25</v>
      </c>
      <c r="N1287" s="5" t="s">
        <v>1536</v>
      </c>
      <c r="O1287" s="7">
        <v>46083</v>
      </c>
    </row>
    <row r="1288" spans="1:15" x14ac:dyDescent="0.25">
      <c r="A1288" s="5" t="s">
        <v>4</v>
      </c>
      <c r="B1288" s="5" t="s">
        <v>4930</v>
      </c>
      <c r="D1288" s="5" t="s">
        <v>1103</v>
      </c>
      <c r="E1288" s="5" t="s">
        <v>4931</v>
      </c>
      <c r="F1288" s="5" t="s">
        <v>4932</v>
      </c>
      <c r="G1288" s="6">
        <v>46097.706944444442</v>
      </c>
      <c r="H1288" s="7">
        <v>46104</v>
      </c>
      <c r="I1288" s="6">
        <v>46104.708333333336</v>
      </c>
      <c r="J1288" s="7">
        <v>46104</v>
      </c>
      <c r="K1288" s="5" t="s">
        <v>1527</v>
      </c>
      <c r="L1288" s="5" t="s">
        <v>1621</v>
      </c>
      <c r="M1288" s="8">
        <v>156.19999999999999</v>
      </c>
      <c r="N1288" s="5" t="s">
        <v>1536</v>
      </c>
      <c r="O1288" s="7">
        <v>46104</v>
      </c>
    </row>
    <row r="1289" spans="1:15" x14ac:dyDescent="0.25">
      <c r="A1289" s="5" t="s">
        <v>4</v>
      </c>
      <c r="B1289" s="5" t="s">
        <v>4933</v>
      </c>
      <c r="D1289" s="5" t="s">
        <v>1509</v>
      </c>
      <c r="E1289" s="5" t="s">
        <v>2249</v>
      </c>
      <c r="F1289" s="5" t="s">
        <v>4934</v>
      </c>
      <c r="G1289" s="6">
        <v>46035.622916666667</v>
      </c>
      <c r="H1289" s="7">
        <v>46045</v>
      </c>
      <c r="I1289" s="5" t="s">
        <v>4579</v>
      </c>
      <c r="J1289" s="7">
        <v>46049</v>
      </c>
      <c r="K1289" s="5" t="s">
        <v>1527</v>
      </c>
      <c r="L1289" s="5" t="s">
        <v>1535</v>
      </c>
      <c r="M1289" s="8">
        <v>156</v>
      </c>
      <c r="N1289" s="5" t="s">
        <v>1536</v>
      </c>
      <c r="O1289" s="7">
        <v>46049</v>
      </c>
    </row>
    <row r="1290" spans="1:15" x14ac:dyDescent="0.25">
      <c r="A1290" s="5" t="s">
        <v>4</v>
      </c>
      <c r="B1290" s="5" t="s">
        <v>4935</v>
      </c>
      <c r="D1290" s="5" t="s">
        <v>525</v>
      </c>
      <c r="E1290" s="5" t="s">
        <v>4936</v>
      </c>
      <c r="F1290" s="5" t="s">
        <v>4937</v>
      </c>
      <c r="G1290" s="6">
        <v>46041.55972222222</v>
      </c>
      <c r="H1290" s="7">
        <v>46050</v>
      </c>
      <c r="I1290" s="5" t="s">
        <v>4938</v>
      </c>
      <c r="J1290" s="7">
        <v>46062</v>
      </c>
      <c r="K1290" s="5" t="s">
        <v>1527</v>
      </c>
      <c r="L1290" s="5" t="s">
        <v>1535</v>
      </c>
      <c r="M1290" s="8">
        <v>156</v>
      </c>
      <c r="N1290" s="5" t="s">
        <v>1536</v>
      </c>
      <c r="O1290" s="7">
        <v>46062</v>
      </c>
    </row>
    <row r="1291" spans="1:15" x14ac:dyDescent="0.25">
      <c r="A1291" s="5" t="s">
        <v>4</v>
      </c>
      <c r="B1291" s="5" t="s">
        <v>4939</v>
      </c>
      <c r="D1291" s="5" t="s">
        <v>482</v>
      </c>
      <c r="E1291" s="5" t="s">
        <v>4940</v>
      </c>
      <c r="F1291" s="5" t="s">
        <v>1532</v>
      </c>
      <c r="G1291" s="6">
        <v>46093.720833333333</v>
      </c>
      <c r="H1291" s="7">
        <v>46104</v>
      </c>
      <c r="I1291" s="5" t="s">
        <v>1863</v>
      </c>
      <c r="J1291" s="7">
        <v>46107</v>
      </c>
      <c r="K1291" s="5" t="s">
        <v>1527</v>
      </c>
      <c r="L1291" s="5" t="s">
        <v>1535</v>
      </c>
      <c r="M1291" s="8">
        <v>156</v>
      </c>
      <c r="N1291" s="5" t="s">
        <v>1536</v>
      </c>
      <c r="O1291" s="7">
        <v>46107</v>
      </c>
    </row>
    <row r="1292" spans="1:15" x14ac:dyDescent="0.25">
      <c r="A1292" s="5" t="s">
        <v>4</v>
      </c>
      <c r="B1292" s="5" t="s">
        <v>4941</v>
      </c>
      <c r="D1292" s="5" t="s">
        <v>1334</v>
      </c>
      <c r="E1292" s="5" t="s">
        <v>2392</v>
      </c>
      <c r="F1292" s="5" t="s">
        <v>4942</v>
      </c>
      <c r="G1292" s="6">
        <v>46114.328472222223</v>
      </c>
      <c r="H1292" s="7">
        <v>46128</v>
      </c>
      <c r="I1292" s="6">
        <v>46125.472222222219</v>
      </c>
      <c r="J1292" s="7">
        <v>46121</v>
      </c>
      <c r="K1292" s="5" t="s">
        <v>1527</v>
      </c>
      <c r="L1292" s="5" t="s">
        <v>1564</v>
      </c>
      <c r="M1292" s="9">
        <v>156</v>
      </c>
      <c r="N1292" s="5" t="s">
        <v>1536</v>
      </c>
      <c r="O1292" s="7">
        <v>46121</v>
      </c>
    </row>
    <row r="1293" spans="1:15" x14ac:dyDescent="0.25">
      <c r="A1293" s="5" t="s">
        <v>4</v>
      </c>
      <c r="B1293" s="5" t="s">
        <v>4943</v>
      </c>
      <c r="D1293" s="5" t="s">
        <v>1263</v>
      </c>
      <c r="E1293" s="5" t="s">
        <v>4944</v>
      </c>
      <c r="F1293" s="5" t="s">
        <v>2314</v>
      </c>
      <c r="G1293" s="6">
        <v>46168.59375</v>
      </c>
      <c r="H1293" s="7">
        <v>46182</v>
      </c>
      <c r="I1293" s="6">
        <v>46175.753472222219</v>
      </c>
      <c r="J1293" s="7">
        <v>46171</v>
      </c>
      <c r="K1293" s="5" t="s">
        <v>1527</v>
      </c>
      <c r="L1293" s="5" t="s">
        <v>1564</v>
      </c>
      <c r="M1293" s="8">
        <v>155.9</v>
      </c>
      <c r="N1293" s="5" t="s">
        <v>1536</v>
      </c>
      <c r="O1293" s="7">
        <v>46171</v>
      </c>
    </row>
    <row r="1294" spans="1:15" x14ac:dyDescent="0.25">
      <c r="A1294" s="5" t="s">
        <v>4</v>
      </c>
      <c r="B1294" s="5" t="s">
        <v>4945</v>
      </c>
      <c r="D1294" s="5" t="s">
        <v>1102</v>
      </c>
      <c r="E1294" s="5" t="s">
        <v>4946</v>
      </c>
      <c r="F1294" s="5" t="s">
        <v>4947</v>
      </c>
      <c r="G1294" s="6">
        <v>46127.708333333336</v>
      </c>
      <c r="H1294" s="7">
        <v>46135</v>
      </c>
      <c r="I1294" s="6">
        <v>46132.618750000001</v>
      </c>
      <c r="J1294" s="7">
        <v>46132</v>
      </c>
      <c r="K1294" s="5" t="s">
        <v>1527</v>
      </c>
      <c r="L1294" s="5" t="s">
        <v>1564</v>
      </c>
      <c r="M1294" s="8">
        <v>155.4</v>
      </c>
      <c r="N1294" s="5" t="s">
        <v>1536</v>
      </c>
      <c r="O1294" s="7">
        <v>46132</v>
      </c>
    </row>
    <row r="1295" spans="1:15" x14ac:dyDescent="0.25">
      <c r="A1295" s="5" t="s">
        <v>4</v>
      </c>
      <c r="B1295" s="5" t="s">
        <v>4948</v>
      </c>
      <c r="D1295" s="5" t="s">
        <v>1471</v>
      </c>
      <c r="E1295" s="5" t="s">
        <v>4949</v>
      </c>
      <c r="F1295" s="5" t="s">
        <v>1532</v>
      </c>
      <c r="G1295" s="6">
        <v>46168.385416666664</v>
      </c>
      <c r="H1295" s="7">
        <v>46178</v>
      </c>
      <c r="I1295" s="5" t="s">
        <v>4950</v>
      </c>
      <c r="J1295" s="7">
        <v>46171</v>
      </c>
      <c r="K1295" s="5" t="s">
        <v>1527</v>
      </c>
      <c r="L1295" s="5" t="s">
        <v>1535</v>
      </c>
      <c r="M1295" s="8">
        <v>155.19999999999999</v>
      </c>
      <c r="N1295" s="5" t="s">
        <v>1536</v>
      </c>
      <c r="O1295" s="7">
        <v>46171</v>
      </c>
    </row>
    <row r="1296" spans="1:15" hidden="1" x14ac:dyDescent="0.25">
      <c r="A1296" s="5" t="s">
        <v>1522</v>
      </c>
      <c r="B1296" s="5" t="s">
        <v>4951</v>
      </c>
      <c r="D1296" s="5" t="s">
        <v>1485</v>
      </c>
      <c r="E1296" s="5" t="s">
        <v>2517</v>
      </c>
      <c r="F1296" s="5" t="s">
        <v>3276</v>
      </c>
      <c r="G1296" s="6">
        <v>46113.447222222225</v>
      </c>
      <c r="H1296" s="7">
        <v>46113</v>
      </c>
      <c r="I1296" s="6">
        <v>46113.744444444441</v>
      </c>
      <c r="J1296" s="7">
        <v>46113</v>
      </c>
      <c r="K1296" s="5" t="s">
        <v>1527</v>
      </c>
      <c r="L1296" s="5" t="s">
        <v>1528</v>
      </c>
      <c r="M1296" s="8">
        <v>155</v>
      </c>
      <c r="N1296" s="5" t="s">
        <v>1536</v>
      </c>
      <c r="O1296" s="7">
        <v>46113</v>
      </c>
    </row>
    <row r="1297" spans="1:15" x14ac:dyDescent="0.25">
      <c r="A1297" s="5" t="s">
        <v>4</v>
      </c>
      <c r="B1297" s="5" t="s">
        <v>4952</v>
      </c>
      <c r="D1297" s="5" t="s">
        <v>1482</v>
      </c>
      <c r="E1297" s="5" t="s">
        <v>4953</v>
      </c>
      <c r="F1297" s="5" t="s">
        <v>1548</v>
      </c>
      <c r="G1297" s="6">
        <v>46031.670138888891</v>
      </c>
      <c r="H1297" s="7">
        <v>46044</v>
      </c>
      <c r="I1297" s="6">
        <v>46038.697916666664</v>
      </c>
      <c r="J1297" s="7">
        <v>46038</v>
      </c>
      <c r="K1297" s="5" t="s">
        <v>1527</v>
      </c>
      <c r="L1297" s="5" t="s">
        <v>1564</v>
      </c>
      <c r="M1297" s="8">
        <v>155</v>
      </c>
      <c r="N1297" s="5" t="s">
        <v>1536</v>
      </c>
      <c r="O1297" s="7">
        <v>46038</v>
      </c>
    </row>
    <row r="1298" spans="1:15" x14ac:dyDescent="0.25">
      <c r="A1298" s="5" t="s">
        <v>4</v>
      </c>
      <c r="B1298" s="5" t="s">
        <v>4954</v>
      </c>
      <c r="D1298" s="5" t="s">
        <v>152</v>
      </c>
      <c r="E1298" s="5" t="s">
        <v>4955</v>
      </c>
      <c r="F1298" s="5" t="s">
        <v>3983</v>
      </c>
      <c r="G1298" s="6">
        <v>46042.712500000001</v>
      </c>
      <c r="H1298" s="7">
        <v>46055</v>
      </c>
      <c r="I1298" s="5" t="s">
        <v>4956</v>
      </c>
      <c r="J1298" s="7">
        <v>46065</v>
      </c>
      <c r="K1298" s="5" t="s">
        <v>1527</v>
      </c>
      <c r="L1298" s="5" t="s">
        <v>1564</v>
      </c>
      <c r="M1298" s="8">
        <v>155</v>
      </c>
      <c r="N1298" s="5" t="s">
        <v>1536</v>
      </c>
      <c r="O1298" s="7">
        <v>46065</v>
      </c>
    </row>
    <row r="1299" spans="1:15" x14ac:dyDescent="0.25">
      <c r="A1299" s="5" t="s">
        <v>4</v>
      </c>
      <c r="B1299" s="5" t="s">
        <v>4957</v>
      </c>
      <c r="D1299" s="5" t="s">
        <v>1196</v>
      </c>
      <c r="E1299" s="5" t="s">
        <v>4958</v>
      </c>
      <c r="F1299" s="5" t="s">
        <v>1548</v>
      </c>
      <c r="G1299" s="6">
        <v>46048.747916666667</v>
      </c>
      <c r="H1299" s="7">
        <v>46059</v>
      </c>
      <c r="I1299" s="6">
        <v>46059.675694444442</v>
      </c>
      <c r="J1299" s="7">
        <v>46059</v>
      </c>
      <c r="K1299" s="5" t="s">
        <v>1527</v>
      </c>
      <c r="L1299" s="5" t="s">
        <v>1564</v>
      </c>
      <c r="M1299" s="8">
        <v>155</v>
      </c>
      <c r="N1299" s="5" t="s">
        <v>1536</v>
      </c>
      <c r="O1299" s="7">
        <v>46059</v>
      </c>
    </row>
    <row r="1300" spans="1:15" x14ac:dyDescent="0.25">
      <c r="A1300" s="5" t="s">
        <v>4</v>
      </c>
      <c r="B1300" s="5" t="s">
        <v>4959</v>
      </c>
      <c r="D1300" s="5" t="s">
        <v>837</v>
      </c>
      <c r="E1300" s="5" t="s">
        <v>4960</v>
      </c>
      <c r="F1300" s="5" t="s">
        <v>1738</v>
      </c>
      <c r="G1300" s="6">
        <v>46058.343055555553</v>
      </c>
      <c r="H1300" s="7">
        <v>46071</v>
      </c>
      <c r="I1300" s="5" t="s">
        <v>4961</v>
      </c>
      <c r="J1300" s="7">
        <v>46080</v>
      </c>
      <c r="K1300" s="5" t="s">
        <v>1527</v>
      </c>
      <c r="L1300" s="5" t="s">
        <v>1564</v>
      </c>
      <c r="M1300" s="8">
        <v>155</v>
      </c>
      <c r="N1300" s="5" t="s">
        <v>1536</v>
      </c>
      <c r="O1300" s="7">
        <v>46080</v>
      </c>
    </row>
    <row r="1301" spans="1:15" x14ac:dyDescent="0.25">
      <c r="A1301" s="5" t="s">
        <v>4</v>
      </c>
      <c r="B1301" s="5" t="s">
        <v>4962</v>
      </c>
      <c r="D1301" s="5" t="s">
        <v>971</v>
      </c>
      <c r="E1301" s="5" t="s">
        <v>4963</v>
      </c>
      <c r="F1301" s="5" t="s">
        <v>4964</v>
      </c>
      <c r="G1301" s="6">
        <v>46065.425694444442</v>
      </c>
      <c r="H1301" s="7">
        <v>46079</v>
      </c>
      <c r="I1301" s="6">
        <v>46078.690972222219</v>
      </c>
      <c r="J1301" s="7">
        <v>46073</v>
      </c>
      <c r="K1301" s="5" t="s">
        <v>1527</v>
      </c>
      <c r="L1301" s="5" t="s">
        <v>1564</v>
      </c>
      <c r="M1301" s="8">
        <v>155</v>
      </c>
      <c r="N1301" s="5" t="s">
        <v>1536</v>
      </c>
      <c r="O1301" s="7">
        <v>46073</v>
      </c>
    </row>
    <row r="1302" spans="1:15" x14ac:dyDescent="0.25">
      <c r="A1302" s="5" t="s">
        <v>4</v>
      </c>
      <c r="B1302" s="5" t="s">
        <v>4965</v>
      </c>
      <c r="D1302" s="5" t="s">
        <v>1407</v>
      </c>
      <c r="E1302" s="5" t="s">
        <v>4966</v>
      </c>
      <c r="F1302" s="5" t="s">
        <v>1759</v>
      </c>
      <c r="G1302" s="6">
        <v>46073.449305555558</v>
      </c>
      <c r="H1302" s="7">
        <v>46086</v>
      </c>
      <c r="I1302" s="6">
        <v>46084.618055555555</v>
      </c>
      <c r="J1302" s="7">
        <v>46080</v>
      </c>
      <c r="K1302" s="5" t="s">
        <v>1527</v>
      </c>
      <c r="L1302" s="5" t="s">
        <v>1564</v>
      </c>
      <c r="M1302" s="8">
        <v>155</v>
      </c>
      <c r="N1302" s="5" t="s">
        <v>1536</v>
      </c>
      <c r="O1302" s="7">
        <v>46080</v>
      </c>
    </row>
    <row r="1303" spans="1:15" x14ac:dyDescent="0.25">
      <c r="A1303" s="5" t="s">
        <v>4</v>
      </c>
      <c r="B1303" s="5" t="s">
        <v>4967</v>
      </c>
      <c r="D1303" s="5" t="s">
        <v>1252</v>
      </c>
      <c r="E1303" s="5" t="s">
        <v>4968</v>
      </c>
      <c r="F1303" s="5" t="s">
        <v>2118</v>
      </c>
      <c r="G1303" s="6">
        <v>46090.679166666669</v>
      </c>
      <c r="H1303" s="7">
        <v>46101</v>
      </c>
      <c r="I1303" s="6">
        <v>46100.627083333333</v>
      </c>
      <c r="J1303" s="7">
        <v>46100</v>
      </c>
      <c r="K1303" s="5" t="s">
        <v>1527</v>
      </c>
      <c r="L1303" s="5" t="s">
        <v>1564</v>
      </c>
      <c r="M1303" s="8">
        <v>155</v>
      </c>
      <c r="N1303" s="5" t="s">
        <v>1536</v>
      </c>
      <c r="O1303" s="7">
        <v>46100</v>
      </c>
    </row>
    <row r="1304" spans="1:15" x14ac:dyDescent="0.25">
      <c r="A1304" s="5" t="s">
        <v>4</v>
      </c>
      <c r="B1304" s="5" t="s">
        <v>4969</v>
      </c>
      <c r="D1304" s="5" t="s">
        <v>1482</v>
      </c>
      <c r="E1304" s="5" t="s">
        <v>4953</v>
      </c>
      <c r="F1304" s="5" t="s">
        <v>1770</v>
      </c>
      <c r="G1304" s="6">
        <v>46106.508333333331</v>
      </c>
      <c r="H1304" s="7">
        <v>46120</v>
      </c>
      <c r="I1304" s="5" t="s">
        <v>4970</v>
      </c>
      <c r="J1304" s="7">
        <v>46118</v>
      </c>
      <c r="K1304" s="5" t="s">
        <v>1527</v>
      </c>
      <c r="L1304" s="5" t="s">
        <v>1564</v>
      </c>
      <c r="M1304" s="8">
        <v>155</v>
      </c>
      <c r="N1304" s="5" t="s">
        <v>1536</v>
      </c>
      <c r="O1304" s="7">
        <v>46118</v>
      </c>
    </row>
    <row r="1305" spans="1:15" x14ac:dyDescent="0.25">
      <c r="A1305" s="5" t="s">
        <v>4</v>
      </c>
      <c r="B1305" s="5" t="s">
        <v>4971</v>
      </c>
      <c r="D1305" s="5" t="s">
        <v>1482</v>
      </c>
      <c r="E1305" s="5" t="s">
        <v>4953</v>
      </c>
      <c r="F1305" s="5" t="s">
        <v>1770</v>
      </c>
      <c r="G1305" s="6">
        <v>46122.509027777778</v>
      </c>
      <c r="H1305" s="7">
        <v>46136</v>
      </c>
      <c r="I1305" s="6">
        <v>46129.593055555553</v>
      </c>
      <c r="J1305" s="7">
        <v>46129</v>
      </c>
      <c r="K1305" s="5" t="s">
        <v>1527</v>
      </c>
      <c r="L1305" s="5" t="s">
        <v>1564</v>
      </c>
      <c r="M1305" s="8">
        <v>155</v>
      </c>
      <c r="N1305" s="5" t="s">
        <v>1536</v>
      </c>
      <c r="O1305" s="7">
        <v>46129</v>
      </c>
    </row>
    <row r="1306" spans="1:15" x14ac:dyDescent="0.25">
      <c r="A1306" s="5" t="s">
        <v>4</v>
      </c>
      <c r="B1306" s="5" t="s">
        <v>4972</v>
      </c>
      <c r="D1306" s="5" t="s">
        <v>53</v>
      </c>
      <c r="E1306" s="5" t="s">
        <v>4973</v>
      </c>
      <c r="F1306" s="5" t="s">
        <v>3035</v>
      </c>
      <c r="G1306" s="6">
        <v>46140.387499999997</v>
      </c>
      <c r="H1306" s="7">
        <v>46154</v>
      </c>
      <c r="I1306" s="6">
        <v>46146.716666666667</v>
      </c>
      <c r="J1306" s="7">
        <v>46146</v>
      </c>
      <c r="K1306" s="5" t="s">
        <v>1527</v>
      </c>
      <c r="L1306" s="5" t="s">
        <v>1564</v>
      </c>
      <c r="M1306" s="8">
        <v>155</v>
      </c>
      <c r="N1306" s="5" t="s">
        <v>1536</v>
      </c>
      <c r="O1306" s="7">
        <v>46146</v>
      </c>
    </row>
    <row r="1307" spans="1:15" x14ac:dyDescent="0.25">
      <c r="A1307" s="5" t="s">
        <v>4</v>
      </c>
      <c r="B1307" s="5" t="s">
        <v>4974</v>
      </c>
      <c r="D1307" s="5" t="s">
        <v>1470</v>
      </c>
      <c r="E1307" s="5" t="s">
        <v>4975</v>
      </c>
      <c r="F1307" s="5" t="s">
        <v>4976</v>
      </c>
      <c r="G1307" s="6">
        <v>46142.633333333331</v>
      </c>
      <c r="H1307" s="7">
        <v>46156</v>
      </c>
      <c r="I1307" s="6">
        <v>46150.601388888892</v>
      </c>
      <c r="J1307" s="7">
        <v>46150</v>
      </c>
      <c r="K1307" s="5" t="s">
        <v>1527</v>
      </c>
      <c r="L1307" s="5" t="s">
        <v>1564</v>
      </c>
      <c r="M1307" s="8">
        <v>155</v>
      </c>
      <c r="N1307" s="5" t="s">
        <v>1536</v>
      </c>
      <c r="O1307" s="7">
        <v>46150</v>
      </c>
    </row>
    <row r="1308" spans="1:15" x14ac:dyDescent="0.25">
      <c r="A1308" s="5" t="s">
        <v>4</v>
      </c>
      <c r="B1308" s="5" t="s">
        <v>4977</v>
      </c>
      <c r="D1308" s="5" t="s">
        <v>273</v>
      </c>
      <c r="E1308" s="5" t="s">
        <v>4978</v>
      </c>
      <c r="F1308" s="5" t="s">
        <v>4979</v>
      </c>
      <c r="G1308" s="6">
        <v>46055.661111111112</v>
      </c>
      <c r="H1308" s="7">
        <v>46062</v>
      </c>
      <c r="I1308" s="5" t="s">
        <v>4980</v>
      </c>
      <c r="J1308" s="7">
        <v>46064</v>
      </c>
      <c r="K1308" s="5" t="s">
        <v>1527</v>
      </c>
      <c r="L1308" s="5" t="s">
        <v>1621</v>
      </c>
      <c r="M1308" s="8">
        <v>154.91</v>
      </c>
      <c r="N1308" s="5" t="s">
        <v>1536</v>
      </c>
      <c r="O1308" s="7">
        <v>46064</v>
      </c>
    </row>
    <row r="1309" spans="1:15" x14ac:dyDescent="0.25">
      <c r="A1309" s="5" t="s">
        <v>4</v>
      </c>
      <c r="B1309" s="5" t="s">
        <v>4981</v>
      </c>
      <c r="D1309" s="5" t="s">
        <v>1012</v>
      </c>
      <c r="E1309" s="5" t="s">
        <v>4982</v>
      </c>
      <c r="F1309" s="5" t="s">
        <v>1548</v>
      </c>
      <c r="G1309" s="6">
        <v>46043.680555555555</v>
      </c>
      <c r="H1309" s="7">
        <v>46056</v>
      </c>
      <c r="I1309" s="5" t="s">
        <v>4063</v>
      </c>
      <c r="J1309" s="7">
        <v>46045</v>
      </c>
      <c r="K1309" s="5" t="s">
        <v>1527</v>
      </c>
      <c r="L1309" s="5" t="s">
        <v>1564</v>
      </c>
      <c r="M1309" s="8">
        <v>154.69999999999999</v>
      </c>
      <c r="N1309" s="5" t="s">
        <v>1536</v>
      </c>
      <c r="O1309" s="7">
        <v>46045</v>
      </c>
    </row>
    <row r="1310" spans="1:15" x14ac:dyDescent="0.25">
      <c r="A1310" s="5" t="s">
        <v>4</v>
      </c>
      <c r="B1310" s="5" t="s">
        <v>4983</v>
      </c>
      <c r="D1310" s="5" t="s">
        <v>180</v>
      </c>
      <c r="E1310" s="5" t="s">
        <v>4984</v>
      </c>
      <c r="F1310" s="5" t="s">
        <v>1548</v>
      </c>
      <c r="G1310" s="6">
        <v>46038.489583333336</v>
      </c>
      <c r="H1310" s="7">
        <v>46055</v>
      </c>
      <c r="I1310" s="5" t="s">
        <v>4985</v>
      </c>
      <c r="J1310" s="7">
        <v>46062</v>
      </c>
      <c r="K1310" s="5" t="s">
        <v>1527</v>
      </c>
      <c r="L1310" s="5" t="s">
        <v>1564</v>
      </c>
      <c r="M1310" s="8">
        <v>154.5</v>
      </c>
      <c r="N1310" s="5" t="s">
        <v>1536</v>
      </c>
      <c r="O1310" s="7">
        <v>46062</v>
      </c>
    </row>
    <row r="1311" spans="1:15" x14ac:dyDescent="0.25">
      <c r="A1311" s="5" t="s">
        <v>4</v>
      </c>
      <c r="B1311" s="5">
        <v>38702</v>
      </c>
      <c r="D1311" s="5" t="s">
        <v>1474</v>
      </c>
      <c r="E1311" s="5" t="s">
        <v>3803</v>
      </c>
      <c r="F1311" s="5" t="s">
        <v>4986</v>
      </c>
      <c r="G1311" s="6">
        <v>46084.415277777778</v>
      </c>
      <c r="H1311" s="7">
        <v>46094</v>
      </c>
      <c r="I1311" s="5" t="s">
        <v>4724</v>
      </c>
      <c r="J1311" s="7">
        <v>46104</v>
      </c>
      <c r="K1311" s="5" t="s">
        <v>1527</v>
      </c>
      <c r="L1311" s="5" t="s">
        <v>1535</v>
      </c>
      <c r="M1311" s="8">
        <v>154</v>
      </c>
      <c r="N1311" s="5" t="s">
        <v>1536</v>
      </c>
      <c r="O1311" s="7">
        <v>46104</v>
      </c>
    </row>
    <row r="1312" spans="1:15" x14ac:dyDescent="0.25">
      <c r="A1312" s="5" t="s">
        <v>4</v>
      </c>
      <c r="B1312" s="5" t="s">
        <v>4987</v>
      </c>
      <c r="D1312" s="5" t="s">
        <v>142</v>
      </c>
      <c r="E1312" s="5" t="s">
        <v>4988</v>
      </c>
      <c r="F1312" s="5" t="s">
        <v>1813</v>
      </c>
      <c r="G1312" s="6">
        <v>46086.616666666669</v>
      </c>
      <c r="H1312" s="7">
        <v>46097</v>
      </c>
      <c r="I1312" s="5" t="s">
        <v>4989</v>
      </c>
      <c r="J1312" s="7">
        <v>46100</v>
      </c>
      <c r="K1312" s="5" t="s">
        <v>1527</v>
      </c>
      <c r="L1312" s="5" t="s">
        <v>1535</v>
      </c>
      <c r="M1312" s="8">
        <v>154</v>
      </c>
      <c r="N1312" s="5" t="s">
        <v>1536</v>
      </c>
      <c r="O1312" s="7">
        <v>46100</v>
      </c>
    </row>
    <row r="1313" spans="1:15" x14ac:dyDescent="0.25">
      <c r="A1313" s="5" t="s">
        <v>4</v>
      </c>
      <c r="B1313" s="5" t="s">
        <v>4990</v>
      </c>
      <c r="D1313" s="5" t="s">
        <v>636</v>
      </c>
      <c r="E1313" s="5" t="s">
        <v>4991</v>
      </c>
      <c r="F1313" s="5" t="s">
        <v>4992</v>
      </c>
      <c r="G1313" s="6">
        <v>46125.326388888891</v>
      </c>
      <c r="H1313" s="7">
        <v>46132</v>
      </c>
      <c r="I1313" s="5" t="s">
        <v>4993</v>
      </c>
      <c r="J1313" s="7">
        <v>46136</v>
      </c>
      <c r="K1313" s="5" t="s">
        <v>1527</v>
      </c>
      <c r="L1313" s="5" t="s">
        <v>1564</v>
      </c>
      <c r="M1313" s="8">
        <v>154</v>
      </c>
      <c r="N1313" s="5" t="s">
        <v>1536</v>
      </c>
      <c r="O1313" s="7">
        <v>46136</v>
      </c>
    </row>
    <row r="1314" spans="1:15" x14ac:dyDescent="0.25">
      <c r="A1314" s="5" t="s">
        <v>4</v>
      </c>
      <c r="B1314" s="5" t="s">
        <v>4994</v>
      </c>
      <c r="D1314" s="5" t="s">
        <v>820</v>
      </c>
      <c r="E1314" s="5" t="s">
        <v>4995</v>
      </c>
      <c r="F1314" s="5" t="s">
        <v>1738</v>
      </c>
      <c r="G1314" s="6">
        <v>46086.720833333333</v>
      </c>
      <c r="H1314" s="7">
        <v>46099</v>
      </c>
      <c r="I1314" s="5" t="s">
        <v>4996</v>
      </c>
      <c r="J1314" s="7">
        <v>46100</v>
      </c>
      <c r="K1314" s="5" t="s">
        <v>1527</v>
      </c>
      <c r="L1314" s="5" t="s">
        <v>1564</v>
      </c>
      <c r="M1314" s="8">
        <v>153.9</v>
      </c>
      <c r="N1314" s="5" t="s">
        <v>1536</v>
      </c>
      <c r="O1314" s="7">
        <v>46100</v>
      </c>
    </row>
    <row r="1315" spans="1:15" x14ac:dyDescent="0.25">
      <c r="A1315" s="5" t="s">
        <v>4</v>
      </c>
      <c r="B1315" s="5" t="s">
        <v>4997</v>
      </c>
      <c r="D1315" s="5" t="s">
        <v>774</v>
      </c>
      <c r="E1315" s="5" t="s">
        <v>4998</v>
      </c>
      <c r="F1315" s="5" t="s">
        <v>4999</v>
      </c>
      <c r="G1315" s="6">
        <v>46037.609722222223</v>
      </c>
      <c r="H1315" s="7">
        <v>46044</v>
      </c>
      <c r="I1315" s="6">
        <v>46038.697916666664</v>
      </c>
      <c r="J1315" s="7">
        <v>46038</v>
      </c>
      <c r="K1315" s="5" t="s">
        <v>1527</v>
      </c>
      <c r="L1315" s="5" t="s">
        <v>1621</v>
      </c>
      <c r="M1315" s="8">
        <v>153.13</v>
      </c>
      <c r="N1315" s="5" t="s">
        <v>1536</v>
      </c>
      <c r="O1315" s="7">
        <v>46038</v>
      </c>
    </row>
    <row r="1316" spans="1:15" hidden="1" x14ac:dyDescent="0.25">
      <c r="A1316" s="5" t="s">
        <v>1522</v>
      </c>
      <c r="B1316" s="5" t="s">
        <v>5000</v>
      </c>
      <c r="D1316" s="5" t="s">
        <v>1502</v>
      </c>
      <c r="E1316" s="5" t="s">
        <v>3761</v>
      </c>
      <c r="F1316" s="5" t="s">
        <v>5001</v>
      </c>
      <c r="G1316" s="6">
        <v>46119.724999999999</v>
      </c>
      <c r="H1316" s="7">
        <v>46127</v>
      </c>
      <c r="I1316" s="5" t="s">
        <v>5002</v>
      </c>
      <c r="J1316" s="7">
        <v>46128</v>
      </c>
      <c r="K1316" s="5" t="s">
        <v>1527</v>
      </c>
      <c r="L1316" s="5" t="s">
        <v>1528</v>
      </c>
      <c r="M1316" s="8">
        <v>153</v>
      </c>
      <c r="N1316" s="5" t="s">
        <v>1536</v>
      </c>
      <c r="O1316" s="7">
        <v>46128</v>
      </c>
    </row>
    <row r="1317" spans="1:15" x14ac:dyDescent="0.25">
      <c r="A1317" s="5" t="s">
        <v>4</v>
      </c>
      <c r="B1317" s="5" t="s">
        <v>5003</v>
      </c>
      <c r="D1317" s="5" t="s">
        <v>749</v>
      </c>
      <c r="E1317" s="5" t="s">
        <v>5004</v>
      </c>
      <c r="F1317" s="5" t="s">
        <v>1738</v>
      </c>
      <c r="G1317" s="6">
        <v>46112.611111111109</v>
      </c>
      <c r="H1317" s="7">
        <v>46126</v>
      </c>
      <c r="I1317" s="6">
        <v>46126.636111111111</v>
      </c>
      <c r="J1317" s="7">
        <v>46125</v>
      </c>
      <c r="K1317" s="5" t="s">
        <v>1527</v>
      </c>
      <c r="L1317" s="5" t="s">
        <v>1564</v>
      </c>
      <c r="M1317" s="8">
        <v>153</v>
      </c>
      <c r="N1317" s="5" t="s">
        <v>1536</v>
      </c>
      <c r="O1317" s="7">
        <v>46125</v>
      </c>
    </row>
    <row r="1318" spans="1:15" x14ac:dyDescent="0.25">
      <c r="A1318" s="5" t="s">
        <v>4</v>
      </c>
      <c r="B1318" s="5" t="s">
        <v>5005</v>
      </c>
      <c r="D1318" s="5" t="s">
        <v>1167</v>
      </c>
      <c r="E1318" s="5" t="s">
        <v>5006</v>
      </c>
      <c r="F1318" s="5" t="s">
        <v>5007</v>
      </c>
      <c r="G1318" s="6">
        <v>46141.686805555553</v>
      </c>
      <c r="H1318" s="7">
        <v>46147</v>
      </c>
      <c r="I1318" s="5" t="s">
        <v>5008</v>
      </c>
      <c r="J1318" s="7">
        <v>46149</v>
      </c>
      <c r="K1318" s="5" t="s">
        <v>1527</v>
      </c>
      <c r="L1318" s="5" t="s">
        <v>1621</v>
      </c>
      <c r="M1318" s="8">
        <v>152.62</v>
      </c>
      <c r="N1318" s="5" t="s">
        <v>1536</v>
      </c>
      <c r="O1318" s="7">
        <v>46149</v>
      </c>
    </row>
    <row r="1319" spans="1:15" x14ac:dyDescent="0.25">
      <c r="A1319" s="5" t="s">
        <v>4</v>
      </c>
      <c r="B1319" s="5" t="s">
        <v>5009</v>
      </c>
      <c r="D1319" s="5" t="s">
        <v>645</v>
      </c>
      <c r="E1319" s="5" t="s">
        <v>5010</v>
      </c>
      <c r="F1319" s="5" t="s">
        <v>5011</v>
      </c>
      <c r="G1319" s="6">
        <v>46106.458333333336</v>
      </c>
      <c r="H1319" s="7">
        <v>46120</v>
      </c>
      <c r="I1319" s="5" t="s">
        <v>5012</v>
      </c>
      <c r="J1319" s="7">
        <v>46120</v>
      </c>
      <c r="K1319" s="5" t="s">
        <v>1527</v>
      </c>
      <c r="L1319" s="5" t="s">
        <v>1564</v>
      </c>
      <c r="M1319" s="8">
        <v>152.25</v>
      </c>
      <c r="N1319" s="5" t="s">
        <v>1536</v>
      </c>
      <c r="O1319" s="7">
        <v>46120</v>
      </c>
    </row>
    <row r="1320" spans="1:15" hidden="1" x14ac:dyDescent="0.25">
      <c r="A1320" s="5" t="s">
        <v>1522</v>
      </c>
      <c r="B1320" s="5" t="s">
        <v>5013</v>
      </c>
      <c r="D1320" s="5" t="s">
        <v>1510</v>
      </c>
      <c r="E1320" s="5" t="s">
        <v>2466</v>
      </c>
      <c r="F1320" s="5" t="s">
        <v>2467</v>
      </c>
      <c r="G1320" s="6">
        <v>46108.658333333333</v>
      </c>
      <c r="H1320" s="7">
        <v>46112</v>
      </c>
      <c r="I1320" s="6">
        <v>46112.731944444444</v>
      </c>
      <c r="J1320" s="7">
        <v>46112</v>
      </c>
      <c r="K1320" s="5" t="s">
        <v>1527</v>
      </c>
      <c r="L1320" s="5" t="s">
        <v>1621</v>
      </c>
      <c r="M1320" s="8">
        <v>152</v>
      </c>
      <c r="N1320" s="5" t="s">
        <v>1536</v>
      </c>
      <c r="O1320" s="7">
        <v>46112</v>
      </c>
    </row>
    <row r="1321" spans="1:15" x14ac:dyDescent="0.25">
      <c r="A1321" s="5" t="s">
        <v>4</v>
      </c>
      <c r="B1321" s="5" t="s">
        <v>5014</v>
      </c>
      <c r="D1321" s="5" t="s">
        <v>1055</v>
      </c>
      <c r="E1321" s="5" t="s">
        <v>5015</v>
      </c>
      <c r="F1321" s="5" t="s">
        <v>1548</v>
      </c>
      <c r="G1321" s="6">
        <v>46030.651388888888</v>
      </c>
      <c r="H1321" s="7">
        <v>46042</v>
      </c>
      <c r="I1321" s="5" t="s">
        <v>5016</v>
      </c>
      <c r="J1321" s="7">
        <v>46043</v>
      </c>
      <c r="K1321" s="5" t="s">
        <v>1527</v>
      </c>
      <c r="L1321" s="5" t="s">
        <v>1564</v>
      </c>
      <c r="M1321" s="8">
        <v>152</v>
      </c>
      <c r="N1321" s="5" t="s">
        <v>1536</v>
      </c>
      <c r="O1321" s="7">
        <v>46043</v>
      </c>
    </row>
    <row r="1322" spans="1:15" x14ac:dyDescent="0.25">
      <c r="A1322" s="5" t="s">
        <v>4</v>
      </c>
      <c r="B1322" s="5" t="s">
        <v>5017</v>
      </c>
      <c r="D1322" s="5" t="s">
        <v>1253</v>
      </c>
      <c r="E1322" s="5" t="s">
        <v>5018</v>
      </c>
      <c r="F1322" s="5" t="s">
        <v>2118</v>
      </c>
      <c r="G1322" s="6">
        <v>46090.343055555553</v>
      </c>
      <c r="H1322" s="7">
        <v>46101</v>
      </c>
      <c r="I1322" s="6">
        <v>46100.627083333333</v>
      </c>
      <c r="J1322" s="7">
        <v>46100</v>
      </c>
      <c r="K1322" s="5" t="s">
        <v>1527</v>
      </c>
      <c r="L1322" s="5" t="s">
        <v>1564</v>
      </c>
      <c r="M1322" s="8">
        <v>152</v>
      </c>
      <c r="N1322" s="5" t="s">
        <v>1536</v>
      </c>
      <c r="O1322" s="7">
        <v>46100</v>
      </c>
    </row>
    <row r="1323" spans="1:15" x14ac:dyDescent="0.25">
      <c r="A1323" s="5" t="s">
        <v>4</v>
      </c>
      <c r="B1323" s="5" t="s">
        <v>5019</v>
      </c>
      <c r="D1323" s="5" t="s">
        <v>616</v>
      </c>
      <c r="E1323" s="5" t="s">
        <v>5020</v>
      </c>
      <c r="F1323" s="5" t="s">
        <v>5021</v>
      </c>
      <c r="G1323" s="6">
        <v>46155.429861111108</v>
      </c>
      <c r="H1323" s="7">
        <v>46169</v>
      </c>
      <c r="I1323" s="6">
        <v>46161.418749999997</v>
      </c>
      <c r="J1323" s="7">
        <v>46161</v>
      </c>
      <c r="K1323" s="5" t="s">
        <v>1527</v>
      </c>
      <c r="L1323" s="5" t="s">
        <v>1564</v>
      </c>
      <c r="M1323" s="8">
        <v>152</v>
      </c>
      <c r="N1323" s="5" t="s">
        <v>1536</v>
      </c>
      <c r="O1323" s="7">
        <v>46161</v>
      </c>
    </row>
    <row r="1324" spans="1:15" x14ac:dyDescent="0.25">
      <c r="A1324" s="5" t="s">
        <v>4</v>
      </c>
      <c r="B1324" s="5" t="s">
        <v>5022</v>
      </c>
      <c r="D1324" s="5" t="s">
        <v>1339</v>
      </c>
      <c r="E1324" s="5" t="s">
        <v>3094</v>
      </c>
      <c r="F1324" s="5" t="s">
        <v>2118</v>
      </c>
      <c r="G1324" s="6">
        <v>46161.697916666664</v>
      </c>
      <c r="H1324" s="7">
        <v>46174</v>
      </c>
      <c r="I1324" s="5" t="s">
        <v>5023</v>
      </c>
      <c r="J1324" s="7">
        <v>46176</v>
      </c>
      <c r="K1324" s="5" t="s">
        <v>1527</v>
      </c>
      <c r="L1324" s="5" t="s">
        <v>1564</v>
      </c>
      <c r="M1324" s="8">
        <v>151.69</v>
      </c>
      <c r="N1324" s="5" t="s">
        <v>1536</v>
      </c>
      <c r="O1324" s="7">
        <v>46176</v>
      </c>
    </row>
    <row r="1325" spans="1:15" x14ac:dyDescent="0.25">
      <c r="A1325" s="5" t="s">
        <v>4</v>
      </c>
      <c r="B1325" s="5" t="s">
        <v>5024</v>
      </c>
      <c r="D1325" s="5" t="s">
        <v>562</v>
      </c>
      <c r="E1325" s="5" t="s">
        <v>5025</v>
      </c>
      <c r="F1325" s="5" t="s">
        <v>1548</v>
      </c>
      <c r="G1325" s="6">
        <v>46042.335416666669</v>
      </c>
      <c r="H1325" s="7">
        <v>46055</v>
      </c>
      <c r="I1325" s="5" t="s">
        <v>5026</v>
      </c>
      <c r="J1325" s="7">
        <v>46057</v>
      </c>
      <c r="K1325" s="5" t="s">
        <v>1527</v>
      </c>
      <c r="L1325" s="5" t="s">
        <v>1564</v>
      </c>
      <c r="M1325" s="8">
        <v>151</v>
      </c>
      <c r="N1325" s="5" t="s">
        <v>1536</v>
      </c>
      <c r="O1325" s="7">
        <v>46057</v>
      </c>
    </row>
    <row r="1326" spans="1:15" x14ac:dyDescent="0.25">
      <c r="A1326" s="5" t="s">
        <v>4</v>
      </c>
      <c r="B1326" s="5" t="s">
        <v>5027</v>
      </c>
      <c r="D1326" s="5" t="s">
        <v>370</v>
      </c>
      <c r="E1326" s="5" t="s">
        <v>5028</v>
      </c>
      <c r="F1326" s="5" t="s">
        <v>1548</v>
      </c>
      <c r="G1326" s="6">
        <v>46036.625694444447</v>
      </c>
      <c r="H1326" s="7">
        <v>46043</v>
      </c>
      <c r="I1326" s="5" t="s">
        <v>3322</v>
      </c>
      <c r="J1326" s="7">
        <v>46051</v>
      </c>
      <c r="K1326" s="5" t="s">
        <v>1527</v>
      </c>
      <c r="L1326" s="5" t="s">
        <v>1564</v>
      </c>
      <c r="M1326" s="8">
        <v>150.80000000000001</v>
      </c>
      <c r="N1326" s="5" t="s">
        <v>1536</v>
      </c>
      <c r="O1326" s="7">
        <v>46051</v>
      </c>
    </row>
    <row r="1327" spans="1:15" x14ac:dyDescent="0.25">
      <c r="A1327" s="5" t="s">
        <v>4</v>
      </c>
      <c r="B1327" s="5" t="s">
        <v>5029</v>
      </c>
      <c r="D1327" s="5" t="s">
        <v>1090</v>
      </c>
      <c r="E1327" s="5" t="s">
        <v>5030</v>
      </c>
      <c r="F1327" s="5" t="s">
        <v>5031</v>
      </c>
      <c r="G1327" s="6">
        <v>46097.689583333333</v>
      </c>
      <c r="H1327" s="7">
        <v>46104</v>
      </c>
      <c r="I1327" s="5" t="s">
        <v>5032</v>
      </c>
      <c r="J1327" s="7">
        <v>46107</v>
      </c>
      <c r="K1327" s="5" t="s">
        <v>1527</v>
      </c>
      <c r="L1327" s="5" t="s">
        <v>1564</v>
      </c>
      <c r="M1327" s="8">
        <v>150.80000000000001</v>
      </c>
      <c r="N1327" s="5" t="s">
        <v>1536</v>
      </c>
      <c r="O1327" s="7">
        <v>46107</v>
      </c>
    </row>
    <row r="1328" spans="1:15" hidden="1" x14ac:dyDescent="0.25">
      <c r="A1328" s="5" t="s">
        <v>1522</v>
      </c>
      <c r="B1328" s="5" t="s">
        <v>5033</v>
      </c>
      <c r="D1328" s="5" t="s">
        <v>1431</v>
      </c>
      <c r="E1328" s="5" t="s">
        <v>4834</v>
      </c>
      <c r="F1328" s="5" t="s">
        <v>5034</v>
      </c>
      <c r="G1328" s="6">
        <v>46148.689583333333</v>
      </c>
      <c r="H1328" s="7">
        <v>46155</v>
      </c>
      <c r="I1328" s="5" t="s">
        <v>5035</v>
      </c>
      <c r="J1328" s="7">
        <v>46156</v>
      </c>
      <c r="K1328" s="5" t="s">
        <v>1527</v>
      </c>
      <c r="L1328" s="5" t="s">
        <v>1528</v>
      </c>
      <c r="M1328" s="8">
        <v>150.30000000000001</v>
      </c>
      <c r="N1328" s="5" t="s">
        <v>1529</v>
      </c>
      <c r="O1328" s="7">
        <v>46156</v>
      </c>
    </row>
    <row r="1329" spans="1:15" x14ac:dyDescent="0.25">
      <c r="A1329" s="5" t="s">
        <v>4</v>
      </c>
      <c r="B1329" s="5" t="s">
        <v>5036</v>
      </c>
      <c r="D1329" s="5" t="s">
        <v>1272</v>
      </c>
      <c r="E1329" s="5" t="s">
        <v>5037</v>
      </c>
      <c r="F1329" s="5" t="s">
        <v>5038</v>
      </c>
      <c r="G1329" s="6">
        <v>46161.675694444442</v>
      </c>
      <c r="H1329" s="7">
        <v>46168</v>
      </c>
      <c r="I1329" s="5" t="s">
        <v>5039</v>
      </c>
      <c r="J1329" s="7">
        <v>46169</v>
      </c>
      <c r="K1329" s="5" t="s">
        <v>1527</v>
      </c>
      <c r="L1329" s="5" t="s">
        <v>1621</v>
      </c>
      <c r="M1329" s="8">
        <v>150.16999999999999</v>
      </c>
      <c r="N1329" s="5" t="s">
        <v>1536</v>
      </c>
      <c r="O1329" s="7">
        <v>46169</v>
      </c>
    </row>
    <row r="1330" spans="1:15" x14ac:dyDescent="0.25">
      <c r="A1330" s="5" t="s">
        <v>4</v>
      </c>
      <c r="B1330" s="5" t="s">
        <v>5040</v>
      </c>
      <c r="D1330" s="5" t="s">
        <v>1264</v>
      </c>
      <c r="E1330" s="5" t="s">
        <v>5041</v>
      </c>
      <c r="F1330" s="5" t="s">
        <v>5042</v>
      </c>
      <c r="G1330" s="6">
        <v>46168.591666666667</v>
      </c>
      <c r="H1330" s="7">
        <v>46182</v>
      </c>
      <c r="I1330" s="6">
        <v>46178.492361111108</v>
      </c>
      <c r="J1330" s="7">
        <v>46176</v>
      </c>
      <c r="K1330" s="5" t="s">
        <v>1527</v>
      </c>
      <c r="L1330" s="5" t="s">
        <v>1564</v>
      </c>
      <c r="M1330" s="8">
        <v>150.04</v>
      </c>
      <c r="N1330" s="5" t="s">
        <v>1529</v>
      </c>
      <c r="O1330" s="7">
        <v>46176</v>
      </c>
    </row>
    <row r="1331" spans="1:15" hidden="1" x14ac:dyDescent="0.25">
      <c r="A1331" s="5" t="s">
        <v>1522</v>
      </c>
      <c r="B1331" s="5" t="s">
        <v>5043</v>
      </c>
      <c r="D1331" s="5" t="s">
        <v>62</v>
      </c>
      <c r="E1331" s="5" t="s">
        <v>5044</v>
      </c>
      <c r="F1331" s="5" t="s">
        <v>1548</v>
      </c>
      <c r="G1331" s="6">
        <v>46052.32708333333</v>
      </c>
      <c r="H1331" s="7">
        <v>46063</v>
      </c>
      <c r="I1331" s="5" t="s">
        <v>2835</v>
      </c>
      <c r="J1331" s="7">
        <v>46065</v>
      </c>
      <c r="K1331" s="5" t="s">
        <v>1527</v>
      </c>
      <c r="L1331" s="5" t="s">
        <v>1528</v>
      </c>
      <c r="M1331" s="8">
        <v>150</v>
      </c>
      <c r="N1331" s="5" t="s">
        <v>1536</v>
      </c>
      <c r="O1331" s="7">
        <v>46065</v>
      </c>
    </row>
    <row r="1332" spans="1:15" hidden="1" x14ac:dyDescent="0.25">
      <c r="A1332" s="5" t="s">
        <v>1522</v>
      </c>
      <c r="B1332" s="5" t="s">
        <v>5045</v>
      </c>
      <c r="D1332" s="5" t="s">
        <v>1507</v>
      </c>
      <c r="E1332" s="5" t="s">
        <v>2247</v>
      </c>
      <c r="F1332" s="5" t="s">
        <v>1548</v>
      </c>
      <c r="G1332" s="6">
        <v>46080.563888888886</v>
      </c>
      <c r="H1332" s="7">
        <v>46090</v>
      </c>
      <c r="I1332" s="6">
        <v>46086.73333333333</v>
      </c>
      <c r="J1332" s="7">
        <v>46086</v>
      </c>
      <c r="K1332" s="5" t="s">
        <v>1527</v>
      </c>
      <c r="L1332" s="5" t="s">
        <v>1528</v>
      </c>
      <c r="M1332" s="8">
        <v>150</v>
      </c>
      <c r="N1332" s="5" t="s">
        <v>1536</v>
      </c>
      <c r="O1332" s="7">
        <v>46086</v>
      </c>
    </row>
    <row r="1333" spans="1:15" hidden="1" x14ac:dyDescent="0.25">
      <c r="A1333" s="5" t="s">
        <v>1522</v>
      </c>
      <c r="B1333" s="5" t="s">
        <v>5046</v>
      </c>
      <c r="D1333" s="5" t="s">
        <v>1431</v>
      </c>
      <c r="E1333" s="5" t="s">
        <v>4834</v>
      </c>
      <c r="F1333" s="5" t="s">
        <v>5047</v>
      </c>
      <c r="G1333" s="6">
        <v>46126.422222222223</v>
      </c>
      <c r="H1333" s="7">
        <v>46133</v>
      </c>
      <c r="I1333" s="6">
        <v>46128.622916666667</v>
      </c>
      <c r="J1333" s="7">
        <v>46128</v>
      </c>
      <c r="K1333" s="5" t="s">
        <v>1527</v>
      </c>
      <c r="L1333" s="5" t="s">
        <v>1528</v>
      </c>
      <c r="M1333" s="8">
        <v>150</v>
      </c>
      <c r="N1333" s="5" t="s">
        <v>1536</v>
      </c>
      <c r="O1333" s="7">
        <v>46128</v>
      </c>
    </row>
    <row r="1334" spans="1:15" hidden="1" x14ac:dyDescent="0.25">
      <c r="A1334" s="5" t="s">
        <v>1522</v>
      </c>
      <c r="B1334" s="5" t="s">
        <v>5048</v>
      </c>
      <c r="D1334" s="5" t="s">
        <v>1130</v>
      </c>
      <c r="E1334" s="5" t="s">
        <v>5049</v>
      </c>
      <c r="F1334" s="5" t="s">
        <v>4053</v>
      </c>
      <c r="G1334" s="6">
        <v>46134.662499999999</v>
      </c>
      <c r="H1334" s="7">
        <v>46142</v>
      </c>
      <c r="I1334" s="6">
        <v>46141.365277777775</v>
      </c>
      <c r="J1334" s="7">
        <v>46141</v>
      </c>
      <c r="K1334" s="5" t="s">
        <v>1527</v>
      </c>
      <c r="L1334" s="5" t="s">
        <v>1528</v>
      </c>
      <c r="M1334" s="8">
        <v>150</v>
      </c>
      <c r="N1334" s="5" t="s">
        <v>1536</v>
      </c>
      <c r="O1334" s="7">
        <v>46141</v>
      </c>
    </row>
    <row r="1335" spans="1:15" x14ac:dyDescent="0.25">
      <c r="A1335" s="5" t="s">
        <v>4</v>
      </c>
      <c r="B1335" s="5" t="s">
        <v>5050</v>
      </c>
      <c r="D1335" s="5" t="s">
        <v>119</v>
      </c>
      <c r="E1335" s="5" t="s">
        <v>5051</v>
      </c>
      <c r="F1335" s="5" t="s">
        <v>1548</v>
      </c>
      <c r="G1335" s="6">
        <v>46044.662499999999</v>
      </c>
      <c r="H1335" s="7">
        <v>46057</v>
      </c>
      <c r="I1335" s="5" t="s">
        <v>5052</v>
      </c>
      <c r="J1335" s="7">
        <v>46058</v>
      </c>
      <c r="K1335" s="5" t="s">
        <v>1527</v>
      </c>
      <c r="L1335" s="5" t="s">
        <v>1564</v>
      </c>
      <c r="M1335" s="8">
        <v>150</v>
      </c>
      <c r="N1335" s="5" t="s">
        <v>1536</v>
      </c>
      <c r="O1335" s="7">
        <v>46058</v>
      </c>
    </row>
    <row r="1336" spans="1:15" x14ac:dyDescent="0.25">
      <c r="A1336" s="5" t="s">
        <v>4</v>
      </c>
      <c r="B1336" s="5" t="s">
        <v>5053</v>
      </c>
      <c r="D1336" s="5" t="s">
        <v>1509</v>
      </c>
      <c r="E1336" s="5" t="s">
        <v>1614</v>
      </c>
      <c r="F1336" s="5" t="s">
        <v>5054</v>
      </c>
      <c r="G1336" s="6">
        <v>46048.675694444442</v>
      </c>
      <c r="H1336" s="7">
        <v>46057</v>
      </c>
      <c r="I1336" s="5" t="s">
        <v>5055</v>
      </c>
      <c r="J1336" s="7">
        <v>46080</v>
      </c>
      <c r="K1336" s="5" t="s">
        <v>1527</v>
      </c>
      <c r="L1336" s="5" t="s">
        <v>1535</v>
      </c>
      <c r="M1336" s="8">
        <v>150</v>
      </c>
      <c r="N1336" s="5" t="s">
        <v>1536</v>
      </c>
      <c r="O1336" s="7">
        <v>46080</v>
      </c>
    </row>
    <row r="1337" spans="1:15" x14ac:dyDescent="0.25">
      <c r="A1337" s="5" t="s">
        <v>4</v>
      </c>
      <c r="B1337" s="5" t="s">
        <v>5056</v>
      </c>
      <c r="D1337" s="5" t="s">
        <v>1178</v>
      </c>
      <c r="E1337" s="5" t="s">
        <v>5057</v>
      </c>
      <c r="F1337" s="5" t="s">
        <v>1770</v>
      </c>
      <c r="G1337" s="6">
        <v>46106.644444444442</v>
      </c>
      <c r="H1337" s="7">
        <v>46106</v>
      </c>
      <c r="I1337" s="6">
        <v>46106.313194444447</v>
      </c>
      <c r="J1337" s="7">
        <v>46106</v>
      </c>
      <c r="K1337" s="5" t="s">
        <v>1527</v>
      </c>
      <c r="L1337" s="5" t="s">
        <v>1564</v>
      </c>
      <c r="M1337" s="8">
        <v>150</v>
      </c>
      <c r="N1337" s="5" t="s">
        <v>1536</v>
      </c>
      <c r="O1337" s="7">
        <v>46106</v>
      </c>
    </row>
    <row r="1338" spans="1:15" x14ac:dyDescent="0.25">
      <c r="A1338" s="5" t="s">
        <v>4</v>
      </c>
      <c r="B1338" s="5" t="s">
        <v>5058</v>
      </c>
      <c r="D1338" s="5" t="s">
        <v>1358</v>
      </c>
      <c r="E1338" s="5" t="s">
        <v>4263</v>
      </c>
      <c r="F1338" s="5" t="s">
        <v>1759</v>
      </c>
      <c r="G1338" s="6">
        <v>46120.435416666667</v>
      </c>
      <c r="H1338" s="7">
        <v>46129</v>
      </c>
      <c r="I1338" s="6">
        <v>46128.416666666664</v>
      </c>
      <c r="J1338" s="7">
        <v>46127</v>
      </c>
      <c r="K1338" s="5" t="s">
        <v>1527</v>
      </c>
      <c r="L1338" s="5" t="s">
        <v>1535</v>
      </c>
      <c r="M1338" s="8">
        <v>150</v>
      </c>
      <c r="N1338" s="5" t="s">
        <v>1536</v>
      </c>
      <c r="O1338" s="7">
        <v>46127</v>
      </c>
    </row>
    <row r="1339" spans="1:15" x14ac:dyDescent="0.25">
      <c r="A1339" s="5" t="s">
        <v>4</v>
      </c>
      <c r="B1339" s="5" t="s">
        <v>5059</v>
      </c>
      <c r="D1339" s="5" t="s">
        <v>1315</v>
      </c>
      <c r="E1339" s="5" t="s">
        <v>5060</v>
      </c>
      <c r="F1339" s="5" t="s">
        <v>1759</v>
      </c>
      <c r="G1339" s="6">
        <v>46161.487500000003</v>
      </c>
      <c r="H1339" s="7">
        <v>46174</v>
      </c>
      <c r="I1339" s="6">
        <v>46174.786805555559</v>
      </c>
      <c r="J1339" s="7">
        <v>46170</v>
      </c>
      <c r="K1339" s="5" t="s">
        <v>1527</v>
      </c>
      <c r="L1339" s="5" t="s">
        <v>1564</v>
      </c>
      <c r="M1339" s="8">
        <v>150</v>
      </c>
      <c r="N1339" s="5" t="s">
        <v>1536</v>
      </c>
      <c r="O1339" s="7">
        <v>46170</v>
      </c>
    </row>
    <row r="1340" spans="1:15" x14ac:dyDescent="0.25">
      <c r="A1340" s="5" t="s">
        <v>4</v>
      </c>
      <c r="B1340" s="5" t="s">
        <v>5061</v>
      </c>
      <c r="D1340" s="5" t="s">
        <v>160</v>
      </c>
      <c r="E1340" s="5" t="s">
        <v>5062</v>
      </c>
      <c r="F1340" s="5" t="s">
        <v>1770</v>
      </c>
      <c r="G1340" s="6">
        <v>46163.342361111114</v>
      </c>
      <c r="H1340" s="7">
        <v>46176</v>
      </c>
      <c r="I1340" s="6">
        <v>46171.624305555553</v>
      </c>
      <c r="J1340" s="7">
        <v>46170</v>
      </c>
      <c r="K1340" s="5" t="s">
        <v>1527</v>
      </c>
      <c r="L1340" s="5" t="s">
        <v>1564</v>
      </c>
      <c r="M1340" s="8">
        <v>150</v>
      </c>
      <c r="N1340" s="5" t="s">
        <v>1536</v>
      </c>
      <c r="O1340" s="7">
        <v>46170</v>
      </c>
    </row>
    <row r="1341" spans="1:15" x14ac:dyDescent="0.25">
      <c r="A1341" s="5" t="s">
        <v>4</v>
      </c>
      <c r="B1341" s="5" t="s">
        <v>5063</v>
      </c>
      <c r="D1341" s="5" t="s">
        <v>1449</v>
      </c>
      <c r="E1341" s="5" t="s">
        <v>5064</v>
      </c>
      <c r="F1341" s="5" t="s">
        <v>2118</v>
      </c>
      <c r="G1341" s="6">
        <v>46169.78402777778</v>
      </c>
      <c r="H1341" s="7">
        <v>46183</v>
      </c>
      <c r="I1341" s="6">
        <v>46175.753472222219</v>
      </c>
      <c r="J1341" s="7">
        <v>46171</v>
      </c>
      <c r="K1341" s="5" t="s">
        <v>1527</v>
      </c>
      <c r="L1341" s="5" t="s">
        <v>1564</v>
      </c>
      <c r="M1341" s="8">
        <v>149.93</v>
      </c>
      <c r="N1341" s="5" t="s">
        <v>1536</v>
      </c>
      <c r="O1341" s="7">
        <v>46171</v>
      </c>
    </row>
    <row r="1342" spans="1:15" x14ac:dyDescent="0.25">
      <c r="A1342" s="5" t="s">
        <v>4</v>
      </c>
      <c r="B1342" s="5" t="s">
        <v>5065</v>
      </c>
      <c r="D1342" s="5" t="s">
        <v>1239</v>
      </c>
      <c r="E1342" s="5" t="s">
        <v>5066</v>
      </c>
      <c r="F1342" s="5" t="s">
        <v>2740</v>
      </c>
      <c r="G1342" s="6">
        <v>46162.381944444445</v>
      </c>
      <c r="H1342" s="7">
        <v>46175</v>
      </c>
      <c r="I1342" s="6">
        <v>46171.628472222219</v>
      </c>
      <c r="J1342" s="7">
        <v>46171</v>
      </c>
      <c r="K1342" s="5" t="s">
        <v>1527</v>
      </c>
      <c r="L1342" s="5" t="s">
        <v>1564</v>
      </c>
      <c r="M1342" s="8">
        <v>149.75</v>
      </c>
      <c r="N1342" s="5" t="s">
        <v>1536</v>
      </c>
      <c r="O1342" s="7">
        <v>46171</v>
      </c>
    </row>
    <row r="1343" spans="1:15" x14ac:dyDescent="0.25">
      <c r="A1343" s="5" t="s">
        <v>4</v>
      </c>
      <c r="B1343" s="5" t="s">
        <v>5067</v>
      </c>
      <c r="D1343" s="5" t="s">
        <v>1374</v>
      </c>
      <c r="E1343" s="5" t="s">
        <v>5068</v>
      </c>
      <c r="F1343" s="5" t="s">
        <v>1813</v>
      </c>
      <c r="G1343" s="6">
        <v>46071.473611111112</v>
      </c>
      <c r="H1343" s="7">
        <v>46080</v>
      </c>
      <c r="I1343" s="6">
        <v>46076.634027777778</v>
      </c>
      <c r="J1343" s="7">
        <v>46076</v>
      </c>
      <c r="K1343" s="5" t="s">
        <v>1527</v>
      </c>
      <c r="L1343" s="5" t="s">
        <v>1535</v>
      </c>
      <c r="M1343" s="8">
        <v>149.30000000000001</v>
      </c>
      <c r="N1343" s="5" t="s">
        <v>1536</v>
      </c>
      <c r="O1343" s="7">
        <v>46076</v>
      </c>
    </row>
    <row r="1344" spans="1:15" x14ac:dyDescent="0.25">
      <c r="A1344" s="5" t="s">
        <v>4</v>
      </c>
      <c r="B1344" s="5" t="s">
        <v>5069</v>
      </c>
      <c r="D1344" s="5" t="s">
        <v>1432</v>
      </c>
      <c r="E1344" s="5" t="s">
        <v>5070</v>
      </c>
      <c r="F1344" s="5" t="s">
        <v>1759</v>
      </c>
      <c r="G1344" s="6">
        <v>46092.368055555555</v>
      </c>
      <c r="H1344" s="7">
        <v>46099</v>
      </c>
      <c r="I1344" s="5" t="s">
        <v>5071</v>
      </c>
      <c r="J1344" s="7">
        <v>46093</v>
      </c>
      <c r="K1344" s="5" t="s">
        <v>1527</v>
      </c>
      <c r="L1344" s="5" t="s">
        <v>1564</v>
      </c>
      <c r="M1344" s="8">
        <v>148.5</v>
      </c>
      <c r="N1344" s="5" t="s">
        <v>1536</v>
      </c>
      <c r="O1344" s="7">
        <v>46093</v>
      </c>
    </row>
    <row r="1345" spans="1:15" x14ac:dyDescent="0.25">
      <c r="A1345" s="5" t="s">
        <v>4</v>
      </c>
      <c r="B1345" s="5" t="s">
        <v>5072</v>
      </c>
      <c r="D1345" s="5" t="s">
        <v>295</v>
      </c>
      <c r="E1345" s="5" t="s">
        <v>5073</v>
      </c>
      <c r="F1345" s="5" t="s">
        <v>1813</v>
      </c>
      <c r="G1345" s="6">
        <v>46029.632638888892</v>
      </c>
      <c r="H1345" s="7">
        <v>46038</v>
      </c>
      <c r="I1345" s="5" t="s">
        <v>5074</v>
      </c>
      <c r="J1345" s="7">
        <v>46050</v>
      </c>
      <c r="K1345" s="5" t="s">
        <v>1527</v>
      </c>
      <c r="L1345" s="5" t="s">
        <v>1535</v>
      </c>
      <c r="M1345" s="8">
        <v>148.4</v>
      </c>
      <c r="N1345" s="5" t="s">
        <v>1536</v>
      </c>
      <c r="O1345" s="7">
        <v>46050</v>
      </c>
    </row>
    <row r="1346" spans="1:15" x14ac:dyDescent="0.25">
      <c r="A1346" s="5" t="s">
        <v>4</v>
      </c>
      <c r="B1346" s="5" t="s">
        <v>5075</v>
      </c>
      <c r="D1346" s="5" t="s">
        <v>1213</v>
      </c>
      <c r="E1346" s="5" t="s">
        <v>5076</v>
      </c>
      <c r="F1346" s="5" t="s">
        <v>5077</v>
      </c>
      <c r="G1346" s="6">
        <v>46058.76458333333</v>
      </c>
      <c r="H1346" s="7">
        <v>46065</v>
      </c>
      <c r="I1346" s="6">
        <v>46063.667361111111</v>
      </c>
      <c r="J1346" s="7">
        <v>46063</v>
      </c>
      <c r="K1346" s="5" t="s">
        <v>1527</v>
      </c>
      <c r="L1346" s="5" t="s">
        <v>1621</v>
      </c>
      <c r="M1346" s="8">
        <v>148.38999999999999</v>
      </c>
      <c r="N1346" s="5" t="s">
        <v>1536</v>
      </c>
      <c r="O1346" s="7">
        <v>46063</v>
      </c>
    </row>
    <row r="1347" spans="1:15" x14ac:dyDescent="0.25">
      <c r="A1347" s="5" t="s">
        <v>4</v>
      </c>
      <c r="B1347" s="5" t="s">
        <v>5078</v>
      </c>
      <c r="D1347" s="5" t="s">
        <v>1025</v>
      </c>
      <c r="E1347" s="5" t="s">
        <v>5079</v>
      </c>
      <c r="F1347" s="5" t="s">
        <v>1532</v>
      </c>
      <c r="G1347" s="6">
        <v>46162.634722222225</v>
      </c>
      <c r="H1347" s="7">
        <v>46171</v>
      </c>
      <c r="I1347" s="5" t="s">
        <v>1533</v>
      </c>
      <c r="J1347" s="7">
        <v>46183</v>
      </c>
      <c r="K1347" s="5" t="s">
        <v>1534</v>
      </c>
      <c r="L1347" s="5" t="s">
        <v>1535</v>
      </c>
      <c r="M1347" s="8">
        <v>148.25</v>
      </c>
      <c r="N1347" s="5" t="s">
        <v>1529</v>
      </c>
      <c r="O1347" s="7">
        <v>46183</v>
      </c>
    </row>
    <row r="1348" spans="1:15" hidden="1" x14ac:dyDescent="0.25">
      <c r="A1348" s="5" t="s">
        <v>1522</v>
      </c>
      <c r="B1348" s="5" t="s">
        <v>5080</v>
      </c>
      <c r="D1348" s="5" t="s">
        <v>1510</v>
      </c>
      <c r="E1348" s="5" t="s">
        <v>2466</v>
      </c>
      <c r="F1348" s="5" t="s">
        <v>2467</v>
      </c>
      <c r="G1348" s="6">
        <v>46056.665277777778</v>
      </c>
      <c r="H1348" s="7">
        <v>46059</v>
      </c>
      <c r="I1348" s="6">
        <v>46059.689583333333</v>
      </c>
      <c r="J1348" s="7">
        <v>46059</v>
      </c>
      <c r="K1348" s="5" t="s">
        <v>1527</v>
      </c>
      <c r="L1348" s="5" t="s">
        <v>1621</v>
      </c>
      <c r="M1348" s="8">
        <v>148.19999999999999</v>
      </c>
      <c r="N1348" s="5" t="s">
        <v>1536</v>
      </c>
      <c r="O1348" s="7">
        <v>46059</v>
      </c>
    </row>
    <row r="1349" spans="1:15" x14ac:dyDescent="0.25">
      <c r="A1349" s="5" t="s">
        <v>4</v>
      </c>
      <c r="B1349" s="5" t="s">
        <v>5081</v>
      </c>
      <c r="D1349" s="5" t="s">
        <v>110</v>
      </c>
      <c r="E1349" s="5" t="s">
        <v>5082</v>
      </c>
      <c r="F1349" s="5" t="s">
        <v>5083</v>
      </c>
      <c r="G1349" s="6">
        <v>46125.489583333336</v>
      </c>
      <c r="H1349" s="7">
        <v>46132</v>
      </c>
      <c r="I1349" s="5" t="s">
        <v>5084</v>
      </c>
      <c r="J1349" s="7">
        <v>46135</v>
      </c>
      <c r="K1349" s="5" t="s">
        <v>1527</v>
      </c>
      <c r="L1349" s="5" t="s">
        <v>1564</v>
      </c>
      <c r="M1349" s="8">
        <v>148.07</v>
      </c>
      <c r="N1349" s="5" t="s">
        <v>1536</v>
      </c>
      <c r="O1349" s="7">
        <v>46135</v>
      </c>
    </row>
    <row r="1350" spans="1:15" x14ac:dyDescent="0.25">
      <c r="A1350" s="5" t="s">
        <v>4</v>
      </c>
      <c r="B1350" s="5" t="s">
        <v>5085</v>
      </c>
      <c r="D1350" s="5" t="s">
        <v>1304</v>
      </c>
      <c r="E1350" s="5" t="s">
        <v>4148</v>
      </c>
      <c r="F1350" s="5" t="s">
        <v>4149</v>
      </c>
      <c r="G1350" s="6">
        <v>46114.563194444447</v>
      </c>
      <c r="H1350" s="7">
        <v>46120</v>
      </c>
      <c r="I1350" s="6">
        <v>46120.759722222225</v>
      </c>
      <c r="J1350" s="7">
        <v>46120</v>
      </c>
      <c r="K1350" s="5" t="s">
        <v>1527</v>
      </c>
      <c r="L1350" s="5" t="s">
        <v>1535</v>
      </c>
      <c r="M1350" s="8">
        <v>148</v>
      </c>
      <c r="N1350" s="5" t="s">
        <v>1536</v>
      </c>
      <c r="O1350" s="7">
        <v>46120</v>
      </c>
    </row>
    <row r="1351" spans="1:15" x14ac:dyDescent="0.25">
      <c r="A1351" s="5" t="s">
        <v>4</v>
      </c>
      <c r="B1351" s="5" t="s">
        <v>5086</v>
      </c>
      <c r="D1351" s="5" t="s">
        <v>1276</v>
      </c>
      <c r="E1351" s="5" t="s">
        <v>5087</v>
      </c>
      <c r="F1351" s="5" t="s">
        <v>1759</v>
      </c>
      <c r="G1351" s="6">
        <v>46078.459722222222</v>
      </c>
      <c r="H1351" s="7">
        <v>46085</v>
      </c>
      <c r="I1351" s="5" t="s">
        <v>2719</v>
      </c>
      <c r="J1351" s="7">
        <v>46086</v>
      </c>
      <c r="K1351" s="5" t="s">
        <v>1527</v>
      </c>
      <c r="L1351" s="5" t="s">
        <v>1564</v>
      </c>
      <c r="M1351" s="8">
        <v>147.13</v>
      </c>
      <c r="N1351" s="5" t="s">
        <v>1536</v>
      </c>
      <c r="O1351" s="7">
        <v>46086</v>
      </c>
    </row>
    <row r="1352" spans="1:15" x14ac:dyDescent="0.25">
      <c r="A1352" s="5" t="s">
        <v>4</v>
      </c>
      <c r="B1352" s="5" t="s">
        <v>5088</v>
      </c>
      <c r="D1352" s="5" t="s">
        <v>836</v>
      </c>
      <c r="E1352" s="5" t="s">
        <v>5089</v>
      </c>
      <c r="F1352" s="5" t="s">
        <v>1548</v>
      </c>
      <c r="G1352" s="6">
        <v>46048.408333333333</v>
      </c>
      <c r="H1352" s="7">
        <v>46059</v>
      </c>
      <c r="I1352" s="6">
        <v>46059.675694444442</v>
      </c>
      <c r="J1352" s="7">
        <v>46059</v>
      </c>
      <c r="K1352" s="5" t="s">
        <v>1527</v>
      </c>
      <c r="L1352" s="5" t="s">
        <v>1564</v>
      </c>
      <c r="M1352" s="8">
        <v>147</v>
      </c>
      <c r="N1352" s="5" t="s">
        <v>1536</v>
      </c>
      <c r="O1352" s="7">
        <v>46059</v>
      </c>
    </row>
    <row r="1353" spans="1:15" x14ac:dyDescent="0.25">
      <c r="A1353" s="5" t="s">
        <v>4</v>
      </c>
      <c r="B1353" s="5" t="s">
        <v>5090</v>
      </c>
      <c r="D1353" s="5" t="s">
        <v>288</v>
      </c>
      <c r="E1353" s="5" t="s">
        <v>5091</v>
      </c>
      <c r="F1353" s="5" t="s">
        <v>1759</v>
      </c>
      <c r="G1353" s="6">
        <v>46108.676388888889</v>
      </c>
      <c r="H1353" s="7">
        <v>46122</v>
      </c>
      <c r="I1353" s="5" t="s">
        <v>5092</v>
      </c>
      <c r="J1353" s="7">
        <v>46118</v>
      </c>
      <c r="K1353" s="5" t="s">
        <v>1527</v>
      </c>
      <c r="L1353" s="5" t="s">
        <v>1564</v>
      </c>
      <c r="M1353" s="8">
        <v>147</v>
      </c>
      <c r="N1353" s="5" t="s">
        <v>1536</v>
      </c>
      <c r="O1353" s="7">
        <v>46118</v>
      </c>
    </row>
    <row r="1354" spans="1:15" x14ac:dyDescent="0.25">
      <c r="A1354" s="5" t="s">
        <v>4</v>
      </c>
      <c r="B1354" s="5" t="s">
        <v>5093</v>
      </c>
      <c r="D1354" s="5" t="s">
        <v>558</v>
      </c>
      <c r="E1354" s="5" t="s">
        <v>5094</v>
      </c>
      <c r="F1354" s="5" t="s">
        <v>1532</v>
      </c>
      <c r="G1354" s="6">
        <v>46163.64166666667</v>
      </c>
      <c r="H1354" s="7">
        <v>46174</v>
      </c>
      <c r="I1354" s="6">
        <v>46171.624305555553</v>
      </c>
      <c r="J1354" s="7">
        <v>46170</v>
      </c>
      <c r="K1354" s="5" t="s">
        <v>1527</v>
      </c>
      <c r="L1354" s="5" t="s">
        <v>1535</v>
      </c>
      <c r="M1354" s="8">
        <v>146.5</v>
      </c>
      <c r="N1354" s="5" t="s">
        <v>1536</v>
      </c>
      <c r="O1354" s="7">
        <v>46170</v>
      </c>
    </row>
    <row r="1355" spans="1:15" hidden="1" x14ac:dyDescent="0.25">
      <c r="A1355" s="5" t="s">
        <v>1522</v>
      </c>
      <c r="B1355" s="5">
        <v>38789</v>
      </c>
      <c r="D1355" s="5" t="s">
        <v>1507</v>
      </c>
      <c r="E1355" s="5" t="s">
        <v>2247</v>
      </c>
      <c r="F1355" s="5" t="s">
        <v>5095</v>
      </c>
      <c r="G1355" s="6">
        <v>46090.359027777777</v>
      </c>
      <c r="H1355" s="7">
        <v>46094</v>
      </c>
      <c r="I1355" s="6">
        <v>46094.631944444445</v>
      </c>
      <c r="J1355" s="7">
        <v>46094</v>
      </c>
      <c r="K1355" s="5" t="s">
        <v>1527</v>
      </c>
      <c r="L1355" s="5" t="s">
        <v>1528</v>
      </c>
      <c r="M1355" s="8">
        <v>146.4</v>
      </c>
      <c r="N1355" s="5" t="s">
        <v>1536</v>
      </c>
      <c r="O1355" s="7">
        <v>46094</v>
      </c>
    </row>
    <row r="1356" spans="1:15" x14ac:dyDescent="0.25">
      <c r="A1356" s="5" t="s">
        <v>4</v>
      </c>
      <c r="B1356" s="5" t="s">
        <v>5096</v>
      </c>
      <c r="D1356" s="5" t="s">
        <v>1297</v>
      </c>
      <c r="E1356" s="5" t="s">
        <v>1747</v>
      </c>
      <c r="F1356" s="5" t="s">
        <v>5097</v>
      </c>
      <c r="G1356" s="6">
        <v>46087.431944444441</v>
      </c>
      <c r="H1356" s="7">
        <v>46100</v>
      </c>
      <c r="I1356" s="6">
        <v>46098.661111111112</v>
      </c>
      <c r="J1356" s="7">
        <v>46098</v>
      </c>
      <c r="K1356" s="5" t="s">
        <v>1527</v>
      </c>
      <c r="L1356" s="5" t="s">
        <v>1564</v>
      </c>
      <c r="M1356" s="8">
        <v>146.4</v>
      </c>
      <c r="N1356" s="5" t="s">
        <v>1536</v>
      </c>
      <c r="O1356" s="7">
        <v>46098</v>
      </c>
    </row>
    <row r="1357" spans="1:15" x14ac:dyDescent="0.25">
      <c r="A1357" s="5" t="s">
        <v>4</v>
      </c>
      <c r="B1357" s="5" t="s">
        <v>5098</v>
      </c>
      <c r="D1357" s="5" t="s">
        <v>351</v>
      </c>
      <c r="E1357" s="5" t="s">
        <v>5099</v>
      </c>
      <c r="F1357" s="5" t="s">
        <v>2875</v>
      </c>
      <c r="G1357" s="6">
        <v>46055.642361111109</v>
      </c>
      <c r="H1357" s="7">
        <v>46064</v>
      </c>
      <c r="I1357" s="5" t="s">
        <v>3155</v>
      </c>
      <c r="J1357" s="7">
        <v>46069</v>
      </c>
      <c r="K1357" s="5" t="s">
        <v>1527</v>
      </c>
      <c r="L1357" s="5" t="s">
        <v>1535</v>
      </c>
      <c r="M1357" s="8">
        <v>146</v>
      </c>
      <c r="N1357" s="5" t="s">
        <v>1536</v>
      </c>
      <c r="O1357" s="7">
        <v>46069</v>
      </c>
    </row>
    <row r="1358" spans="1:15" x14ac:dyDescent="0.25">
      <c r="A1358" s="5" t="s">
        <v>4</v>
      </c>
      <c r="B1358" s="5" t="s">
        <v>5100</v>
      </c>
      <c r="D1358" s="5" t="s">
        <v>637</v>
      </c>
      <c r="E1358" s="5" t="s">
        <v>5101</v>
      </c>
      <c r="F1358" s="5" t="s">
        <v>3707</v>
      </c>
      <c r="G1358" s="6">
        <v>46094.706250000003</v>
      </c>
      <c r="H1358" s="7">
        <v>46107</v>
      </c>
      <c r="I1358" s="5" t="s">
        <v>1533</v>
      </c>
      <c r="J1358" s="7">
        <v>46105</v>
      </c>
      <c r="K1358" s="5" t="s">
        <v>1534</v>
      </c>
      <c r="L1358" s="5" t="s">
        <v>1564</v>
      </c>
      <c r="M1358" s="8">
        <v>146</v>
      </c>
      <c r="N1358" s="5" t="s">
        <v>1536</v>
      </c>
      <c r="O1358" s="7">
        <v>46105</v>
      </c>
    </row>
    <row r="1359" spans="1:15" x14ac:dyDescent="0.25">
      <c r="A1359" s="5" t="s">
        <v>4</v>
      </c>
      <c r="B1359" s="5" t="s">
        <v>5102</v>
      </c>
      <c r="D1359" s="5" t="s">
        <v>742</v>
      </c>
      <c r="E1359" s="5" t="s">
        <v>5103</v>
      </c>
      <c r="F1359" s="5" t="s">
        <v>1532</v>
      </c>
      <c r="G1359" s="6">
        <v>46141.40347222222</v>
      </c>
      <c r="H1359" s="7">
        <v>46153</v>
      </c>
      <c r="I1359" s="6">
        <v>46150.602083333331</v>
      </c>
      <c r="J1359" s="7">
        <v>46150</v>
      </c>
      <c r="K1359" s="5" t="s">
        <v>1527</v>
      </c>
      <c r="L1359" s="5" t="s">
        <v>1535</v>
      </c>
      <c r="M1359" s="8">
        <v>145.80000000000001</v>
      </c>
      <c r="N1359" s="5" t="s">
        <v>1536</v>
      </c>
      <c r="O1359" s="7">
        <v>46150</v>
      </c>
    </row>
    <row r="1360" spans="1:15" x14ac:dyDescent="0.25">
      <c r="A1360" s="5" t="s">
        <v>4</v>
      </c>
      <c r="B1360" s="5" t="s">
        <v>5104</v>
      </c>
      <c r="D1360" s="5" t="s">
        <v>989</v>
      </c>
      <c r="E1360" s="5" t="s">
        <v>5105</v>
      </c>
      <c r="F1360" s="5" t="s">
        <v>5106</v>
      </c>
      <c r="G1360" s="6">
        <v>46171.634722222225</v>
      </c>
      <c r="H1360" s="7">
        <v>46178</v>
      </c>
      <c r="I1360" s="6">
        <v>46178.487500000003</v>
      </c>
      <c r="J1360" s="7">
        <v>46176</v>
      </c>
      <c r="K1360" s="5" t="s">
        <v>1527</v>
      </c>
      <c r="L1360" s="5" t="s">
        <v>3243</v>
      </c>
      <c r="M1360" s="8">
        <v>145.55000000000001</v>
      </c>
      <c r="N1360" s="5" t="s">
        <v>1536</v>
      </c>
      <c r="O1360" s="7">
        <v>46176</v>
      </c>
    </row>
    <row r="1361" spans="1:15" x14ac:dyDescent="0.25">
      <c r="A1361" s="5" t="s">
        <v>4</v>
      </c>
      <c r="B1361" s="5" t="s">
        <v>5107</v>
      </c>
      <c r="D1361" s="5" t="s">
        <v>200</v>
      </c>
      <c r="E1361" s="5" t="s">
        <v>5108</v>
      </c>
      <c r="F1361" s="5" t="s">
        <v>5109</v>
      </c>
      <c r="G1361" s="6">
        <v>46125.339583333334</v>
      </c>
      <c r="H1361" s="7">
        <v>46132</v>
      </c>
      <c r="I1361" s="6">
        <v>46132.618055555555</v>
      </c>
      <c r="J1361" s="7">
        <v>46132</v>
      </c>
      <c r="K1361" s="5" t="s">
        <v>1527</v>
      </c>
      <c r="L1361" s="5" t="s">
        <v>1564</v>
      </c>
      <c r="M1361" s="8">
        <v>145.46</v>
      </c>
      <c r="N1361" s="5" t="s">
        <v>1536</v>
      </c>
      <c r="O1361" s="7">
        <v>46132</v>
      </c>
    </row>
    <row r="1362" spans="1:15" x14ac:dyDescent="0.25">
      <c r="A1362" s="5" t="s">
        <v>4</v>
      </c>
      <c r="B1362" s="5" t="s">
        <v>5110</v>
      </c>
      <c r="D1362" s="5" t="s">
        <v>666</v>
      </c>
      <c r="E1362" s="5" t="s">
        <v>5111</v>
      </c>
      <c r="F1362" s="5" t="s">
        <v>5112</v>
      </c>
      <c r="G1362" s="6">
        <v>46105.678472222222</v>
      </c>
      <c r="H1362" s="7">
        <v>46111</v>
      </c>
      <c r="I1362" s="5" t="s">
        <v>5113</v>
      </c>
      <c r="J1362" s="7">
        <v>46112</v>
      </c>
      <c r="K1362" s="5" t="s">
        <v>1527</v>
      </c>
      <c r="L1362" s="5" t="s">
        <v>1621</v>
      </c>
      <c r="M1362" s="8">
        <v>145.36000000000001</v>
      </c>
      <c r="N1362" s="5" t="s">
        <v>1536</v>
      </c>
      <c r="O1362" s="7">
        <v>46112</v>
      </c>
    </row>
    <row r="1363" spans="1:15" x14ac:dyDescent="0.25">
      <c r="A1363" s="5" t="s">
        <v>4</v>
      </c>
      <c r="B1363" s="5" t="s">
        <v>5114</v>
      </c>
      <c r="D1363" s="5" t="s">
        <v>77</v>
      </c>
      <c r="E1363" s="5" t="s">
        <v>5115</v>
      </c>
      <c r="F1363" s="5" t="s">
        <v>5116</v>
      </c>
      <c r="G1363" s="6">
        <v>46051.664583333331</v>
      </c>
      <c r="H1363" s="7">
        <v>46058</v>
      </c>
      <c r="I1363" s="5" t="s">
        <v>3871</v>
      </c>
      <c r="J1363" s="7">
        <v>46062</v>
      </c>
      <c r="K1363" s="5" t="s">
        <v>1527</v>
      </c>
      <c r="L1363" s="5" t="s">
        <v>1621</v>
      </c>
      <c r="M1363" s="8">
        <v>145.11000000000001</v>
      </c>
      <c r="N1363" s="5" t="s">
        <v>1536</v>
      </c>
      <c r="O1363" s="7">
        <v>46062</v>
      </c>
    </row>
    <row r="1364" spans="1:15" x14ac:dyDescent="0.25">
      <c r="A1364" s="5" t="s">
        <v>4</v>
      </c>
      <c r="B1364" s="5" t="s">
        <v>5117</v>
      </c>
      <c r="D1364" s="5" t="s">
        <v>194</v>
      </c>
      <c r="E1364" s="5" t="s">
        <v>5118</v>
      </c>
      <c r="F1364" s="5" t="s">
        <v>5119</v>
      </c>
      <c r="G1364" s="6">
        <v>46139.731944444444</v>
      </c>
      <c r="H1364" s="7">
        <v>46146</v>
      </c>
      <c r="I1364" s="6">
        <v>46142.647916666669</v>
      </c>
      <c r="J1364" s="7">
        <v>46141</v>
      </c>
      <c r="K1364" s="5" t="s">
        <v>1527</v>
      </c>
      <c r="L1364" s="5" t="s">
        <v>1621</v>
      </c>
      <c r="M1364" s="8">
        <v>145.1</v>
      </c>
      <c r="N1364" s="5" t="s">
        <v>1536</v>
      </c>
      <c r="O1364" s="7">
        <v>46141</v>
      </c>
    </row>
    <row r="1365" spans="1:15" x14ac:dyDescent="0.25">
      <c r="A1365" s="5" t="s">
        <v>4</v>
      </c>
      <c r="B1365" s="5" t="s">
        <v>5120</v>
      </c>
      <c r="D1365" s="5" t="s">
        <v>318</v>
      </c>
      <c r="E1365" s="5" t="s">
        <v>5121</v>
      </c>
      <c r="F1365" s="5" t="s">
        <v>5122</v>
      </c>
      <c r="G1365" s="6">
        <v>46091.731249999997</v>
      </c>
      <c r="H1365" s="7">
        <v>46091</v>
      </c>
      <c r="I1365" s="7">
        <v>46091</v>
      </c>
      <c r="J1365" s="7">
        <v>46091</v>
      </c>
      <c r="K1365" s="5" t="s">
        <v>1527</v>
      </c>
      <c r="L1365" s="5" t="s">
        <v>1564</v>
      </c>
      <c r="M1365" s="8">
        <v>145</v>
      </c>
      <c r="N1365" s="5" t="s">
        <v>1536</v>
      </c>
      <c r="O1365" s="7">
        <v>46091</v>
      </c>
    </row>
    <row r="1366" spans="1:15" x14ac:dyDescent="0.25">
      <c r="A1366" s="5" t="s">
        <v>4</v>
      </c>
      <c r="B1366" s="5" t="s">
        <v>5123</v>
      </c>
      <c r="D1366" s="5" t="s">
        <v>1456</v>
      </c>
      <c r="E1366" s="5" t="s">
        <v>1747</v>
      </c>
      <c r="F1366" s="5" t="s">
        <v>1759</v>
      </c>
      <c r="G1366" s="6">
        <v>46100.684027777781</v>
      </c>
      <c r="H1366" s="7">
        <v>46113</v>
      </c>
      <c r="I1366" s="6">
        <v>46111.609027777777</v>
      </c>
      <c r="J1366" s="7">
        <v>46111</v>
      </c>
      <c r="K1366" s="5" t="s">
        <v>1527</v>
      </c>
      <c r="L1366" s="5" t="s">
        <v>1564</v>
      </c>
      <c r="M1366" s="8">
        <v>145</v>
      </c>
      <c r="N1366" s="5" t="s">
        <v>1536</v>
      </c>
      <c r="O1366" s="7">
        <v>46111</v>
      </c>
    </row>
    <row r="1367" spans="1:15" x14ac:dyDescent="0.25">
      <c r="A1367" s="5" t="s">
        <v>4</v>
      </c>
      <c r="B1367" s="5" t="s">
        <v>5124</v>
      </c>
      <c r="D1367" s="5" t="s">
        <v>146</v>
      </c>
      <c r="E1367" s="5" t="s">
        <v>5125</v>
      </c>
      <c r="F1367" s="5" t="s">
        <v>1759</v>
      </c>
      <c r="G1367" s="6">
        <v>46154.728472222225</v>
      </c>
      <c r="H1367" s="7">
        <v>46163</v>
      </c>
      <c r="I1367" s="6">
        <v>46161.415972222225</v>
      </c>
      <c r="J1367" s="7">
        <v>46160</v>
      </c>
      <c r="K1367" s="5" t="s">
        <v>1527</v>
      </c>
      <c r="L1367" s="5" t="s">
        <v>1564</v>
      </c>
      <c r="M1367" s="8">
        <v>145</v>
      </c>
      <c r="N1367" s="5" t="s">
        <v>1536</v>
      </c>
      <c r="O1367" s="7">
        <v>46160</v>
      </c>
    </row>
    <row r="1368" spans="1:15" x14ac:dyDescent="0.25">
      <c r="A1368" s="5" t="s">
        <v>4</v>
      </c>
      <c r="B1368" s="5" t="s">
        <v>5126</v>
      </c>
      <c r="D1368" s="5" t="s">
        <v>601</v>
      </c>
      <c r="E1368" s="5" t="s">
        <v>5127</v>
      </c>
      <c r="F1368" s="5" t="s">
        <v>1813</v>
      </c>
      <c r="G1368" s="6">
        <v>46084.70416666667</v>
      </c>
      <c r="H1368" s="7">
        <v>46094</v>
      </c>
      <c r="I1368" s="5" t="s">
        <v>5128</v>
      </c>
      <c r="J1368" s="7">
        <v>46100</v>
      </c>
      <c r="K1368" s="5" t="s">
        <v>1527</v>
      </c>
      <c r="L1368" s="5" t="s">
        <v>1535</v>
      </c>
      <c r="M1368" s="8">
        <v>144.5</v>
      </c>
      <c r="N1368" s="5" t="s">
        <v>1536</v>
      </c>
      <c r="O1368" s="7">
        <v>46100</v>
      </c>
    </row>
    <row r="1369" spans="1:15" x14ac:dyDescent="0.25">
      <c r="A1369" s="5" t="s">
        <v>4</v>
      </c>
      <c r="B1369" s="5" t="s">
        <v>5129</v>
      </c>
      <c r="D1369" s="5" t="s">
        <v>508</v>
      </c>
      <c r="E1369" s="5" t="s">
        <v>5130</v>
      </c>
      <c r="F1369" s="5" t="s">
        <v>1738</v>
      </c>
      <c r="G1369" s="6">
        <v>46097.450694444444</v>
      </c>
      <c r="H1369" s="7">
        <v>46108</v>
      </c>
      <c r="I1369" s="6">
        <v>46104.684027777781</v>
      </c>
      <c r="J1369" s="7">
        <v>46104</v>
      </c>
      <c r="K1369" s="5" t="s">
        <v>1527</v>
      </c>
      <c r="L1369" s="5" t="s">
        <v>1564</v>
      </c>
      <c r="M1369" s="8">
        <v>144</v>
      </c>
      <c r="N1369" s="5" t="s">
        <v>1536</v>
      </c>
      <c r="O1369" s="7">
        <v>46104</v>
      </c>
    </row>
    <row r="1370" spans="1:15" x14ac:dyDescent="0.25">
      <c r="A1370" s="5" t="s">
        <v>4</v>
      </c>
      <c r="B1370" s="5" t="s">
        <v>5131</v>
      </c>
      <c r="D1370" s="5" t="s">
        <v>434</v>
      </c>
      <c r="E1370" s="5" t="s">
        <v>5132</v>
      </c>
      <c r="F1370" s="5" t="s">
        <v>5133</v>
      </c>
      <c r="G1370" s="6">
        <v>46149.668055555558</v>
      </c>
      <c r="H1370" s="7">
        <v>46157</v>
      </c>
      <c r="I1370" s="6">
        <v>46155.446527777778</v>
      </c>
      <c r="J1370" s="7">
        <v>46155</v>
      </c>
      <c r="K1370" s="5" t="s">
        <v>1527</v>
      </c>
      <c r="L1370" s="5" t="s">
        <v>1621</v>
      </c>
      <c r="M1370" s="8">
        <v>143.81</v>
      </c>
      <c r="N1370" s="5" t="s">
        <v>1536</v>
      </c>
      <c r="O1370" s="7">
        <v>46155</v>
      </c>
    </row>
    <row r="1371" spans="1:15" x14ac:dyDescent="0.25">
      <c r="A1371" s="5" t="s">
        <v>4</v>
      </c>
      <c r="B1371" s="5" t="s">
        <v>5134</v>
      </c>
      <c r="D1371" s="5" t="s">
        <v>701</v>
      </c>
      <c r="E1371" s="5" t="s">
        <v>5135</v>
      </c>
      <c r="F1371" s="5" t="s">
        <v>5136</v>
      </c>
      <c r="G1371" s="6">
        <v>46155.477777777778</v>
      </c>
      <c r="H1371" s="7">
        <v>46162</v>
      </c>
      <c r="I1371" s="5" t="s">
        <v>5137</v>
      </c>
      <c r="J1371" s="7">
        <v>46169</v>
      </c>
      <c r="K1371" s="5" t="s">
        <v>1527</v>
      </c>
      <c r="L1371" s="5" t="s">
        <v>1621</v>
      </c>
      <c r="M1371" s="8">
        <v>143.78</v>
      </c>
      <c r="N1371" s="5" t="s">
        <v>1536</v>
      </c>
      <c r="O1371" s="7">
        <v>46169</v>
      </c>
    </row>
    <row r="1372" spans="1:15" x14ac:dyDescent="0.25">
      <c r="A1372" s="5" t="s">
        <v>4</v>
      </c>
      <c r="B1372" s="5" t="s">
        <v>5138</v>
      </c>
      <c r="D1372" s="5" t="s">
        <v>140</v>
      </c>
      <c r="E1372" s="5" t="s">
        <v>5139</v>
      </c>
      <c r="F1372" s="5" t="s">
        <v>1548</v>
      </c>
      <c r="G1372" s="6">
        <v>46050.720833333333</v>
      </c>
      <c r="H1372" s="7">
        <v>46063</v>
      </c>
      <c r="I1372" s="5" t="s">
        <v>2835</v>
      </c>
      <c r="J1372" s="7">
        <v>46065</v>
      </c>
      <c r="K1372" s="5" t="s">
        <v>1527</v>
      </c>
      <c r="L1372" s="5" t="s">
        <v>1564</v>
      </c>
      <c r="M1372" s="8">
        <v>143.75</v>
      </c>
      <c r="N1372" s="5" t="s">
        <v>1536</v>
      </c>
      <c r="O1372" s="7">
        <v>46065</v>
      </c>
    </row>
    <row r="1373" spans="1:15" x14ac:dyDescent="0.25">
      <c r="A1373" s="5" t="s">
        <v>4</v>
      </c>
      <c r="B1373" s="5" t="s">
        <v>5140</v>
      </c>
      <c r="D1373" s="5" t="s">
        <v>268</v>
      </c>
      <c r="E1373" s="5" t="s">
        <v>5141</v>
      </c>
      <c r="F1373" s="5" t="s">
        <v>5142</v>
      </c>
      <c r="G1373" s="6">
        <v>46055.677083333336</v>
      </c>
      <c r="H1373" s="7">
        <v>46062</v>
      </c>
      <c r="I1373" s="6">
        <v>46058.76666666667</v>
      </c>
      <c r="J1373" s="7">
        <v>46058</v>
      </c>
      <c r="K1373" s="5" t="s">
        <v>1527</v>
      </c>
      <c r="L1373" s="5" t="s">
        <v>1621</v>
      </c>
      <c r="M1373" s="8">
        <v>142.94999999999999</v>
      </c>
      <c r="N1373" s="5" t="s">
        <v>1536</v>
      </c>
      <c r="O1373" s="7">
        <v>46058</v>
      </c>
    </row>
    <row r="1374" spans="1:15" x14ac:dyDescent="0.25">
      <c r="A1374" s="5" t="s">
        <v>4</v>
      </c>
      <c r="B1374" s="5" t="s">
        <v>5143</v>
      </c>
      <c r="D1374" s="5" t="s">
        <v>1420</v>
      </c>
      <c r="E1374" s="5" t="s">
        <v>5144</v>
      </c>
      <c r="F1374" s="5" t="s">
        <v>1770</v>
      </c>
      <c r="G1374" s="6">
        <v>46142.499305555553</v>
      </c>
      <c r="H1374" s="7">
        <v>46149</v>
      </c>
      <c r="I1374" s="6">
        <v>46149.576388888891</v>
      </c>
      <c r="J1374" s="7">
        <v>46149</v>
      </c>
      <c r="K1374" s="5" t="s">
        <v>1527</v>
      </c>
      <c r="L1374" s="5" t="s">
        <v>1564</v>
      </c>
      <c r="M1374" s="8">
        <v>142.9</v>
      </c>
      <c r="N1374" s="5" t="s">
        <v>1536</v>
      </c>
      <c r="O1374" s="7">
        <v>46149</v>
      </c>
    </row>
    <row r="1375" spans="1:15" x14ac:dyDescent="0.25">
      <c r="A1375" s="5" t="s">
        <v>4</v>
      </c>
      <c r="B1375" s="5" t="s">
        <v>5145</v>
      </c>
      <c r="D1375" s="5" t="s">
        <v>673</v>
      </c>
      <c r="E1375" s="5" t="s">
        <v>5146</v>
      </c>
      <c r="F1375" s="5" t="s">
        <v>1770</v>
      </c>
      <c r="G1375" s="6">
        <v>46078.591666666667</v>
      </c>
      <c r="H1375" s="7">
        <v>46091</v>
      </c>
      <c r="I1375" s="5" t="s">
        <v>5147</v>
      </c>
      <c r="J1375" s="7">
        <v>46085</v>
      </c>
      <c r="K1375" s="5" t="s">
        <v>1527</v>
      </c>
      <c r="L1375" s="5" t="s">
        <v>1564</v>
      </c>
      <c r="M1375" s="8">
        <v>142.5</v>
      </c>
      <c r="N1375" s="5" t="s">
        <v>1536</v>
      </c>
      <c r="O1375" s="7">
        <v>46085</v>
      </c>
    </row>
    <row r="1376" spans="1:15" x14ac:dyDescent="0.25">
      <c r="A1376" s="5" t="s">
        <v>4</v>
      </c>
      <c r="B1376" s="5" t="s">
        <v>5148</v>
      </c>
      <c r="D1376" s="5" t="s">
        <v>689</v>
      </c>
      <c r="E1376" s="5" t="s">
        <v>5149</v>
      </c>
      <c r="F1376" s="5" t="s">
        <v>5150</v>
      </c>
      <c r="G1376" s="6">
        <v>46087.675000000003</v>
      </c>
      <c r="H1376" s="7">
        <v>46093</v>
      </c>
      <c r="I1376" s="5" t="s">
        <v>5151</v>
      </c>
      <c r="J1376" s="7">
        <v>46099</v>
      </c>
      <c r="K1376" s="5" t="s">
        <v>1527</v>
      </c>
      <c r="L1376" s="5" t="s">
        <v>1621</v>
      </c>
      <c r="M1376" s="8">
        <v>142</v>
      </c>
      <c r="N1376" s="5" t="s">
        <v>1536</v>
      </c>
      <c r="O1376" s="7">
        <v>46099</v>
      </c>
    </row>
    <row r="1377" spans="1:15" x14ac:dyDescent="0.25">
      <c r="A1377" s="5" t="s">
        <v>4</v>
      </c>
      <c r="B1377" s="5" t="s">
        <v>5152</v>
      </c>
      <c r="D1377" s="5" t="s">
        <v>1353</v>
      </c>
      <c r="E1377" s="5" t="s">
        <v>5153</v>
      </c>
      <c r="F1377" s="5" t="s">
        <v>5154</v>
      </c>
      <c r="G1377" s="6">
        <v>46107.728472222225</v>
      </c>
      <c r="H1377" s="7">
        <v>46115</v>
      </c>
      <c r="I1377" s="5" t="s">
        <v>5155</v>
      </c>
      <c r="J1377" s="7">
        <v>46119</v>
      </c>
      <c r="K1377" s="5" t="s">
        <v>1527</v>
      </c>
      <c r="L1377" s="5" t="s">
        <v>1621</v>
      </c>
      <c r="M1377" s="8">
        <v>142</v>
      </c>
      <c r="N1377" s="5" t="s">
        <v>1536</v>
      </c>
      <c r="O1377" s="7">
        <v>46119</v>
      </c>
    </row>
    <row r="1378" spans="1:15" x14ac:dyDescent="0.25">
      <c r="A1378" s="5" t="s">
        <v>4</v>
      </c>
      <c r="B1378" s="5" t="s">
        <v>5156</v>
      </c>
      <c r="D1378" s="5" t="s">
        <v>1452</v>
      </c>
      <c r="E1378" s="5" t="s">
        <v>4075</v>
      </c>
      <c r="F1378" s="5" t="s">
        <v>1532</v>
      </c>
      <c r="G1378" s="6">
        <v>46149.460416666669</v>
      </c>
      <c r="H1378" s="7">
        <v>46161</v>
      </c>
      <c r="I1378" s="6">
        <v>46161.415277777778</v>
      </c>
      <c r="J1378" s="7">
        <v>46160</v>
      </c>
      <c r="K1378" s="5" t="s">
        <v>1527</v>
      </c>
      <c r="L1378" s="5" t="s">
        <v>1535</v>
      </c>
      <c r="M1378" s="8">
        <v>142</v>
      </c>
      <c r="N1378" s="5" t="s">
        <v>1536</v>
      </c>
      <c r="O1378" s="7">
        <v>46160</v>
      </c>
    </row>
    <row r="1379" spans="1:15" x14ac:dyDescent="0.25">
      <c r="A1379" s="5" t="s">
        <v>4</v>
      </c>
      <c r="B1379" s="5" t="s">
        <v>5157</v>
      </c>
      <c r="D1379" s="5" t="s">
        <v>1411</v>
      </c>
      <c r="E1379" s="5" t="s">
        <v>4558</v>
      </c>
      <c r="F1379" s="5" t="s">
        <v>1738</v>
      </c>
      <c r="G1379" s="6">
        <v>46168.674305555556</v>
      </c>
      <c r="H1379" s="7">
        <v>46175</v>
      </c>
      <c r="I1379" s="5" t="s">
        <v>5158</v>
      </c>
      <c r="J1379" s="7">
        <v>46181</v>
      </c>
      <c r="K1379" s="5" t="s">
        <v>1527</v>
      </c>
      <c r="L1379" s="5" t="s">
        <v>1564</v>
      </c>
      <c r="M1379" s="8">
        <v>142</v>
      </c>
      <c r="N1379" s="5" t="s">
        <v>1529</v>
      </c>
      <c r="O1379" s="7">
        <v>46181</v>
      </c>
    </row>
    <row r="1380" spans="1:15" x14ac:dyDescent="0.25">
      <c r="A1380" s="5" t="s">
        <v>4</v>
      </c>
      <c r="B1380" s="5" t="s">
        <v>5159</v>
      </c>
      <c r="D1380" s="5" t="s">
        <v>396</v>
      </c>
      <c r="E1380" s="5" t="s">
        <v>5160</v>
      </c>
      <c r="F1380" s="5" t="s">
        <v>5161</v>
      </c>
      <c r="G1380" s="6">
        <v>46114.674305555556</v>
      </c>
      <c r="H1380" s="7">
        <v>46121</v>
      </c>
      <c r="I1380" s="5" t="s">
        <v>2152</v>
      </c>
      <c r="J1380" s="7">
        <v>46125</v>
      </c>
      <c r="K1380" s="5" t="s">
        <v>1527</v>
      </c>
      <c r="L1380" s="5" t="s">
        <v>1621</v>
      </c>
      <c r="M1380" s="8">
        <v>141.99</v>
      </c>
      <c r="N1380" s="5" t="s">
        <v>1536</v>
      </c>
      <c r="O1380" s="7">
        <v>46125</v>
      </c>
    </row>
    <row r="1381" spans="1:15" x14ac:dyDescent="0.25">
      <c r="A1381" s="5" t="s">
        <v>4</v>
      </c>
      <c r="B1381" s="5" t="s">
        <v>5162</v>
      </c>
      <c r="D1381" s="5" t="s">
        <v>1471</v>
      </c>
      <c r="E1381" s="5" t="s">
        <v>5163</v>
      </c>
      <c r="F1381" s="5" t="s">
        <v>1770</v>
      </c>
      <c r="G1381" s="6">
        <v>46106.738194444442</v>
      </c>
      <c r="H1381" s="7">
        <v>46120</v>
      </c>
      <c r="I1381" s="5" t="s">
        <v>5164</v>
      </c>
      <c r="J1381" s="7">
        <v>46121</v>
      </c>
      <c r="K1381" s="5" t="s">
        <v>1527</v>
      </c>
      <c r="L1381" s="5" t="s">
        <v>1564</v>
      </c>
      <c r="M1381" s="8">
        <v>141.75</v>
      </c>
      <c r="N1381" s="5" t="s">
        <v>1536</v>
      </c>
      <c r="O1381" s="7">
        <v>46121</v>
      </c>
    </row>
    <row r="1382" spans="1:15" x14ac:dyDescent="0.25">
      <c r="A1382" s="5" t="s">
        <v>4</v>
      </c>
      <c r="B1382" s="5" t="s">
        <v>5165</v>
      </c>
      <c r="D1382" s="5" t="s">
        <v>599</v>
      </c>
      <c r="E1382" s="5" t="s">
        <v>5166</v>
      </c>
      <c r="F1382" s="5" t="s">
        <v>5167</v>
      </c>
      <c r="G1382" s="6">
        <v>46064.710416666669</v>
      </c>
      <c r="H1382" s="7">
        <v>46070</v>
      </c>
      <c r="I1382" s="6">
        <v>46066.656944444447</v>
      </c>
      <c r="J1382" s="7">
        <v>46066</v>
      </c>
      <c r="K1382" s="5" t="s">
        <v>1527</v>
      </c>
      <c r="L1382" s="5" t="s">
        <v>1621</v>
      </c>
      <c r="M1382" s="8">
        <v>140.94</v>
      </c>
      <c r="N1382" s="5" t="s">
        <v>1536</v>
      </c>
      <c r="O1382" s="7">
        <v>46066</v>
      </c>
    </row>
    <row r="1383" spans="1:15" x14ac:dyDescent="0.25">
      <c r="A1383" s="5" t="s">
        <v>4</v>
      </c>
      <c r="B1383" s="5" t="s">
        <v>5168</v>
      </c>
      <c r="D1383" s="5" t="s">
        <v>59</v>
      </c>
      <c r="E1383" s="5" t="s">
        <v>5169</v>
      </c>
      <c r="F1383" s="5" t="s">
        <v>5170</v>
      </c>
      <c r="G1383" s="6">
        <v>46105.630555555559</v>
      </c>
      <c r="H1383" s="7">
        <v>46112</v>
      </c>
      <c r="I1383" s="6">
        <v>46111.609027777777</v>
      </c>
      <c r="J1383" s="7">
        <v>46111</v>
      </c>
      <c r="K1383" s="5" t="s">
        <v>1527</v>
      </c>
      <c r="L1383" s="5" t="s">
        <v>1621</v>
      </c>
      <c r="M1383" s="8">
        <v>140.91999999999999</v>
      </c>
      <c r="N1383" s="5" t="s">
        <v>1536</v>
      </c>
      <c r="O1383" s="7">
        <v>46111</v>
      </c>
    </row>
    <row r="1384" spans="1:15" x14ac:dyDescent="0.25">
      <c r="A1384" s="5" t="s">
        <v>4</v>
      </c>
      <c r="B1384" s="5" t="s">
        <v>5171</v>
      </c>
      <c r="D1384" s="5" t="s">
        <v>662</v>
      </c>
      <c r="E1384" s="5" t="s">
        <v>5172</v>
      </c>
      <c r="F1384" s="5" t="s">
        <v>5173</v>
      </c>
      <c r="G1384" s="6">
        <v>46129.679166666669</v>
      </c>
      <c r="H1384" s="7">
        <v>46136</v>
      </c>
      <c r="I1384" s="5" t="s">
        <v>2852</v>
      </c>
      <c r="J1384" s="7">
        <v>46139</v>
      </c>
      <c r="K1384" s="5" t="s">
        <v>1527</v>
      </c>
      <c r="L1384" s="5" t="s">
        <v>1621</v>
      </c>
      <c r="M1384" s="8">
        <v>140.66999999999999</v>
      </c>
      <c r="N1384" s="5" t="s">
        <v>1536</v>
      </c>
      <c r="O1384" s="7">
        <v>46139</v>
      </c>
    </row>
    <row r="1385" spans="1:15" x14ac:dyDescent="0.25">
      <c r="A1385" s="5" t="s">
        <v>4</v>
      </c>
      <c r="B1385" s="5" t="s">
        <v>5174</v>
      </c>
      <c r="D1385" s="5" t="s">
        <v>50</v>
      </c>
      <c r="E1385" s="5" t="s">
        <v>5175</v>
      </c>
      <c r="F1385" s="5" t="s">
        <v>1548</v>
      </c>
      <c r="G1385" s="6">
        <v>46027.690972222219</v>
      </c>
      <c r="H1385" s="7">
        <v>46038</v>
      </c>
      <c r="I1385" s="6">
        <v>46038.698611111111</v>
      </c>
      <c r="J1385" s="7">
        <v>46038</v>
      </c>
      <c r="K1385" s="5" t="s">
        <v>1527</v>
      </c>
      <c r="L1385" s="5" t="s">
        <v>1564</v>
      </c>
      <c r="M1385" s="8">
        <v>140.6</v>
      </c>
      <c r="N1385" s="5" t="s">
        <v>1536</v>
      </c>
      <c r="O1385" s="7">
        <v>46038</v>
      </c>
    </row>
    <row r="1386" spans="1:15" x14ac:dyDescent="0.25">
      <c r="A1386" s="5" t="s">
        <v>4</v>
      </c>
      <c r="B1386" s="5" t="s">
        <v>5176</v>
      </c>
      <c r="D1386" s="5" t="s">
        <v>857</v>
      </c>
      <c r="E1386" s="5" t="s">
        <v>5177</v>
      </c>
      <c r="F1386" s="5" t="s">
        <v>1548</v>
      </c>
      <c r="G1386" s="6">
        <v>46034.482638888891</v>
      </c>
      <c r="H1386" s="7">
        <v>46045</v>
      </c>
      <c r="I1386" s="6">
        <v>46043.73333333333</v>
      </c>
      <c r="J1386" s="7">
        <v>46043</v>
      </c>
      <c r="K1386" s="5" t="s">
        <v>1527</v>
      </c>
      <c r="L1386" s="5" t="s">
        <v>1564</v>
      </c>
      <c r="M1386" s="8">
        <v>140.6</v>
      </c>
      <c r="N1386" s="5" t="s">
        <v>1536</v>
      </c>
      <c r="O1386" s="7">
        <v>46043</v>
      </c>
    </row>
    <row r="1387" spans="1:15" x14ac:dyDescent="0.25">
      <c r="A1387" s="5" t="s">
        <v>4</v>
      </c>
      <c r="B1387" s="5" t="s">
        <v>5178</v>
      </c>
      <c r="D1387" s="5" t="s">
        <v>755</v>
      </c>
      <c r="E1387" s="5" t="s">
        <v>5179</v>
      </c>
      <c r="F1387" s="5" t="s">
        <v>1532</v>
      </c>
      <c r="G1387" s="6">
        <v>46146.6</v>
      </c>
      <c r="H1387" s="7">
        <v>46155</v>
      </c>
      <c r="I1387" s="6">
        <v>46150.602083333331</v>
      </c>
      <c r="J1387" s="7">
        <v>46150</v>
      </c>
      <c r="K1387" s="5" t="s">
        <v>1527</v>
      </c>
      <c r="L1387" s="5" t="s">
        <v>1535</v>
      </c>
      <c r="M1387" s="8">
        <v>140.6</v>
      </c>
      <c r="N1387" s="5" t="s">
        <v>1536</v>
      </c>
      <c r="O1387" s="7">
        <v>46150</v>
      </c>
    </row>
    <row r="1388" spans="1:15" x14ac:dyDescent="0.25">
      <c r="A1388" s="5" t="s">
        <v>4</v>
      </c>
      <c r="B1388" s="5" t="s">
        <v>5180</v>
      </c>
      <c r="D1388" s="5" t="s">
        <v>1107</v>
      </c>
      <c r="E1388" s="5" t="s">
        <v>4446</v>
      </c>
      <c r="F1388" s="5" t="s">
        <v>1759</v>
      </c>
      <c r="G1388" s="6">
        <v>46156.698611111111</v>
      </c>
      <c r="H1388" s="7">
        <v>46167</v>
      </c>
      <c r="I1388" s="5" t="s">
        <v>5181</v>
      </c>
      <c r="J1388" s="7">
        <v>46171</v>
      </c>
      <c r="K1388" s="5" t="s">
        <v>1527</v>
      </c>
      <c r="L1388" s="5" t="s">
        <v>1564</v>
      </c>
      <c r="M1388" s="8">
        <v>140.6</v>
      </c>
      <c r="N1388" s="5" t="s">
        <v>1536</v>
      </c>
      <c r="O1388" s="7">
        <v>46171</v>
      </c>
    </row>
    <row r="1389" spans="1:15" x14ac:dyDescent="0.25">
      <c r="A1389" s="5" t="s">
        <v>4</v>
      </c>
      <c r="B1389" s="5" t="s">
        <v>5182</v>
      </c>
      <c r="D1389" s="5" t="s">
        <v>439</v>
      </c>
      <c r="E1389" s="5" t="s">
        <v>5183</v>
      </c>
      <c r="F1389" s="5" t="s">
        <v>1532</v>
      </c>
      <c r="G1389" s="6">
        <v>46171.363888888889</v>
      </c>
      <c r="H1389" s="7">
        <v>46182</v>
      </c>
      <c r="I1389" s="5" t="s">
        <v>5184</v>
      </c>
      <c r="J1389" s="7">
        <v>46184</v>
      </c>
      <c r="K1389" s="5" t="s">
        <v>1527</v>
      </c>
      <c r="L1389" s="5" t="s">
        <v>1535</v>
      </c>
      <c r="M1389" s="8">
        <v>140.6</v>
      </c>
      <c r="N1389" s="5" t="s">
        <v>1529</v>
      </c>
      <c r="O1389" s="7">
        <v>46184</v>
      </c>
    </row>
    <row r="1390" spans="1:15" hidden="1" x14ac:dyDescent="0.25">
      <c r="A1390" s="5" t="s">
        <v>1522</v>
      </c>
      <c r="B1390" s="5" t="s">
        <v>5185</v>
      </c>
      <c r="D1390" s="5" t="s">
        <v>302</v>
      </c>
      <c r="E1390" s="5" t="s">
        <v>5186</v>
      </c>
      <c r="F1390" s="5" t="s">
        <v>5187</v>
      </c>
      <c r="G1390" s="6">
        <v>46069.419444444444</v>
      </c>
      <c r="H1390" s="7">
        <v>46069</v>
      </c>
      <c r="I1390" s="6">
        <v>46069.703472222223</v>
      </c>
      <c r="J1390" s="7">
        <v>46069</v>
      </c>
      <c r="K1390" s="5" t="s">
        <v>1527</v>
      </c>
      <c r="L1390" s="5" t="s">
        <v>1554</v>
      </c>
      <c r="M1390" s="8">
        <v>140</v>
      </c>
      <c r="N1390" s="5" t="s">
        <v>1536</v>
      </c>
      <c r="O1390" s="7">
        <v>46069</v>
      </c>
    </row>
    <row r="1391" spans="1:15" x14ac:dyDescent="0.25">
      <c r="A1391" s="5" t="s">
        <v>4</v>
      </c>
      <c r="B1391" s="5" t="s">
        <v>5188</v>
      </c>
      <c r="D1391" s="5" t="s">
        <v>1501</v>
      </c>
      <c r="E1391" s="5" t="s">
        <v>2884</v>
      </c>
      <c r="F1391" s="5" t="s">
        <v>1570</v>
      </c>
      <c r="G1391" s="6">
        <v>46050.431944444441</v>
      </c>
      <c r="H1391" s="7">
        <v>46059</v>
      </c>
      <c r="I1391" s="5" t="s">
        <v>5189</v>
      </c>
      <c r="J1391" s="7">
        <v>46063</v>
      </c>
      <c r="K1391" s="5" t="s">
        <v>1527</v>
      </c>
      <c r="L1391" s="5" t="s">
        <v>1535</v>
      </c>
      <c r="M1391" s="8">
        <v>140</v>
      </c>
      <c r="N1391" s="5" t="s">
        <v>1536</v>
      </c>
      <c r="O1391" s="7">
        <v>46063</v>
      </c>
    </row>
    <row r="1392" spans="1:15" x14ac:dyDescent="0.25">
      <c r="A1392" s="5" t="s">
        <v>4</v>
      </c>
      <c r="B1392" s="5" t="s">
        <v>5190</v>
      </c>
      <c r="D1392" s="5" t="s">
        <v>591</v>
      </c>
      <c r="E1392" s="5" t="s">
        <v>5191</v>
      </c>
      <c r="F1392" s="5" t="s">
        <v>1770</v>
      </c>
      <c r="G1392" s="6">
        <v>46059.406944444447</v>
      </c>
      <c r="H1392" s="7">
        <v>46072</v>
      </c>
      <c r="I1392" s="6">
        <v>46069.477777777778</v>
      </c>
      <c r="J1392" s="7">
        <v>46069</v>
      </c>
      <c r="K1392" s="5" t="s">
        <v>1527</v>
      </c>
      <c r="L1392" s="5" t="s">
        <v>1564</v>
      </c>
      <c r="M1392" s="8">
        <v>140</v>
      </c>
      <c r="N1392" s="5" t="s">
        <v>1536</v>
      </c>
      <c r="O1392" s="7">
        <v>46069</v>
      </c>
    </row>
    <row r="1393" spans="1:15" x14ac:dyDescent="0.25">
      <c r="A1393" s="5" t="s">
        <v>4</v>
      </c>
      <c r="B1393" s="5" t="s">
        <v>5192</v>
      </c>
      <c r="D1393" s="5" t="s">
        <v>1101</v>
      </c>
      <c r="E1393" s="5" t="s">
        <v>5193</v>
      </c>
      <c r="F1393" s="5" t="s">
        <v>2637</v>
      </c>
      <c r="G1393" s="6">
        <v>46079.48333333333</v>
      </c>
      <c r="H1393" s="7">
        <v>46080</v>
      </c>
      <c r="I1393" s="5" t="s">
        <v>1836</v>
      </c>
      <c r="J1393" s="7">
        <v>46080</v>
      </c>
      <c r="K1393" s="5" t="s">
        <v>1527</v>
      </c>
      <c r="L1393" s="5" t="s">
        <v>1564</v>
      </c>
      <c r="M1393" s="8">
        <v>140</v>
      </c>
      <c r="N1393" s="5" t="s">
        <v>1536</v>
      </c>
      <c r="O1393" s="7">
        <v>46080</v>
      </c>
    </row>
    <row r="1394" spans="1:15" x14ac:dyDescent="0.25">
      <c r="A1394" s="5" t="s">
        <v>4</v>
      </c>
      <c r="B1394" s="5" t="s">
        <v>5194</v>
      </c>
      <c r="D1394" s="5" t="s">
        <v>834</v>
      </c>
      <c r="E1394" s="5" t="s">
        <v>5195</v>
      </c>
      <c r="F1394" s="5" t="s">
        <v>1738</v>
      </c>
      <c r="G1394" s="6">
        <v>46099.398611111108</v>
      </c>
      <c r="H1394" s="7">
        <v>46112</v>
      </c>
      <c r="I1394" s="6">
        <v>46104.683333333334</v>
      </c>
      <c r="J1394" s="7">
        <v>46104</v>
      </c>
      <c r="K1394" s="5" t="s">
        <v>1527</v>
      </c>
      <c r="L1394" s="5" t="s">
        <v>1564</v>
      </c>
      <c r="M1394" s="8">
        <v>140</v>
      </c>
      <c r="N1394" s="5" t="s">
        <v>1536</v>
      </c>
      <c r="O1394" s="7">
        <v>46104</v>
      </c>
    </row>
    <row r="1395" spans="1:15" x14ac:dyDescent="0.25">
      <c r="A1395" s="5" t="s">
        <v>4</v>
      </c>
      <c r="B1395" s="5" t="s">
        <v>5196</v>
      </c>
      <c r="D1395" s="5" t="s">
        <v>792</v>
      </c>
      <c r="E1395" s="5" t="s">
        <v>5197</v>
      </c>
      <c r="F1395" s="5" t="s">
        <v>1759</v>
      </c>
      <c r="G1395" s="6">
        <v>46100.681944444441</v>
      </c>
      <c r="H1395" s="7">
        <v>46113</v>
      </c>
      <c r="I1395" s="6">
        <v>46107.698611111111</v>
      </c>
      <c r="J1395" s="7">
        <v>46107</v>
      </c>
      <c r="K1395" s="5" t="s">
        <v>1527</v>
      </c>
      <c r="L1395" s="5" t="s">
        <v>1564</v>
      </c>
      <c r="M1395" s="8">
        <v>140</v>
      </c>
      <c r="N1395" s="5" t="s">
        <v>1536</v>
      </c>
      <c r="O1395" s="7">
        <v>46107</v>
      </c>
    </row>
    <row r="1396" spans="1:15" x14ac:dyDescent="0.25">
      <c r="A1396" s="5" t="s">
        <v>4</v>
      </c>
      <c r="B1396" s="5" t="s">
        <v>5198</v>
      </c>
      <c r="D1396" s="5" t="s">
        <v>1047</v>
      </c>
      <c r="E1396" s="5" t="s">
        <v>5199</v>
      </c>
      <c r="F1396" s="5" t="s">
        <v>1738</v>
      </c>
      <c r="G1396" s="6">
        <v>46126.615972222222</v>
      </c>
      <c r="H1396" s="7">
        <v>46140</v>
      </c>
      <c r="I1396" s="5" t="s">
        <v>5200</v>
      </c>
      <c r="J1396" s="7">
        <v>46136</v>
      </c>
      <c r="K1396" s="5" t="s">
        <v>1527</v>
      </c>
      <c r="L1396" s="5" t="s">
        <v>1564</v>
      </c>
      <c r="M1396" s="8">
        <v>140</v>
      </c>
      <c r="N1396" s="5" t="s">
        <v>1536</v>
      </c>
      <c r="O1396" s="7">
        <v>46136</v>
      </c>
    </row>
    <row r="1397" spans="1:15" x14ac:dyDescent="0.25">
      <c r="A1397" s="5" t="s">
        <v>4</v>
      </c>
      <c r="B1397" s="5" t="s">
        <v>5201</v>
      </c>
      <c r="D1397" s="5" t="s">
        <v>597</v>
      </c>
      <c r="E1397" s="5" t="s">
        <v>5202</v>
      </c>
      <c r="F1397" s="5" t="s">
        <v>4898</v>
      </c>
      <c r="G1397" s="6">
        <v>46132.509027777778</v>
      </c>
      <c r="H1397" s="7">
        <v>46132</v>
      </c>
      <c r="I1397" s="7">
        <v>46132</v>
      </c>
      <c r="J1397" s="7">
        <v>46132</v>
      </c>
      <c r="K1397" s="5" t="s">
        <v>1527</v>
      </c>
      <c r="L1397" s="5" t="s">
        <v>1564</v>
      </c>
      <c r="M1397" s="8">
        <v>140</v>
      </c>
      <c r="N1397" s="5" t="s">
        <v>1536</v>
      </c>
      <c r="O1397" s="7">
        <v>46132</v>
      </c>
    </row>
    <row r="1398" spans="1:15" x14ac:dyDescent="0.25">
      <c r="A1398" s="5" t="s">
        <v>4</v>
      </c>
      <c r="B1398" s="5" t="s">
        <v>5203</v>
      </c>
      <c r="D1398" s="5" t="s">
        <v>870</v>
      </c>
      <c r="E1398" s="5" t="s">
        <v>5204</v>
      </c>
      <c r="F1398" s="5" t="s">
        <v>1738</v>
      </c>
      <c r="G1398" s="6">
        <v>46139.322916666664</v>
      </c>
      <c r="H1398" s="7">
        <v>46146</v>
      </c>
      <c r="I1398" s="6">
        <v>46141.613888888889</v>
      </c>
      <c r="J1398" s="7">
        <v>46141</v>
      </c>
      <c r="K1398" s="5" t="s">
        <v>1527</v>
      </c>
      <c r="L1398" s="5" t="s">
        <v>1564</v>
      </c>
      <c r="M1398" s="8">
        <v>140</v>
      </c>
      <c r="N1398" s="5" t="s">
        <v>1536</v>
      </c>
      <c r="O1398" s="7">
        <v>46141</v>
      </c>
    </row>
    <row r="1399" spans="1:15" x14ac:dyDescent="0.25">
      <c r="A1399" s="5" t="s">
        <v>4</v>
      </c>
      <c r="B1399" s="5" t="s">
        <v>5205</v>
      </c>
      <c r="D1399" s="5" t="s">
        <v>349</v>
      </c>
      <c r="E1399" s="5" t="s">
        <v>5206</v>
      </c>
      <c r="F1399" s="5" t="s">
        <v>1738</v>
      </c>
      <c r="G1399" s="6">
        <v>46140.709722222222</v>
      </c>
      <c r="H1399" s="7">
        <v>46154</v>
      </c>
      <c r="I1399" s="6">
        <v>46148.597916666666</v>
      </c>
      <c r="J1399" s="7">
        <v>46148</v>
      </c>
      <c r="K1399" s="5" t="s">
        <v>1527</v>
      </c>
      <c r="L1399" s="5" t="s">
        <v>1564</v>
      </c>
      <c r="M1399" s="8">
        <v>140</v>
      </c>
      <c r="N1399" s="5" t="s">
        <v>1536</v>
      </c>
      <c r="O1399" s="7">
        <v>46148</v>
      </c>
    </row>
    <row r="1400" spans="1:15" x14ac:dyDescent="0.25">
      <c r="A1400" s="5" t="s">
        <v>4</v>
      </c>
      <c r="B1400" s="5" t="s">
        <v>5207</v>
      </c>
      <c r="D1400" s="5" t="s">
        <v>9</v>
      </c>
      <c r="E1400" s="5" t="s">
        <v>5208</v>
      </c>
      <c r="F1400" s="5" t="s">
        <v>5209</v>
      </c>
      <c r="G1400" s="6">
        <v>46171.324999999997</v>
      </c>
      <c r="H1400" s="7">
        <v>46178</v>
      </c>
      <c r="I1400" s="5" t="s">
        <v>5210</v>
      </c>
      <c r="J1400" s="7">
        <v>46182</v>
      </c>
      <c r="K1400" s="5" t="s">
        <v>1527</v>
      </c>
      <c r="L1400" s="5" t="s">
        <v>1564</v>
      </c>
      <c r="M1400" s="8">
        <v>140</v>
      </c>
      <c r="N1400" s="5" t="s">
        <v>1536</v>
      </c>
      <c r="O1400" s="7">
        <v>46182</v>
      </c>
    </row>
    <row r="1401" spans="1:15" x14ac:dyDescent="0.25">
      <c r="A1401" s="5" t="s">
        <v>4</v>
      </c>
      <c r="B1401" s="5" t="s">
        <v>5211</v>
      </c>
      <c r="D1401" s="5" t="s">
        <v>424</v>
      </c>
      <c r="E1401" s="5" t="s">
        <v>5212</v>
      </c>
      <c r="F1401" s="5" t="s">
        <v>5213</v>
      </c>
      <c r="G1401" s="6">
        <v>46048.712500000001</v>
      </c>
      <c r="H1401" s="7">
        <v>46057</v>
      </c>
      <c r="I1401" s="5" t="s">
        <v>5214</v>
      </c>
      <c r="J1401" s="7">
        <v>46052</v>
      </c>
      <c r="K1401" s="5" t="s">
        <v>1527</v>
      </c>
      <c r="L1401" s="5" t="s">
        <v>1621</v>
      </c>
      <c r="M1401" s="8">
        <v>139.9</v>
      </c>
      <c r="N1401" s="5" t="s">
        <v>1536</v>
      </c>
      <c r="O1401" s="7">
        <v>46052</v>
      </c>
    </row>
    <row r="1402" spans="1:15" x14ac:dyDescent="0.25">
      <c r="A1402" s="5" t="s">
        <v>4</v>
      </c>
      <c r="B1402" s="5" t="s">
        <v>5215</v>
      </c>
      <c r="D1402" s="5" t="s">
        <v>348</v>
      </c>
      <c r="E1402" s="5" t="s">
        <v>5216</v>
      </c>
      <c r="F1402" s="5" t="s">
        <v>5217</v>
      </c>
      <c r="G1402" s="6">
        <v>46147.713194444441</v>
      </c>
      <c r="H1402" s="7">
        <v>46148</v>
      </c>
      <c r="I1402" s="6">
        <v>46148.392361111109</v>
      </c>
      <c r="J1402" s="5" t="s">
        <v>1533</v>
      </c>
      <c r="K1402" s="5" t="s">
        <v>1527</v>
      </c>
      <c r="L1402" s="5" t="s">
        <v>1564</v>
      </c>
      <c r="M1402" s="8">
        <v>139.9</v>
      </c>
      <c r="N1402" s="5" t="s">
        <v>1541</v>
      </c>
      <c r="O1402" s="5" t="s">
        <v>1533</v>
      </c>
    </row>
    <row r="1403" spans="1:15" x14ac:dyDescent="0.25">
      <c r="A1403" s="5" t="s">
        <v>4</v>
      </c>
      <c r="B1403" s="5" t="s">
        <v>5218</v>
      </c>
      <c r="D1403" s="5" t="s">
        <v>1505</v>
      </c>
      <c r="E1403" s="5" t="s">
        <v>4115</v>
      </c>
      <c r="F1403" s="5" t="s">
        <v>3566</v>
      </c>
      <c r="G1403" s="6">
        <v>46169.49722222222</v>
      </c>
      <c r="H1403" s="7">
        <v>46169</v>
      </c>
      <c r="I1403" s="6">
        <v>46169.70416666667</v>
      </c>
      <c r="J1403" s="7">
        <v>46169</v>
      </c>
      <c r="K1403" s="5" t="s">
        <v>1527</v>
      </c>
      <c r="L1403" s="5" t="s">
        <v>1564</v>
      </c>
      <c r="M1403" s="8">
        <v>139.9</v>
      </c>
      <c r="N1403" s="5" t="s">
        <v>1536</v>
      </c>
      <c r="O1403" s="7">
        <v>46169</v>
      </c>
    </row>
    <row r="1404" spans="1:15" x14ac:dyDescent="0.25">
      <c r="A1404" s="5" t="s">
        <v>4</v>
      </c>
      <c r="B1404" s="5" t="s">
        <v>5219</v>
      </c>
      <c r="D1404" s="5" t="s">
        <v>1427</v>
      </c>
      <c r="E1404" s="5" t="s">
        <v>2065</v>
      </c>
      <c r="F1404" s="5" t="s">
        <v>5220</v>
      </c>
      <c r="G1404" s="6">
        <v>46097.575694444444</v>
      </c>
      <c r="H1404" s="7">
        <v>46106</v>
      </c>
      <c r="I1404" s="5" t="s">
        <v>5221</v>
      </c>
      <c r="J1404" s="7">
        <v>46112</v>
      </c>
      <c r="K1404" s="5" t="s">
        <v>1527</v>
      </c>
      <c r="L1404" s="5" t="s">
        <v>1535</v>
      </c>
      <c r="M1404" s="8">
        <v>139.80000000000001</v>
      </c>
      <c r="N1404" s="5" t="s">
        <v>1536</v>
      </c>
      <c r="O1404" s="7">
        <v>46112</v>
      </c>
    </row>
    <row r="1405" spans="1:15" x14ac:dyDescent="0.25">
      <c r="A1405" s="5" t="s">
        <v>4</v>
      </c>
      <c r="B1405" s="5" t="s">
        <v>5222</v>
      </c>
      <c r="D1405" s="5" t="s">
        <v>1408</v>
      </c>
      <c r="E1405" s="5" t="s">
        <v>5223</v>
      </c>
      <c r="F1405" s="5" t="s">
        <v>1548</v>
      </c>
      <c r="G1405" s="6">
        <v>46149.486805555556</v>
      </c>
      <c r="H1405" s="7">
        <v>46155</v>
      </c>
      <c r="I1405" s="5" t="s">
        <v>2022</v>
      </c>
      <c r="J1405" s="7">
        <v>46150</v>
      </c>
      <c r="K1405" s="5" t="s">
        <v>1527</v>
      </c>
      <c r="L1405" s="5" t="s">
        <v>1564</v>
      </c>
      <c r="M1405" s="8">
        <v>139.80000000000001</v>
      </c>
      <c r="N1405" s="5" t="s">
        <v>1536</v>
      </c>
      <c r="O1405" s="7">
        <v>46150</v>
      </c>
    </row>
    <row r="1406" spans="1:15" x14ac:dyDescent="0.25">
      <c r="A1406" s="5" t="s">
        <v>4</v>
      </c>
      <c r="B1406" s="5" t="s">
        <v>5224</v>
      </c>
      <c r="D1406" s="5" t="s">
        <v>1366</v>
      </c>
      <c r="E1406" s="5" t="s">
        <v>3163</v>
      </c>
      <c r="F1406" s="5" t="s">
        <v>1532</v>
      </c>
      <c r="G1406" s="6">
        <v>46085.422222222223</v>
      </c>
      <c r="H1406" s="7">
        <v>46094</v>
      </c>
      <c r="I1406" s="5" t="s">
        <v>5225</v>
      </c>
      <c r="J1406" s="7">
        <v>46101</v>
      </c>
      <c r="K1406" s="5" t="s">
        <v>1527</v>
      </c>
      <c r="L1406" s="5" t="s">
        <v>1535</v>
      </c>
      <c r="M1406" s="8">
        <v>139.5</v>
      </c>
      <c r="N1406" s="5" t="s">
        <v>1536</v>
      </c>
      <c r="O1406" s="7">
        <v>46101</v>
      </c>
    </row>
    <row r="1407" spans="1:15" x14ac:dyDescent="0.25">
      <c r="A1407" s="5" t="s">
        <v>4</v>
      </c>
      <c r="B1407" s="5" t="s">
        <v>5226</v>
      </c>
      <c r="D1407" s="5" t="s">
        <v>480</v>
      </c>
      <c r="E1407" s="5" t="s">
        <v>5227</v>
      </c>
      <c r="F1407" s="5" t="s">
        <v>1548</v>
      </c>
      <c r="G1407" s="6">
        <v>46034.526388888888</v>
      </c>
      <c r="H1407" s="7">
        <v>46043</v>
      </c>
      <c r="I1407" s="6">
        <v>46043.73333333333</v>
      </c>
      <c r="J1407" s="7">
        <v>46043</v>
      </c>
      <c r="K1407" s="5" t="s">
        <v>1527</v>
      </c>
      <c r="L1407" s="5" t="s">
        <v>1535</v>
      </c>
      <c r="M1407" s="8">
        <v>139</v>
      </c>
      <c r="N1407" s="5" t="s">
        <v>1536</v>
      </c>
      <c r="O1407" s="7">
        <v>46043</v>
      </c>
    </row>
    <row r="1408" spans="1:15" x14ac:dyDescent="0.25">
      <c r="A1408" s="5" t="s">
        <v>4</v>
      </c>
      <c r="B1408" s="5" t="s">
        <v>5228</v>
      </c>
      <c r="D1408" s="5" t="s">
        <v>279</v>
      </c>
      <c r="E1408" s="5" t="s">
        <v>5229</v>
      </c>
      <c r="F1408" s="5" t="s">
        <v>2740</v>
      </c>
      <c r="G1408" s="6">
        <v>46077.664583333331</v>
      </c>
      <c r="H1408" s="7">
        <v>46090</v>
      </c>
      <c r="I1408" s="6">
        <v>46084.615972222222</v>
      </c>
      <c r="J1408" s="7">
        <v>46083</v>
      </c>
      <c r="K1408" s="5" t="s">
        <v>1527</v>
      </c>
      <c r="L1408" s="5" t="s">
        <v>1564</v>
      </c>
      <c r="M1408" s="8">
        <v>139</v>
      </c>
      <c r="N1408" s="5" t="s">
        <v>1536</v>
      </c>
      <c r="O1408" s="7">
        <v>46083</v>
      </c>
    </row>
    <row r="1409" spans="1:15" x14ac:dyDescent="0.25">
      <c r="A1409" s="5" t="s">
        <v>4</v>
      </c>
      <c r="B1409" s="5" t="s">
        <v>5230</v>
      </c>
      <c r="D1409" s="5" t="s">
        <v>668</v>
      </c>
      <c r="E1409" s="5" t="s">
        <v>5231</v>
      </c>
      <c r="F1409" s="5" t="s">
        <v>1548</v>
      </c>
      <c r="G1409" s="6">
        <v>46042.354861111111</v>
      </c>
      <c r="H1409" s="7">
        <v>46055</v>
      </c>
      <c r="I1409" s="5" t="s">
        <v>1533</v>
      </c>
      <c r="J1409" s="7">
        <v>46057</v>
      </c>
      <c r="K1409" s="5" t="s">
        <v>1534</v>
      </c>
      <c r="L1409" s="5" t="s">
        <v>1564</v>
      </c>
      <c r="M1409" s="8">
        <v>138.5</v>
      </c>
      <c r="N1409" s="5" t="s">
        <v>1536</v>
      </c>
      <c r="O1409" s="7">
        <v>46057</v>
      </c>
    </row>
    <row r="1410" spans="1:15" x14ac:dyDescent="0.25">
      <c r="A1410" s="5" t="s">
        <v>4</v>
      </c>
      <c r="B1410" s="5" t="s">
        <v>5232</v>
      </c>
      <c r="D1410" s="5" t="s">
        <v>450</v>
      </c>
      <c r="E1410" s="5" t="s">
        <v>5233</v>
      </c>
      <c r="F1410" s="5" t="s">
        <v>1532</v>
      </c>
      <c r="G1410" s="6">
        <v>46118.6</v>
      </c>
      <c r="H1410" s="7">
        <v>46127</v>
      </c>
      <c r="I1410" s="5" t="s">
        <v>5234</v>
      </c>
      <c r="J1410" s="7">
        <v>46132</v>
      </c>
      <c r="K1410" s="5" t="s">
        <v>1527</v>
      </c>
      <c r="L1410" s="5" t="s">
        <v>1535</v>
      </c>
      <c r="M1410" s="8">
        <v>138</v>
      </c>
      <c r="N1410" s="5" t="s">
        <v>1536</v>
      </c>
      <c r="O1410" s="7">
        <v>46132</v>
      </c>
    </row>
    <row r="1411" spans="1:15" x14ac:dyDescent="0.25">
      <c r="A1411" s="5" t="s">
        <v>4</v>
      </c>
      <c r="B1411" s="5" t="s">
        <v>5235</v>
      </c>
      <c r="D1411" s="5" t="s">
        <v>346</v>
      </c>
      <c r="E1411" s="5" t="s">
        <v>5236</v>
      </c>
      <c r="F1411" s="5" t="s">
        <v>1813</v>
      </c>
      <c r="G1411" s="6">
        <v>46135.640277777777</v>
      </c>
      <c r="H1411" s="7">
        <v>46147</v>
      </c>
      <c r="I1411" s="6">
        <v>46142.647222222222</v>
      </c>
      <c r="J1411" s="7">
        <v>46141</v>
      </c>
      <c r="K1411" s="5" t="s">
        <v>1527</v>
      </c>
      <c r="L1411" s="5" t="s">
        <v>1535</v>
      </c>
      <c r="M1411" s="8">
        <v>138</v>
      </c>
      <c r="N1411" s="5" t="s">
        <v>1536</v>
      </c>
      <c r="O1411" s="7">
        <v>46141</v>
      </c>
    </row>
    <row r="1412" spans="1:15" x14ac:dyDescent="0.25">
      <c r="A1412" s="5" t="s">
        <v>4</v>
      </c>
      <c r="B1412" s="5" t="s">
        <v>5237</v>
      </c>
      <c r="D1412" s="5" t="s">
        <v>1316</v>
      </c>
      <c r="E1412" s="5" t="s">
        <v>5238</v>
      </c>
      <c r="F1412" s="5" t="s">
        <v>1759</v>
      </c>
      <c r="G1412" s="6">
        <v>46079.716666666667</v>
      </c>
      <c r="H1412" s="7">
        <v>46092</v>
      </c>
      <c r="I1412" s="6">
        <v>46086.73333333333</v>
      </c>
      <c r="J1412" s="7">
        <v>46086</v>
      </c>
      <c r="K1412" s="5" t="s">
        <v>1527</v>
      </c>
      <c r="L1412" s="5" t="s">
        <v>1564</v>
      </c>
      <c r="M1412" s="8">
        <v>137.9</v>
      </c>
      <c r="N1412" s="5" t="s">
        <v>1536</v>
      </c>
      <c r="O1412" s="7">
        <v>46086</v>
      </c>
    </row>
    <row r="1413" spans="1:15" x14ac:dyDescent="0.25">
      <c r="A1413" s="5" t="s">
        <v>4</v>
      </c>
      <c r="B1413" s="5" t="s">
        <v>5239</v>
      </c>
      <c r="D1413" s="5" t="s">
        <v>261</v>
      </c>
      <c r="E1413" s="5" t="s">
        <v>5240</v>
      </c>
      <c r="F1413" s="5" t="s">
        <v>5241</v>
      </c>
      <c r="G1413" s="6">
        <v>46044.677777777775</v>
      </c>
      <c r="H1413" s="7">
        <v>46052</v>
      </c>
      <c r="I1413" s="5" t="s">
        <v>5242</v>
      </c>
      <c r="J1413" s="7">
        <v>46066</v>
      </c>
      <c r="K1413" s="5" t="s">
        <v>1527</v>
      </c>
      <c r="L1413" s="5" t="s">
        <v>1621</v>
      </c>
      <c r="M1413" s="8">
        <v>137.6</v>
      </c>
      <c r="N1413" s="5" t="s">
        <v>1536</v>
      </c>
      <c r="O1413" s="7">
        <v>46066</v>
      </c>
    </row>
    <row r="1414" spans="1:15" x14ac:dyDescent="0.25">
      <c r="A1414" s="5" t="s">
        <v>4</v>
      </c>
      <c r="B1414" s="5" t="s">
        <v>5243</v>
      </c>
      <c r="D1414" s="5" t="s">
        <v>203</v>
      </c>
      <c r="E1414" s="5" t="s">
        <v>5244</v>
      </c>
      <c r="F1414" s="5" t="s">
        <v>5245</v>
      </c>
      <c r="G1414" s="6">
        <v>46080.634722222225</v>
      </c>
      <c r="H1414" s="7">
        <v>46093</v>
      </c>
      <c r="I1414" s="5" t="s">
        <v>5246</v>
      </c>
      <c r="J1414" s="7">
        <v>46093</v>
      </c>
      <c r="K1414" s="5" t="s">
        <v>1527</v>
      </c>
      <c r="L1414" s="5" t="s">
        <v>1564</v>
      </c>
      <c r="M1414" s="8">
        <v>137.6</v>
      </c>
      <c r="N1414" s="5" t="s">
        <v>1536</v>
      </c>
      <c r="O1414" s="7">
        <v>46093</v>
      </c>
    </row>
    <row r="1415" spans="1:15" x14ac:dyDescent="0.25">
      <c r="A1415" s="5" t="s">
        <v>4</v>
      </c>
      <c r="B1415" s="5" t="s">
        <v>5247</v>
      </c>
      <c r="D1415" s="5" t="s">
        <v>1349</v>
      </c>
      <c r="E1415" s="5" t="s">
        <v>3800</v>
      </c>
      <c r="F1415" s="5" t="s">
        <v>5248</v>
      </c>
      <c r="G1415" s="6">
        <v>46142.65347222222</v>
      </c>
      <c r="H1415" s="7">
        <v>46148</v>
      </c>
      <c r="I1415" s="6">
        <v>46148.598611111112</v>
      </c>
      <c r="J1415" s="7">
        <v>46148</v>
      </c>
      <c r="K1415" s="5" t="s">
        <v>1527</v>
      </c>
      <c r="L1415" s="5" t="s">
        <v>1621</v>
      </c>
      <c r="M1415" s="8">
        <v>137.13999999999999</v>
      </c>
      <c r="N1415" s="5" t="s">
        <v>1536</v>
      </c>
      <c r="O1415" s="7">
        <v>46148</v>
      </c>
    </row>
    <row r="1416" spans="1:15" hidden="1" x14ac:dyDescent="0.25">
      <c r="A1416" s="5" t="s">
        <v>1522</v>
      </c>
      <c r="B1416" s="5" t="s">
        <v>5249</v>
      </c>
      <c r="D1416" s="5" t="s">
        <v>1510</v>
      </c>
      <c r="E1416" s="5" t="s">
        <v>2466</v>
      </c>
      <c r="F1416" s="5" t="s">
        <v>3389</v>
      </c>
      <c r="G1416" s="6">
        <v>46027.677083333336</v>
      </c>
      <c r="H1416" s="7">
        <v>46031</v>
      </c>
      <c r="I1416" s="5" t="s">
        <v>5250</v>
      </c>
      <c r="J1416" s="7">
        <v>46065</v>
      </c>
      <c r="K1416" s="5" t="s">
        <v>1527</v>
      </c>
      <c r="L1416" s="5" t="s">
        <v>1621</v>
      </c>
      <c r="M1416" s="8">
        <v>137.04</v>
      </c>
      <c r="N1416" s="5" t="s">
        <v>1536</v>
      </c>
      <c r="O1416" s="7">
        <v>46065</v>
      </c>
    </row>
    <row r="1417" spans="1:15" hidden="1" x14ac:dyDescent="0.25">
      <c r="A1417" s="5" t="s">
        <v>1522</v>
      </c>
      <c r="B1417" s="5" t="s">
        <v>5251</v>
      </c>
      <c r="D1417" s="5" t="s">
        <v>1510</v>
      </c>
      <c r="E1417" s="5" t="s">
        <v>2466</v>
      </c>
      <c r="F1417" s="5" t="s">
        <v>3389</v>
      </c>
      <c r="G1417" s="6">
        <v>46050.700694444444</v>
      </c>
      <c r="H1417" s="7">
        <v>46056</v>
      </c>
      <c r="I1417" s="5" t="s">
        <v>5252</v>
      </c>
      <c r="J1417" s="7">
        <v>46057</v>
      </c>
      <c r="K1417" s="5" t="s">
        <v>1527</v>
      </c>
      <c r="L1417" s="5" t="s">
        <v>1621</v>
      </c>
      <c r="M1417" s="8">
        <v>137.04</v>
      </c>
      <c r="N1417" s="5" t="s">
        <v>1536</v>
      </c>
      <c r="O1417" s="7">
        <v>46057</v>
      </c>
    </row>
    <row r="1418" spans="1:15" hidden="1" x14ac:dyDescent="0.25">
      <c r="A1418" s="5" t="s">
        <v>1522</v>
      </c>
      <c r="B1418" s="5" t="s">
        <v>5253</v>
      </c>
      <c r="D1418" s="5" t="s">
        <v>1510</v>
      </c>
      <c r="E1418" s="5" t="s">
        <v>2466</v>
      </c>
      <c r="F1418" s="5" t="s">
        <v>5254</v>
      </c>
      <c r="G1418" s="6">
        <v>46087.648611111108</v>
      </c>
      <c r="H1418" s="7">
        <v>46091</v>
      </c>
      <c r="I1418" s="6">
        <v>46090.634722222225</v>
      </c>
      <c r="J1418" s="7">
        <v>46090</v>
      </c>
      <c r="K1418" s="5" t="s">
        <v>1527</v>
      </c>
      <c r="L1418" s="5" t="s">
        <v>1621</v>
      </c>
      <c r="M1418" s="8">
        <v>137.04</v>
      </c>
      <c r="N1418" s="5" t="s">
        <v>1536</v>
      </c>
      <c r="O1418" s="7">
        <v>46090</v>
      </c>
    </row>
    <row r="1419" spans="1:15" x14ac:dyDescent="0.25">
      <c r="A1419" s="5" t="s">
        <v>4</v>
      </c>
      <c r="B1419" s="5" t="s">
        <v>5255</v>
      </c>
      <c r="D1419" s="5" t="s">
        <v>355</v>
      </c>
      <c r="E1419" s="5" t="s">
        <v>5256</v>
      </c>
      <c r="F1419" s="5" t="s">
        <v>1548</v>
      </c>
      <c r="G1419" s="6">
        <v>46099.340277777781</v>
      </c>
      <c r="H1419" s="7">
        <v>46108</v>
      </c>
      <c r="I1419" s="5" t="s">
        <v>5257</v>
      </c>
      <c r="J1419" s="7">
        <v>46108</v>
      </c>
      <c r="K1419" s="5" t="s">
        <v>1527</v>
      </c>
      <c r="L1419" s="5" t="s">
        <v>1535</v>
      </c>
      <c r="M1419" s="8">
        <v>137</v>
      </c>
      <c r="N1419" s="5" t="s">
        <v>1536</v>
      </c>
      <c r="O1419" s="7">
        <v>46108</v>
      </c>
    </row>
    <row r="1420" spans="1:15" x14ac:dyDescent="0.25">
      <c r="A1420" s="5" t="s">
        <v>4</v>
      </c>
      <c r="B1420" s="5" t="s">
        <v>5258</v>
      </c>
      <c r="D1420" s="5" t="s">
        <v>316</v>
      </c>
      <c r="E1420" s="5" t="s">
        <v>5259</v>
      </c>
      <c r="F1420" s="5" t="s">
        <v>5260</v>
      </c>
      <c r="G1420" s="6">
        <v>46134.693055555559</v>
      </c>
      <c r="H1420" s="7">
        <v>46141</v>
      </c>
      <c r="I1420" s="6">
        <v>46141.613194444442</v>
      </c>
      <c r="J1420" s="7">
        <v>46141</v>
      </c>
      <c r="K1420" s="5" t="s">
        <v>1527</v>
      </c>
      <c r="L1420" s="5" t="s">
        <v>1621</v>
      </c>
      <c r="M1420" s="8">
        <v>136.72</v>
      </c>
      <c r="N1420" s="5" t="s">
        <v>1536</v>
      </c>
      <c r="O1420" s="7">
        <v>46141</v>
      </c>
    </row>
    <row r="1421" spans="1:15" hidden="1" x14ac:dyDescent="0.25">
      <c r="A1421" s="5" t="s">
        <v>1522</v>
      </c>
      <c r="B1421" s="5" t="s">
        <v>5261</v>
      </c>
      <c r="D1421" s="5" t="s">
        <v>1195</v>
      </c>
      <c r="E1421" s="5" t="s">
        <v>5262</v>
      </c>
      <c r="F1421" s="5" t="s">
        <v>1548</v>
      </c>
      <c r="G1421" s="6">
        <v>46148.718055555553</v>
      </c>
      <c r="H1421" s="7">
        <v>46157</v>
      </c>
      <c r="I1421" s="6">
        <v>46154.755555555559</v>
      </c>
      <c r="J1421" s="7">
        <v>46154</v>
      </c>
      <c r="K1421" s="5" t="s">
        <v>1527</v>
      </c>
      <c r="L1421" s="5" t="s">
        <v>1528</v>
      </c>
      <c r="M1421" s="8">
        <v>136.5</v>
      </c>
      <c r="N1421" s="5" t="s">
        <v>1536</v>
      </c>
      <c r="O1421" s="7">
        <v>46154</v>
      </c>
    </row>
    <row r="1422" spans="1:15" x14ac:dyDescent="0.25">
      <c r="A1422" s="5" t="s">
        <v>4</v>
      </c>
      <c r="B1422" s="5" t="s">
        <v>5263</v>
      </c>
      <c r="D1422" s="5" t="s">
        <v>1456</v>
      </c>
      <c r="E1422" s="5" t="s">
        <v>1747</v>
      </c>
      <c r="F1422" s="5" t="s">
        <v>1759</v>
      </c>
      <c r="G1422" s="6">
        <v>46091.650694444441</v>
      </c>
      <c r="H1422" s="7">
        <v>46104</v>
      </c>
      <c r="I1422" s="6">
        <v>46104.706250000003</v>
      </c>
      <c r="J1422" s="7">
        <v>46104</v>
      </c>
      <c r="K1422" s="5" t="s">
        <v>1527</v>
      </c>
      <c r="L1422" s="5" t="s">
        <v>1564</v>
      </c>
      <c r="M1422" s="8">
        <v>136.25</v>
      </c>
      <c r="N1422" s="5" t="s">
        <v>1536</v>
      </c>
      <c r="O1422" s="7">
        <v>46104</v>
      </c>
    </row>
    <row r="1423" spans="1:15" x14ac:dyDescent="0.25">
      <c r="A1423" s="5" t="s">
        <v>4</v>
      </c>
      <c r="B1423" s="5" t="s">
        <v>5264</v>
      </c>
      <c r="D1423" s="5" t="s">
        <v>626</v>
      </c>
      <c r="E1423" s="5" t="s">
        <v>5265</v>
      </c>
      <c r="F1423" s="5" t="s">
        <v>1532</v>
      </c>
      <c r="G1423" s="6">
        <v>46086.675000000003</v>
      </c>
      <c r="H1423" s="7">
        <v>46097</v>
      </c>
      <c r="I1423" s="5" t="s">
        <v>1533</v>
      </c>
      <c r="J1423" s="7">
        <v>46104</v>
      </c>
      <c r="K1423" s="5" t="s">
        <v>1534</v>
      </c>
      <c r="L1423" s="5" t="s">
        <v>1535</v>
      </c>
      <c r="M1423" s="8">
        <v>136</v>
      </c>
      <c r="N1423" s="5" t="s">
        <v>1536</v>
      </c>
      <c r="O1423" s="7">
        <v>46104</v>
      </c>
    </row>
    <row r="1424" spans="1:15" hidden="1" x14ac:dyDescent="0.25">
      <c r="A1424" s="5" t="s">
        <v>1522</v>
      </c>
      <c r="B1424" s="5" t="s">
        <v>5266</v>
      </c>
      <c r="D1424" s="5" t="s">
        <v>1510</v>
      </c>
      <c r="E1424" s="5" t="s">
        <v>2466</v>
      </c>
      <c r="F1424" s="5" t="s">
        <v>5267</v>
      </c>
      <c r="G1424" s="6">
        <v>46164.67291666667</v>
      </c>
      <c r="H1424" s="7">
        <v>46171</v>
      </c>
      <c r="I1424" s="5" t="s">
        <v>2069</v>
      </c>
      <c r="J1424" s="7">
        <v>46175</v>
      </c>
      <c r="K1424" s="5" t="s">
        <v>1527</v>
      </c>
      <c r="L1424" s="5" t="s">
        <v>1621</v>
      </c>
      <c r="M1424" s="8">
        <v>135.85</v>
      </c>
      <c r="N1424" s="5" t="s">
        <v>1529</v>
      </c>
      <c r="O1424" s="7">
        <v>46175</v>
      </c>
    </row>
    <row r="1425" spans="1:15" hidden="1" x14ac:dyDescent="0.25">
      <c r="A1425" s="5" t="s">
        <v>1522</v>
      </c>
      <c r="B1425" s="5" t="s">
        <v>5268</v>
      </c>
      <c r="D1425" s="5" t="s">
        <v>1510</v>
      </c>
      <c r="E1425" s="5" t="s">
        <v>2466</v>
      </c>
      <c r="F1425" s="5" t="s">
        <v>5267</v>
      </c>
      <c r="G1425" s="6">
        <v>46164.675000000003</v>
      </c>
      <c r="H1425" s="7">
        <v>46171</v>
      </c>
      <c r="I1425" s="5" t="s">
        <v>2069</v>
      </c>
      <c r="J1425" s="7">
        <v>46175</v>
      </c>
      <c r="K1425" s="5" t="s">
        <v>1527</v>
      </c>
      <c r="L1425" s="5" t="s">
        <v>1621</v>
      </c>
      <c r="M1425" s="8">
        <v>135.85</v>
      </c>
      <c r="N1425" s="5" t="s">
        <v>1529</v>
      </c>
      <c r="O1425" s="7">
        <v>46175</v>
      </c>
    </row>
    <row r="1426" spans="1:15" x14ac:dyDescent="0.25">
      <c r="A1426" s="5" t="s">
        <v>4</v>
      </c>
      <c r="B1426" s="5" t="s">
        <v>5269</v>
      </c>
      <c r="D1426" s="5" t="s">
        <v>1275</v>
      </c>
      <c r="E1426" s="5" t="s">
        <v>5270</v>
      </c>
      <c r="F1426" s="5" t="s">
        <v>1548</v>
      </c>
      <c r="G1426" s="6">
        <v>46029.631249999999</v>
      </c>
      <c r="H1426" s="7">
        <v>46041</v>
      </c>
      <c r="I1426" s="6">
        <v>46038.698611111111</v>
      </c>
      <c r="J1426" s="7">
        <v>46038</v>
      </c>
      <c r="K1426" s="5" t="s">
        <v>1527</v>
      </c>
      <c r="L1426" s="5" t="s">
        <v>1564</v>
      </c>
      <c r="M1426" s="8">
        <v>135.55000000000001</v>
      </c>
      <c r="N1426" s="5" t="s">
        <v>1536</v>
      </c>
      <c r="O1426" s="7">
        <v>46038</v>
      </c>
    </row>
    <row r="1427" spans="1:15" x14ac:dyDescent="0.25">
      <c r="A1427" s="5" t="s">
        <v>4</v>
      </c>
      <c r="B1427" s="5" t="s">
        <v>5271</v>
      </c>
      <c r="D1427" s="5" t="s">
        <v>1338</v>
      </c>
      <c r="E1427" s="5" t="s">
        <v>5272</v>
      </c>
      <c r="F1427" s="5" t="s">
        <v>5273</v>
      </c>
      <c r="G1427" s="6">
        <v>46099.67291666667</v>
      </c>
      <c r="H1427" s="7">
        <v>46112</v>
      </c>
      <c r="I1427" s="6">
        <v>46107.698611111111</v>
      </c>
      <c r="J1427" s="7">
        <v>46107</v>
      </c>
      <c r="K1427" s="5" t="s">
        <v>1527</v>
      </c>
      <c r="L1427" s="5" t="s">
        <v>1564</v>
      </c>
      <c r="M1427" s="8">
        <v>135.30000000000001</v>
      </c>
      <c r="N1427" s="5" t="s">
        <v>1536</v>
      </c>
      <c r="O1427" s="7">
        <v>46107</v>
      </c>
    </row>
    <row r="1428" spans="1:15" x14ac:dyDescent="0.25">
      <c r="A1428" s="5" t="s">
        <v>4</v>
      </c>
      <c r="B1428" s="5" t="s">
        <v>5274</v>
      </c>
      <c r="D1428" s="5" t="s">
        <v>496</v>
      </c>
      <c r="E1428" s="5" t="s">
        <v>5275</v>
      </c>
      <c r="F1428" s="5" t="s">
        <v>1548</v>
      </c>
      <c r="G1428" s="6">
        <v>46049.613888888889</v>
      </c>
      <c r="H1428" s="7">
        <v>46062</v>
      </c>
      <c r="I1428" s="6">
        <v>46057.663888888892</v>
      </c>
      <c r="J1428" s="7">
        <v>46057</v>
      </c>
      <c r="K1428" s="5" t="s">
        <v>1527</v>
      </c>
      <c r="L1428" s="5" t="s">
        <v>1564</v>
      </c>
      <c r="M1428" s="8">
        <v>135.19999999999999</v>
      </c>
      <c r="N1428" s="5" t="s">
        <v>1536</v>
      </c>
      <c r="O1428" s="7">
        <v>46057</v>
      </c>
    </row>
    <row r="1429" spans="1:15" x14ac:dyDescent="0.25">
      <c r="A1429" s="5" t="s">
        <v>4</v>
      </c>
      <c r="B1429" s="5" t="s">
        <v>5276</v>
      </c>
      <c r="D1429" s="5" t="s">
        <v>985</v>
      </c>
      <c r="E1429" s="5" t="s">
        <v>5277</v>
      </c>
      <c r="F1429" s="5" t="s">
        <v>4540</v>
      </c>
      <c r="G1429" s="6">
        <v>46079.633333333331</v>
      </c>
      <c r="H1429" s="7">
        <v>46092</v>
      </c>
      <c r="I1429" s="6">
        <v>46091.502083333333</v>
      </c>
      <c r="J1429" s="7">
        <v>46091</v>
      </c>
      <c r="K1429" s="5" t="s">
        <v>1527</v>
      </c>
      <c r="L1429" s="5" t="s">
        <v>1564</v>
      </c>
      <c r="M1429" s="8">
        <v>135.19999999999999</v>
      </c>
      <c r="N1429" s="5" t="s">
        <v>1536</v>
      </c>
      <c r="O1429" s="7">
        <v>46091</v>
      </c>
    </row>
    <row r="1430" spans="1:15" x14ac:dyDescent="0.25">
      <c r="A1430" s="5" t="s">
        <v>4</v>
      </c>
      <c r="B1430" s="5" t="s">
        <v>5278</v>
      </c>
      <c r="D1430" s="5" t="s">
        <v>1109</v>
      </c>
      <c r="E1430" s="5" t="s">
        <v>5279</v>
      </c>
      <c r="F1430" s="5" t="s">
        <v>1548</v>
      </c>
      <c r="G1430" s="6">
        <v>46038.512499999997</v>
      </c>
      <c r="H1430" s="7">
        <v>46051</v>
      </c>
      <c r="I1430" s="6">
        <v>46049.743055555555</v>
      </c>
      <c r="J1430" s="7">
        <v>46049</v>
      </c>
      <c r="K1430" s="5" t="s">
        <v>1527</v>
      </c>
      <c r="L1430" s="5" t="s">
        <v>1564</v>
      </c>
      <c r="M1430" s="8">
        <v>135</v>
      </c>
      <c r="N1430" s="5" t="s">
        <v>1536</v>
      </c>
      <c r="O1430" s="7">
        <v>46049</v>
      </c>
    </row>
    <row r="1431" spans="1:15" x14ac:dyDescent="0.25">
      <c r="A1431" s="5" t="s">
        <v>4</v>
      </c>
      <c r="B1431" s="5" t="s">
        <v>5280</v>
      </c>
      <c r="D1431" s="5" t="s">
        <v>311</v>
      </c>
      <c r="E1431" s="5" t="s">
        <v>5281</v>
      </c>
      <c r="F1431" s="5" t="s">
        <v>1548</v>
      </c>
      <c r="G1431" s="6">
        <v>46050.470138888886</v>
      </c>
      <c r="H1431" s="7">
        <v>46063</v>
      </c>
      <c r="I1431" s="5" t="s">
        <v>5282</v>
      </c>
      <c r="J1431" s="7">
        <v>46066</v>
      </c>
      <c r="K1431" s="5" t="s">
        <v>1527</v>
      </c>
      <c r="L1431" s="5" t="s">
        <v>1564</v>
      </c>
      <c r="M1431" s="8">
        <v>135</v>
      </c>
      <c r="N1431" s="5" t="s">
        <v>1536</v>
      </c>
      <c r="O1431" s="7">
        <v>46066</v>
      </c>
    </row>
    <row r="1432" spans="1:15" x14ac:dyDescent="0.25">
      <c r="A1432" s="5" t="s">
        <v>4</v>
      </c>
      <c r="B1432" s="5" t="s">
        <v>5283</v>
      </c>
      <c r="D1432" s="5" t="s">
        <v>1308</v>
      </c>
      <c r="E1432" s="5" t="s">
        <v>5284</v>
      </c>
      <c r="F1432" s="5" t="s">
        <v>1548</v>
      </c>
      <c r="G1432" s="6">
        <v>46050.658333333333</v>
      </c>
      <c r="H1432" s="7">
        <v>46063</v>
      </c>
      <c r="I1432" s="6">
        <v>46063.667361111111</v>
      </c>
      <c r="J1432" s="7">
        <v>46063</v>
      </c>
      <c r="K1432" s="5" t="s">
        <v>1527</v>
      </c>
      <c r="L1432" s="5" t="s">
        <v>1564</v>
      </c>
      <c r="M1432" s="8">
        <v>135</v>
      </c>
      <c r="N1432" s="5" t="s">
        <v>1536</v>
      </c>
      <c r="O1432" s="7">
        <v>46063</v>
      </c>
    </row>
    <row r="1433" spans="1:15" x14ac:dyDescent="0.25">
      <c r="A1433" s="5" t="s">
        <v>4</v>
      </c>
      <c r="B1433" s="5" t="s">
        <v>5285</v>
      </c>
      <c r="D1433" s="5" t="s">
        <v>1356</v>
      </c>
      <c r="E1433" s="5" t="s">
        <v>3686</v>
      </c>
      <c r="F1433" s="5" t="s">
        <v>1548</v>
      </c>
      <c r="G1433" s="6">
        <v>46051.354166666664</v>
      </c>
      <c r="H1433" s="7">
        <v>46064</v>
      </c>
      <c r="I1433" s="5" t="s">
        <v>5286</v>
      </c>
      <c r="J1433" s="7">
        <v>46063</v>
      </c>
      <c r="K1433" s="5" t="s">
        <v>1527</v>
      </c>
      <c r="L1433" s="5" t="s">
        <v>1564</v>
      </c>
      <c r="M1433" s="9">
        <v>135</v>
      </c>
      <c r="N1433" s="5" t="s">
        <v>1536</v>
      </c>
      <c r="O1433" s="7">
        <v>46063</v>
      </c>
    </row>
    <row r="1434" spans="1:15" x14ac:dyDescent="0.25">
      <c r="A1434" s="5" t="s">
        <v>4</v>
      </c>
      <c r="B1434" s="5" t="s">
        <v>5287</v>
      </c>
      <c r="D1434" s="5" t="s">
        <v>1416</v>
      </c>
      <c r="E1434" s="5" t="s">
        <v>4648</v>
      </c>
      <c r="F1434" s="5" t="s">
        <v>1548</v>
      </c>
      <c r="G1434" s="6">
        <v>46056.732638888891</v>
      </c>
      <c r="H1434" s="7">
        <v>46069</v>
      </c>
      <c r="I1434" s="6">
        <v>46069.478472222225</v>
      </c>
      <c r="J1434" s="7">
        <v>46069</v>
      </c>
      <c r="K1434" s="5" t="s">
        <v>1527</v>
      </c>
      <c r="L1434" s="5" t="s">
        <v>1564</v>
      </c>
      <c r="M1434" s="8">
        <v>135</v>
      </c>
      <c r="N1434" s="5" t="s">
        <v>1536</v>
      </c>
      <c r="O1434" s="7">
        <v>46069</v>
      </c>
    </row>
    <row r="1435" spans="1:15" x14ac:dyDescent="0.25">
      <c r="A1435" s="5" t="s">
        <v>4</v>
      </c>
      <c r="B1435" s="5" t="s">
        <v>5288</v>
      </c>
      <c r="D1435" s="5" t="s">
        <v>1433</v>
      </c>
      <c r="E1435" s="5" t="s">
        <v>4145</v>
      </c>
      <c r="F1435" s="5" t="s">
        <v>4146</v>
      </c>
      <c r="G1435" s="6">
        <v>46063.35833333333</v>
      </c>
      <c r="H1435" s="7">
        <v>46076</v>
      </c>
      <c r="I1435" s="6">
        <v>46070.487500000003</v>
      </c>
      <c r="J1435" s="7">
        <v>46070</v>
      </c>
      <c r="K1435" s="5" t="s">
        <v>1527</v>
      </c>
      <c r="L1435" s="5" t="s">
        <v>1564</v>
      </c>
      <c r="M1435" s="8">
        <v>135</v>
      </c>
      <c r="N1435" s="5" t="s">
        <v>1536</v>
      </c>
      <c r="O1435" s="7">
        <v>46070</v>
      </c>
    </row>
    <row r="1436" spans="1:15" x14ac:dyDescent="0.25">
      <c r="A1436" s="5" t="s">
        <v>4</v>
      </c>
      <c r="B1436" s="5" t="s">
        <v>5289</v>
      </c>
      <c r="D1436" s="5" t="s">
        <v>962</v>
      </c>
      <c r="E1436" s="5" t="s">
        <v>5290</v>
      </c>
      <c r="F1436" s="5" t="s">
        <v>5291</v>
      </c>
      <c r="G1436" s="6">
        <v>46064.533333333333</v>
      </c>
      <c r="H1436" s="7">
        <v>46078</v>
      </c>
      <c r="I1436" s="6">
        <v>46071.615972222222</v>
      </c>
      <c r="J1436" s="7">
        <v>46071</v>
      </c>
      <c r="K1436" s="5" t="s">
        <v>1527</v>
      </c>
      <c r="L1436" s="5" t="s">
        <v>1564</v>
      </c>
      <c r="M1436" s="8">
        <v>135</v>
      </c>
      <c r="N1436" s="5" t="s">
        <v>1536</v>
      </c>
      <c r="O1436" s="7">
        <v>46071</v>
      </c>
    </row>
    <row r="1437" spans="1:15" x14ac:dyDescent="0.25">
      <c r="A1437" s="5" t="s">
        <v>4</v>
      </c>
      <c r="B1437" s="5" t="s">
        <v>5292</v>
      </c>
      <c r="D1437" s="5" t="s">
        <v>767</v>
      </c>
      <c r="E1437" s="5" t="s">
        <v>5293</v>
      </c>
      <c r="F1437" s="5" t="s">
        <v>1738</v>
      </c>
      <c r="G1437" s="6">
        <v>46071.690972222219</v>
      </c>
      <c r="H1437" s="7">
        <v>46084</v>
      </c>
      <c r="I1437" s="6">
        <v>46084.615972222222</v>
      </c>
      <c r="J1437" s="7">
        <v>46080</v>
      </c>
      <c r="K1437" s="5" t="s">
        <v>1527</v>
      </c>
      <c r="L1437" s="5" t="s">
        <v>1564</v>
      </c>
      <c r="M1437" s="8">
        <v>135</v>
      </c>
      <c r="N1437" s="5" t="s">
        <v>1536</v>
      </c>
      <c r="O1437" s="7">
        <v>46080</v>
      </c>
    </row>
    <row r="1438" spans="1:15" x14ac:dyDescent="0.25">
      <c r="A1438" s="5" t="s">
        <v>4</v>
      </c>
      <c r="B1438" s="5" t="s">
        <v>5294</v>
      </c>
      <c r="D1438" s="5" t="s">
        <v>1423</v>
      </c>
      <c r="E1438" s="5" t="s">
        <v>3573</v>
      </c>
      <c r="F1438" s="5" t="s">
        <v>5295</v>
      </c>
      <c r="G1438" s="6">
        <v>46072.338888888888</v>
      </c>
      <c r="H1438" s="7">
        <v>46085</v>
      </c>
      <c r="I1438" s="6">
        <v>46076.634722222225</v>
      </c>
      <c r="J1438" s="7">
        <v>46076</v>
      </c>
      <c r="K1438" s="5" t="s">
        <v>1527</v>
      </c>
      <c r="L1438" s="5" t="s">
        <v>1564</v>
      </c>
      <c r="M1438" s="8">
        <v>135</v>
      </c>
      <c r="N1438" s="5" t="s">
        <v>1536</v>
      </c>
      <c r="O1438" s="7">
        <v>46076</v>
      </c>
    </row>
    <row r="1439" spans="1:15" x14ac:dyDescent="0.25">
      <c r="A1439" s="5" t="s">
        <v>4</v>
      </c>
      <c r="B1439" s="5" t="s">
        <v>5296</v>
      </c>
      <c r="D1439" s="5" t="s">
        <v>761</v>
      </c>
      <c r="E1439" s="5" t="s">
        <v>5297</v>
      </c>
      <c r="F1439" s="5" t="s">
        <v>5298</v>
      </c>
      <c r="G1439" s="6">
        <v>46083.5</v>
      </c>
      <c r="H1439" s="7">
        <v>46094</v>
      </c>
      <c r="I1439" s="6">
        <v>46091.50277777778</v>
      </c>
      <c r="J1439" s="7">
        <v>46091</v>
      </c>
      <c r="K1439" s="5" t="s">
        <v>1527</v>
      </c>
      <c r="L1439" s="5" t="s">
        <v>1564</v>
      </c>
      <c r="M1439" s="8">
        <v>135</v>
      </c>
      <c r="N1439" s="5" t="s">
        <v>1536</v>
      </c>
      <c r="O1439" s="7">
        <v>46091</v>
      </c>
    </row>
    <row r="1440" spans="1:15" x14ac:dyDescent="0.25">
      <c r="A1440" s="5" t="s">
        <v>4</v>
      </c>
      <c r="B1440" s="5" t="s">
        <v>5299</v>
      </c>
      <c r="D1440" s="5" t="s">
        <v>692</v>
      </c>
      <c r="E1440" s="5" t="s">
        <v>5300</v>
      </c>
      <c r="F1440" s="5" t="s">
        <v>2118</v>
      </c>
      <c r="G1440" s="6">
        <v>46107.495138888888</v>
      </c>
      <c r="H1440" s="7">
        <v>46120</v>
      </c>
      <c r="I1440" s="5" t="s">
        <v>4970</v>
      </c>
      <c r="J1440" s="7">
        <v>46118</v>
      </c>
      <c r="K1440" s="5" t="s">
        <v>1527</v>
      </c>
      <c r="L1440" s="5" t="s">
        <v>1564</v>
      </c>
      <c r="M1440" s="8">
        <v>135</v>
      </c>
      <c r="N1440" s="5" t="s">
        <v>1536</v>
      </c>
      <c r="O1440" s="7">
        <v>46118</v>
      </c>
    </row>
    <row r="1441" spans="1:15" x14ac:dyDescent="0.25">
      <c r="A1441" s="5" t="s">
        <v>4</v>
      </c>
      <c r="B1441" s="5" t="s">
        <v>5301</v>
      </c>
      <c r="D1441" s="5" t="s">
        <v>341</v>
      </c>
      <c r="E1441" s="5" t="s">
        <v>5302</v>
      </c>
      <c r="F1441" s="5" t="s">
        <v>1759</v>
      </c>
      <c r="G1441" s="6">
        <v>46112.620138888888</v>
      </c>
      <c r="H1441" s="7">
        <v>46126</v>
      </c>
      <c r="I1441" s="6">
        <v>46126.636805555558</v>
      </c>
      <c r="J1441" s="7">
        <v>46125</v>
      </c>
      <c r="K1441" s="5" t="s">
        <v>1527</v>
      </c>
      <c r="L1441" s="5" t="s">
        <v>1564</v>
      </c>
      <c r="M1441" s="8">
        <v>135</v>
      </c>
      <c r="N1441" s="5" t="s">
        <v>1536</v>
      </c>
      <c r="O1441" s="7">
        <v>46125</v>
      </c>
    </row>
    <row r="1442" spans="1:15" x14ac:dyDescent="0.25">
      <c r="A1442" s="5" t="s">
        <v>4</v>
      </c>
      <c r="B1442" s="5" t="s">
        <v>5303</v>
      </c>
      <c r="D1442" s="5" t="s">
        <v>151</v>
      </c>
      <c r="E1442" s="5" t="s">
        <v>5304</v>
      </c>
      <c r="F1442" s="5" t="s">
        <v>2118</v>
      </c>
      <c r="G1442" s="6">
        <v>46128.634722222225</v>
      </c>
      <c r="H1442" s="7">
        <v>46142</v>
      </c>
      <c r="I1442" s="6">
        <v>46139.611805555556</v>
      </c>
      <c r="J1442" s="7">
        <v>46139</v>
      </c>
      <c r="K1442" s="5" t="s">
        <v>1527</v>
      </c>
      <c r="L1442" s="5" t="s">
        <v>1564</v>
      </c>
      <c r="M1442" s="8">
        <v>135</v>
      </c>
      <c r="N1442" s="5" t="s">
        <v>1536</v>
      </c>
      <c r="O1442" s="7">
        <v>46139</v>
      </c>
    </row>
    <row r="1443" spans="1:15" x14ac:dyDescent="0.25">
      <c r="A1443" s="5" t="s">
        <v>4</v>
      </c>
      <c r="B1443" s="5" t="s">
        <v>5305</v>
      </c>
      <c r="D1443" s="5" t="s">
        <v>1424</v>
      </c>
      <c r="E1443" s="5" t="s">
        <v>4469</v>
      </c>
      <c r="F1443" s="5" t="s">
        <v>1759</v>
      </c>
      <c r="G1443" s="6">
        <v>46129.457638888889</v>
      </c>
      <c r="H1443" s="7">
        <v>46146</v>
      </c>
      <c r="I1443" s="6">
        <v>46139.611805555556</v>
      </c>
      <c r="J1443" s="7">
        <v>46139</v>
      </c>
      <c r="K1443" s="5" t="s">
        <v>1527</v>
      </c>
      <c r="L1443" s="5" t="s">
        <v>1564</v>
      </c>
      <c r="M1443" s="8">
        <v>135</v>
      </c>
      <c r="N1443" s="5" t="s">
        <v>1536</v>
      </c>
      <c r="O1443" s="7">
        <v>46139</v>
      </c>
    </row>
    <row r="1444" spans="1:15" x14ac:dyDescent="0.25">
      <c r="A1444" s="5" t="s">
        <v>4</v>
      </c>
      <c r="B1444" s="5" t="s">
        <v>5306</v>
      </c>
      <c r="D1444" s="5" t="s">
        <v>874</v>
      </c>
      <c r="E1444" s="5" t="s">
        <v>5307</v>
      </c>
      <c r="F1444" s="5" t="s">
        <v>2118</v>
      </c>
      <c r="G1444" s="6">
        <v>46135.323611111111</v>
      </c>
      <c r="H1444" s="7">
        <v>46149</v>
      </c>
      <c r="I1444" s="6">
        <v>46141.345138888886</v>
      </c>
      <c r="J1444" s="7">
        <v>46140</v>
      </c>
      <c r="K1444" s="5" t="s">
        <v>1527</v>
      </c>
      <c r="L1444" s="5" t="s">
        <v>1564</v>
      </c>
      <c r="M1444" s="8">
        <v>135</v>
      </c>
      <c r="N1444" s="5" t="s">
        <v>1536</v>
      </c>
      <c r="O1444" s="7">
        <v>46140</v>
      </c>
    </row>
    <row r="1445" spans="1:15" x14ac:dyDescent="0.25">
      <c r="A1445" s="5" t="s">
        <v>4</v>
      </c>
      <c r="B1445" s="5" t="s">
        <v>5308</v>
      </c>
      <c r="D1445" s="5" t="s">
        <v>1249</v>
      </c>
      <c r="E1445" s="5" t="s">
        <v>5309</v>
      </c>
      <c r="F1445" s="5" t="s">
        <v>1759</v>
      </c>
      <c r="G1445" s="6">
        <v>46135.441666666666</v>
      </c>
      <c r="H1445" s="7">
        <v>46149</v>
      </c>
      <c r="I1445" s="6">
        <v>46141.612500000003</v>
      </c>
      <c r="J1445" s="7">
        <v>46141</v>
      </c>
      <c r="K1445" s="5" t="s">
        <v>1527</v>
      </c>
      <c r="L1445" s="5" t="s">
        <v>1564</v>
      </c>
      <c r="M1445" s="8">
        <v>135</v>
      </c>
      <c r="N1445" s="5" t="s">
        <v>1536</v>
      </c>
      <c r="O1445" s="7">
        <v>46141</v>
      </c>
    </row>
    <row r="1446" spans="1:15" x14ac:dyDescent="0.25">
      <c r="A1446" s="5" t="s">
        <v>4</v>
      </c>
      <c r="B1446" s="5" t="s">
        <v>5310</v>
      </c>
      <c r="D1446" s="5" t="s">
        <v>1257</v>
      </c>
      <c r="E1446" s="5" t="s">
        <v>5311</v>
      </c>
      <c r="F1446" s="5" t="s">
        <v>2118</v>
      </c>
      <c r="G1446" s="6">
        <v>46155.672222222223</v>
      </c>
      <c r="H1446" s="7">
        <v>46163</v>
      </c>
      <c r="I1446" s="6">
        <v>46161.418749999997</v>
      </c>
      <c r="J1446" s="7">
        <v>46161</v>
      </c>
      <c r="K1446" s="5" t="s">
        <v>1527</v>
      </c>
      <c r="L1446" s="5" t="s">
        <v>1564</v>
      </c>
      <c r="M1446" s="8">
        <v>135</v>
      </c>
      <c r="N1446" s="5" t="s">
        <v>1536</v>
      </c>
      <c r="O1446" s="7">
        <v>46161</v>
      </c>
    </row>
    <row r="1447" spans="1:15" x14ac:dyDescent="0.25">
      <c r="A1447" s="5" t="s">
        <v>4</v>
      </c>
      <c r="B1447" s="5" t="s">
        <v>5312</v>
      </c>
      <c r="D1447" s="5" t="s">
        <v>23</v>
      </c>
      <c r="E1447" s="5" t="s">
        <v>5313</v>
      </c>
      <c r="F1447" s="5" t="s">
        <v>1738</v>
      </c>
      <c r="G1447" s="6">
        <v>46160.45</v>
      </c>
      <c r="H1447" s="7">
        <v>46171</v>
      </c>
      <c r="I1447" s="6">
        <v>46171.624305555553</v>
      </c>
      <c r="J1447" s="7">
        <v>46170</v>
      </c>
      <c r="K1447" s="5" t="s">
        <v>1527</v>
      </c>
      <c r="L1447" s="5" t="s">
        <v>1564</v>
      </c>
      <c r="M1447" s="8">
        <v>135</v>
      </c>
      <c r="N1447" s="5" t="s">
        <v>1536</v>
      </c>
      <c r="O1447" s="7">
        <v>46170</v>
      </c>
    </row>
    <row r="1448" spans="1:15" x14ac:dyDescent="0.25">
      <c r="A1448" s="5" t="s">
        <v>4</v>
      </c>
      <c r="B1448" s="5" t="s">
        <v>5314</v>
      </c>
      <c r="D1448" s="5" t="s">
        <v>986</v>
      </c>
      <c r="E1448" s="5" t="s">
        <v>5315</v>
      </c>
      <c r="F1448" s="5" t="s">
        <v>5316</v>
      </c>
      <c r="G1448" s="6">
        <v>46169.724305555559</v>
      </c>
      <c r="H1448" s="7">
        <v>46176</v>
      </c>
      <c r="I1448" s="5" t="s">
        <v>5317</v>
      </c>
      <c r="J1448" s="7">
        <v>46178</v>
      </c>
      <c r="K1448" s="5" t="s">
        <v>1527</v>
      </c>
      <c r="L1448" s="5" t="s">
        <v>3243</v>
      </c>
      <c r="M1448" s="8">
        <v>135</v>
      </c>
      <c r="N1448" s="5" t="s">
        <v>1536</v>
      </c>
      <c r="O1448" s="7">
        <v>46178</v>
      </c>
    </row>
    <row r="1449" spans="1:15" x14ac:dyDescent="0.25">
      <c r="A1449" s="5" t="s">
        <v>4</v>
      </c>
      <c r="B1449" s="5" t="s">
        <v>5318</v>
      </c>
      <c r="D1449" s="5" t="s">
        <v>657</v>
      </c>
      <c r="E1449" s="5" t="s">
        <v>5319</v>
      </c>
      <c r="F1449" s="5" t="s">
        <v>5320</v>
      </c>
      <c r="G1449" s="6">
        <v>46036.681250000001</v>
      </c>
      <c r="H1449" s="7">
        <v>46044</v>
      </c>
      <c r="I1449" s="6">
        <v>46044.670138888891</v>
      </c>
      <c r="J1449" s="7">
        <v>46044</v>
      </c>
      <c r="K1449" s="5" t="s">
        <v>1527</v>
      </c>
      <c r="L1449" s="5" t="s">
        <v>1621</v>
      </c>
      <c r="M1449" s="8">
        <v>134.94</v>
      </c>
      <c r="N1449" s="5" t="s">
        <v>1536</v>
      </c>
      <c r="O1449" s="7">
        <v>46044</v>
      </c>
    </row>
    <row r="1450" spans="1:15" x14ac:dyDescent="0.25">
      <c r="A1450" s="5" t="s">
        <v>4</v>
      </c>
      <c r="B1450" s="5" t="s">
        <v>5321</v>
      </c>
      <c r="D1450" s="5" t="s">
        <v>328</v>
      </c>
      <c r="E1450" s="5" t="s">
        <v>5322</v>
      </c>
      <c r="F1450" s="5" t="s">
        <v>1548</v>
      </c>
      <c r="G1450" s="6">
        <v>46041.669444444444</v>
      </c>
      <c r="H1450" s="7">
        <v>46043</v>
      </c>
      <c r="I1450" s="6">
        <v>46042.629861111112</v>
      </c>
      <c r="J1450" s="7">
        <v>46042</v>
      </c>
      <c r="K1450" s="5" t="s">
        <v>1527</v>
      </c>
      <c r="L1450" s="5" t="s">
        <v>1564</v>
      </c>
      <c r="M1450" s="8">
        <v>134.80000000000001</v>
      </c>
      <c r="N1450" s="5" t="s">
        <v>1536</v>
      </c>
      <c r="O1450" s="7">
        <v>46042</v>
      </c>
    </row>
    <row r="1451" spans="1:15" x14ac:dyDescent="0.25">
      <c r="A1451" s="5" t="s">
        <v>4</v>
      </c>
      <c r="B1451" s="5" t="s">
        <v>5323</v>
      </c>
      <c r="D1451" s="5" t="s">
        <v>1325</v>
      </c>
      <c r="E1451" s="5" t="s">
        <v>4005</v>
      </c>
      <c r="F1451" s="5" t="s">
        <v>4006</v>
      </c>
      <c r="G1451" s="6">
        <v>46128.316666666666</v>
      </c>
      <c r="H1451" s="7">
        <v>46142</v>
      </c>
      <c r="I1451" s="5" t="s">
        <v>1533</v>
      </c>
      <c r="J1451" s="7">
        <v>46141</v>
      </c>
      <c r="K1451" s="5" t="s">
        <v>1534</v>
      </c>
      <c r="L1451" s="5" t="s">
        <v>1564</v>
      </c>
      <c r="M1451" s="9">
        <v>134.51</v>
      </c>
      <c r="N1451" s="5" t="s">
        <v>1536</v>
      </c>
      <c r="O1451" s="7">
        <v>46141</v>
      </c>
    </row>
    <row r="1452" spans="1:15" x14ac:dyDescent="0.25">
      <c r="A1452" s="5" t="s">
        <v>4</v>
      </c>
      <c r="B1452" s="5" t="s">
        <v>5324</v>
      </c>
      <c r="D1452" s="5" t="s">
        <v>617</v>
      </c>
      <c r="E1452" s="5" t="s">
        <v>5325</v>
      </c>
      <c r="F1452" s="5" t="s">
        <v>5326</v>
      </c>
      <c r="G1452" s="6">
        <v>46036.656944444447</v>
      </c>
      <c r="H1452" s="7">
        <v>46043</v>
      </c>
      <c r="I1452" s="5" t="s">
        <v>5327</v>
      </c>
      <c r="J1452" s="7">
        <v>46045</v>
      </c>
      <c r="K1452" s="5" t="s">
        <v>1527</v>
      </c>
      <c r="L1452" s="5" t="s">
        <v>1621</v>
      </c>
      <c r="M1452" s="8">
        <v>134.19999999999999</v>
      </c>
      <c r="N1452" s="5" t="s">
        <v>1536</v>
      </c>
      <c r="O1452" s="7">
        <v>46045</v>
      </c>
    </row>
    <row r="1453" spans="1:15" hidden="1" x14ac:dyDescent="0.25">
      <c r="A1453" s="5" t="s">
        <v>1522</v>
      </c>
      <c r="B1453" s="5" t="s">
        <v>5328</v>
      </c>
      <c r="D1453" s="5" t="s">
        <v>1360</v>
      </c>
      <c r="E1453" s="5" t="s">
        <v>2695</v>
      </c>
      <c r="F1453" s="5" t="s">
        <v>1548</v>
      </c>
      <c r="G1453" s="6">
        <v>46114.700694444444</v>
      </c>
      <c r="H1453" s="7">
        <v>46122</v>
      </c>
      <c r="I1453" s="5" t="s">
        <v>5329</v>
      </c>
      <c r="J1453" s="7">
        <v>46118</v>
      </c>
      <c r="K1453" s="5" t="s">
        <v>1527</v>
      </c>
      <c r="L1453" s="5" t="s">
        <v>1528</v>
      </c>
      <c r="M1453" s="8">
        <v>134</v>
      </c>
      <c r="N1453" s="5" t="s">
        <v>1536</v>
      </c>
      <c r="O1453" s="7">
        <v>46118</v>
      </c>
    </row>
    <row r="1454" spans="1:15" x14ac:dyDescent="0.25">
      <c r="A1454" s="5" t="s">
        <v>4</v>
      </c>
      <c r="B1454" s="5" t="s">
        <v>5330</v>
      </c>
      <c r="D1454" s="5" t="s">
        <v>64</v>
      </c>
      <c r="E1454" s="5" t="s">
        <v>5331</v>
      </c>
      <c r="F1454" s="5" t="s">
        <v>2875</v>
      </c>
      <c r="G1454" s="6">
        <v>46122.64166666667</v>
      </c>
      <c r="H1454" s="7">
        <v>46134</v>
      </c>
      <c r="I1454" s="6">
        <v>46132.618055555555</v>
      </c>
      <c r="J1454" s="7">
        <v>46132</v>
      </c>
      <c r="K1454" s="5" t="s">
        <v>1527</v>
      </c>
      <c r="L1454" s="5" t="s">
        <v>1535</v>
      </c>
      <c r="M1454" s="8">
        <v>134</v>
      </c>
      <c r="N1454" s="5" t="s">
        <v>1529</v>
      </c>
      <c r="O1454" s="7">
        <v>46132</v>
      </c>
    </row>
    <row r="1455" spans="1:15" x14ac:dyDescent="0.25">
      <c r="A1455" s="5" t="s">
        <v>4</v>
      </c>
      <c r="B1455" s="5" t="s">
        <v>5332</v>
      </c>
      <c r="D1455" s="5" t="s">
        <v>458</v>
      </c>
      <c r="E1455" s="5" t="s">
        <v>5333</v>
      </c>
      <c r="F1455" s="5" t="s">
        <v>5334</v>
      </c>
      <c r="G1455" s="6">
        <v>46136.618055555555</v>
      </c>
      <c r="H1455" s="7">
        <v>46143</v>
      </c>
      <c r="I1455" s="6">
        <v>46141.613888888889</v>
      </c>
      <c r="J1455" s="7">
        <v>46141</v>
      </c>
      <c r="K1455" s="5" t="s">
        <v>1527</v>
      </c>
      <c r="L1455" s="5" t="s">
        <v>1621</v>
      </c>
      <c r="M1455" s="8">
        <v>133.93</v>
      </c>
      <c r="N1455" s="5" t="s">
        <v>1536</v>
      </c>
      <c r="O1455" s="7">
        <v>46141</v>
      </c>
    </row>
    <row r="1456" spans="1:15" x14ac:dyDescent="0.25">
      <c r="A1456" s="5" t="s">
        <v>4</v>
      </c>
      <c r="B1456" s="5" t="s">
        <v>5335</v>
      </c>
      <c r="D1456" s="5" t="s">
        <v>1286</v>
      </c>
      <c r="E1456" s="5" t="s">
        <v>5336</v>
      </c>
      <c r="F1456" s="5" t="s">
        <v>5337</v>
      </c>
      <c r="G1456" s="6">
        <v>46086.588888888888</v>
      </c>
      <c r="H1456" s="7">
        <v>46094</v>
      </c>
      <c r="I1456" s="5" t="s">
        <v>5338</v>
      </c>
      <c r="J1456" s="7">
        <v>46098</v>
      </c>
      <c r="K1456" s="5" t="s">
        <v>1527</v>
      </c>
      <c r="L1456" s="5" t="s">
        <v>1621</v>
      </c>
      <c r="M1456" s="8">
        <v>133.80000000000001</v>
      </c>
      <c r="N1456" s="5" t="s">
        <v>1536</v>
      </c>
      <c r="O1456" s="7">
        <v>46098</v>
      </c>
    </row>
    <row r="1457" spans="1:15" x14ac:dyDescent="0.25">
      <c r="A1457" s="5" t="s">
        <v>4</v>
      </c>
      <c r="B1457" s="5" t="s">
        <v>5339</v>
      </c>
      <c r="D1457" s="5" t="s">
        <v>477</v>
      </c>
      <c r="E1457" s="5" t="s">
        <v>5340</v>
      </c>
      <c r="F1457" s="5" t="s">
        <v>5341</v>
      </c>
      <c r="G1457" s="6">
        <v>46127.411111111112</v>
      </c>
      <c r="H1457" s="7">
        <v>46135</v>
      </c>
      <c r="I1457" s="6">
        <v>46135.627083333333</v>
      </c>
      <c r="J1457" s="7">
        <v>46135</v>
      </c>
      <c r="K1457" s="5" t="s">
        <v>1527</v>
      </c>
      <c r="L1457" s="5" t="s">
        <v>1564</v>
      </c>
      <c r="M1457" s="8">
        <v>133.38999999999999</v>
      </c>
      <c r="N1457" s="5" t="s">
        <v>1536</v>
      </c>
      <c r="O1457" s="7">
        <v>46135</v>
      </c>
    </row>
    <row r="1458" spans="1:15" x14ac:dyDescent="0.25">
      <c r="A1458" s="5" t="s">
        <v>4</v>
      </c>
      <c r="B1458" s="5" t="s">
        <v>5342</v>
      </c>
      <c r="D1458" s="5" t="s">
        <v>1038</v>
      </c>
      <c r="E1458" s="5" t="s">
        <v>5343</v>
      </c>
      <c r="F1458" s="5" t="s">
        <v>5344</v>
      </c>
      <c r="G1458" s="6">
        <v>46126.397916666669</v>
      </c>
      <c r="H1458" s="7">
        <v>46134</v>
      </c>
      <c r="I1458" s="6">
        <v>46128.415972222225</v>
      </c>
      <c r="J1458" s="7">
        <v>46127</v>
      </c>
      <c r="K1458" s="5" t="s">
        <v>1527</v>
      </c>
      <c r="L1458" s="5" t="s">
        <v>1564</v>
      </c>
      <c r="M1458" s="8">
        <v>133.33000000000001</v>
      </c>
      <c r="N1458" s="5" t="s">
        <v>1536</v>
      </c>
      <c r="O1458" s="7">
        <v>46127</v>
      </c>
    </row>
    <row r="1459" spans="1:15" x14ac:dyDescent="0.25">
      <c r="A1459" s="5" t="s">
        <v>4</v>
      </c>
      <c r="B1459" s="5" t="s">
        <v>5345</v>
      </c>
      <c r="D1459" s="5" t="s">
        <v>1189</v>
      </c>
      <c r="E1459" s="5" t="s">
        <v>5346</v>
      </c>
      <c r="F1459" s="5" t="s">
        <v>5347</v>
      </c>
      <c r="G1459" s="6">
        <v>46065.675000000003</v>
      </c>
      <c r="H1459" s="7">
        <v>46072</v>
      </c>
      <c r="I1459" s="5" t="s">
        <v>5348</v>
      </c>
      <c r="J1459" s="7">
        <v>46083</v>
      </c>
      <c r="K1459" s="5" t="s">
        <v>1527</v>
      </c>
      <c r="L1459" s="5" t="s">
        <v>1621</v>
      </c>
      <c r="M1459" s="9">
        <v>133.27000000000001</v>
      </c>
      <c r="N1459" s="5" t="s">
        <v>1536</v>
      </c>
      <c r="O1459" s="7">
        <v>46083</v>
      </c>
    </row>
    <row r="1460" spans="1:15" x14ac:dyDescent="0.25">
      <c r="A1460" s="5" t="s">
        <v>4</v>
      </c>
      <c r="B1460" s="5" t="s">
        <v>5349</v>
      </c>
      <c r="D1460" s="5" t="s">
        <v>134</v>
      </c>
      <c r="E1460" s="5" t="s">
        <v>5350</v>
      </c>
      <c r="F1460" s="5" t="s">
        <v>5351</v>
      </c>
      <c r="G1460" s="6">
        <v>46072.433333333334</v>
      </c>
      <c r="H1460" s="7">
        <v>46078</v>
      </c>
      <c r="I1460" s="6">
        <v>46078.69027777778</v>
      </c>
      <c r="J1460" s="7">
        <v>46078</v>
      </c>
      <c r="K1460" s="5" t="s">
        <v>1527</v>
      </c>
      <c r="L1460" s="5" t="s">
        <v>1621</v>
      </c>
      <c r="M1460" s="8">
        <v>133.27000000000001</v>
      </c>
      <c r="N1460" s="5" t="s">
        <v>1536</v>
      </c>
      <c r="O1460" s="7">
        <v>46078</v>
      </c>
    </row>
    <row r="1461" spans="1:15" x14ac:dyDescent="0.25">
      <c r="A1461" s="5" t="s">
        <v>4</v>
      </c>
      <c r="B1461" s="5" t="s">
        <v>5352</v>
      </c>
      <c r="D1461" s="5" t="s">
        <v>1243</v>
      </c>
      <c r="E1461" s="5" t="s">
        <v>5353</v>
      </c>
      <c r="F1461" s="5" t="s">
        <v>5354</v>
      </c>
      <c r="G1461" s="6">
        <v>46092.700694444444</v>
      </c>
      <c r="H1461" s="7">
        <v>46099</v>
      </c>
      <c r="I1461" s="5" t="s">
        <v>5355</v>
      </c>
      <c r="J1461" s="7">
        <v>46104</v>
      </c>
      <c r="K1461" s="5" t="s">
        <v>1527</v>
      </c>
      <c r="L1461" s="5" t="s">
        <v>1621</v>
      </c>
      <c r="M1461" s="8">
        <v>133.27000000000001</v>
      </c>
      <c r="N1461" s="5" t="s">
        <v>1536</v>
      </c>
      <c r="O1461" s="7">
        <v>46104</v>
      </c>
    </row>
    <row r="1462" spans="1:15" x14ac:dyDescent="0.25">
      <c r="A1462" s="5" t="s">
        <v>4</v>
      </c>
      <c r="B1462" s="5" t="s">
        <v>5356</v>
      </c>
      <c r="D1462" s="5" t="s">
        <v>101</v>
      </c>
      <c r="E1462" s="5" t="s">
        <v>5357</v>
      </c>
      <c r="F1462" s="5" t="s">
        <v>5358</v>
      </c>
      <c r="G1462" s="6">
        <v>46100.690972222219</v>
      </c>
      <c r="H1462" s="7">
        <v>46107</v>
      </c>
      <c r="I1462" s="6">
        <v>46107.699305555558</v>
      </c>
      <c r="J1462" s="7">
        <v>46107</v>
      </c>
      <c r="K1462" s="5" t="s">
        <v>1527</v>
      </c>
      <c r="L1462" s="5" t="s">
        <v>1621</v>
      </c>
      <c r="M1462" s="8">
        <v>133.27000000000001</v>
      </c>
      <c r="N1462" s="5" t="s">
        <v>1536</v>
      </c>
      <c r="O1462" s="7">
        <v>46107</v>
      </c>
    </row>
    <row r="1463" spans="1:15" x14ac:dyDescent="0.25">
      <c r="A1463" s="5" t="s">
        <v>4</v>
      </c>
      <c r="B1463" s="5" t="s">
        <v>5359</v>
      </c>
      <c r="D1463" s="5" t="s">
        <v>218</v>
      </c>
      <c r="E1463" s="5" t="s">
        <v>5360</v>
      </c>
      <c r="F1463" s="5" t="s">
        <v>5361</v>
      </c>
      <c r="G1463" s="6">
        <v>46118.317361111112</v>
      </c>
      <c r="H1463" s="7">
        <v>46125</v>
      </c>
      <c r="I1463" s="6">
        <v>46125.470833333333</v>
      </c>
      <c r="J1463" s="7">
        <v>46121</v>
      </c>
      <c r="K1463" s="5" t="s">
        <v>1527</v>
      </c>
      <c r="L1463" s="5" t="s">
        <v>1564</v>
      </c>
      <c r="M1463" s="8">
        <v>133.27000000000001</v>
      </c>
      <c r="N1463" s="5" t="s">
        <v>1536</v>
      </c>
      <c r="O1463" s="7">
        <v>46121</v>
      </c>
    </row>
    <row r="1464" spans="1:15" x14ac:dyDescent="0.25">
      <c r="A1464" s="5" t="s">
        <v>4</v>
      </c>
      <c r="B1464" s="5" t="s">
        <v>5362</v>
      </c>
      <c r="D1464" s="5" t="s">
        <v>1292</v>
      </c>
      <c r="E1464" s="5" t="s">
        <v>4798</v>
      </c>
      <c r="F1464" s="5" t="s">
        <v>5363</v>
      </c>
      <c r="G1464" s="6">
        <v>46030.633333333331</v>
      </c>
      <c r="H1464" s="7">
        <v>46037</v>
      </c>
      <c r="I1464" s="5" t="s">
        <v>5364</v>
      </c>
      <c r="J1464" s="7">
        <v>46041</v>
      </c>
      <c r="K1464" s="5" t="s">
        <v>1527</v>
      </c>
      <c r="L1464" s="5" t="s">
        <v>1621</v>
      </c>
      <c r="M1464" s="8">
        <v>133.16999999999999</v>
      </c>
      <c r="N1464" s="5" t="s">
        <v>1536</v>
      </c>
      <c r="O1464" s="7">
        <v>46041</v>
      </c>
    </row>
    <row r="1465" spans="1:15" x14ac:dyDescent="0.25">
      <c r="A1465" s="5" t="s">
        <v>4</v>
      </c>
      <c r="B1465" s="5" t="s">
        <v>5365</v>
      </c>
      <c r="D1465" s="5" t="s">
        <v>326</v>
      </c>
      <c r="E1465" s="5" t="s">
        <v>5366</v>
      </c>
      <c r="F1465" s="5" t="s">
        <v>1759</v>
      </c>
      <c r="G1465" s="6">
        <v>46063.447222222225</v>
      </c>
      <c r="H1465" s="7">
        <v>46076</v>
      </c>
      <c r="I1465" s="6">
        <v>46076.634722222225</v>
      </c>
      <c r="J1465" s="7">
        <v>46076</v>
      </c>
      <c r="K1465" s="5" t="s">
        <v>1527</v>
      </c>
      <c r="L1465" s="5" t="s">
        <v>1564</v>
      </c>
      <c r="M1465" s="8">
        <v>133</v>
      </c>
      <c r="N1465" s="5" t="s">
        <v>1536</v>
      </c>
      <c r="O1465" s="7">
        <v>46076</v>
      </c>
    </row>
    <row r="1466" spans="1:15" x14ac:dyDescent="0.25">
      <c r="A1466" s="5" t="s">
        <v>4</v>
      </c>
      <c r="B1466" s="5" t="s">
        <v>5367</v>
      </c>
      <c r="D1466" s="5" t="s">
        <v>1065</v>
      </c>
      <c r="E1466" s="5" t="s">
        <v>5368</v>
      </c>
      <c r="F1466" s="5" t="s">
        <v>5369</v>
      </c>
      <c r="G1466" s="6">
        <v>46129.611111111109</v>
      </c>
      <c r="H1466" s="7">
        <v>46136</v>
      </c>
      <c r="I1466" s="5" t="s">
        <v>5370</v>
      </c>
      <c r="J1466" s="7">
        <v>46139</v>
      </c>
      <c r="K1466" s="5" t="s">
        <v>1527</v>
      </c>
      <c r="L1466" s="5" t="s">
        <v>1621</v>
      </c>
      <c r="M1466" s="8">
        <v>132.82</v>
      </c>
      <c r="N1466" s="5" t="s">
        <v>1536</v>
      </c>
      <c r="O1466" s="7">
        <v>46139</v>
      </c>
    </row>
    <row r="1467" spans="1:15" x14ac:dyDescent="0.25">
      <c r="A1467" s="5" t="s">
        <v>4</v>
      </c>
      <c r="B1467" s="5" t="s">
        <v>5371</v>
      </c>
      <c r="D1467" s="5" t="s">
        <v>1015</v>
      </c>
      <c r="E1467" s="5" t="s">
        <v>5372</v>
      </c>
      <c r="F1467" s="5" t="s">
        <v>5373</v>
      </c>
      <c r="G1467" s="6">
        <v>46114.654166666667</v>
      </c>
      <c r="H1467" s="7">
        <v>46121</v>
      </c>
      <c r="I1467" s="5" t="s">
        <v>5374</v>
      </c>
      <c r="J1467" s="7">
        <v>46122</v>
      </c>
      <c r="K1467" s="5" t="s">
        <v>1527</v>
      </c>
      <c r="L1467" s="5" t="s">
        <v>1621</v>
      </c>
      <c r="M1467" s="8">
        <v>132.81</v>
      </c>
      <c r="N1467" s="5" t="s">
        <v>1536</v>
      </c>
      <c r="O1467" s="7">
        <v>46122</v>
      </c>
    </row>
    <row r="1468" spans="1:15" x14ac:dyDescent="0.25">
      <c r="A1468" s="5" t="s">
        <v>4</v>
      </c>
      <c r="B1468" s="5" t="s">
        <v>5375</v>
      </c>
      <c r="D1468" s="5" t="s">
        <v>78</v>
      </c>
      <c r="E1468" s="5" t="s">
        <v>5376</v>
      </c>
      <c r="F1468" s="5" t="s">
        <v>5377</v>
      </c>
      <c r="G1468" s="6">
        <v>46093.460416666669</v>
      </c>
      <c r="H1468" s="7">
        <v>46105</v>
      </c>
      <c r="I1468" s="5" t="s">
        <v>5378</v>
      </c>
      <c r="J1468" s="7">
        <v>46113</v>
      </c>
      <c r="K1468" s="5" t="s">
        <v>1527</v>
      </c>
      <c r="L1468" s="5" t="s">
        <v>1535</v>
      </c>
      <c r="M1468" s="8">
        <v>132.80000000000001</v>
      </c>
      <c r="N1468" s="5" t="s">
        <v>1536</v>
      </c>
      <c r="O1468" s="7">
        <v>46113</v>
      </c>
    </row>
    <row r="1469" spans="1:15" x14ac:dyDescent="0.25">
      <c r="A1469" s="5" t="s">
        <v>4</v>
      </c>
      <c r="B1469" s="5" t="s">
        <v>5379</v>
      </c>
      <c r="D1469" s="5" t="s">
        <v>1043</v>
      </c>
      <c r="E1469" s="5" t="s">
        <v>5380</v>
      </c>
      <c r="F1469" s="5" t="s">
        <v>1532</v>
      </c>
      <c r="G1469" s="6">
        <v>46112.560416666667</v>
      </c>
      <c r="H1469" s="7">
        <v>46122</v>
      </c>
      <c r="I1469" s="5" t="s">
        <v>5381</v>
      </c>
      <c r="J1469" s="7">
        <v>46122</v>
      </c>
      <c r="K1469" s="5" t="s">
        <v>1527</v>
      </c>
      <c r="L1469" s="5" t="s">
        <v>1535</v>
      </c>
      <c r="M1469" s="8">
        <v>132.80000000000001</v>
      </c>
      <c r="N1469" s="5" t="s">
        <v>1536</v>
      </c>
      <c r="O1469" s="7">
        <v>46122</v>
      </c>
    </row>
    <row r="1470" spans="1:15" hidden="1" x14ac:dyDescent="0.25">
      <c r="A1470" s="5" t="s">
        <v>1522</v>
      </c>
      <c r="B1470" s="5" t="s">
        <v>5382</v>
      </c>
      <c r="D1470" s="5" t="s">
        <v>1510</v>
      </c>
      <c r="E1470" s="5" t="s">
        <v>2466</v>
      </c>
      <c r="F1470" s="5" t="s">
        <v>5267</v>
      </c>
      <c r="G1470" s="6">
        <v>46148.606944444444</v>
      </c>
      <c r="H1470" s="7">
        <v>46157</v>
      </c>
      <c r="I1470" s="5" t="s">
        <v>5383</v>
      </c>
      <c r="J1470" s="7">
        <v>46167</v>
      </c>
      <c r="K1470" s="5" t="s">
        <v>1527</v>
      </c>
      <c r="L1470" s="5" t="s">
        <v>1621</v>
      </c>
      <c r="M1470" s="8">
        <v>132.47999999999999</v>
      </c>
      <c r="N1470" s="5" t="s">
        <v>1529</v>
      </c>
      <c r="O1470" s="7">
        <v>46167</v>
      </c>
    </row>
    <row r="1471" spans="1:15" hidden="1" x14ac:dyDescent="0.25">
      <c r="A1471" s="5" t="s">
        <v>1522</v>
      </c>
      <c r="B1471" s="5" t="s">
        <v>5384</v>
      </c>
      <c r="D1471" s="5" t="s">
        <v>1510</v>
      </c>
      <c r="E1471" s="5" t="s">
        <v>2466</v>
      </c>
      <c r="F1471" s="5" t="s">
        <v>5267</v>
      </c>
      <c r="G1471" s="6">
        <v>46146.63958333333</v>
      </c>
      <c r="H1471" s="7">
        <v>46153</v>
      </c>
      <c r="I1471" s="5" t="s">
        <v>5385</v>
      </c>
      <c r="J1471" s="7">
        <v>46167</v>
      </c>
      <c r="K1471" s="5" t="s">
        <v>1527</v>
      </c>
      <c r="L1471" s="5" t="s">
        <v>1621</v>
      </c>
      <c r="M1471" s="8">
        <v>132.30000000000001</v>
      </c>
      <c r="N1471" s="5" t="s">
        <v>1529</v>
      </c>
      <c r="O1471" s="7">
        <v>46167</v>
      </c>
    </row>
    <row r="1472" spans="1:15" hidden="1" x14ac:dyDescent="0.25">
      <c r="A1472" s="5" t="s">
        <v>1522</v>
      </c>
      <c r="B1472" s="5" t="s">
        <v>5386</v>
      </c>
      <c r="D1472" s="5" t="s">
        <v>1510</v>
      </c>
      <c r="E1472" s="5" t="s">
        <v>2466</v>
      </c>
      <c r="F1472" s="5" t="s">
        <v>5267</v>
      </c>
      <c r="G1472" s="6">
        <v>46148.613194444442</v>
      </c>
      <c r="H1472" s="7">
        <v>46157</v>
      </c>
      <c r="I1472" s="5" t="s">
        <v>5383</v>
      </c>
      <c r="J1472" s="7">
        <v>46167</v>
      </c>
      <c r="K1472" s="5" t="s">
        <v>1527</v>
      </c>
      <c r="L1472" s="5" t="s">
        <v>1621</v>
      </c>
      <c r="M1472" s="8">
        <v>132.30000000000001</v>
      </c>
      <c r="N1472" s="5" t="s">
        <v>1529</v>
      </c>
      <c r="O1472" s="7">
        <v>46167</v>
      </c>
    </row>
    <row r="1473" spans="1:15" hidden="1" x14ac:dyDescent="0.25">
      <c r="A1473" s="5" t="s">
        <v>1522</v>
      </c>
      <c r="B1473" s="5" t="s">
        <v>5387</v>
      </c>
      <c r="D1473" s="5" t="s">
        <v>1510</v>
      </c>
      <c r="E1473" s="5" t="s">
        <v>2466</v>
      </c>
      <c r="F1473" s="5" t="s">
        <v>5267</v>
      </c>
      <c r="G1473" s="6">
        <v>46167.712500000001</v>
      </c>
      <c r="H1473" s="7">
        <v>46174</v>
      </c>
      <c r="I1473" s="5" t="s">
        <v>5388</v>
      </c>
      <c r="J1473" s="7">
        <v>46181</v>
      </c>
      <c r="K1473" s="5" t="s">
        <v>1527</v>
      </c>
      <c r="L1473" s="5" t="s">
        <v>1554</v>
      </c>
      <c r="M1473" s="8">
        <v>132.30000000000001</v>
      </c>
      <c r="N1473" s="5" t="s">
        <v>1529</v>
      </c>
      <c r="O1473" s="7">
        <v>46181</v>
      </c>
    </row>
    <row r="1474" spans="1:15" x14ac:dyDescent="0.25">
      <c r="A1474" s="5" t="s">
        <v>4</v>
      </c>
      <c r="B1474" s="5" t="s">
        <v>5389</v>
      </c>
      <c r="D1474" s="5" t="s">
        <v>851</v>
      </c>
      <c r="E1474" s="5" t="s">
        <v>5390</v>
      </c>
      <c r="F1474" s="5" t="s">
        <v>5391</v>
      </c>
      <c r="G1474" s="6">
        <v>46041.604861111111</v>
      </c>
      <c r="H1474" s="7">
        <v>46048</v>
      </c>
      <c r="I1474" s="5" t="s">
        <v>5392</v>
      </c>
      <c r="J1474" s="7">
        <v>46056</v>
      </c>
      <c r="K1474" s="5" t="s">
        <v>1527</v>
      </c>
      <c r="L1474" s="5" t="s">
        <v>1621</v>
      </c>
      <c r="M1474" s="8">
        <v>132.21</v>
      </c>
      <c r="N1474" s="5" t="s">
        <v>1536</v>
      </c>
      <c r="O1474" s="7">
        <v>46056</v>
      </c>
    </row>
    <row r="1475" spans="1:15" hidden="1" x14ac:dyDescent="0.25">
      <c r="A1475" s="5" t="s">
        <v>1522</v>
      </c>
      <c r="B1475" s="5" t="s">
        <v>5393</v>
      </c>
      <c r="D1475" s="5" t="s">
        <v>1502</v>
      </c>
      <c r="E1475" s="5" t="s">
        <v>2679</v>
      </c>
      <c r="F1475" s="5" t="s">
        <v>1759</v>
      </c>
      <c r="G1475" s="6">
        <v>46041.46875</v>
      </c>
      <c r="H1475" s="7">
        <v>46045</v>
      </c>
      <c r="I1475" s="5" t="s">
        <v>5394</v>
      </c>
      <c r="J1475" s="7">
        <v>46049</v>
      </c>
      <c r="K1475" s="5" t="s">
        <v>1527</v>
      </c>
      <c r="L1475" s="5" t="s">
        <v>1528</v>
      </c>
      <c r="M1475" s="8">
        <v>132</v>
      </c>
      <c r="N1475" s="5" t="s">
        <v>1536</v>
      </c>
      <c r="O1475" s="7">
        <v>46049</v>
      </c>
    </row>
    <row r="1476" spans="1:15" hidden="1" x14ac:dyDescent="0.25">
      <c r="A1476" s="5" t="s">
        <v>1522</v>
      </c>
      <c r="B1476" s="5" t="s">
        <v>5395</v>
      </c>
      <c r="D1476" s="5" t="s">
        <v>1503</v>
      </c>
      <c r="E1476" s="5" t="s">
        <v>1651</v>
      </c>
      <c r="F1476" s="5" t="s">
        <v>3979</v>
      </c>
      <c r="G1476" s="6">
        <v>46141.645138888889</v>
      </c>
      <c r="H1476" s="7">
        <v>46148</v>
      </c>
      <c r="I1476" s="6">
        <v>46147.404166666667</v>
      </c>
      <c r="J1476" s="7">
        <v>46147</v>
      </c>
      <c r="K1476" s="5" t="s">
        <v>1527</v>
      </c>
      <c r="L1476" s="5" t="s">
        <v>1528</v>
      </c>
      <c r="M1476" s="8">
        <v>132</v>
      </c>
      <c r="N1476" s="5" t="s">
        <v>1536</v>
      </c>
      <c r="O1476" s="7">
        <v>46147</v>
      </c>
    </row>
    <row r="1477" spans="1:15" hidden="1" x14ac:dyDescent="0.25">
      <c r="A1477" s="5" t="s">
        <v>1522</v>
      </c>
      <c r="B1477" s="5" t="s">
        <v>5396</v>
      </c>
      <c r="D1477" s="5" t="s">
        <v>1510</v>
      </c>
      <c r="E1477" s="5" t="s">
        <v>2466</v>
      </c>
      <c r="F1477" s="5" t="s">
        <v>5267</v>
      </c>
      <c r="G1477" s="6">
        <v>46164.502083333333</v>
      </c>
      <c r="H1477" s="7">
        <v>46171</v>
      </c>
      <c r="I1477" s="5" t="s">
        <v>3197</v>
      </c>
      <c r="J1477" s="7">
        <v>46174</v>
      </c>
      <c r="K1477" s="5" t="s">
        <v>1527</v>
      </c>
      <c r="L1477" s="5" t="s">
        <v>1621</v>
      </c>
      <c r="M1477" s="9">
        <v>132</v>
      </c>
      <c r="N1477" s="5" t="s">
        <v>1529</v>
      </c>
      <c r="O1477" s="7">
        <v>46174</v>
      </c>
    </row>
    <row r="1478" spans="1:15" x14ac:dyDescent="0.25">
      <c r="A1478" s="5" t="s">
        <v>4</v>
      </c>
      <c r="B1478" s="5" t="s">
        <v>5397</v>
      </c>
      <c r="D1478" s="5" t="s">
        <v>1302</v>
      </c>
      <c r="E1478" s="5" t="s">
        <v>2452</v>
      </c>
      <c r="F1478" s="5" t="s">
        <v>1548</v>
      </c>
      <c r="G1478" s="6">
        <v>46050.625</v>
      </c>
      <c r="H1478" s="7">
        <v>46063</v>
      </c>
      <c r="I1478" s="5" t="s">
        <v>5398</v>
      </c>
      <c r="J1478" s="7">
        <v>46063</v>
      </c>
      <c r="K1478" s="5" t="s">
        <v>1527</v>
      </c>
      <c r="L1478" s="5" t="s">
        <v>1564</v>
      </c>
      <c r="M1478" s="8">
        <v>132</v>
      </c>
      <c r="N1478" s="5" t="s">
        <v>1536</v>
      </c>
      <c r="O1478" s="7">
        <v>46063</v>
      </c>
    </row>
    <row r="1479" spans="1:15" x14ac:dyDescent="0.25">
      <c r="A1479" s="5" t="s">
        <v>4</v>
      </c>
      <c r="B1479" s="5" t="s">
        <v>5399</v>
      </c>
      <c r="D1479" s="5" t="s">
        <v>361</v>
      </c>
      <c r="E1479" s="5" t="s">
        <v>5400</v>
      </c>
      <c r="F1479" s="5" t="s">
        <v>5401</v>
      </c>
      <c r="G1479" s="6">
        <v>46121.772916666669</v>
      </c>
      <c r="H1479" s="7">
        <v>46128</v>
      </c>
      <c r="I1479" s="6">
        <v>46128.415277777778</v>
      </c>
      <c r="J1479" s="7">
        <v>46126</v>
      </c>
      <c r="K1479" s="5" t="s">
        <v>1527</v>
      </c>
      <c r="L1479" s="5" t="s">
        <v>1564</v>
      </c>
      <c r="M1479" s="8">
        <v>131.36000000000001</v>
      </c>
      <c r="N1479" s="5" t="s">
        <v>1536</v>
      </c>
      <c r="O1479" s="7">
        <v>46126</v>
      </c>
    </row>
    <row r="1480" spans="1:15" x14ac:dyDescent="0.25">
      <c r="A1480" s="5" t="s">
        <v>4</v>
      </c>
      <c r="B1480" s="5" t="s">
        <v>5402</v>
      </c>
      <c r="D1480" s="5" t="s">
        <v>338</v>
      </c>
      <c r="E1480" s="5" t="s">
        <v>5403</v>
      </c>
      <c r="F1480" s="5" t="s">
        <v>5404</v>
      </c>
      <c r="G1480" s="6">
        <v>46094.678472222222</v>
      </c>
      <c r="H1480" s="7">
        <v>46101</v>
      </c>
      <c r="I1480" s="5" t="s">
        <v>2672</v>
      </c>
      <c r="J1480" s="7">
        <v>46104</v>
      </c>
      <c r="K1480" s="5" t="s">
        <v>1527</v>
      </c>
      <c r="L1480" s="5" t="s">
        <v>1621</v>
      </c>
      <c r="M1480" s="8">
        <v>131.22999999999999</v>
      </c>
      <c r="N1480" s="5" t="s">
        <v>1536</v>
      </c>
      <c r="O1480" s="7">
        <v>46104</v>
      </c>
    </row>
    <row r="1481" spans="1:15" x14ac:dyDescent="0.25">
      <c r="A1481" s="5" t="s">
        <v>4</v>
      </c>
      <c r="B1481" s="5" t="s">
        <v>5405</v>
      </c>
      <c r="D1481" s="5" t="s">
        <v>1320</v>
      </c>
      <c r="E1481" s="5" t="s">
        <v>3982</v>
      </c>
      <c r="F1481" s="5" t="s">
        <v>3983</v>
      </c>
      <c r="G1481" s="6">
        <v>46057.580555555556</v>
      </c>
      <c r="H1481" s="7">
        <v>46066</v>
      </c>
      <c r="I1481" s="6">
        <v>46065.63958333333</v>
      </c>
      <c r="J1481" s="7">
        <v>46065</v>
      </c>
      <c r="K1481" s="5" t="s">
        <v>1527</v>
      </c>
      <c r="L1481" s="5" t="s">
        <v>1535</v>
      </c>
      <c r="M1481" s="8">
        <v>131</v>
      </c>
      <c r="N1481" s="5" t="s">
        <v>1536</v>
      </c>
      <c r="O1481" s="7">
        <v>46065</v>
      </c>
    </row>
    <row r="1482" spans="1:15" x14ac:dyDescent="0.25">
      <c r="A1482" s="5" t="s">
        <v>4</v>
      </c>
      <c r="B1482" s="5" t="s">
        <v>5406</v>
      </c>
      <c r="D1482" s="5" t="s">
        <v>219</v>
      </c>
      <c r="E1482" s="5" t="s">
        <v>5407</v>
      </c>
      <c r="F1482" s="5" t="s">
        <v>1738</v>
      </c>
      <c r="G1482" s="6">
        <v>46169.378472222219</v>
      </c>
      <c r="H1482" s="7">
        <v>46183</v>
      </c>
      <c r="I1482" s="6">
        <v>46178.493750000001</v>
      </c>
      <c r="J1482" s="7">
        <v>46171</v>
      </c>
      <c r="K1482" s="5" t="s">
        <v>1527</v>
      </c>
      <c r="L1482" s="5" t="s">
        <v>1564</v>
      </c>
      <c r="M1482" s="8">
        <v>131</v>
      </c>
      <c r="N1482" s="5" t="s">
        <v>1536</v>
      </c>
      <c r="O1482" s="7">
        <v>46171</v>
      </c>
    </row>
    <row r="1483" spans="1:15" x14ac:dyDescent="0.25">
      <c r="A1483" s="5" t="s">
        <v>4</v>
      </c>
      <c r="B1483" s="5" t="s">
        <v>5408</v>
      </c>
      <c r="D1483" s="5" t="s">
        <v>1323</v>
      </c>
      <c r="E1483" s="5" t="s">
        <v>2338</v>
      </c>
      <c r="F1483" s="5" t="s">
        <v>1813</v>
      </c>
      <c r="G1483" s="6">
        <v>46122.409722222219</v>
      </c>
      <c r="H1483" s="7">
        <v>46127</v>
      </c>
      <c r="I1483" s="5" t="s">
        <v>5409</v>
      </c>
      <c r="J1483" s="7">
        <v>46128</v>
      </c>
      <c r="K1483" s="5" t="s">
        <v>1527</v>
      </c>
      <c r="L1483" s="5" t="s">
        <v>1535</v>
      </c>
      <c r="M1483" s="8">
        <v>130.80000000000001</v>
      </c>
      <c r="N1483" s="5" t="s">
        <v>1536</v>
      </c>
      <c r="O1483" s="7">
        <v>46128</v>
      </c>
    </row>
    <row r="1484" spans="1:15" x14ac:dyDescent="0.25">
      <c r="A1484" s="5" t="s">
        <v>4</v>
      </c>
      <c r="B1484" s="5" t="s">
        <v>5410</v>
      </c>
      <c r="D1484" s="5" t="s">
        <v>987</v>
      </c>
      <c r="E1484" s="5" t="s">
        <v>5411</v>
      </c>
      <c r="F1484" s="5" t="s">
        <v>5412</v>
      </c>
      <c r="G1484" s="6">
        <v>46092.455555555556</v>
      </c>
      <c r="H1484" s="7">
        <v>46099</v>
      </c>
      <c r="I1484" s="6">
        <v>46097.424305555556</v>
      </c>
      <c r="J1484" s="7">
        <v>46098</v>
      </c>
      <c r="K1484" s="5" t="s">
        <v>1527</v>
      </c>
      <c r="L1484" s="5" t="s">
        <v>1535</v>
      </c>
      <c r="M1484" s="8">
        <v>130.69999999999999</v>
      </c>
      <c r="N1484" s="5" t="s">
        <v>1536</v>
      </c>
      <c r="O1484" s="7">
        <v>46098</v>
      </c>
    </row>
    <row r="1485" spans="1:15" hidden="1" x14ac:dyDescent="0.25">
      <c r="A1485" s="5" t="s">
        <v>1522</v>
      </c>
      <c r="B1485" s="5" t="s">
        <v>5413</v>
      </c>
      <c r="D1485" s="5" t="s">
        <v>1510</v>
      </c>
      <c r="E1485" s="5" t="s">
        <v>2466</v>
      </c>
      <c r="F1485" s="5" t="s">
        <v>3977</v>
      </c>
      <c r="G1485" s="6">
        <v>46036.444444444445</v>
      </c>
      <c r="H1485" s="7">
        <v>46038</v>
      </c>
      <c r="I1485" s="6">
        <v>46036.581944444442</v>
      </c>
      <c r="J1485" s="7">
        <v>46036</v>
      </c>
      <c r="K1485" s="5" t="s">
        <v>1527</v>
      </c>
      <c r="L1485" s="5" t="s">
        <v>1554</v>
      </c>
      <c r="M1485" s="8">
        <v>130</v>
      </c>
      <c r="N1485" s="5" t="s">
        <v>1536</v>
      </c>
      <c r="O1485" s="7">
        <v>46036</v>
      </c>
    </row>
    <row r="1486" spans="1:15" hidden="1" x14ac:dyDescent="0.25">
      <c r="A1486" s="5" t="s">
        <v>1522</v>
      </c>
      <c r="B1486" s="5" t="s">
        <v>5414</v>
      </c>
      <c r="D1486" s="5" t="s">
        <v>1510</v>
      </c>
      <c r="E1486" s="5" t="s">
        <v>2466</v>
      </c>
      <c r="F1486" s="5" t="s">
        <v>3977</v>
      </c>
      <c r="G1486" s="6">
        <v>46050.706250000003</v>
      </c>
      <c r="H1486" s="7">
        <v>46051</v>
      </c>
      <c r="I1486" s="6">
        <v>46051.690972222219</v>
      </c>
      <c r="J1486" s="7">
        <v>46051</v>
      </c>
      <c r="K1486" s="5" t="s">
        <v>1527</v>
      </c>
      <c r="L1486" s="5" t="s">
        <v>1621</v>
      </c>
      <c r="M1486" s="8">
        <v>130</v>
      </c>
      <c r="N1486" s="5" t="s">
        <v>1536</v>
      </c>
      <c r="O1486" s="7">
        <v>46051</v>
      </c>
    </row>
    <row r="1487" spans="1:15" hidden="1" x14ac:dyDescent="0.25">
      <c r="A1487" s="5" t="s">
        <v>1522</v>
      </c>
      <c r="B1487" s="5" t="s">
        <v>5415</v>
      </c>
      <c r="D1487" s="5" t="s">
        <v>1510</v>
      </c>
      <c r="E1487" s="5" t="s">
        <v>2466</v>
      </c>
      <c r="F1487" s="5" t="s">
        <v>3977</v>
      </c>
      <c r="G1487" s="6">
        <v>46073.681250000001</v>
      </c>
      <c r="H1487" s="7">
        <v>46076</v>
      </c>
      <c r="I1487" s="6">
        <v>46076.630555555559</v>
      </c>
      <c r="J1487" s="7">
        <v>46076</v>
      </c>
      <c r="K1487" s="5" t="s">
        <v>1527</v>
      </c>
      <c r="L1487" s="5" t="s">
        <v>1621</v>
      </c>
      <c r="M1487" s="8">
        <v>130</v>
      </c>
      <c r="N1487" s="5" t="s">
        <v>1536</v>
      </c>
      <c r="O1487" s="7">
        <v>46076</v>
      </c>
    </row>
    <row r="1488" spans="1:15" x14ac:dyDescent="0.25">
      <c r="A1488" s="5" t="s">
        <v>4</v>
      </c>
      <c r="B1488" s="5" t="s">
        <v>5416</v>
      </c>
      <c r="D1488" s="5" t="s">
        <v>1375</v>
      </c>
      <c r="E1488" s="5" t="s">
        <v>2966</v>
      </c>
      <c r="F1488" s="5" t="s">
        <v>5417</v>
      </c>
      <c r="G1488" s="6">
        <v>46072.63958333333</v>
      </c>
      <c r="H1488" s="7">
        <v>46085</v>
      </c>
      <c r="I1488" s="6">
        <v>46078.686111111114</v>
      </c>
      <c r="J1488" s="7">
        <v>46077</v>
      </c>
      <c r="K1488" s="5" t="s">
        <v>1527</v>
      </c>
      <c r="L1488" s="5" t="s">
        <v>1564</v>
      </c>
      <c r="M1488" s="8">
        <v>130</v>
      </c>
      <c r="N1488" s="5" t="s">
        <v>1536</v>
      </c>
      <c r="O1488" s="7">
        <v>46077</v>
      </c>
    </row>
    <row r="1489" spans="1:15" x14ac:dyDescent="0.25">
      <c r="A1489" s="5" t="s">
        <v>4</v>
      </c>
      <c r="B1489" s="5" t="s">
        <v>5418</v>
      </c>
      <c r="D1489" s="5" t="s">
        <v>1352</v>
      </c>
      <c r="E1489" s="5" t="s">
        <v>5419</v>
      </c>
      <c r="F1489" s="5" t="s">
        <v>1770</v>
      </c>
      <c r="G1489" s="6">
        <v>46125.544444444444</v>
      </c>
      <c r="H1489" s="7">
        <v>46139</v>
      </c>
      <c r="I1489" s="6">
        <v>46136.680555555555</v>
      </c>
      <c r="J1489" s="7">
        <v>46127</v>
      </c>
      <c r="K1489" s="5" t="s">
        <v>1527</v>
      </c>
      <c r="L1489" s="5" t="s">
        <v>1564</v>
      </c>
      <c r="M1489" s="8">
        <v>130</v>
      </c>
      <c r="N1489" s="5" t="s">
        <v>1536</v>
      </c>
      <c r="O1489" s="7">
        <v>46127</v>
      </c>
    </row>
    <row r="1490" spans="1:15" x14ac:dyDescent="0.25">
      <c r="A1490" s="5" t="s">
        <v>4</v>
      </c>
      <c r="B1490" s="5" t="s">
        <v>5420</v>
      </c>
      <c r="D1490" s="5" t="s">
        <v>399</v>
      </c>
      <c r="E1490" s="5" t="s">
        <v>5421</v>
      </c>
      <c r="F1490" s="5" t="s">
        <v>5422</v>
      </c>
      <c r="G1490" s="6">
        <v>46126.370138888888</v>
      </c>
      <c r="H1490" s="7">
        <v>46140</v>
      </c>
      <c r="I1490" s="6">
        <v>46132.618750000001</v>
      </c>
      <c r="J1490" s="7">
        <v>46132</v>
      </c>
      <c r="K1490" s="5" t="s">
        <v>1527</v>
      </c>
      <c r="L1490" s="5" t="s">
        <v>1564</v>
      </c>
      <c r="M1490" s="8">
        <v>130</v>
      </c>
      <c r="N1490" s="5" t="s">
        <v>1536</v>
      </c>
      <c r="O1490" s="7">
        <v>46132</v>
      </c>
    </row>
    <row r="1491" spans="1:15" x14ac:dyDescent="0.25">
      <c r="A1491" s="5" t="s">
        <v>4</v>
      </c>
      <c r="B1491" s="5" t="s">
        <v>5423</v>
      </c>
      <c r="D1491" s="5" t="s">
        <v>847</v>
      </c>
      <c r="E1491" s="5" t="s">
        <v>5424</v>
      </c>
      <c r="F1491" s="5" t="s">
        <v>1548</v>
      </c>
      <c r="G1491" s="6">
        <v>46153.718055555553</v>
      </c>
      <c r="H1491" s="7">
        <v>46162</v>
      </c>
      <c r="I1491" s="5" t="s">
        <v>5425</v>
      </c>
      <c r="J1491" s="7">
        <v>46164</v>
      </c>
      <c r="K1491" s="5" t="s">
        <v>1527</v>
      </c>
      <c r="L1491" s="5" t="s">
        <v>1535</v>
      </c>
      <c r="M1491" s="8">
        <v>130</v>
      </c>
      <c r="N1491" s="5" t="s">
        <v>1536</v>
      </c>
      <c r="O1491" s="7">
        <v>46164</v>
      </c>
    </row>
    <row r="1492" spans="1:15" x14ac:dyDescent="0.25">
      <c r="A1492" s="5" t="s">
        <v>4</v>
      </c>
      <c r="B1492" s="5" t="s">
        <v>5426</v>
      </c>
      <c r="D1492" s="5" t="s">
        <v>868</v>
      </c>
      <c r="E1492" s="5" t="s">
        <v>5427</v>
      </c>
      <c r="F1492" s="5" t="s">
        <v>1548</v>
      </c>
      <c r="G1492" s="6">
        <v>46149.706944444442</v>
      </c>
      <c r="H1492" s="7">
        <v>46160</v>
      </c>
      <c r="I1492" s="6">
        <v>46155.446527777778</v>
      </c>
      <c r="J1492" s="7">
        <v>46155</v>
      </c>
      <c r="K1492" s="5" t="s">
        <v>1527</v>
      </c>
      <c r="L1492" s="5" t="s">
        <v>1564</v>
      </c>
      <c r="M1492" s="8">
        <v>129.93</v>
      </c>
      <c r="N1492" s="5" t="s">
        <v>1536</v>
      </c>
      <c r="O1492" s="7">
        <v>46155</v>
      </c>
    </row>
    <row r="1493" spans="1:15" x14ac:dyDescent="0.25">
      <c r="A1493" s="5" t="s">
        <v>4</v>
      </c>
      <c r="B1493" s="5" t="s">
        <v>5428</v>
      </c>
      <c r="D1493" s="5" t="s">
        <v>1338</v>
      </c>
      <c r="E1493" s="5" t="s">
        <v>5429</v>
      </c>
      <c r="F1493" s="5" t="s">
        <v>5430</v>
      </c>
      <c r="G1493" s="6">
        <v>46122.634722222225</v>
      </c>
      <c r="H1493" s="7">
        <v>46136</v>
      </c>
      <c r="I1493" s="5" t="s">
        <v>1533</v>
      </c>
      <c r="J1493" s="7">
        <v>46128</v>
      </c>
      <c r="K1493" s="5" t="s">
        <v>1534</v>
      </c>
      <c r="L1493" s="5" t="s">
        <v>1564</v>
      </c>
      <c r="M1493" s="8">
        <v>129.6</v>
      </c>
      <c r="N1493" s="5" t="s">
        <v>1536</v>
      </c>
      <c r="O1493" s="7">
        <v>46128</v>
      </c>
    </row>
    <row r="1494" spans="1:15" hidden="1" x14ac:dyDescent="0.25">
      <c r="A1494" s="5" t="s">
        <v>1522</v>
      </c>
      <c r="B1494" s="5" t="s">
        <v>5431</v>
      </c>
      <c r="D1494" s="5" t="s">
        <v>1495</v>
      </c>
      <c r="E1494" s="5" t="s">
        <v>5432</v>
      </c>
      <c r="F1494" s="5" t="s">
        <v>5433</v>
      </c>
      <c r="G1494" s="6">
        <v>46162.689583333333</v>
      </c>
      <c r="H1494" s="7">
        <v>46164</v>
      </c>
      <c r="I1494" s="5" t="s">
        <v>1616</v>
      </c>
      <c r="J1494" s="7">
        <v>46164</v>
      </c>
      <c r="K1494" s="5" t="s">
        <v>1527</v>
      </c>
      <c r="L1494" s="5" t="s">
        <v>1528</v>
      </c>
      <c r="M1494" s="8">
        <v>128</v>
      </c>
      <c r="N1494" s="5" t="s">
        <v>1536</v>
      </c>
      <c r="O1494" s="7">
        <v>46164</v>
      </c>
    </row>
    <row r="1495" spans="1:15" x14ac:dyDescent="0.25">
      <c r="A1495" s="5" t="s">
        <v>4</v>
      </c>
      <c r="B1495" s="5" t="s">
        <v>5434</v>
      </c>
      <c r="D1495" s="5" t="s">
        <v>1413</v>
      </c>
      <c r="E1495" s="5" t="s">
        <v>3341</v>
      </c>
      <c r="F1495" s="5" t="s">
        <v>1548</v>
      </c>
      <c r="G1495" s="6">
        <v>46043.636805555558</v>
      </c>
      <c r="H1495" s="7">
        <v>46056</v>
      </c>
      <c r="I1495" s="5" t="s">
        <v>5435</v>
      </c>
      <c r="J1495" s="7">
        <v>46058</v>
      </c>
      <c r="K1495" s="5" t="s">
        <v>1527</v>
      </c>
      <c r="L1495" s="5" t="s">
        <v>1564</v>
      </c>
      <c r="M1495" s="8">
        <v>128</v>
      </c>
      <c r="N1495" s="5" t="s">
        <v>1536</v>
      </c>
      <c r="O1495" s="7">
        <v>46058</v>
      </c>
    </row>
    <row r="1496" spans="1:15" x14ac:dyDescent="0.25">
      <c r="A1496" s="5" t="s">
        <v>4</v>
      </c>
      <c r="B1496" s="5" t="s">
        <v>5436</v>
      </c>
      <c r="D1496" s="5" t="s">
        <v>758</v>
      </c>
      <c r="E1496" s="5" t="s">
        <v>5437</v>
      </c>
      <c r="F1496" s="5" t="s">
        <v>1548</v>
      </c>
      <c r="G1496" s="6">
        <v>46055.59652777778</v>
      </c>
      <c r="H1496" s="7">
        <v>46066</v>
      </c>
      <c r="I1496" s="6">
        <v>46064.756249999999</v>
      </c>
      <c r="J1496" s="7">
        <v>46063</v>
      </c>
      <c r="K1496" s="5" t="s">
        <v>1527</v>
      </c>
      <c r="L1496" s="5" t="s">
        <v>1564</v>
      </c>
      <c r="M1496" s="8">
        <v>128</v>
      </c>
      <c r="N1496" s="5" t="s">
        <v>1536</v>
      </c>
      <c r="O1496" s="7">
        <v>46063</v>
      </c>
    </row>
    <row r="1497" spans="1:15" x14ac:dyDescent="0.25">
      <c r="A1497" s="5" t="s">
        <v>4</v>
      </c>
      <c r="B1497" s="5" t="s">
        <v>5438</v>
      </c>
      <c r="D1497" s="5" t="s">
        <v>685</v>
      </c>
      <c r="E1497" s="5" t="s">
        <v>5439</v>
      </c>
      <c r="F1497" s="5" t="s">
        <v>1738</v>
      </c>
      <c r="G1497" s="6">
        <v>46170.532638888886</v>
      </c>
      <c r="H1497" s="7">
        <v>46183</v>
      </c>
      <c r="I1497" s="6">
        <v>46183.636111111111</v>
      </c>
      <c r="J1497" s="7">
        <v>46181</v>
      </c>
      <c r="K1497" s="5" t="s">
        <v>1527</v>
      </c>
      <c r="L1497" s="5" t="s">
        <v>1564</v>
      </c>
      <c r="M1497" s="8">
        <v>128</v>
      </c>
      <c r="N1497" s="5" t="s">
        <v>1529</v>
      </c>
      <c r="O1497" s="7">
        <v>46181</v>
      </c>
    </row>
    <row r="1498" spans="1:15" hidden="1" x14ac:dyDescent="0.25">
      <c r="A1498" s="5" t="s">
        <v>1522</v>
      </c>
      <c r="B1498" s="5" t="s">
        <v>5440</v>
      </c>
      <c r="D1498" s="5" t="s">
        <v>733</v>
      </c>
      <c r="E1498" s="5" t="s">
        <v>5441</v>
      </c>
      <c r="F1498" s="5" t="s">
        <v>1548</v>
      </c>
      <c r="G1498" s="6">
        <v>46041.448611111111</v>
      </c>
      <c r="H1498" s="7">
        <v>46052</v>
      </c>
      <c r="I1498" s="5" t="s">
        <v>5442</v>
      </c>
      <c r="J1498" s="7">
        <v>46065</v>
      </c>
      <c r="K1498" s="5" t="s">
        <v>1527</v>
      </c>
      <c r="L1498" s="5" t="s">
        <v>1528</v>
      </c>
      <c r="M1498" s="8">
        <v>127.8</v>
      </c>
      <c r="N1498" s="5" t="s">
        <v>1536</v>
      </c>
      <c r="O1498" s="7">
        <v>46065</v>
      </c>
    </row>
    <row r="1499" spans="1:15" x14ac:dyDescent="0.25">
      <c r="A1499" s="5" t="s">
        <v>4</v>
      </c>
      <c r="B1499" s="5" t="s">
        <v>5443</v>
      </c>
      <c r="D1499" s="5" t="s">
        <v>707</v>
      </c>
      <c r="E1499" s="5" t="s">
        <v>5444</v>
      </c>
      <c r="F1499" s="5" t="s">
        <v>5445</v>
      </c>
      <c r="G1499" s="6">
        <v>46168.689583333333</v>
      </c>
      <c r="H1499" s="7">
        <v>46175</v>
      </c>
      <c r="I1499" s="5" t="s">
        <v>5446</v>
      </c>
      <c r="J1499" s="7">
        <v>46176</v>
      </c>
      <c r="K1499" s="5" t="s">
        <v>1527</v>
      </c>
      <c r="L1499" s="5" t="s">
        <v>1621</v>
      </c>
      <c r="M1499" s="8">
        <v>127.47</v>
      </c>
      <c r="N1499" s="5" t="s">
        <v>1536</v>
      </c>
      <c r="O1499" s="7">
        <v>46176</v>
      </c>
    </row>
    <row r="1500" spans="1:15" x14ac:dyDescent="0.25">
      <c r="A1500" s="5" t="s">
        <v>4</v>
      </c>
      <c r="B1500" s="5" t="s">
        <v>5447</v>
      </c>
      <c r="D1500" s="5" t="s">
        <v>1324</v>
      </c>
      <c r="E1500" s="5" t="s">
        <v>5448</v>
      </c>
      <c r="F1500" s="5" t="s">
        <v>1770</v>
      </c>
      <c r="G1500" s="6">
        <v>46135.532638888886</v>
      </c>
      <c r="H1500" s="7">
        <v>46149</v>
      </c>
      <c r="I1500" s="5" t="s">
        <v>1533</v>
      </c>
      <c r="J1500" s="7">
        <v>46141</v>
      </c>
      <c r="K1500" s="5" t="s">
        <v>1534</v>
      </c>
      <c r="L1500" s="5" t="s">
        <v>1564</v>
      </c>
      <c r="M1500" s="8">
        <v>127</v>
      </c>
      <c r="N1500" s="5" t="s">
        <v>1536</v>
      </c>
      <c r="O1500" s="7">
        <v>46141</v>
      </c>
    </row>
    <row r="1501" spans="1:15" x14ac:dyDescent="0.25">
      <c r="A1501" s="5" t="s">
        <v>4</v>
      </c>
      <c r="B1501" s="5" t="s">
        <v>5449</v>
      </c>
      <c r="D1501" s="5" t="s">
        <v>1177</v>
      </c>
      <c r="E1501" s="5" t="s">
        <v>5450</v>
      </c>
      <c r="F1501" s="5" t="s">
        <v>5451</v>
      </c>
      <c r="G1501" s="6">
        <v>46163.686111111114</v>
      </c>
      <c r="H1501" s="7">
        <v>46170</v>
      </c>
      <c r="I1501" s="6">
        <v>46168.73541666667</v>
      </c>
      <c r="J1501" s="7">
        <v>46168</v>
      </c>
      <c r="K1501" s="5" t="s">
        <v>1527</v>
      </c>
      <c r="L1501" s="5" t="s">
        <v>1621</v>
      </c>
      <c r="M1501" s="8">
        <v>127</v>
      </c>
      <c r="N1501" s="5" t="s">
        <v>1536</v>
      </c>
      <c r="O1501" s="7">
        <v>46168</v>
      </c>
    </row>
    <row r="1502" spans="1:15" x14ac:dyDescent="0.25">
      <c r="A1502" s="5" t="s">
        <v>4</v>
      </c>
      <c r="B1502" s="5" t="s">
        <v>5452</v>
      </c>
      <c r="D1502" s="5" t="s">
        <v>956</v>
      </c>
      <c r="E1502" s="5" t="s">
        <v>5453</v>
      </c>
      <c r="F1502" s="5" t="s">
        <v>5454</v>
      </c>
      <c r="G1502" s="6">
        <v>46139.727777777778</v>
      </c>
      <c r="H1502" s="7">
        <v>46146</v>
      </c>
      <c r="I1502" s="6">
        <v>46141.613888888889</v>
      </c>
      <c r="J1502" s="7">
        <v>46141</v>
      </c>
      <c r="K1502" s="5" t="s">
        <v>1527</v>
      </c>
      <c r="L1502" s="5" t="s">
        <v>1621</v>
      </c>
      <c r="M1502" s="8">
        <v>126.8</v>
      </c>
      <c r="N1502" s="5" t="s">
        <v>1536</v>
      </c>
      <c r="O1502" s="7">
        <v>46141</v>
      </c>
    </row>
    <row r="1503" spans="1:15" hidden="1" x14ac:dyDescent="0.25">
      <c r="A1503" s="5" t="s">
        <v>1522</v>
      </c>
      <c r="B1503" s="5" t="s">
        <v>5455</v>
      </c>
      <c r="D1503" s="5" t="s">
        <v>1455</v>
      </c>
      <c r="E1503" s="5" t="s">
        <v>1644</v>
      </c>
      <c r="F1503" s="5" t="s">
        <v>5456</v>
      </c>
      <c r="G1503" s="6">
        <v>46170.380555555559</v>
      </c>
      <c r="H1503" s="7">
        <v>46176</v>
      </c>
      <c r="I1503" s="5" t="s">
        <v>5457</v>
      </c>
      <c r="J1503" s="7">
        <v>46176</v>
      </c>
      <c r="K1503" s="5" t="s">
        <v>1527</v>
      </c>
      <c r="L1503" s="5" t="s">
        <v>1528</v>
      </c>
      <c r="M1503" s="8">
        <v>126.67</v>
      </c>
      <c r="N1503" s="5" t="s">
        <v>1529</v>
      </c>
      <c r="O1503" s="7">
        <v>46176</v>
      </c>
    </row>
    <row r="1504" spans="1:15" x14ac:dyDescent="0.25">
      <c r="A1504" s="5" t="s">
        <v>4</v>
      </c>
      <c r="B1504" s="5" t="s">
        <v>5458</v>
      </c>
      <c r="D1504" s="5" t="s">
        <v>1168</v>
      </c>
      <c r="E1504" s="5" t="s">
        <v>5459</v>
      </c>
      <c r="F1504" s="5" t="s">
        <v>2074</v>
      </c>
      <c r="G1504" s="6">
        <v>46097.644444444442</v>
      </c>
      <c r="H1504" s="7">
        <v>46097</v>
      </c>
      <c r="I1504" s="6">
        <v>46097.313194444447</v>
      </c>
      <c r="J1504" s="7">
        <v>46097</v>
      </c>
      <c r="K1504" s="5" t="s">
        <v>1527</v>
      </c>
      <c r="L1504" s="5" t="s">
        <v>1564</v>
      </c>
      <c r="M1504" s="8">
        <v>126</v>
      </c>
      <c r="N1504" s="5" t="s">
        <v>1536</v>
      </c>
      <c r="O1504" s="7">
        <v>46097</v>
      </c>
    </row>
    <row r="1505" spans="1:15" x14ac:dyDescent="0.25">
      <c r="A1505" s="5" t="s">
        <v>4</v>
      </c>
      <c r="B1505" s="5" t="s">
        <v>5460</v>
      </c>
      <c r="D1505" s="5" t="s">
        <v>1039</v>
      </c>
      <c r="E1505" s="5" t="s">
        <v>5461</v>
      </c>
      <c r="F1505" s="5" t="s">
        <v>5462</v>
      </c>
      <c r="G1505" s="6">
        <v>46077.652777777781</v>
      </c>
      <c r="H1505" s="7">
        <v>46084</v>
      </c>
      <c r="I1505" s="5" t="s">
        <v>2123</v>
      </c>
      <c r="J1505" s="7">
        <v>46085</v>
      </c>
      <c r="K1505" s="5" t="s">
        <v>1527</v>
      </c>
      <c r="L1505" s="5" t="s">
        <v>1621</v>
      </c>
      <c r="M1505" s="8">
        <v>125.91</v>
      </c>
      <c r="N1505" s="5" t="s">
        <v>1536</v>
      </c>
      <c r="O1505" s="7">
        <v>46085</v>
      </c>
    </row>
    <row r="1506" spans="1:15" hidden="1" x14ac:dyDescent="0.25">
      <c r="A1506" s="5" t="s">
        <v>1522</v>
      </c>
      <c r="B1506" s="5" t="s">
        <v>5463</v>
      </c>
      <c r="D1506" s="5" t="s">
        <v>531</v>
      </c>
      <c r="E1506" s="5" t="s">
        <v>5464</v>
      </c>
      <c r="F1506" s="5" t="s">
        <v>5465</v>
      </c>
      <c r="G1506" s="6">
        <v>46149.588888888888</v>
      </c>
      <c r="H1506" s="7">
        <v>46150</v>
      </c>
      <c r="I1506" s="6">
        <v>46150.705555555556</v>
      </c>
      <c r="J1506" s="7">
        <v>46150</v>
      </c>
      <c r="K1506" s="5" t="s">
        <v>1527</v>
      </c>
      <c r="L1506" s="5" t="s">
        <v>1528</v>
      </c>
      <c r="M1506" s="8">
        <v>125.82</v>
      </c>
      <c r="N1506" s="5" t="s">
        <v>1536</v>
      </c>
      <c r="O1506" s="7">
        <v>46150</v>
      </c>
    </row>
    <row r="1507" spans="1:15" x14ac:dyDescent="0.25">
      <c r="A1507" s="5" t="s">
        <v>4</v>
      </c>
      <c r="B1507" s="5" t="s">
        <v>5466</v>
      </c>
      <c r="D1507" s="5" t="s">
        <v>1276</v>
      </c>
      <c r="E1507" s="5" t="s">
        <v>5087</v>
      </c>
      <c r="F1507" s="5" t="s">
        <v>2875</v>
      </c>
      <c r="G1507" s="6">
        <v>46050.540277777778</v>
      </c>
      <c r="H1507" s="7">
        <v>46059</v>
      </c>
      <c r="I1507" s="5" t="s">
        <v>5467</v>
      </c>
      <c r="J1507" s="7">
        <v>46073</v>
      </c>
      <c r="K1507" s="5" t="s">
        <v>1527</v>
      </c>
      <c r="L1507" s="5" t="s">
        <v>1535</v>
      </c>
      <c r="M1507" s="8">
        <v>125.1</v>
      </c>
      <c r="N1507" s="5" t="s">
        <v>1536</v>
      </c>
      <c r="O1507" s="7">
        <v>46073</v>
      </c>
    </row>
    <row r="1508" spans="1:15" hidden="1" x14ac:dyDescent="0.25">
      <c r="A1508" s="5" t="s">
        <v>1522</v>
      </c>
      <c r="B1508" s="5" t="s">
        <v>5468</v>
      </c>
      <c r="D1508" s="5" t="s">
        <v>1506</v>
      </c>
      <c r="E1508" s="5" t="s">
        <v>1942</v>
      </c>
      <c r="F1508" s="5" t="s">
        <v>5469</v>
      </c>
      <c r="G1508" s="6">
        <v>46118.445833333331</v>
      </c>
      <c r="H1508" s="7">
        <v>46122</v>
      </c>
      <c r="I1508" s="5" t="s">
        <v>5470</v>
      </c>
      <c r="J1508" s="7">
        <v>46120</v>
      </c>
      <c r="K1508" s="5" t="s">
        <v>1527</v>
      </c>
      <c r="L1508" s="5" t="s">
        <v>1528</v>
      </c>
      <c r="M1508" s="8">
        <v>125</v>
      </c>
      <c r="N1508" s="5" t="s">
        <v>1536</v>
      </c>
      <c r="O1508" s="7">
        <v>46120</v>
      </c>
    </row>
    <row r="1509" spans="1:15" x14ac:dyDescent="0.25">
      <c r="A1509" s="5" t="s">
        <v>4</v>
      </c>
      <c r="B1509" s="5" t="s">
        <v>5471</v>
      </c>
      <c r="D1509" s="5" t="s">
        <v>528</v>
      </c>
      <c r="E1509" s="5" t="s">
        <v>5472</v>
      </c>
      <c r="F1509" s="5" t="s">
        <v>1548</v>
      </c>
      <c r="G1509" s="6">
        <v>46056.336111111108</v>
      </c>
      <c r="H1509" s="7">
        <v>46069</v>
      </c>
      <c r="I1509" s="6">
        <v>46069.477777777778</v>
      </c>
      <c r="J1509" s="7">
        <v>46069</v>
      </c>
      <c r="K1509" s="5" t="s">
        <v>1527</v>
      </c>
      <c r="L1509" s="5" t="s">
        <v>1564</v>
      </c>
      <c r="M1509" s="8">
        <v>125</v>
      </c>
      <c r="N1509" s="5" t="s">
        <v>1536</v>
      </c>
      <c r="O1509" s="7">
        <v>46069</v>
      </c>
    </row>
    <row r="1510" spans="1:15" x14ac:dyDescent="0.25">
      <c r="A1510" s="5" t="s">
        <v>4</v>
      </c>
      <c r="B1510" s="5" t="s">
        <v>5473</v>
      </c>
      <c r="D1510" s="5" t="s">
        <v>1489</v>
      </c>
      <c r="E1510" s="5" t="s">
        <v>2431</v>
      </c>
      <c r="F1510" s="5" t="s">
        <v>1742</v>
      </c>
      <c r="G1510" s="6">
        <v>46056.4375</v>
      </c>
      <c r="H1510" s="7">
        <v>46066</v>
      </c>
      <c r="I1510" s="5" t="s">
        <v>2432</v>
      </c>
      <c r="J1510" s="7">
        <v>46070</v>
      </c>
      <c r="K1510" s="5" t="s">
        <v>1527</v>
      </c>
      <c r="L1510" s="5" t="s">
        <v>1535</v>
      </c>
      <c r="M1510" s="8">
        <v>125</v>
      </c>
      <c r="N1510" s="5" t="s">
        <v>1536</v>
      </c>
      <c r="O1510" s="7">
        <v>46070</v>
      </c>
    </row>
    <row r="1511" spans="1:15" x14ac:dyDescent="0.25">
      <c r="A1511" s="5" t="s">
        <v>4</v>
      </c>
      <c r="B1511" s="5" t="s">
        <v>5474</v>
      </c>
      <c r="D1511" s="5" t="s">
        <v>1482</v>
      </c>
      <c r="E1511" s="5" t="s">
        <v>4953</v>
      </c>
      <c r="F1511" s="5" t="s">
        <v>1770</v>
      </c>
      <c r="G1511" s="6">
        <v>46066.7</v>
      </c>
      <c r="H1511" s="7">
        <v>46080</v>
      </c>
      <c r="I1511" s="6">
        <v>46078.691666666666</v>
      </c>
      <c r="J1511" s="7">
        <v>46078</v>
      </c>
      <c r="K1511" s="5" t="s">
        <v>1527</v>
      </c>
      <c r="L1511" s="5" t="s">
        <v>1564</v>
      </c>
      <c r="M1511" s="8">
        <v>125</v>
      </c>
      <c r="N1511" s="5" t="s">
        <v>1536</v>
      </c>
      <c r="O1511" s="7">
        <v>46078</v>
      </c>
    </row>
    <row r="1512" spans="1:15" x14ac:dyDescent="0.25">
      <c r="A1512" s="5" t="s">
        <v>4</v>
      </c>
      <c r="B1512" s="5" t="s">
        <v>5475</v>
      </c>
      <c r="D1512" s="5" t="s">
        <v>1315</v>
      </c>
      <c r="E1512" s="5" t="s">
        <v>5060</v>
      </c>
      <c r="F1512" s="5" t="s">
        <v>1759</v>
      </c>
      <c r="G1512" s="6">
        <v>46126.724999999999</v>
      </c>
      <c r="H1512" s="7">
        <v>46140</v>
      </c>
      <c r="I1512" s="6">
        <v>46136.681250000001</v>
      </c>
      <c r="J1512" s="7">
        <v>46134</v>
      </c>
      <c r="K1512" s="5" t="s">
        <v>1527</v>
      </c>
      <c r="L1512" s="5" t="s">
        <v>1564</v>
      </c>
      <c r="M1512" s="8">
        <v>125</v>
      </c>
      <c r="N1512" s="5" t="s">
        <v>1536</v>
      </c>
      <c r="O1512" s="7">
        <v>46134</v>
      </c>
    </row>
    <row r="1513" spans="1:15" x14ac:dyDescent="0.25">
      <c r="A1513" s="5" t="s">
        <v>4</v>
      </c>
      <c r="B1513" s="5" t="s">
        <v>5476</v>
      </c>
      <c r="D1513" s="5" t="s">
        <v>313</v>
      </c>
      <c r="E1513" s="5" t="s">
        <v>5477</v>
      </c>
      <c r="F1513" s="5" t="s">
        <v>2740</v>
      </c>
      <c r="G1513" s="6">
        <v>46129.48333333333</v>
      </c>
      <c r="H1513" s="7">
        <v>46146</v>
      </c>
      <c r="I1513" s="6">
        <v>46142.740277777775</v>
      </c>
      <c r="J1513" s="7">
        <v>46141</v>
      </c>
      <c r="K1513" s="5" t="s">
        <v>1527</v>
      </c>
      <c r="L1513" s="5" t="s">
        <v>1564</v>
      </c>
      <c r="M1513" s="8">
        <v>125</v>
      </c>
      <c r="N1513" s="5" t="s">
        <v>1536</v>
      </c>
      <c r="O1513" s="7">
        <v>46141</v>
      </c>
    </row>
    <row r="1514" spans="1:15" x14ac:dyDescent="0.25">
      <c r="A1514" s="5" t="s">
        <v>4</v>
      </c>
      <c r="B1514" s="5" t="s">
        <v>5478</v>
      </c>
      <c r="D1514" s="5" t="s">
        <v>542</v>
      </c>
      <c r="E1514" s="5" t="s">
        <v>5479</v>
      </c>
      <c r="F1514" s="5" t="s">
        <v>2740</v>
      </c>
      <c r="G1514" s="6">
        <v>46162.706944444442</v>
      </c>
      <c r="H1514" s="7">
        <v>46175</v>
      </c>
      <c r="I1514" s="5" t="s">
        <v>1533</v>
      </c>
      <c r="J1514" s="7">
        <v>46170</v>
      </c>
      <c r="K1514" s="5" t="s">
        <v>1534</v>
      </c>
      <c r="L1514" s="5" t="s">
        <v>1564</v>
      </c>
      <c r="M1514" s="8">
        <v>125</v>
      </c>
      <c r="N1514" s="5" t="s">
        <v>1536</v>
      </c>
      <c r="O1514" s="7">
        <v>46170</v>
      </c>
    </row>
    <row r="1515" spans="1:15" hidden="1" x14ac:dyDescent="0.25">
      <c r="A1515" s="5" t="s">
        <v>1522</v>
      </c>
      <c r="B1515" s="5" t="s">
        <v>5480</v>
      </c>
      <c r="D1515" s="5" t="s">
        <v>1481</v>
      </c>
      <c r="E1515" s="5" t="s">
        <v>2220</v>
      </c>
      <c r="F1515" s="5" t="s">
        <v>1548</v>
      </c>
      <c r="G1515" s="6">
        <v>46169.676388888889</v>
      </c>
      <c r="H1515" s="7">
        <v>46176</v>
      </c>
      <c r="I1515" s="5" t="s">
        <v>5457</v>
      </c>
      <c r="J1515" s="7">
        <v>46176</v>
      </c>
      <c r="K1515" s="5" t="s">
        <v>1527</v>
      </c>
      <c r="L1515" s="5" t="s">
        <v>1528</v>
      </c>
      <c r="M1515" s="8">
        <v>124.6</v>
      </c>
      <c r="N1515" s="5" t="s">
        <v>1529</v>
      </c>
      <c r="O1515" s="7">
        <v>46176</v>
      </c>
    </row>
    <row r="1516" spans="1:15" x14ac:dyDescent="0.25">
      <c r="A1516" s="5" t="s">
        <v>4</v>
      </c>
      <c r="B1516" s="5" t="s">
        <v>5481</v>
      </c>
      <c r="D1516" s="5" t="s">
        <v>93</v>
      </c>
      <c r="E1516" s="5" t="s">
        <v>5482</v>
      </c>
      <c r="F1516" s="5" t="s">
        <v>1770</v>
      </c>
      <c r="G1516" s="6">
        <v>46072.333333333336</v>
      </c>
      <c r="H1516" s="7">
        <v>46085</v>
      </c>
      <c r="I1516" s="6">
        <v>46084.618750000001</v>
      </c>
      <c r="J1516" s="7">
        <v>46084</v>
      </c>
      <c r="K1516" s="5" t="s">
        <v>1527</v>
      </c>
      <c r="L1516" s="5" t="s">
        <v>1564</v>
      </c>
      <c r="M1516" s="8">
        <v>124.5</v>
      </c>
      <c r="N1516" s="5" t="s">
        <v>1536</v>
      </c>
      <c r="O1516" s="7">
        <v>46084</v>
      </c>
    </row>
    <row r="1517" spans="1:15" x14ac:dyDescent="0.25">
      <c r="A1517" s="5" t="s">
        <v>4</v>
      </c>
      <c r="B1517" s="5" t="s">
        <v>5483</v>
      </c>
      <c r="D1517" s="5" t="s">
        <v>389</v>
      </c>
      <c r="E1517" s="5" t="s">
        <v>5484</v>
      </c>
      <c r="F1517" s="5" t="s">
        <v>5485</v>
      </c>
      <c r="G1517" s="6">
        <v>46163.675000000003</v>
      </c>
      <c r="H1517" s="7">
        <v>46170</v>
      </c>
      <c r="I1517" s="5" t="s">
        <v>5486</v>
      </c>
      <c r="J1517" s="7">
        <v>46171</v>
      </c>
      <c r="K1517" s="5" t="s">
        <v>1527</v>
      </c>
      <c r="L1517" s="5" t="s">
        <v>1621</v>
      </c>
      <c r="M1517" s="8">
        <v>124.1</v>
      </c>
      <c r="N1517" s="5" t="s">
        <v>1536</v>
      </c>
      <c r="O1517" s="7">
        <v>46171</v>
      </c>
    </row>
    <row r="1518" spans="1:15" hidden="1" x14ac:dyDescent="0.25">
      <c r="A1518" s="5" t="s">
        <v>1522</v>
      </c>
      <c r="B1518" s="5" t="s">
        <v>5487</v>
      </c>
      <c r="D1518" s="5" t="s">
        <v>1498</v>
      </c>
      <c r="E1518" s="5" t="s">
        <v>2487</v>
      </c>
      <c r="F1518" s="5" t="s">
        <v>2488</v>
      </c>
      <c r="G1518" s="6">
        <v>46098.647222222222</v>
      </c>
      <c r="H1518" s="7">
        <v>46101</v>
      </c>
      <c r="I1518" s="5" t="s">
        <v>5488</v>
      </c>
      <c r="J1518" s="7">
        <v>46104</v>
      </c>
      <c r="K1518" s="5" t="s">
        <v>1527</v>
      </c>
      <c r="L1518" s="5" t="s">
        <v>1528</v>
      </c>
      <c r="M1518" s="8">
        <v>124</v>
      </c>
      <c r="N1518" s="5" t="s">
        <v>1536</v>
      </c>
      <c r="O1518" s="7">
        <v>46104</v>
      </c>
    </row>
    <row r="1519" spans="1:15" x14ac:dyDescent="0.25">
      <c r="A1519" s="5" t="s">
        <v>4</v>
      </c>
      <c r="B1519" s="5" t="s">
        <v>5489</v>
      </c>
      <c r="D1519" s="5" t="s">
        <v>1479</v>
      </c>
      <c r="E1519" s="5" t="s">
        <v>1932</v>
      </c>
      <c r="F1519" s="5" t="s">
        <v>1532</v>
      </c>
      <c r="G1519" s="6">
        <v>46098.476388888892</v>
      </c>
      <c r="H1519" s="7">
        <v>46107</v>
      </c>
      <c r="I1519" s="5" t="s">
        <v>5490</v>
      </c>
      <c r="J1519" s="7">
        <v>46113</v>
      </c>
      <c r="K1519" s="5" t="s">
        <v>1527</v>
      </c>
      <c r="L1519" s="5" t="s">
        <v>1535</v>
      </c>
      <c r="M1519" s="8">
        <v>124</v>
      </c>
      <c r="N1519" s="5" t="s">
        <v>1536</v>
      </c>
      <c r="O1519" s="7">
        <v>46113</v>
      </c>
    </row>
    <row r="1520" spans="1:15" x14ac:dyDescent="0.25">
      <c r="A1520" s="5" t="s">
        <v>4</v>
      </c>
      <c r="B1520" s="5" t="s">
        <v>5491</v>
      </c>
      <c r="D1520" s="5" t="s">
        <v>1115</v>
      </c>
      <c r="E1520" s="5" t="s">
        <v>5492</v>
      </c>
      <c r="F1520" s="5" t="s">
        <v>5493</v>
      </c>
      <c r="G1520" s="6">
        <v>46155.590277777781</v>
      </c>
      <c r="H1520" s="7">
        <v>46162</v>
      </c>
      <c r="I1520" s="6">
        <v>46157.489583333336</v>
      </c>
      <c r="J1520" s="7">
        <v>46157</v>
      </c>
      <c r="K1520" s="5" t="s">
        <v>1527</v>
      </c>
      <c r="L1520" s="5" t="s">
        <v>1621</v>
      </c>
      <c r="M1520" s="8">
        <v>123.56</v>
      </c>
      <c r="N1520" s="5" t="s">
        <v>1536</v>
      </c>
      <c r="O1520" s="7">
        <v>46157</v>
      </c>
    </row>
    <row r="1521" spans="1:15" x14ac:dyDescent="0.25">
      <c r="A1521" s="5" t="s">
        <v>4</v>
      </c>
      <c r="B1521" s="5" t="s">
        <v>5494</v>
      </c>
      <c r="D1521" s="5" t="s">
        <v>1347</v>
      </c>
      <c r="E1521" s="5" t="s">
        <v>5495</v>
      </c>
      <c r="F1521" s="5" t="s">
        <v>5496</v>
      </c>
      <c r="G1521" s="6">
        <v>46049.59097222222</v>
      </c>
      <c r="H1521" s="7">
        <v>46056</v>
      </c>
      <c r="I1521" s="5" t="s">
        <v>5497</v>
      </c>
      <c r="J1521" s="7">
        <v>46051</v>
      </c>
      <c r="K1521" s="5" t="s">
        <v>1527</v>
      </c>
      <c r="L1521" s="5" t="s">
        <v>1621</v>
      </c>
      <c r="M1521" s="8">
        <v>123.38</v>
      </c>
      <c r="N1521" s="5" t="s">
        <v>1536</v>
      </c>
      <c r="O1521" s="7">
        <v>46051</v>
      </c>
    </row>
    <row r="1522" spans="1:15" x14ac:dyDescent="0.25">
      <c r="A1522" s="5" t="s">
        <v>4</v>
      </c>
      <c r="B1522" s="5" t="s">
        <v>5498</v>
      </c>
      <c r="D1522" s="5" t="s">
        <v>1214</v>
      </c>
      <c r="E1522" s="5" t="s">
        <v>5499</v>
      </c>
      <c r="F1522" s="5" t="s">
        <v>5500</v>
      </c>
      <c r="G1522" s="6">
        <v>46114.688888888886</v>
      </c>
      <c r="H1522" s="7">
        <v>46121</v>
      </c>
      <c r="I1522" s="5" t="s">
        <v>5501</v>
      </c>
      <c r="J1522" s="7">
        <v>46125</v>
      </c>
      <c r="K1522" s="5" t="s">
        <v>1527</v>
      </c>
      <c r="L1522" s="5" t="s">
        <v>1621</v>
      </c>
      <c r="M1522" s="8">
        <v>122.13</v>
      </c>
      <c r="N1522" s="5" t="s">
        <v>1536</v>
      </c>
      <c r="O1522" s="7">
        <v>46125</v>
      </c>
    </row>
    <row r="1523" spans="1:15" x14ac:dyDescent="0.25">
      <c r="A1523" s="5" t="s">
        <v>4</v>
      </c>
      <c r="B1523" s="5" t="s">
        <v>5502</v>
      </c>
      <c r="D1523" s="5" t="s">
        <v>501</v>
      </c>
      <c r="E1523" s="5" t="s">
        <v>5503</v>
      </c>
      <c r="F1523" s="5" t="s">
        <v>5504</v>
      </c>
      <c r="G1523" s="6">
        <v>46049.634722222225</v>
      </c>
      <c r="H1523" s="7">
        <v>46057</v>
      </c>
      <c r="I1523" s="6">
        <v>46055.64166666667</v>
      </c>
      <c r="J1523" s="7">
        <v>46055</v>
      </c>
      <c r="K1523" s="5" t="s">
        <v>1527</v>
      </c>
      <c r="L1523" s="5" t="s">
        <v>1621</v>
      </c>
      <c r="M1523" s="8">
        <v>122.11</v>
      </c>
      <c r="N1523" s="5" t="s">
        <v>1536</v>
      </c>
      <c r="O1523" s="7">
        <v>46055</v>
      </c>
    </row>
    <row r="1524" spans="1:15" hidden="1" x14ac:dyDescent="0.25">
      <c r="A1524" s="5" t="s">
        <v>1522</v>
      </c>
      <c r="B1524" s="5" t="s">
        <v>5505</v>
      </c>
      <c r="D1524" s="5" t="s">
        <v>1510</v>
      </c>
      <c r="E1524" s="5" t="s">
        <v>2466</v>
      </c>
      <c r="F1524" s="5" t="s">
        <v>5267</v>
      </c>
      <c r="G1524" s="6">
        <v>46169.652777777781</v>
      </c>
      <c r="H1524" s="7">
        <v>46176</v>
      </c>
      <c r="I1524" s="5" t="s">
        <v>5506</v>
      </c>
      <c r="J1524" s="7">
        <v>46181</v>
      </c>
      <c r="K1524" s="5" t="s">
        <v>1527</v>
      </c>
      <c r="L1524" s="5" t="s">
        <v>1554</v>
      </c>
      <c r="M1524" s="8">
        <v>121.44</v>
      </c>
      <c r="N1524" s="5" t="s">
        <v>1529</v>
      </c>
      <c r="O1524" s="7">
        <v>46181</v>
      </c>
    </row>
    <row r="1525" spans="1:15" hidden="1" x14ac:dyDescent="0.25">
      <c r="A1525" s="5" t="s">
        <v>1522</v>
      </c>
      <c r="B1525" s="5" t="s">
        <v>5507</v>
      </c>
      <c r="D1525" s="5" t="s">
        <v>1440</v>
      </c>
      <c r="E1525" s="5" t="s">
        <v>1878</v>
      </c>
      <c r="F1525" s="5" t="s">
        <v>5508</v>
      </c>
      <c r="G1525" s="6">
        <v>46155.490972222222</v>
      </c>
      <c r="H1525" s="7">
        <v>46163</v>
      </c>
      <c r="I1525" s="6">
        <v>46161.414583333331</v>
      </c>
      <c r="J1525" s="7">
        <v>46160</v>
      </c>
      <c r="K1525" s="5" t="s">
        <v>1527</v>
      </c>
      <c r="L1525" s="5" t="s">
        <v>1528</v>
      </c>
      <c r="M1525" s="8">
        <v>120.8</v>
      </c>
      <c r="N1525" s="5" t="s">
        <v>1536</v>
      </c>
      <c r="O1525" s="7">
        <v>46160</v>
      </c>
    </row>
    <row r="1526" spans="1:15" x14ac:dyDescent="0.25">
      <c r="A1526" s="5" t="s">
        <v>4</v>
      </c>
      <c r="B1526" s="5" t="s">
        <v>5509</v>
      </c>
      <c r="D1526" s="5" t="s">
        <v>1271</v>
      </c>
      <c r="E1526" s="5" t="s">
        <v>2527</v>
      </c>
      <c r="F1526" s="5" t="s">
        <v>5510</v>
      </c>
      <c r="G1526" s="6">
        <v>46098.59375</v>
      </c>
      <c r="H1526" s="7">
        <v>46104</v>
      </c>
      <c r="I1526" s="5" t="s">
        <v>2684</v>
      </c>
      <c r="J1526" s="7">
        <v>46106</v>
      </c>
      <c r="K1526" s="5" t="s">
        <v>1527</v>
      </c>
      <c r="L1526" s="5" t="s">
        <v>1621</v>
      </c>
      <c r="M1526" s="8">
        <v>120.61</v>
      </c>
      <c r="N1526" s="5" t="s">
        <v>1536</v>
      </c>
      <c r="O1526" s="7">
        <v>46106</v>
      </c>
    </row>
    <row r="1527" spans="1:15" x14ac:dyDescent="0.25">
      <c r="A1527" s="5" t="s">
        <v>4</v>
      </c>
      <c r="B1527" s="5" t="s">
        <v>5511</v>
      </c>
      <c r="D1527" s="5" t="s">
        <v>382</v>
      </c>
      <c r="E1527" s="5" t="s">
        <v>5512</v>
      </c>
      <c r="F1527" s="5" t="s">
        <v>1548</v>
      </c>
      <c r="G1527" s="6">
        <v>46052.682638888888</v>
      </c>
      <c r="H1527" s="7">
        <v>46065</v>
      </c>
      <c r="I1527" s="5" t="s">
        <v>5513</v>
      </c>
      <c r="J1527" s="7">
        <v>46069</v>
      </c>
      <c r="K1527" s="5" t="s">
        <v>1527</v>
      </c>
      <c r="L1527" s="5" t="s">
        <v>1564</v>
      </c>
      <c r="M1527" s="8">
        <v>120.54</v>
      </c>
      <c r="N1527" s="5" t="s">
        <v>1536</v>
      </c>
      <c r="O1527" s="7">
        <v>46069</v>
      </c>
    </row>
    <row r="1528" spans="1:15" hidden="1" x14ac:dyDescent="0.25">
      <c r="A1528" s="5" t="s">
        <v>1522</v>
      </c>
      <c r="B1528" s="5" t="s">
        <v>5514</v>
      </c>
      <c r="D1528" s="5" t="s">
        <v>43</v>
      </c>
      <c r="E1528" s="5" t="s">
        <v>5515</v>
      </c>
      <c r="F1528" s="5" t="s">
        <v>1548</v>
      </c>
      <c r="G1528" s="6">
        <v>46161.453472222223</v>
      </c>
      <c r="H1528" s="7">
        <v>46168</v>
      </c>
      <c r="I1528" s="5" t="s">
        <v>3235</v>
      </c>
      <c r="J1528" s="7">
        <v>46171</v>
      </c>
      <c r="K1528" s="5" t="s">
        <v>1527</v>
      </c>
      <c r="L1528" s="5" t="s">
        <v>1528</v>
      </c>
      <c r="M1528" s="8">
        <v>120.15</v>
      </c>
      <c r="N1528" s="5" t="s">
        <v>1536</v>
      </c>
      <c r="O1528" s="7">
        <v>46171</v>
      </c>
    </row>
    <row r="1529" spans="1:15" hidden="1" x14ac:dyDescent="0.25">
      <c r="A1529" s="5" t="s">
        <v>1522</v>
      </c>
      <c r="B1529" s="5" t="s">
        <v>5516</v>
      </c>
      <c r="D1529" s="5" t="s">
        <v>855</v>
      </c>
      <c r="E1529" s="5" t="s">
        <v>1878</v>
      </c>
      <c r="F1529" s="5" t="s">
        <v>5517</v>
      </c>
      <c r="G1529" s="6">
        <v>46076.414583333331</v>
      </c>
      <c r="H1529" s="7">
        <v>46084</v>
      </c>
      <c r="I1529" s="5" t="s">
        <v>5518</v>
      </c>
      <c r="J1529" s="7">
        <v>46085</v>
      </c>
      <c r="K1529" s="5" t="s">
        <v>1527</v>
      </c>
      <c r="L1529" s="5" t="s">
        <v>1528</v>
      </c>
      <c r="M1529" s="8">
        <v>120</v>
      </c>
      <c r="N1529" s="5" t="s">
        <v>1536</v>
      </c>
      <c r="O1529" s="7">
        <v>46085</v>
      </c>
    </row>
    <row r="1530" spans="1:15" hidden="1" x14ac:dyDescent="0.25">
      <c r="A1530" s="5" t="s">
        <v>1522</v>
      </c>
      <c r="B1530" s="5" t="s">
        <v>5519</v>
      </c>
      <c r="D1530" s="5" t="s">
        <v>527</v>
      </c>
      <c r="E1530" s="5" t="s">
        <v>5520</v>
      </c>
      <c r="F1530" s="5" t="s">
        <v>5521</v>
      </c>
      <c r="G1530" s="6">
        <v>46155.333333333336</v>
      </c>
      <c r="H1530" s="7">
        <v>46157</v>
      </c>
      <c r="I1530" s="5" t="s">
        <v>5522</v>
      </c>
      <c r="J1530" s="7">
        <v>46157</v>
      </c>
      <c r="K1530" s="5" t="s">
        <v>1527</v>
      </c>
      <c r="L1530" s="5" t="s">
        <v>1528</v>
      </c>
      <c r="M1530" s="8">
        <v>120</v>
      </c>
      <c r="N1530" s="5" t="s">
        <v>1536</v>
      </c>
      <c r="O1530" s="7">
        <v>46157</v>
      </c>
    </row>
    <row r="1531" spans="1:15" x14ac:dyDescent="0.25">
      <c r="A1531" s="5" t="s">
        <v>4</v>
      </c>
      <c r="B1531" s="5" t="s">
        <v>5523</v>
      </c>
      <c r="D1531" s="5" t="s">
        <v>1472</v>
      </c>
      <c r="E1531" s="5" t="s">
        <v>4317</v>
      </c>
      <c r="F1531" s="5" t="s">
        <v>1532</v>
      </c>
      <c r="G1531" s="6">
        <v>46057.368055555555</v>
      </c>
      <c r="H1531" s="7">
        <v>46059</v>
      </c>
      <c r="I1531" s="5" t="s">
        <v>3161</v>
      </c>
      <c r="J1531" s="7">
        <v>46063</v>
      </c>
      <c r="K1531" s="5" t="s">
        <v>1527</v>
      </c>
      <c r="L1531" s="5" t="s">
        <v>1535</v>
      </c>
      <c r="M1531" s="8">
        <v>120</v>
      </c>
      <c r="N1531" s="5" t="s">
        <v>1536</v>
      </c>
      <c r="O1531" s="7">
        <v>46063</v>
      </c>
    </row>
    <row r="1532" spans="1:15" x14ac:dyDescent="0.25">
      <c r="A1532" s="5" t="s">
        <v>4</v>
      </c>
      <c r="B1532" s="5" t="s">
        <v>5524</v>
      </c>
      <c r="D1532" s="5" t="s">
        <v>19</v>
      </c>
      <c r="E1532" s="5" t="s">
        <v>5525</v>
      </c>
      <c r="F1532" s="5" t="s">
        <v>5526</v>
      </c>
      <c r="G1532" s="6">
        <v>46107.690972222219</v>
      </c>
      <c r="H1532" s="7">
        <v>46121</v>
      </c>
      <c r="I1532" s="5" t="s">
        <v>5527</v>
      </c>
      <c r="J1532" s="7">
        <v>46119</v>
      </c>
      <c r="K1532" s="5" t="s">
        <v>1527</v>
      </c>
      <c r="L1532" s="5" t="s">
        <v>1564</v>
      </c>
      <c r="M1532" s="8">
        <v>120</v>
      </c>
      <c r="N1532" s="5" t="s">
        <v>1536</v>
      </c>
      <c r="O1532" s="7">
        <v>46119</v>
      </c>
    </row>
    <row r="1533" spans="1:15" x14ac:dyDescent="0.25">
      <c r="A1533" s="5" t="s">
        <v>4</v>
      </c>
      <c r="B1533" s="5" t="s">
        <v>5528</v>
      </c>
      <c r="D1533" s="5" t="s">
        <v>21</v>
      </c>
      <c r="E1533" s="5" t="s">
        <v>5529</v>
      </c>
      <c r="F1533" s="5" t="s">
        <v>5530</v>
      </c>
      <c r="G1533" s="6">
        <v>46114.712500000001</v>
      </c>
      <c r="H1533" s="7">
        <v>46114</v>
      </c>
      <c r="I1533" s="7">
        <v>46114</v>
      </c>
      <c r="J1533" s="7">
        <v>46114</v>
      </c>
      <c r="K1533" s="5" t="s">
        <v>1527</v>
      </c>
      <c r="L1533" s="5" t="s">
        <v>1564</v>
      </c>
      <c r="M1533" s="8">
        <v>120</v>
      </c>
      <c r="N1533" s="5" t="s">
        <v>1536</v>
      </c>
      <c r="O1533" s="7">
        <v>46114</v>
      </c>
    </row>
    <row r="1534" spans="1:15" x14ac:dyDescent="0.25">
      <c r="A1534" s="5" t="s">
        <v>4</v>
      </c>
      <c r="B1534" s="5" t="s">
        <v>5531</v>
      </c>
      <c r="D1534" s="5" t="s">
        <v>672</v>
      </c>
      <c r="E1534" s="5" t="s">
        <v>5532</v>
      </c>
      <c r="F1534" s="5" t="s">
        <v>5533</v>
      </c>
      <c r="G1534" s="6">
        <v>46150.647916666669</v>
      </c>
      <c r="H1534" s="7">
        <v>46167</v>
      </c>
      <c r="I1534" s="6">
        <v>46164.699305555558</v>
      </c>
      <c r="J1534" s="7">
        <v>46164</v>
      </c>
      <c r="K1534" s="5" t="s">
        <v>1527</v>
      </c>
      <c r="L1534" s="5" t="s">
        <v>1621</v>
      </c>
      <c r="M1534" s="8">
        <v>119.88</v>
      </c>
      <c r="N1534" s="5" t="s">
        <v>1536</v>
      </c>
      <c r="O1534" s="7">
        <v>46164</v>
      </c>
    </row>
    <row r="1535" spans="1:15" x14ac:dyDescent="0.25">
      <c r="A1535" s="5" t="s">
        <v>4</v>
      </c>
      <c r="B1535" s="5" t="s">
        <v>5534</v>
      </c>
      <c r="D1535" s="5" t="s">
        <v>697</v>
      </c>
      <c r="E1535" s="5" t="s">
        <v>5535</v>
      </c>
      <c r="F1535" s="5" t="s">
        <v>5536</v>
      </c>
      <c r="G1535" s="6">
        <v>46118.581250000003</v>
      </c>
      <c r="H1535" s="7">
        <v>46127</v>
      </c>
      <c r="I1535" s="5" t="s">
        <v>5537</v>
      </c>
      <c r="J1535" s="7">
        <v>46136</v>
      </c>
      <c r="K1535" s="5" t="s">
        <v>1527</v>
      </c>
      <c r="L1535" s="5" t="s">
        <v>1535</v>
      </c>
      <c r="M1535" s="8">
        <v>119.8</v>
      </c>
      <c r="N1535" s="5" t="s">
        <v>1536</v>
      </c>
      <c r="O1535" s="7">
        <v>46136</v>
      </c>
    </row>
    <row r="1536" spans="1:15" x14ac:dyDescent="0.25">
      <c r="A1536" s="5" t="s">
        <v>4</v>
      </c>
      <c r="B1536" s="5" t="s">
        <v>5538</v>
      </c>
      <c r="D1536" s="5" t="s">
        <v>1363</v>
      </c>
      <c r="E1536" s="5" t="s">
        <v>5539</v>
      </c>
      <c r="F1536" s="5" t="s">
        <v>5540</v>
      </c>
      <c r="G1536" s="6">
        <v>46090.650694444441</v>
      </c>
      <c r="H1536" s="7">
        <v>46094</v>
      </c>
      <c r="I1536" s="5" t="s">
        <v>3472</v>
      </c>
      <c r="J1536" s="7">
        <v>46097</v>
      </c>
      <c r="K1536" s="5" t="s">
        <v>1527</v>
      </c>
      <c r="L1536" s="5" t="s">
        <v>1621</v>
      </c>
      <c r="M1536" s="8">
        <v>119.13</v>
      </c>
      <c r="N1536" s="5" t="s">
        <v>1536</v>
      </c>
      <c r="O1536" s="7">
        <v>46097</v>
      </c>
    </row>
    <row r="1537" spans="1:15" hidden="1" x14ac:dyDescent="0.25">
      <c r="A1537" s="5" t="s">
        <v>1522</v>
      </c>
      <c r="B1537" s="5" t="s">
        <v>5541</v>
      </c>
      <c r="D1537" s="5" t="s">
        <v>1510</v>
      </c>
      <c r="E1537" s="5" t="s">
        <v>2466</v>
      </c>
      <c r="F1537" s="5" t="s">
        <v>5267</v>
      </c>
      <c r="G1537" s="6">
        <v>46139.631944444445</v>
      </c>
      <c r="H1537" s="7">
        <v>46146</v>
      </c>
      <c r="I1537" s="5" t="s">
        <v>1533</v>
      </c>
      <c r="J1537" s="5" t="s">
        <v>1533</v>
      </c>
      <c r="K1537" s="5" t="s">
        <v>1540</v>
      </c>
      <c r="L1537" s="5" t="s">
        <v>1621</v>
      </c>
      <c r="M1537" s="8">
        <v>119</v>
      </c>
      <c r="N1537" s="5" t="s">
        <v>1541</v>
      </c>
      <c r="O1537" s="5" t="s">
        <v>1533</v>
      </c>
    </row>
    <row r="1538" spans="1:15" x14ac:dyDescent="0.25">
      <c r="A1538" s="5" t="s">
        <v>4</v>
      </c>
      <c r="B1538" s="5" t="s">
        <v>5542</v>
      </c>
      <c r="D1538" s="5" t="s">
        <v>1361</v>
      </c>
      <c r="E1538" s="5" t="s">
        <v>5543</v>
      </c>
      <c r="F1538" s="5" t="s">
        <v>5544</v>
      </c>
      <c r="G1538" s="6">
        <v>46121.621527777781</v>
      </c>
      <c r="H1538" s="7">
        <v>46121</v>
      </c>
      <c r="I1538" s="5" t="s">
        <v>3497</v>
      </c>
      <c r="J1538" s="7">
        <v>46121</v>
      </c>
      <c r="K1538" s="5" t="s">
        <v>1527</v>
      </c>
      <c r="L1538" s="5" t="s">
        <v>1535</v>
      </c>
      <c r="M1538" s="8">
        <v>119</v>
      </c>
      <c r="N1538" s="5" t="s">
        <v>1536</v>
      </c>
      <c r="O1538" s="7">
        <v>46121</v>
      </c>
    </row>
    <row r="1539" spans="1:15" x14ac:dyDescent="0.25">
      <c r="A1539" s="5" t="s">
        <v>4</v>
      </c>
      <c r="B1539" s="5" t="s">
        <v>5545</v>
      </c>
      <c r="D1539" s="5" t="s">
        <v>1509</v>
      </c>
      <c r="E1539" s="5" t="s">
        <v>1538</v>
      </c>
      <c r="F1539" s="5" t="s">
        <v>5546</v>
      </c>
      <c r="G1539" s="6">
        <v>46073.649305555555</v>
      </c>
      <c r="H1539" s="7">
        <v>46084</v>
      </c>
      <c r="I1539" s="5" t="s">
        <v>5547</v>
      </c>
      <c r="J1539" s="7">
        <v>46098</v>
      </c>
      <c r="K1539" s="5" t="s">
        <v>1527</v>
      </c>
      <c r="L1539" s="5" t="s">
        <v>1535</v>
      </c>
      <c r="M1539" s="8">
        <v>118.5</v>
      </c>
      <c r="N1539" s="5" t="s">
        <v>1536</v>
      </c>
      <c r="O1539" s="7">
        <v>46098</v>
      </c>
    </row>
    <row r="1540" spans="1:15" x14ac:dyDescent="0.25">
      <c r="A1540" s="5" t="s">
        <v>4</v>
      </c>
      <c r="B1540" s="5" t="s">
        <v>5548</v>
      </c>
      <c r="D1540" s="5" t="s">
        <v>1509</v>
      </c>
      <c r="E1540" s="5" t="s">
        <v>1538</v>
      </c>
      <c r="F1540" s="5" t="s">
        <v>5549</v>
      </c>
      <c r="G1540" s="6">
        <v>46164.618055555555</v>
      </c>
      <c r="H1540" s="7">
        <v>46175</v>
      </c>
      <c r="I1540" s="5" t="s">
        <v>1533</v>
      </c>
      <c r="J1540" s="5" t="s">
        <v>1533</v>
      </c>
      <c r="K1540" s="5" t="s">
        <v>1540</v>
      </c>
      <c r="L1540" s="5" t="s">
        <v>1535</v>
      </c>
      <c r="M1540" s="8">
        <v>118.5</v>
      </c>
      <c r="N1540" s="5" t="s">
        <v>1541</v>
      </c>
      <c r="O1540" s="5" t="s">
        <v>1533</v>
      </c>
    </row>
    <row r="1541" spans="1:15" x14ac:dyDescent="0.25">
      <c r="A1541" s="5" t="s">
        <v>4</v>
      </c>
      <c r="B1541" s="5" t="s">
        <v>5550</v>
      </c>
      <c r="D1541" s="5" t="s">
        <v>473</v>
      </c>
      <c r="E1541" s="5" t="s">
        <v>5551</v>
      </c>
      <c r="F1541" s="5" t="s">
        <v>5552</v>
      </c>
      <c r="G1541" s="6">
        <v>46101.672222222223</v>
      </c>
      <c r="H1541" s="7">
        <v>46108</v>
      </c>
      <c r="I1541" s="5" t="s">
        <v>1657</v>
      </c>
      <c r="J1541" s="7">
        <v>46113</v>
      </c>
      <c r="K1541" s="5" t="s">
        <v>1527</v>
      </c>
      <c r="L1541" s="5" t="s">
        <v>1621</v>
      </c>
      <c r="M1541" s="8">
        <v>118.35</v>
      </c>
      <c r="N1541" s="5" t="s">
        <v>1536</v>
      </c>
      <c r="O1541" s="7">
        <v>46113</v>
      </c>
    </row>
    <row r="1542" spans="1:15" x14ac:dyDescent="0.25">
      <c r="A1542" s="5" t="s">
        <v>4</v>
      </c>
      <c r="B1542" s="5" t="s">
        <v>5553</v>
      </c>
      <c r="D1542" s="5" t="s">
        <v>1045</v>
      </c>
      <c r="E1542" s="5" t="s">
        <v>5554</v>
      </c>
      <c r="F1542" s="5" t="s">
        <v>5555</v>
      </c>
      <c r="G1542" s="6">
        <v>46035.646527777775</v>
      </c>
      <c r="H1542" s="7">
        <v>46042</v>
      </c>
      <c r="I1542" s="6">
        <v>46042.629861111112</v>
      </c>
      <c r="J1542" s="7">
        <v>46042</v>
      </c>
      <c r="K1542" s="5" t="s">
        <v>1527</v>
      </c>
      <c r="L1542" s="5" t="s">
        <v>1621</v>
      </c>
      <c r="M1542" s="8">
        <v>118.27</v>
      </c>
      <c r="N1542" s="5" t="s">
        <v>1536</v>
      </c>
      <c r="O1542" s="7">
        <v>46042</v>
      </c>
    </row>
    <row r="1543" spans="1:15" x14ac:dyDescent="0.25">
      <c r="A1543" s="5" t="s">
        <v>4</v>
      </c>
      <c r="B1543" s="5" t="s">
        <v>5556</v>
      </c>
      <c r="D1543" s="5" t="s">
        <v>103</v>
      </c>
      <c r="E1543" s="5" t="s">
        <v>5557</v>
      </c>
      <c r="F1543" s="5" t="s">
        <v>5558</v>
      </c>
      <c r="G1543" s="6">
        <v>46035.659722222219</v>
      </c>
      <c r="H1543" s="7">
        <v>46042</v>
      </c>
      <c r="I1543" s="6">
        <v>46036.582638888889</v>
      </c>
      <c r="J1543" s="7">
        <v>46036</v>
      </c>
      <c r="K1543" s="5" t="s">
        <v>1527</v>
      </c>
      <c r="L1543" s="5" t="s">
        <v>1621</v>
      </c>
      <c r="M1543" s="8">
        <v>118.27</v>
      </c>
      <c r="N1543" s="5" t="s">
        <v>1536</v>
      </c>
      <c r="O1543" s="7">
        <v>46036</v>
      </c>
    </row>
    <row r="1544" spans="1:15" x14ac:dyDescent="0.25">
      <c r="A1544" s="5" t="s">
        <v>4</v>
      </c>
      <c r="B1544" s="5" t="s">
        <v>5559</v>
      </c>
      <c r="D1544" s="5" t="s">
        <v>1509</v>
      </c>
      <c r="E1544" s="5" t="s">
        <v>1538</v>
      </c>
      <c r="F1544" s="5" t="s">
        <v>5560</v>
      </c>
      <c r="G1544" s="6">
        <v>46112.438888888886</v>
      </c>
      <c r="H1544" s="7">
        <v>46125</v>
      </c>
      <c r="I1544" s="5" t="s">
        <v>1533</v>
      </c>
      <c r="J1544" s="5" t="s">
        <v>1533</v>
      </c>
      <c r="K1544" s="5" t="s">
        <v>1540</v>
      </c>
      <c r="L1544" s="5" t="s">
        <v>1535</v>
      </c>
      <c r="M1544" s="8">
        <v>118</v>
      </c>
      <c r="N1544" s="5" t="s">
        <v>1541</v>
      </c>
      <c r="O1544" s="5" t="s">
        <v>1533</v>
      </c>
    </row>
    <row r="1545" spans="1:15" x14ac:dyDescent="0.25">
      <c r="A1545" s="5" t="s">
        <v>4</v>
      </c>
      <c r="B1545" s="5" t="s">
        <v>5561</v>
      </c>
      <c r="D1545" s="5" t="s">
        <v>331</v>
      </c>
      <c r="E1545" s="5" t="s">
        <v>5562</v>
      </c>
      <c r="F1545" s="5" t="s">
        <v>5563</v>
      </c>
      <c r="G1545" s="6">
        <v>46129.603472222225</v>
      </c>
      <c r="H1545" s="7">
        <v>46136</v>
      </c>
      <c r="I1545" s="6">
        <v>46135.627083333333</v>
      </c>
      <c r="J1545" s="7">
        <v>46135</v>
      </c>
      <c r="K1545" s="5" t="s">
        <v>1527</v>
      </c>
      <c r="L1545" s="5" t="s">
        <v>1621</v>
      </c>
      <c r="M1545" s="8">
        <v>117.66</v>
      </c>
      <c r="N1545" s="5" t="s">
        <v>1536</v>
      </c>
      <c r="O1545" s="7">
        <v>46135</v>
      </c>
    </row>
    <row r="1546" spans="1:15" x14ac:dyDescent="0.25">
      <c r="A1546" s="5" t="s">
        <v>4</v>
      </c>
      <c r="B1546" s="5" t="s">
        <v>5564</v>
      </c>
      <c r="D1546" s="5" t="s">
        <v>102</v>
      </c>
      <c r="E1546" s="5" t="s">
        <v>5565</v>
      </c>
      <c r="F1546" s="5" t="s">
        <v>5566</v>
      </c>
      <c r="G1546" s="6">
        <v>46093.424305555556</v>
      </c>
      <c r="H1546" s="7">
        <v>46099</v>
      </c>
      <c r="I1546" s="6">
        <v>46097.600694444445</v>
      </c>
      <c r="J1546" s="7">
        <v>46097</v>
      </c>
      <c r="K1546" s="5" t="s">
        <v>1527</v>
      </c>
      <c r="L1546" s="5" t="s">
        <v>1621</v>
      </c>
      <c r="M1546" s="8">
        <v>117.51</v>
      </c>
      <c r="N1546" s="5" t="s">
        <v>1536</v>
      </c>
      <c r="O1546" s="7">
        <v>46097</v>
      </c>
    </row>
    <row r="1547" spans="1:15" x14ac:dyDescent="0.25">
      <c r="A1547" s="5" t="s">
        <v>4</v>
      </c>
      <c r="B1547" s="5" t="s">
        <v>5567</v>
      </c>
      <c r="D1547" s="5" t="s">
        <v>824</v>
      </c>
      <c r="E1547" s="5" t="s">
        <v>5568</v>
      </c>
      <c r="F1547" s="5" t="s">
        <v>5569</v>
      </c>
      <c r="G1547" s="6">
        <v>46028.365277777775</v>
      </c>
      <c r="H1547" s="7">
        <v>46035</v>
      </c>
      <c r="I1547" s="6">
        <v>46030.709027777775</v>
      </c>
      <c r="J1547" s="7">
        <v>46030</v>
      </c>
      <c r="K1547" s="5" t="s">
        <v>1527</v>
      </c>
      <c r="L1547" s="5" t="s">
        <v>1621</v>
      </c>
      <c r="M1547" s="8">
        <v>117.06</v>
      </c>
      <c r="N1547" s="5" t="s">
        <v>1536</v>
      </c>
      <c r="O1547" s="7">
        <v>46030</v>
      </c>
    </row>
    <row r="1548" spans="1:15" x14ac:dyDescent="0.25">
      <c r="A1548" s="5" t="s">
        <v>4</v>
      </c>
      <c r="B1548" s="5" t="s">
        <v>5570</v>
      </c>
      <c r="D1548" s="5" t="s">
        <v>248</v>
      </c>
      <c r="E1548" s="5" t="s">
        <v>5571</v>
      </c>
      <c r="F1548" s="5" t="s">
        <v>5572</v>
      </c>
      <c r="G1548" s="6">
        <v>46142.673611111109</v>
      </c>
      <c r="H1548" s="7">
        <v>46148</v>
      </c>
      <c r="I1548" s="5" t="s">
        <v>5573</v>
      </c>
      <c r="J1548" s="7">
        <v>46150</v>
      </c>
      <c r="K1548" s="5" t="s">
        <v>1527</v>
      </c>
      <c r="L1548" s="5" t="s">
        <v>1621</v>
      </c>
      <c r="M1548" s="8">
        <v>116.59</v>
      </c>
      <c r="N1548" s="5" t="s">
        <v>1536</v>
      </c>
      <c r="O1548" s="7">
        <v>46150</v>
      </c>
    </row>
    <row r="1549" spans="1:15" hidden="1" x14ac:dyDescent="0.25">
      <c r="A1549" s="5" t="s">
        <v>1522</v>
      </c>
      <c r="B1549" s="5" t="s">
        <v>5574</v>
      </c>
      <c r="D1549" s="5" t="s">
        <v>1510</v>
      </c>
      <c r="E1549" s="5" t="s">
        <v>2466</v>
      </c>
      <c r="F1549" s="5" t="s">
        <v>5575</v>
      </c>
      <c r="G1549" s="6">
        <v>46031.673611111109</v>
      </c>
      <c r="H1549" s="7">
        <v>46041</v>
      </c>
      <c r="I1549" s="5" t="s">
        <v>5576</v>
      </c>
      <c r="J1549" s="7">
        <v>46055</v>
      </c>
      <c r="K1549" s="5" t="s">
        <v>1527</v>
      </c>
      <c r="L1549" s="5" t="s">
        <v>1621</v>
      </c>
      <c r="M1549" s="8">
        <v>116.47</v>
      </c>
      <c r="N1549" s="5" t="s">
        <v>1536</v>
      </c>
      <c r="O1549" s="7">
        <v>46055</v>
      </c>
    </row>
    <row r="1550" spans="1:15" hidden="1" x14ac:dyDescent="0.25">
      <c r="A1550" s="5" t="s">
        <v>1522</v>
      </c>
      <c r="B1550" s="5" t="s">
        <v>5577</v>
      </c>
      <c r="D1550" s="5" t="s">
        <v>1510</v>
      </c>
      <c r="E1550" s="5" t="s">
        <v>2466</v>
      </c>
      <c r="F1550" s="5" t="s">
        <v>5575</v>
      </c>
      <c r="G1550" s="6">
        <v>46031.675000000003</v>
      </c>
      <c r="H1550" s="7">
        <v>46041</v>
      </c>
      <c r="I1550" s="5" t="s">
        <v>5576</v>
      </c>
      <c r="J1550" s="7">
        <v>46055</v>
      </c>
      <c r="K1550" s="5" t="s">
        <v>1527</v>
      </c>
      <c r="L1550" s="5" t="s">
        <v>1621</v>
      </c>
      <c r="M1550" s="8">
        <v>116.47</v>
      </c>
      <c r="N1550" s="5" t="s">
        <v>1536</v>
      </c>
      <c r="O1550" s="7">
        <v>46055</v>
      </c>
    </row>
    <row r="1551" spans="1:15" hidden="1" x14ac:dyDescent="0.25">
      <c r="A1551" s="5" t="s">
        <v>1522</v>
      </c>
      <c r="B1551" s="5" t="s">
        <v>5578</v>
      </c>
      <c r="D1551" s="5" t="s">
        <v>1510</v>
      </c>
      <c r="E1551" s="5" t="s">
        <v>2466</v>
      </c>
      <c r="F1551" s="5" t="s">
        <v>5579</v>
      </c>
      <c r="G1551" s="6">
        <v>46087.644444444442</v>
      </c>
      <c r="H1551" s="7">
        <v>46094</v>
      </c>
      <c r="I1551" s="5" t="s">
        <v>5580</v>
      </c>
      <c r="J1551" s="7">
        <v>46112</v>
      </c>
      <c r="K1551" s="5" t="s">
        <v>1527</v>
      </c>
      <c r="L1551" s="5" t="s">
        <v>1554</v>
      </c>
      <c r="M1551" s="8">
        <v>116.47</v>
      </c>
      <c r="N1551" s="5" t="s">
        <v>1536</v>
      </c>
      <c r="O1551" s="7">
        <v>46112</v>
      </c>
    </row>
    <row r="1552" spans="1:15" hidden="1" x14ac:dyDescent="0.25">
      <c r="A1552" s="5" t="s">
        <v>1522</v>
      </c>
      <c r="B1552" s="5" t="s">
        <v>5581</v>
      </c>
      <c r="D1552" s="5" t="s">
        <v>1510</v>
      </c>
      <c r="E1552" s="5" t="s">
        <v>2466</v>
      </c>
      <c r="F1552" s="5" t="s">
        <v>5579</v>
      </c>
      <c r="G1552" s="6">
        <v>46087.645833333336</v>
      </c>
      <c r="H1552" s="7">
        <v>46094</v>
      </c>
      <c r="I1552" s="5" t="s">
        <v>5580</v>
      </c>
      <c r="J1552" s="7">
        <v>46112</v>
      </c>
      <c r="K1552" s="5" t="s">
        <v>1527</v>
      </c>
      <c r="L1552" s="5" t="s">
        <v>1621</v>
      </c>
      <c r="M1552" s="8">
        <v>116.47</v>
      </c>
      <c r="N1552" s="5" t="s">
        <v>1536</v>
      </c>
      <c r="O1552" s="7">
        <v>46112</v>
      </c>
    </row>
    <row r="1553" spans="1:15" hidden="1" x14ac:dyDescent="0.25">
      <c r="A1553" s="5" t="s">
        <v>1522</v>
      </c>
      <c r="B1553" s="5" t="s">
        <v>5582</v>
      </c>
      <c r="D1553" s="5" t="s">
        <v>1510</v>
      </c>
      <c r="E1553" s="5" t="s">
        <v>2466</v>
      </c>
      <c r="F1553" s="5" t="s">
        <v>5267</v>
      </c>
      <c r="G1553" s="6">
        <v>46128.701388888891</v>
      </c>
      <c r="H1553" s="7">
        <v>46134</v>
      </c>
      <c r="I1553" s="5" t="s">
        <v>1695</v>
      </c>
      <c r="J1553" s="7">
        <v>46136</v>
      </c>
      <c r="K1553" s="5" t="s">
        <v>1527</v>
      </c>
      <c r="L1553" s="5" t="s">
        <v>1621</v>
      </c>
      <c r="M1553" s="8">
        <v>116.47</v>
      </c>
      <c r="N1553" s="5" t="s">
        <v>1529</v>
      </c>
      <c r="O1553" s="7">
        <v>46136</v>
      </c>
    </row>
    <row r="1554" spans="1:15" hidden="1" x14ac:dyDescent="0.25">
      <c r="A1554" s="5" t="s">
        <v>1522</v>
      </c>
      <c r="B1554" s="5" t="s">
        <v>5583</v>
      </c>
      <c r="D1554" s="5" t="s">
        <v>1510</v>
      </c>
      <c r="E1554" s="5" t="s">
        <v>2466</v>
      </c>
      <c r="F1554" s="5" t="s">
        <v>5267</v>
      </c>
      <c r="G1554" s="6">
        <v>46128.704861111109</v>
      </c>
      <c r="H1554" s="7">
        <v>46135</v>
      </c>
      <c r="I1554" s="5" t="s">
        <v>5584</v>
      </c>
      <c r="J1554" s="7">
        <v>46136</v>
      </c>
      <c r="K1554" s="5" t="s">
        <v>1527</v>
      </c>
      <c r="L1554" s="5" t="s">
        <v>1621</v>
      </c>
      <c r="M1554" s="8">
        <v>116.47</v>
      </c>
      <c r="N1554" s="5" t="s">
        <v>1529</v>
      </c>
      <c r="O1554" s="7">
        <v>46136</v>
      </c>
    </row>
    <row r="1555" spans="1:15" hidden="1" x14ac:dyDescent="0.25">
      <c r="A1555" s="5" t="s">
        <v>1522</v>
      </c>
      <c r="B1555" s="5" t="s">
        <v>5585</v>
      </c>
      <c r="D1555" s="5" t="s">
        <v>1510</v>
      </c>
      <c r="E1555" s="5" t="s">
        <v>2466</v>
      </c>
      <c r="F1555" s="5" t="s">
        <v>5267</v>
      </c>
      <c r="G1555" s="6">
        <v>46139.640972222223</v>
      </c>
      <c r="H1555" s="7">
        <v>46147</v>
      </c>
      <c r="I1555" s="5" t="s">
        <v>5586</v>
      </c>
      <c r="J1555" s="7">
        <v>46156</v>
      </c>
      <c r="K1555" s="5" t="s">
        <v>1527</v>
      </c>
      <c r="L1555" s="5" t="s">
        <v>1621</v>
      </c>
      <c r="M1555" s="8">
        <v>116.47</v>
      </c>
      <c r="N1555" s="5" t="s">
        <v>1529</v>
      </c>
      <c r="O1555" s="7">
        <v>46156</v>
      </c>
    </row>
    <row r="1556" spans="1:15" hidden="1" x14ac:dyDescent="0.25">
      <c r="A1556" s="5" t="s">
        <v>1522</v>
      </c>
      <c r="B1556" s="5" t="s">
        <v>5587</v>
      </c>
      <c r="D1556" s="5" t="s">
        <v>1510</v>
      </c>
      <c r="E1556" s="5" t="s">
        <v>2466</v>
      </c>
      <c r="F1556" s="5" t="s">
        <v>5267</v>
      </c>
      <c r="G1556" s="6">
        <v>46139.643055555556</v>
      </c>
      <c r="H1556" s="7">
        <v>46147</v>
      </c>
      <c r="I1556" s="5" t="s">
        <v>5588</v>
      </c>
      <c r="J1556" s="7">
        <v>46156</v>
      </c>
      <c r="K1556" s="5" t="s">
        <v>1527</v>
      </c>
      <c r="L1556" s="5" t="s">
        <v>1621</v>
      </c>
      <c r="M1556" s="8">
        <v>116.47</v>
      </c>
      <c r="N1556" s="5" t="s">
        <v>1529</v>
      </c>
      <c r="O1556" s="7">
        <v>46156</v>
      </c>
    </row>
    <row r="1557" spans="1:15" x14ac:dyDescent="0.25">
      <c r="A1557" s="5" t="s">
        <v>4</v>
      </c>
      <c r="B1557" s="5" t="s">
        <v>5589</v>
      </c>
      <c r="D1557" s="5" t="s">
        <v>154</v>
      </c>
      <c r="E1557" s="5" t="s">
        <v>5590</v>
      </c>
      <c r="F1557" s="5" t="s">
        <v>1742</v>
      </c>
      <c r="G1557" s="6">
        <v>46112.595833333333</v>
      </c>
      <c r="H1557" s="7">
        <v>46121</v>
      </c>
      <c r="I1557" s="5" t="s">
        <v>5501</v>
      </c>
      <c r="J1557" s="7">
        <v>46125</v>
      </c>
      <c r="K1557" s="5" t="s">
        <v>1527</v>
      </c>
      <c r="L1557" s="5" t="s">
        <v>1535</v>
      </c>
      <c r="M1557" s="8">
        <v>116</v>
      </c>
      <c r="N1557" s="5" t="s">
        <v>1536</v>
      </c>
      <c r="O1557" s="7">
        <v>46125</v>
      </c>
    </row>
    <row r="1558" spans="1:15" x14ac:dyDescent="0.25">
      <c r="A1558" s="5" t="s">
        <v>4</v>
      </c>
      <c r="B1558" s="5" t="s">
        <v>5591</v>
      </c>
      <c r="D1558" s="5" t="s">
        <v>371</v>
      </c>
      <c r="E1558" s="5" t="s">
        <v>5592</v>
      </c>
      <c r="F1558" s="5" t="s">
        <v>1813</v>
      </c>
      <c r="G1558" s="6">
        <v>46029.663888888892</v>
      </c>
      <c r="H1558" s="7">
        <v>46038</v>
      </c>
      <c r="I1558" s="5" t="s">
        <v>5593</v>
      </c>
      <c r="J1558" s="7">
        <v>46041</v>
      </c>
      <c r="K1558" s="5" t="s">
        <v>1527</v>
      </c>
      <c r="L1558" s="5" t="s">
        <v>1535</v>
      </c>
      <c r="M1558" s="8">
        <v>115.9</v>
      </c>
      <c r="N1558" s="5" t="s">
        <v>1536</v>
      </c>
      <c r="O1558" s="7">
        <v>46041</v>
      </c>
    </row>
    <row r="1559" spans="1:15" x14ac:dyDescent="0.25">
      <c r="A1559" s="5" t="s">
        <v>4</v>
      </c>
      <c r="B1559" s="5" t="s">
        <v>5594</v>
      </c>
      <c r="D1559" s="5" t="s">
        <v>1404</v>
      </c>
      <c r="E1559" s="5" t="s">
        <v>5595</v>
      </c>
      <c r="F1559" s="5" t="s">
        <v>5596</v>
      </c>
      <c r="G1559" s="6">
        <v>46072.452777777777</v>
      </c>
      <c r="H1559" s="7">
        <v>46079</v>
      </c>
      <c r="I1559" s="5" t="s">
        <v>4483</v>
      </c>
      <c r="J1559" s="7">
        <v>46084</v>
      </c>
      <c r="K1559" s="5" t="s">
        <v>1527</v>
      </c>
      <c r="L1559" s="5" t="s">
        <v>1621</v>
      </c>
      <c r="M1559" s="8">
        <v>115.77</v>
      </c>
      <c r="N1559" s="5" t="s">
        <v>1536</v>
      </c>
      <c r="O1559" s="7">
        <v>46084</v>
      </c>
    </row>
    <row r="1560" spans="1:15" hidden="1" x14ac:dyDescent="0.25">
      <c r="A1560" s="5" t="s">
        <v>1522</v>
      </c>
      <c r="B1560" s="5">
        <v>39691</v>
      </c>
      <c r="D1560" s="5" t="s">
        <v>1510</v>
      </c>
      <c r="E1560" s="5" t="s">
        <v>2466</v>
      </c>
      <c r="F1560" s="5" t="s">
        <v>5267</v>
      </c>
      <c r="G1560" s="6">
        <v>46146.436805555553</v>
      </c>
      <c r="H1560" s="7">
        <v>46146</v>
      </c>
      <c r="I1560" s="5" t="s">
        <v>5597</v>
      </c>
      <c r="J1560" s="7">
        <v>46167</v>
      </c>
      <c r="K1560" s="5" t="s">
        <v>1527</v>
      </c>
      <c r="L1560" s="5" t="s">
        <v>1621</v>
      </c>
      <c r="M1560" s="8">
        <v>115.5</v>
      </c>
      <c r="N1560" s="5" t="s">
        <v>1529</v>
      </c>
      <c r="O1560" s="7">
        <v>46167</v>
      </c>
    </row>
    <row r="1561" spans="1:15" hidden="1" x14ac:dyDescent="0.25">
      <c r="A1561" s="5" t="s">
        <v>1522</v>
      </c>
      <c r="B1561" s="5" t="s">
        <v>5598</v>
      </c>
      <c r="D1561" s="5" t="s">
        <v>1510</v>
      </c>
      <c r="E1561" s="5" t="s">
        <v>2466</v>
      </c>
      <c r="F1561" s="5" t="s">
        <v>5267</v>
      </c>
      <c r="G1561" s="6">
        <v>46132.695138888892</v>
      </c>
      <c r="H1561" s="7">
        <v>46139</v>
      </c>
      <c r="I1561" s="5" t="s">
        <v>5599</v>
      </c>
      <c r="J1561" s="7">
        <v>46156</v>
      </c>
      <c r="K1561" s="5" t="s">
        <v>1527</v>
      </c>
      <c r="L1561" s="5" t="s">
        <v>1621</v>
      </c>
      <c r="M1561" s="8">
        <v>115.5</v>
      </c>
      <c r="N1561" s="5" t="s">
        <v>1529</v>
      </c>
      <c r="O1561" s="7">
        <v>46156</v>
      </c>
    </row>
    <row r="1562" spans="1:15" hidden="1" x14ac:dyDescent="0.25">
      <c r="A1562" s="5" t="s">
        <v>1522</v>
      </c>
      <c r="B1562" s="5" t="s">
        <v>5600</v>
      </c>
      <c r="D1562" s="5" t="s">
        <v>1510</v>
      </c>
      <c r="E1562" s="5" t="s">
        <v>2466</v>
      </c>
      <c r="F1562" s="5" t="s">
        <v>5267</v>
      </c>
      <c r="G1562" s="6">
        <v>46139.75</v>
      </c>
      <c r="H1562" s="7">
        <v>46147</v>
      </c>
      <c r="I1562" s="5" t="s">
        <v>5601</v>
      </c>
      <c r="J1562" s="7">
        <v>46181</v>
      </c>
      <c r="K1562" s="5" t="s">
        <v>1527</v>
      </c>
      <c r="L1562" s="5" t="s">
        <v>1621</v>
      </c>
      <c r="M1562" s="8">
        <v>115.5</v>
      </c>
      <c r="N1562" s="5" t="s">
        <v>1529</v>
      </c>
      <c r="O1562" s="7">
        <v>46181</v>
      </c>
    </row>
    <row r="1563" spans="1:15" hidden="1" x14ac:dyDescent="0.25">
      <c r="A1563" s="5" t="s">
        <v>1522</v>
      </c>
      <c r="B1563" s="5" t="s">
        <v>5602</v>
      </c>
      <c r="D1563" s="5" t="s">
        <v>1510</v>
      </c>
      <c r="E1563" s="5" t="s">
        <v>2466</v>
      </c>
      <c r="F1563" s="5" t="s">
        <v>5267</v>
      </c>
      <c r="G1563" s="6">
        <v>46146.62777777778</v>
      </c>
      <c r="H1563" s="7">
        <v>46147</v>
      </c>
      <c r="I1563" s="5" t="s">
        <v>1533</v>
      </c>
      <c r="J1563" s="5" t="s">
        <v>1533</v>
      </c>
      <c r="K1563" s="5" t="s">
        <v>1540</v>
      </c>
      <c r="L1563" s="5" t="s">
        <v>1621</v>
      </c>
      <c r="M1563" s="8">
        <v>115.5</v>
      </c>
      <c r="N1563" s="5" t="s">
        <v>1541</v>
      </c>
      <c r="O1563" s="5" t="s">
        <v>1533</v>
      </c>
    </row>
    <row r="1564" spans="1:15" x14ac:dyDescent="0.25">
      <c r="A1564" s="5" t="s">
        <v>4</v>
      </c>
      <c r="B1564" s="5" t="s">
        <v>5603</v>
      </c>
      <c r="D1564" s="5" t="s">
        <v>651</v>
      </c>
      <c r="E1564" s="5" t="s">
        <v>5604</v>
      </c>
      <c r="F1564" s="5" t="s">
        <v>1738</v>
      </c>
      <c r="G1564" s="6">
        <v>46164.439583333333</v>
      </c>
      <c r="H1564" s="7">
        <v>46177</v>
      </c>
      <c r="I1564" s="6">
        <v>46175.713888888888</v>
      </c>
      <c r="J1564" s="7">
        <v>46171</v>
      </c>
      <c r="K1564" s="5" t="s">
        <v>1527</v>
      </c>
      <c r="L1564" s="5" t="s">
        <v>1564</v>
      </c>
      <c r="M1564" s="8">
        <v>115.5</v>
      </c>
      <c r="N1564" s="5" t="s">
        <v>1536</v>
      </c>
      <c r="O1564" s="7">
        <v>46171</v>
      </c>
    </row>
    <row r="1565" spans="1:15" hidden="1" x14ac:dyDescent="0.25">
      <c r="A1565" s="5" t="s">
        <v>1522</v>
      </c>
      <c r="B1565" s="5" t="s">
        <v>5605</v>
      </c>
      <c r="D1565" s="5" t="s">
        <v>1510</v>
      </c>
      <c r="E1565" s="5" t="s">
        <v>2466</v>
      </c>
      <c r="F1565" s="5" t="s">
        <v>3389</v>
      </c>
      <c r="G1565" s="6">
        <v>46037.427083333336</v>
      </c>
      <c r="H1565" s="7">
        <v>46038</v>
      </c>
      <c r="I1565" s="6">
        <v>46037.633333333331</v>
      </c>
      <c r="J1565" s="7">
        <v>46037</v>
      </c>
      <c r="K1565" s="5" t="s">
        <v>1527</v>
      </c>
      <c r="L1565" s="5" t="s">
        <v>1621</v>
      </c>
      <c r="M1565" s="8">
        <v>115.2</v>
      </c>
      <c r="N1565" s="5" t="s">
        <v>1536</v>
      </c>
      <c r="O1565" s="7">
        <v>46037</v>
      </c>
    </row>
    <row r="1566" spans="1:15" hidden="1" x14ac:dyDescent="0.25">
      <c r="A1566" s="5" t="s">
        <v>1522</v>
      </c>
      <c r="B1566" s="5" t="s">
        <v>5606</v>
      </c>
      <c r="D1566" s="5" t="s">
        <v>1510</v>
      </c>
      <c r="E1566" s="5" t="s">
        <v>2466</v>
      </c>
      <c r="F1566" s="5" t="s">
        <v>3389</v>
      </c>
      <c r="G1566" s="6">
        <v>46076.738194444442</v>
      </c>
      <c r="H1566" s="7">
        <v>46083</v>
      </c>
      <c r="I1566" s="5" t="s">
        <v>5607</v>
      </c>
      <c r="J1566" s="7">
        <v>46086</v>
      </c>
      <c r="K1566" s="5" t="s">
        <v>1527</v>
      </c>
      <c r="L1566" s="5" t="s">
        <v>1621</v>
      </c>
      <c r="M1566" s="8">
        <v>115.2</v>
      </c>
      <c r="N1566" s="5" t="s">
        <v>1536</v>
      </c>
      <c r="O1566" s="7">
        <v>46086</v>
      </c>
    </row>
    <row r="1567" spans="1:15" hidden="1" x14ac:dyDescent="0.25">
      <c r="A1567" s="5" t="s">
        <v>1522</v>
      </c>
      <c r="B1567" s="5" t="s">
        <v>5608</v>
      </c>
      <c r="D1567" s="5" t="s">
        <v>1510</v>
      </c>
      <c r="E1567" s="5" t="s">
        <v>2466</v>
      </c>
      <c r="F1567" s="5" t="s">
        <v>3389</v>
      </c>
      <c r="G1567" s="6">
        <v>46077.640277777777</v>
      </c>
      <c r="H1567" s="7">
        <v>46078</v>
      </c>
      <c r="I1567" s="6">
        <v>46078.69027777778</v>
      </c>
      <c r="J1567" s="7">
        <v>46078</v>
      </c>
      <c r="K1567" s="5" t="s">
        <v>1527</v>
      </c>
      <c r="L1567" s="5" t="s">
        <v>1621</v>
      </c>
      <c r="M1567" s="8">
        <v>115.2</v>
      </c>
      <c r="N1567" s="5" t="s">
        <v>1536</v>
      </c>
      <c r="O1567" s="7">
        <v>46078</v>
      </c>
    </row>
    <row r="1568" spans="1:15" hidden="1" x14ac:dyDescent="0.25">
      <c r="A1568" s="5" t="s">
        <v>1522</v>
      </c>
      <c r="B1568" s="5" t="s">
        <v>5609</v>
      </c>
      <c r="D1568" s="5" t="s">
        <v>1510</v>
      </c>
      <c r="E1568" s="5" t="s">
        <v>2466</v>
      </c>
      <c r="F1568" s="5" t="s">
        <v>5267</v>
      </c>
      <c r="G1568" s="6">
        <v>46101.625694444447</v>
      </c>
      <c r="H1568" s="7">
        <v>46108</v>
      </c>
      <c r="I1568" s="5" t="s">
        <v>5610</v>
      </c>
      <c r="J1568" s="7">
        <v>46134</v>
      </c>
      <c r="K1568" s="5" t="s">
        <v>1527</v>
      </c>
      <c r="L1568" s="5" t="s">
        <v>1621</v>
      </c>
      <c r="M1568" s="8">
        <v>115.14</v>
      </c>
      <c r="N1568" s="5" t="s">
        <v>1529</v>
      </c>
      <c r="O1568" s="7">
        <v>46134</v>
      </c>
    </row>
    <row r="1569" spans="1:15" x14ac:dyDescent="0.25">
      <c r="A1569" s="5" t="s">
        <v>4</v>
      </c>
      <c r="B1569" s="5" t="s">
        <v>5611</v>
      </c>
      <c r="D1569" s="5" t="s">
        <v>1470</v>
      </c>
      <c r="E1569" s="5" t="s">
        <v>4754</v>
      </c>
      <c r="F1569" s="5" t="s">
        <v>5612</v>
      </c>
      <c r="G1569" s="6">
        <v>46048.424305555556</v>
      </c>
      <c r="H1569" s="7">
        <v>46057</v>
      </c>
      <c r="I1569" s="5" t="s">
        <v>2203</v>
      </c>
      <c r="J1569" s="7">
        <v>46063</v>
      </c>
      <c r="K1569" s="5" t="s">
        <v>1527</v>
      </c>
      <c r="L1569" s="5" t="s">
        <v>1535</v>
      </c>
      <c r="M1569" s="8">
        <v>115</v>
      </c>
      <c r="N1569" s="5" t="s">
        <v>1536</v>
      </c>
      <c r="O1569" s="7">
        <v>46063</v>
      </c>
    </row>
    <row r="1570" spans="1:15" x14ac:dyDescent="0.25">
      <c r="A1570" s="5" t="s">
        <v>4</v>
      </c>
      <c r="B1570" s="5" t="s">
        <v>5613</v>
      </c>
      <c r="D1570" s="5" t="s">
        <v>1258</v>
      </c>
      <c r="E1570" s="5" t="s">
        <v>5614</v>
      </c>
      <c r="F1570" s="5" t="s">
        <v>1759</v>
      </c>
      <c r="G1570" s="6">
        <v>46136.62222222222</v>
      </c>
      <c r="H1570" s="7">
        <v>46150</v>
      </c>
      <c r="I1570" s="6">
        <v>46141.729166666664</v>
      </c>
      <c r="J1570" s="7">
        <v>46141</v>
      </c>
      <c r="K1570" s="5" t="s">
        <v>1527</v>
      </c>
      <c r="L1570" s="5" t="s">
        <v>1564</v>
      </c>
      <c r="M1570" s="8">
        <v>115</v>
      </c>
      <c r="N1570" s="5" t="s">
        <v>1536</v>
      </c>
      <c r="O1570" s="7">
        <v>46141</v>
      </c>
    </row>
    <row r="1571" spans="1:15" x14ac:dyDescent="0.25">
      <c r="A1571" s="5" t="s">
        <v>4</v>
      </c>
      <c r="B1571" s="5" t="s">
        <v>5615</v>
      </c>
      <c r="D1571" s="5" t="s">
        <v>42</v>
      </c>
      <c r="E1571" s="5" t="s">
        <v>5616</v>
      </c>
      <c r="F1571" s="5" t="s">
        <v>5617</v>
      </c>
      <c r="G1571" s="6">
        <v>46154.459722222222</v>
      </c>
      <c r="H1571" s="7">
        <v>46163</v>
      </c>
      <c r="I1571" s="5" t="s">
        <v>5618</v>
      </c>
      <c r="J1571" s="7">
        <v>46163</v>
      </c>
      <c r="K1571" s="5" t="s">
        <v>1527</v>
      </c>
      <c r="L1571" s="5" t="s">
        <v>1564</v>
      </c>
      <c r="M1571" s="8">
        <v>115</v>
      </c>
      <c r="N1571" s="5" t="s">
        <v>1536</v>
      </c>
      <c r="O1571" s="7">
        <v>46163</v>
      </c>
    </row>
    <row r="1572" spans="1:15" hidden="1" x14ac:dyDescent="0.25">
      <c r="A1572" s="5" t="s">
        <v>1522</v>
      </c>
      <c r="B1572" s="5" t="s">
        <v>5619</v>
      </c>
      <c r="D1572" s="5" t="s">
        <v>484</v>
      </c>
      <c r="E1572" s="5" t="s">
        <v>5620</v>
      </c>
      <c r="F1572" s="5" t="s">
        <v>5621</v>
      </c>
      <c r="G1572" s="6">
        <v>46141.400694444441</v>
      </c>
      <c r="H1572" s="7">
        <v>46149</v>
      </c>
      <c r="I1572" s="6">
        <v>46142.647222222222</v>
      </c>
      <c r="J1572" s="7">
        <v>46141</v>
      </c>
      <c r="K1572" s="5" t="s">
        <v>1527</v>
      </c>
      <c r="L1572" s="5" t="s">
        <v>1528</v>
      </c>
      <c r="M1572" s="8">
        <v>114.54</v>
      </c>
      <c r="N1572" s="5" t="s">
        <v>1536</v>
      </c>
      <c r="O1572" s="7">
        <v>46141</v>
      </c>
    </row>
    <row r="1573" spans="1:15" x14ac:dyDescent="0.25">
      <c r="A1573" s="5" t="s">
        <v>4</v>
      </c>
      <c r="B1573" s="5" t="s">
        <v>5622</v>
      </c>
      <c r="D1573" s="5" t="s">
        <v>255</v>
      </c>
      <c r="E1573" s="5" t="s">
        <v>5623</v>
      </c>
      <c r="F1573" s="5" t="s">
        <v>1532</v>
      </c>
      <c r="G1573" s="6">
        <v>46160.401388888888</v>
      </c>
      <c r="H1573" s="7">
        <v>46169</v>
      </c>
      <c r="I1573" s="5" t="s">
        <v>4079</v>
      </c>
      <c r="J1573" s="7">
        <v>46176</v>
      </c>
      <c r="K1573" s="5" t="s">
        <v>1527</v>
      </c>
      <c r="L1573" s="5" t="s">
        <v>1535</v>
      </c>
      <c r="M1573" s="8">
        <v>114.5</v>
      </c>
      <c r="N1573" s="5" t="s">
        <v>1529</v>
      </c>
      <c r="O1573" s="7">
        <v>46176</v>
      </c>
    </row>
    <row r="1574" spans="1:15" hidden="1" x14ac:dyDescent="0.25">
      <c r="A1574" s="5" t="s">
        <v>1522</v>
      </c>
      <c r="B1574" s="5" t="s">
        <v>5624</v>
      </c>
      <c r="D1574" s="5" t="s">
        <v>1510</v>
      </c>
      <c r="E1574" s="5" t="s">
        <v>2466</v>
      </c>
      <c r="F1574" s="5" t="s">
        <v>3389</v>
      </c>
      <c r="G1574" s="6">
        <v>46045.50277777778</v>
      </c>
      <c r="H1574" s="7">
        <v>46045</v>
      </c>
      <c r="I1574" s="6">
        <v>46045.697222222225</v>
      </c>
      <c r="J1574" s="7">
        <v>46045</v>
      </c>
      <c r="K1574" s="5" t="s">
        <v>1527</v>
      </c>
      <c r="L1574" s="5" t="s">
        <v>1621</v>
      </c>
      <c r="M1574" s="9">
        <v>114.2</v>
      </c>
      <c r="N1574" s="5" t="s">
        <v>1536</v>
      </c>
      <c r="O1574" s="7">
        <v>46045</v>
      </c>
    </row>
    <row r="1575" spans="1:15" hidden="1" x14ac:dyDescent="0.25">
      <c r="A1575" s="5" t="s">
        <v>1522</v>
      </c>
      <c r="B1575" s="5" t="s">
        <v>5625</v>
      </c>
      <c r="D1575" s="5" t="s">
        <v>1510</v>
      </c>
      <c r="E1575" s="5" t="s">
        <v>2466</v>
      </c>
      <c r="F1575" s="5" t="s">
        <v>3389</v>
      </c>
      <c r="G1575" s="6">
        <v>46076.736111111109</v>
      </c>
      <c r="H1575" s="7">
        <v>46080</v>
      </c>
      <c r="I1575" s="5" t="s">
        <v>5626</v>
      </c>
      <c r="J1575" s="7">
        <v>46086</v>
      </c>
      <c r="K1575" s="5" t="s">
        <v>1527</v>
      </c>
      <c r="L1575" s="5" t="s">
        <v>1621</v>
      </c>
      <c r="M1575" s="8">
        <v>114.2</v>
      </c>
      <c r="N1575" s="5" t="s">
        <v>1536</v>
      </c>
      <c r="O1575" s="7">
        <v>46086</v>
      </c>
    </row>
    <row r="1576" spans="1:15" hidden="1" x14ac:dyDescent="0.25">
      <c r="A1576" s="5" t="s">
        <v>1522</v>
      </c>
      <c r="B1576" s="5" t="s">
        <v>5627</v>
      </c>
      <c r="D1576" s="5" t="s">
        <v>1510</v>
      </c>
      <c r="E1576" s="5" t="s">
        <v>2466</v>
      </c>
      <c r="F1576" s="5" t="s">
        <v>3389</v>
      </c>
      <c r="G1576" s="6">
        <v>46104.696527777778</v>
      </c>
      <c r="H1576" s="7">
        <v>46108</v>
      </c>
      <c r="I1576" s="5" t="s">
        <v>5628</v>
      </c>
      <c r="J1576" s="7">
        <v>46127</v>
      </c>
      <c r="K1576" s="5" t="s">
        <v>1527</v>
      </c>
      <c r="L1576" s="5" t="s">
        <v>1621</v>
      </c>
      <c r="M1576" s="8">
        <v>114.2</v>
      </c>
      <c r="N1576" s="5" t="s">
        <v>1536</v>
      </c>
      <c r="O1576" s="7">
        <v>46127</v>
      </c>
    </row>
    <row r="1577" spans="1:15" x14ac:dyDescent="0.25">
      <c r="A1577" s="5" t="s">
        <v>4</v>
      </c>
      <c r="B1577" s="5" t="s">
        <v>5629</v>
      </c>
      <c r="D1577" s="5" t="s">
        <v>1009</v>
      </c>
      <c r="E1577" s="5" t="s">
        <v>5630</v>
      </c>
      <c r="F1577" s="5" t="s">
        <v>5631</v>
      </c>
      <c r="G1577" s="6">
        <v>46163.661805555559</v>
      </c>
      <c r="H1577" s="7">
        <v>46170</v>
      </c>
      <c r="I1577" s="6">
        <v>46168.736111111109</v>
      </c>
      <c r="J1577" s="7">
        <v>46168</v>
      </c>
      <c r="K1577" s="5" t="s">
        <v>1527</v>
      </c>
      <c r="L1577" s="5" t="s">
        <v>1621</v>
      </c>
      <c r="M1577" s="8">
        <v>114.2</v>
      </c>
      <c r="N1577" s="5" t="s">
        <v>1536</v>
      </c>
      <c r="O1577" s="7">
        <v>46168</v>
      </c>
    </row>
    <row r="1578" spans="1:15" x14ac:dyDescent="0.25">
      <c r="A1578" s="5" t="s">
        <v>4</v>
      </c>
      <c r="B1578" s="5" t="s">
        <v>5632</v>
      </c>
      <c r="D1578" s="5" t="s">
        <v>106</v>
      </c>
      <c r="E1578" s="5" t="s">
        <v>5633</v>
      </c>
      <c r="F1578" s="5" t="s">
        <v>5634</v>
      </c>
      <c r="G1578" s="6">
        <v>46142.703472222223</v>
      </c>
      <c r="H1578" s="7">
        <v>46148</v>
      </c>
      <c r="I1578" s="5" t="s">
        <v>5635</v>
      </c>
      <c r="J1578" s="7">
        <v>46150</v>
      </c>
      <c r="K1578" s="5" t="s">
        <v>1527</v>
      </c>
      <c r="L1578" s="5" t="s">
        <v>1621</v>
      </c>
      <c r="M1578" s="8">
        <v>114.17</v>
      </c>
      <c r="N1578" s="5" t="s">
        <v>1536</v>
      </c>
      <c r="O1578" s="7">
        <v>46150</v>
      </c>
    </row>
    <row r="1579" spans="1:15" hidden="1" x14ac:dyDescent="0.25">
      <c r="A1579" s="5" t="s">
        <v>1522</v>
      </c>
      <c r="B1579" s="5" t="s">
        <v>5636</v>
      </c>
      <c r="D1579" s="5" t="s">
        <v>1510</v>
      </c>
      <c r="E1579" s="5" t="s">
        <v>2466</v>
      </c>
      <c r="F1579" s="5" t="s">
        <v>5575</v>
      </c>
      <c r="G1579" s="6">
        <v>46041.725694444445</v>
      </c>
      <c r="H1579" s="7">
        <v>46045</v>
      </c>
      <c r="I1579" s="5" t="s">
        <v>5637</v>
      </c>
      <c r="J1579" s="7">
        <v>46050</v>
      </c>
      <c r="K1579" s="5" t="s">
        <v>1527</v>
      </c>
      <c r="L1579" s="5" t="s">
        <v>1621</v>
      </c>
      <c r="M1579" s="8">
        <v>113.76</v>
      </c>
      <c r="N1579" s="5" t="s">
        <v>1536</v>
      </c>
      <c r="O1579" s="7">
        <v>46050</v>
      </c>
    </row>
    <row r="1580" spans="1:15" x14ac:dyDescent="0.25">
      <c r="A1580" s="5" t="s">
        <v>4</v>
      </c>
      <c r="B1580" s="5" t="s">
        <v>5638</v>
      </c>
      <c r="D1580" s="5" t="s">
        <v>173</v>
      </c>
      <c r="E1580" s="5" t="s">
        <v>5639</v>
      </c>
      <c r="F1580" s="5" t="s">
        <v>1548</v>
      </c>
      <c r="G1580" s="6">
        <v>46035.435416666667</v>
      </c>
      <c r="H1580" s="7">
        <v>46048</v>
      </c>
      <c r="I1580" s="5" t="s">
        <v>5640</v>
      </c>
      <c r="J1580" s="7">
        <v>46049</v>
      </c>
      <c r="K1580" s="5" t="s">
        <v>1527</v>
      </c>
      <c r="L1580" s="5" t="s">
        <v>1564</v>
      </c>
      <c r="M1580" s="8">
        <v>113.5</v>
      </c>
      <c r="N1580" s="5" t="s">
        <v>1536</v>
      </c>
      <c r="O1580" s="7">
        <v>46049</v>
      </c>
    </row>
    <row r="1581" spans="1:15" hidden="1" x14ac:dyDescent="0.25">
      <c r="A1581" s="5" t="s">
        <v>1522</v>
      </c>
      <c r="B1581" s="5">
        <v>38681</v>
      </c>
      <c r="D1581" s="5" t="s">
        <v>1510</v>
      </c>
      <c r="E1581" s="5" t="s">
        <v>2466</v>
      </c>
      <c r="F1581" s="5" t="s">
        <v>5641</v>
      </c>
      <c r="G1581" s="6">
        <v>46083.638888888891</v>
      </c>
      <c r="H1581" s="7">
        <v>46091</v>
      </c>
      <c r="I1581" s="5" t="s">
        <v>5642</v>
      </c>
      <c r="J1581" s="7">
        <v>46106</v>
      </c>
      <c r="K1581" s="5" t="s">
        <v>1527</v>
      </c>
      <c r="L1581" s="5" t="s">
        <v>1564</v>
      </c>
      <c r="M1581" s="8">
        <v>113.4</v>
      </c>
      <c r="N1581" s="5" t="s">
        <v>1536</v>
      </c>
      <c r="O1581" s="7">
        <v>46106</v>
      </c>
    </row>
    <row r="1582" spans="1:15" hidden="1" x14ac:dyDescent="0.25">
      <c r="A1582" s="5" t="s">
        <v>1522</v>
      </c>
      <c r="B1582" s="5">
        <v>38997</v>
      </c>
      <c r="D1582" s="5" t="s">
        <v>1510</v>
      </c>
      <c r="E1582" s="5" t="s">
        <v>2466</v>
      </c>
      <c r="F1582" s="5" t="s">
        <v>5643</v>
      </c>
      <c r="G1582" s="6">
        <v>46101.380555555559</v>
      </c>
      <c r="H1582" s="7">
        <v>46113</v>
      </c>
      <c r="I1582" s="5" t="s">
        <v>3419</v>
      </c>
      <c r="J1582" s="7">
        <v>46114</v>
      </c>
      <c r="K1582" s="5" t="s">
        <v>1527</v>
      </c>
      <c r="L1582" s="5" t="s">
        <v>1564</v>
      </c>
      <c r="M1582" s="9">
        <v>113.4</v>
      </c>
      <c r="N1582" s="5" t="s">
        <v>1536</v>
      </c>
      <c r="O1582" s="7">
        <v>46114</v>
      </c>
    </row>
    <row r="1583" spans="1:15" hidden="1" x14ac:dyDescent="0.25">
      <c r="A1583" s="5" t="s">
        <v>1522</v>
      </c>
      <c r="B1583" s="5">
        <v>38998</v>
      </c>
      <c r="D1583" s="5" t="s">
        <v>1510</v>
      </c>
      <c r="E1583" s="5" t="s">
        <v>2466</v>
      </c>
      <c r="F1583" s="5" t="s">
        <v>5643</v>
      </c>
      <c r="G1583" s="6">
        <v>46101.381249999999</v>
      </c>
      <c r="H1583" s="7">
        <v>46113</v>
      </c>
      <c r="I1583" s="6">
        <v>46113.615277777775</v>
      </c>
      <c r="J1583" s="7">
        <v>46113</v>
      </c>
      <c r="K1583" s="5" t="s">
        <v>1527</v>
      </c>
      <c r="L1583" s="5" t="s">
        <v>1564</v>
      </c>
      <c r="M1583" s="8">
        <v>113.4</v>
      </c>
      <c r="N1583" s="5" t="s">
        <v>1536</v>
      </c>
      <c r="O1583" s="7">
        <v>46113</v>
      </c>
    </row>
    <row r="1584" spans="1:15" hidden="1" x14ac:dyDescent="0.25">
      <c r="A1584" s="5" t="s">
        <v>1522</v>
      </c>
      <c r="B1584" s="5">
        <v>39000</v>
      </c>
      <c r="D1584" s="5" t="s">
        <v>1510</v>
      </c>
      <c r="E1584" s="5" t="s">
        <v>2466</v>
      </c>
      <c r="F1584" s="5" t="s">
        <v>5643</v>
      </c>
      <c r="G1584" s="6">
        <v>46101.384722222225</v>
      </c>
      <c r="H1584" s="7">
        <v>46113</v>
      </c>
      <c r="I1584" s="5" t="s">
        <v>5644</v>
      </c>
      <c r="J1584" s="7">
        <v>46127</v>
      </c>
      <c r="K1584" s="5" t="s">
        <v>1527</v>
      </c>
      <c r="L1584" s="5" t="s">
        <v>1564</v>
      </c>
      <c r="M1584" s="8">
        <v>113.4</v>
      </c>
      <c r="N1584" s="5" t="s">
        <v>1536</v>
      </c>
      <c r="O1584" s="7">
        <v>46127</v>
      </c>
    </row>
    <row r="1585" spans="1:15" hidden="1" x14ac:dyDescent="0.25">
      <c r="A1585" s="5" t="s">
        <v>1522</v>
      </c>
      <c r="B1585" s="5" t="s">
        <v>5645</v>
      </c>
      <c r="D1585" s="5" t="s">
        <v>1510</v>
      </c>
      <c r="E1585" s="5" t="s">
        <v>2466</v>
      </c>
      <c r="F1585" s="5" t="s">
        <v>5575</v>
      </c>
      <c r="G1585" s="6">
        <v>46030.606249999997</v>
      </c>
      <c r="H1585" s="7">
        <v>46038</v>
      </c>
      <c r="I1585" s="5" t="s">
        <v>5646</v>
      </c>
      <c r="J1585" s="7">
        <v>46066</v>
      </c>
      <c r="K1585" s="5" t="s">
        <v>1527</v>
      </c>
      <c r="L1585" s="5" t="s">
        <v>1621</v>
      </c>
      <c r="M1585" s="8">
        <v>113.4</v>
      </c>
      <c r="N1585" s="5" t="s">
        <v>1536</v>
      </c>
      <c r="O1585" s="7">
        <v>46066</v>
      </c>
    </row>
    <row r="1586" spans="1:15" hidden="1" x14ac:dyDescent="0.25">
      <c r="A1586" s="5" t="s">
        <v>1522</v>
      </c>
      <c r="B1586" s="5" t="s">
        <v>5647</v>
      </c>
      <c r="D1586" s="5" t="s">
        <v>1510</v>
      </c>
      <c r="E1586" s="5" t="s">
        <v>2466</v>
      </c>
      <c r="F1586" s="5" t="s">
        <v>5575</v>
      </c>
      <c r="G1586" s="6">
        <v>46031.657638888886</v>
      </c>
      <c r="H1586" s="7">
        <v>46041</v>
      </c>
      <c r="I1586" s="5" t="s">
        <v>3182</v>
      </c>
      <c r="J1586" s="7">
        <v>46042</v>
      </c>
      <c r="K1586" s="5" t="s">
        <v>1527</v>
      </c>
      <c r="L1586" s="5" t="s">
        <v>1621</v>
      </c>
      <c r="M1586" s="8">
        <v>113.4</v>
      </c>
      <c r="N1586" s="5" t="s">
        <v>1536</v>
      </c>
      <c r="O1586" s="7">
        <v>46042</v>
      </c>
    </row>
    <row r="1587" spans="1:15" hidden="1" x14ac:dyDescent="0.25">
      <c r="A1587" s="5" t="s">
        <v>1522</v>
      </c>
      <c r="B1587" s="5" t="s">
        <v>5648</v>
      </c>
      <c r="D1587" s="5" t="s">
        <v>1510</v>
      </c>
      <c r="E1587" s="5" t="s">
        <v>2466</v>
      </c>
      <c r="F1587" s="5" t="s">
        <v>5575</v>
      </c>
      <c r="G1587" s="6">
        <v>46035.484027777777</v>
      </c>
      <c r="H1587" s="7">
        <v>46043</v>
      </c>
      <c r="I1587" s="5" t="s">
        <v>5649</v>
      </c>
      <c r="J1587" s="7">
        <v>46086</v>
      </c>
      <c r="K1587" s="5" t="s">
        <v>1527</v>
      </c>
      <c r="L1587" s="5" t="s">
        <v>1621</v>
      </c>
      <c r="M1587" s="8">
        <v>113.4</v>
      </c>
      <c r="N1587" s="5" t="s">
        <v>1536</v>
      </c>
      <c r="O1587" s="7">
        <v>46086</v>
      </c>
    </row>
    <row r="1588" spans="1:15" hidden="1" x14ac:dyDescent="0.25">
      <c r="A1588" s="5" t="s">
        <v>1522</v>
      </c>
      <c r="B1588" s="5" t="s">
        <v>5650</v>
      </c>
      <c r="D1588" s="5" t="s">
        <v>1510</v>
      </c>
      <c r="E1588" s="5" t="s">
        <v>2466</v>
      </c>
      <c r="F1588" s="5" t="s">
        <v>5575</v>
      </c>
      <c r="G1588" s="6">
        <v>46035.506249999999</v>
      </c>
      <c r="H1588" s="7">
        <v>46043</v>
      </c>
      <c r="I1588" s="6">
        <v>46042.629166666666</v>
      </c>
      <c r="J1588" s="7">
        <v>46042</v>
      </c>
      <c r="K1588" s="5" t="s">
        <v>1527</v>
      </c>
      <c r="L1588" s="5" t="s">
        <v>1621</v>
      </c>
      <c r="M1588" s="8">
        <v>113.4</v>
      </c>
      <c r="N1588" s="5" t="s">
        <v>1536</v>
      </c>
      <c r="O1588" s="7">
        <v>46042</v>
      </c>
    </row>
    <row r="1589" spans="1:15" hidden="1" x14ac:dyDescent="0.25">
      <c r="A1589" s="5" t="s">
        <v>1522</v>
      </c>
      <c r="B1589" s="5" t="s">
        <v>5651</v>
      </c>
      <c r="D1589" s="5" t="s">
        <v>1510</v>
      </c>
      <c r="E1589" s="5" t="s">
        <v>2466</v>
      </c>
      <c r="F1589" s="5" t="s">
        <v>5575</v>
      </c>
      <c r="G1589" s="6">
        <v>46037.631944444445</v>
      </c>
      <c r="H1589" s="7">
        <v>46045</v>
      </c>
      <c r="I1589" s="6">
        <v>46042.629166666666</v>
      </c>
      <c r="J1589" s="7">
        <v>46042</v>
      </c>
      <c r="K1589" s="5" t="s">
        <v>1527</v>
      </c>
      <c r="L1589" s="5" t="s">
        <v>1621</v>
      </c>
      <c r="M1589" s="8">
        <v>113.4</v>
      </c>
      <c r="N1589" s="5" t="s">
        <v>1536</v>
      </c>
      <c r="O1589" s="7">
        <v>46042</v>
      </c>
    </row>
    <row r="1590" spans="1:15" hidden="1" x14ac:dyDescent="0.25">
      <c r="A1590" s="5" t="s">
        <v>1522</v>
      </c>
      <c r="B1590" s="5" t="s">
        <v>5652</v>
      </c>
      <c r="D1590" s="5" t="s">
        <v>1510</v>
      </c>
      <c r="E1590" s="5" t="s">
        <v>2466</v>
      </c>
      <c r="F1590" s="5" t="s">
        <v>5575</v>
      </c>
      <c r="G1590" s="6">
        <v>46041.638888888891</v>
      </c>
      <c r="H1590" s="7">
        <v>46049</v>
      </c>
      <c r="I1590" s="5" t="s">
        <v>5653</v>
      </c>
      <c r="J1590" s="7">
        <v>46062</v>
      </c>
      <c r="K1590" s="5" t="s">
        <v>1527</v>
      </c>
      <c r="L1590" s="5" t="s">
        <v>1554</v>
      </c>
      <c r="M1590" s="8">
        <v>113.4</v>
      </c>
      <c r="N1590" s="5" t="s">
        <v>1536</v>
      </c>
      <c r="O1590" s="7">
        <v>46062</v>
      </c>
    </row>
    <row r="1591" spans="1:15" hidden="1" x14ac:dyDescent="0.25">
      <c r="A1591" s="5" t="s">
        <v>1522</v>
      </c>
      <c r="B1591" s="5" t="s">
        <v>5654</v>
      </c>
      <c r="D1591" s="5" t="s">
        <v>1510</v>
      </c>
      <c r="E1591" s="5" t="s">
        <v>2466</v>
      </c>
      <c r="F1591" s="5" t="s">
        <v>5575</v>
      </c>
      <c r="G1591" s="6">
        <v>46041.646527777775</v>
      </c>
      <c r="H1591" s="7">
        <v>46049</v>
      </c>
      <c r="I1591" s="5" t="s">
        <v>5655</v>
      </c>
      <c r="J1591" s="7">
        <v>46090</v>
      </c>
      <c r="K1591" s="5" t="s">
        <v>1527</v>
      </c>
      <c r="L1591" s="5" t="s">
        <v>1621</v>
      </c>
      <c r="M1591" s="8">
        <v>113.4</v>
      </c>
      <c r="N1591" s="5" t="s">
        <v>1536</v>
      </c>
      <c r="O1591" s="7">
        <v>46090</v>
      </c>
    </row>
    <row r="1592" spans="1:15" hidden="1" x14ac:dyDescent="0.25">
      <c r="A1592" s="5" t="s">
        <v>1522</v>
      </c>
      <c r="B1592" s="5" t="s">
        <v>5656</v>
      </c>
      <c r="D1592" s="5" t="s">
        <v>1510</v>
      </c>
      <c r="E1592" s="5" t="s">
        <v>2466</v>
      </c>
      <c r="F1592" s="5" t="s">
        <v>5575</v>
      </c>
      <c r="G1592" s="6">
        <v>46051.694444444445</v>
      </c>
      <c r="H1592" s="7">
        <v>46058</v>
      </c>
      <c r="I1592" s="6">
        <v>46055.640277777777</v>
      </c>
      <c r="J1592" s="7">
        <v>46055</v>
      </c>
      <c r="K1592" s="5" t="s">
        <v>1527</v>
      </c>
      <c r="L1592" s="5" t="s">
        <v>1621</v>
      </c>
      <c r="M1592" s="8">
        <v>113.4</v>
      </c>
      <c r="N1592" s="5" t="s">
        <v>1536</v>
      </c>
      <c r="O1592" s="7">
        <v>46055</v>
      </c>
    </row>
    <row r="1593" spans="1:15" hidden="1" x14ac:dyDescent="0.25">
      <c r="A1593" s="5" t="s">
        <v>1522</v>
      </c>
      <c r="B1593" s="5" t="s">
        <v>5657</v>
      </c>
      <c r="D1593" s="5" t="s">
        <v>1510</v>
      </c>
      <c r="E1593" s="5" t="s">
        <v>2466</v>
      </c>
      <c r="F1593" s="5" t="s">
        <v>5575</v>
      </c>
      <c r="G1593" s="6">
        <v>46055.713888888888</v>
      </c>
      <c r="H1593" s="7">
        <v>46063</v>
      </c>
      <c r="I1593" s="5" t="s">
        <v>5658</v>
      </c>
      <c r="J1593" s="7">
        <v>46071</v>
      </c>
      <c r="K1593" s="5" t="s">
        <v>1527</v>
      </c>
      <c r="L1593" s="5" t="s">
        <v>1621</v>
      </c>
      <c r="M1593" s="8">
        <v>113.4</v>
      </c>
      <c r="N1593" s="5" t="s">
        <v>1536</v>
      </c>
      <c r="O1593" s="7">
        <v>46071</v>
      </c>
    </row>
    <row r="1594" spans="1:15" hidden="1" x14ac:dyDescent="0.25">
      <c r="A1594" s="5" t="s">
        <v>1522</v>
      </c>
      <c r="B1594" s="5" t="s">
        <v>5659</v>
      </c>
      <c r="D1594" s="5" t="s">
        <v>1510</v>
      </c>
      <c r="E1594" s="5" t="s">
        <v>2466</v>
      </c>
      <c r="F1594" s="5" t="s">
        <v>5575</v>
      </c>
      <c r="G1594" s="6">
        <v>46064.631249999999</v>
      </c>
      <c r="H1594" s="7">
        <v>46071</v>
      </c>
      <c r="I1594" s="5" t="s">
        <v>5660</v>
      </c>
      <c r="J1594" s="7">
        <v>46073</v>
      </c>
      <c r="K1594" s="5" t="s">
        <v>1527</v>
      </c>
      <c r="L1594" s="5" t="s">
        <v>1621</v>
      </c>
      <c r="M1594" s="8">
        <v>113.4</v>
      </c>
      <c r="N1594" s="5" t="s">
        <v>1536</v>
      </c>
      <c r="O1594" s="7">
        <v>46073</v>
      </c>
    </row>
    <row r="1595" spans="1:15" hidden="1" x14ac:dyDescent="0.25">
      <c r="A1595" s="5" t="s">
        <v>1522</v>
      </c>
      <c r="B1595" s="5" t="s">
        <v>5661</v>
      </c>
      <c r="D1595" s="5" t="s">
        <v>1510</v>
      </c>
      <c r="E1595" s="5" t="s">
        <v>2466</v>
      </c>
      <c r="F1595" s="5" t="s">
        <v>5575</v>
      </c>
      <c r="G1595" s="6">
        <v>46065.655555555553</v>
      </c>
      <c r="H1595" s="7">
        <v>46072</v>
      </c>
      <c r="I1595" s="5" t="s">
        <v>5662</v>
      </c>
      <c r="J1595" s="7">
        <v>46076</v>
      </c>
      <c r="K1595" s="5" t="s">
        <v>1527</v>
      </c>
      <c r="L1595" s="5" t="s">
        <v>1621</v>
      </c>
      <c r="M1595" s="8">
        <v>113.4</v>
      </c>
      <c r="N1595" s="5" t="s">
        <v>1536</v>
      </c>
      <c r="O1595" s="7">
        <v>46076</v>
      </c>
    </row>
    <row r="1596" spans="1:15" hidden="1" x14ac:dyDescent="0.25">
      <c r="A1596" s="5" t="s">
        <v>1522</v>
      </c>
      <c r="B1596" s="5" t="s">
        <v>5663</v>
      </c>
      <c r="D1596" s="5" t="s">
        <v>1510</v>
      </c>
      <c r="E1596" s="5" t="s">
        <v>2466</v>
      </c>
      <c r="F1596" s="5" t="s">
        <v>5575</v>
      </c>
      <c r="G1596" s="6">
        <v>46065.65902777778</v>
      </c>
      <c r="H1596" s="7">
        <v>46072</v>
      </c>
      <c r="I1596" s="5" t="s">
        <v>5664</v>
      </c>
      <c r="J1596" s="7">
        <v>46086</v>
      </c>
      <c r="K1596" s="5" t="s">
        <v>1527</v>
      </c>
      <c r="L1596" s="5" t="s">
        <v>1621</v>
      </c>
      <c r="M1596" s="8">
        <v>113.4</v>
      </c>
      <c r="N1596" s="5" t="s">
        <v>1536</v>
      </c>
      <c r="O1596" s="7">
        <v>46086</v>
      </c>
    </row>
    <row r="1597" spans="1:15" hidden="1" x14ac:dyDescent="0.25">
      <c r="A1597" s="5" t="s">
        <v>1522</v>
      </c>
      <c r="B1597" s="5" t="s">
        <v>5665</v>
      </c>
      <c r="D1597" s="5" t="s">
        <v>1510</v>
      </c>
      <c r="E1597" s="5" t="s">
        <v>2466</v>
      </c>
      <c r="F1597" s="5" t="s">
        <v>5575</v>
      </c>
      <c r="G1597" s="6">
        <v>46066.663194444445</v>
      </c>
      <c r="H1597" s="7">
        <v>46073</v>
      </c>
      <c r="I1597" s="5" t="s">
        <v>5666</v>
      </c>
      <c r="J1597" s="7">
        <v>46100</v>
      </c>
      <c r="K1597" s="5" t="s">
        <v>1527</v>
      </c>
      <c r="L1597" s="5" t="s">
        <v>1621</v>
      </c>
      <c r="M1597" s="8">
        <v>113.4</v>
      </c>
      <c r="N1597" s="5" t="s">
        <v>1536</v>
      </c>
      <c r="O1597" s="7">
        <v>46100</v>
      </c>
    </row>
    <row r="1598" spans="1:15" hidden="1" x14ac:dyDescent="0.25">
      <c r="A1598" s="5" t="s">
        <v>1522</v>
      </c>
      <c r="B1598" s="5" t="s">
        <v>5667</v>
      </c>
      <c r="D1598" s="5" t="s">
        <v>1510</v>
      </c>
      <c r="E1598" s="5" t="s">
        <v>2466</v>
      </c>
      <c r="F1598" s="5" t="s">
        <v>5575</v>
      </c>
      <c r="G1598" s="6">
        <v>46072.42083333333</v>
      </c>
      <c r="H1598" s="7">
        <v>46079</v>
      </c>
      <c r="I1598" s="5" t="s">
        <v>5668</v>
      </c>
      <c r="J1598" s="7">
        <v>46127</v>
      </c>
      <c r="K1598" s="5" t="s">
        <v>1527</v>
      </c>
      <c r="L1598" s="5" t="s">
        <v>1621</v>
      </c>
      <c r="M1598" s="8">
        <v>113.4</v>
      </c>
      <c r="N1598" s="5" t="s">
        <v>1536</v>
      </c>
      <c r="O1598" s="7">
        <v>46127</v>
      </c>
    </row>
    <row r="1599" spans="1:15" hidden="1" x14ac:dyDescent="0.25">
      <c r="A1599" s="5" t="s">
        <v>1522</v>
      </c>
      <c r="B1599" s="5" t="s">
        <v>5669</v>
      </c>
      <c r="D1599" s="5" t="s">
        <v>1510</v>
      </c>
      <c r="E1599" s="5" t="s">
        <v>2466</v>
      </c>
      <c r="F1599" s="5" t="s">
        <v>5575</v>
      </c>
      <c r="G1599" s="6">
        <v>46072.68472222222</v>
      </c>
      <c r="H1599" s="7">
        <v>46079</v>
      </c>
      <c r="I1599" s="5" t="s">
        <v>5670</v>
      </c>
      <c r="J1599" s="7">
        <v>46127</v>
      </c>
      <c r="K1599" s="5" t="s">
        <v>1527</v>
      </c>
      <c r="L1599" s="5" t="s">
        <v>1621</v>
      </c>
      <c r="M1599" s="8">
        <v>113.4</v>
      </c>
      <c r="N1599" s="5" t="s">
        <v>1536</v>
      </c>
      <c r="O1599" s="7">
        <v>46127</v>
      </c>
    </row>
    <row r="1600" spans="1:15" hidden="1" x14ac:dyDescent="0.25">
      <c r="A1600" s="5" t="s">
        <v>1522</v>
      </c>
      <c r="B1600" s="5" t="s">
        <v>5671</v>
      </c>
      <c r="D1600" s="5" t="s">
        <v>1510</v>
      </c>
      <c r="E1600" s="5" t="s">
        <v>2466</v>
      </c>
      <c r="F1600" s="5" t="s">
        <v>5575</v>
      </c>
      <c r="G1600" s="6">
        <v>46073.677777777775</v>
      </c>
      <c r="H1600" s="7">
        <v>46080</v>
      </c>
      <c r="I1600" s="5" t="s">
        <v>5672</v>
      </c>
      <c r="J1600" s="7">
        <v>46094</v>
      </c>
      <c r="K1600" s="5" t="s">
        <v>1527</v>
      </c>
      <c r="L1600" s="5" t="s">
        <v>1621</v>
      </c>
      <c r="M1600" s="8">
        <v>113.4</v>
      </c>
      <c r="N1600" s="5" t="s">
        <v>1536</v>
      </c>
      <c r="O1600" s="7">
        <v>46094</v>
      </c>
    </row>
    <row r="1601" spans="1:15" hidden="1" x14ac:dyDescent="0.25">
      <c r="A1601" s="5" t="s">
        <v>1522</v>
      </c>
      <c r="B1601" s="5" t="s">
        <v>5673</v>
      </c>
      <c r="D1601" s="5" t="s">
        <v>1510</v>
      </c>
      <c r="E1601" s="5" t="s">
        <v>2466</v>
      </c>
      <c r="F1601" s="5" t="s">
        <v>5575</v>
      </c>
      <c r="G1601" s="6">
        <v>46073.679166666669</v>
      </c>
      <c r="H1601" s="7">
        <v>46080</v>
      </c>
      <c r="I1601" s="5" t="s">
        <v>5674</v>
      </c>
      <c r="J1601" s="7">
        <v>46083</v>
      </c>
      <c r="K1601" s="5" t="s">
        <v>1527</v>
      </c>
      <c r="L1601" s="5" t="s">
        <v>1621</v>
      </c>
      <c r="M1601" s="8">
        <v>113.4</v>
      </c>
      <c r="N1601" s="5" t="s">
        <v>1536</v>
      </c>
      <c r="O1601" s="7">
        <v>46083</v>
      </c>
    </row>
    <row r="1602" spans="1:15" hidden="1" x14ac:dyDescent="0.25">
      <c r="A1602" s="5" t="s">
        <v>1522</v>
      </c>
      <c r="B1602" s="5" t="s">
        <v>5675</v>
      </c>
      <c r="D1602" s="5" t="s">
        <v>1510</v>
      </c>
      <c r="E1602" s="5" t="s">
        <v>2466</v>
      </c>
      <c r="F1602" s="5" t="s">
        <v>5575</v>
      </c>
      <c r="G1602" s="6">
        <v>46076.734027777777</v>
      </c>
      <c r="H1602" s="7">
        <v>46084</v>
      </c>
      <c r="I1602" s="5" t="s">
        <v>5676</v>
      </c>
      <c r="J1602" s="7">
        <v>46086</v>
      </c>
      <c r="K1602" s="5" t="s">
        <v>1527</v>
      </c>
      <c r="L1602" s="5" t="s">
        <v>1621</v>
      </c>
      <c r="M1602" s="8">
        <v>113.4</v>
      </c>
      <c r="N1602" s="5" t="s">
        <v>1536</v>
      </c>
      <c r="O1602" s="7">
        <v>46086</v>
      </c>
    </row>
    <row r="1603" spans="1:15" hidden="1" x14ac:dyDescent="0.25">
      <c r="A1603" s="5" t="s">
        <v>1522</v>
      </c>
      <c r="B1603" s="5" t="s">
        <v>5677</v>
      </c>
      <c r="D1603" s="5" t="s">
        <v>1510</v>
      </c>
      <c r="E1603" s="5" t="s">
        <v>2466</v>
      </c>
      <c r="F1603" s="5" t="s">
        <v>5575</v>
      </c>
      <c r="G1603" s="6">
        <v>46079.652083333334</v>
      </c>
      <c r="H1603" s="7">
        <v>46087</v>
      </c>
      <c r="I1603" s="5" t="s">
        <v>5678</v>
      </c>
      <c r="J1603" s="7">
        <v>46091</v>
      </c>
      <c r="K1603" s="5" t="s">
        <v>1527</v>
      </c>
      <c r="L1603" s="5" t="s">
        <v>1621</v>
      </c>
      <c r="M1603" s="8">
        <v>113.4</v>
      </c>
      <c r="N1603" s="5" t="s">
        <v>1536</v>
      </c>
      <c r="O1603" s="7">
        <v>46091</v>
      </c>
    </row>
    <row r="1604" spans="1:15" hidden="1" x14ac:dyDescent="0.25">
      <c r="A1604" s="5" t="s">
        <v>1522</v>
      </c>
      <c r="B1604" s="5" t="s">
        <v>5679</v>
      </c>
      <c r="D1604" s="5" t="s">
        <v>1510</v>
      </c>
      <c r="E1604" s="5" t="s">
        <v>2466</v>
      </c>
      <c r="F1604" s="5" t="s">
        <v>5267</v>
      </c>
      <c r="G1604" s="6">
        <v>46090.640972222223</v>
      </c>
      <c r="H1604" s="7">
        <v>46097</v>
      </c>
      <c r="I1604" s="5" t="s">
        <v>3677</v>
      </c>
      <c r="J1604" s="7">
        <v>46106</v>
      </c>
      <c r="K1604" s="5" t="s">
        <v>1527</v>
      </c>
      <c r="L1604" s="5" t="s">
        <v>1621</v>
      </c>
      <c r="M1604" s="8">
        <v>113.4</v>
      </c>
      <c r="N1604" s="5" t="s">
        <v>1536</v>
      </c>
      <c r="O1604" s="7">
        <v>46106</v>
      </c>
    </row>
    <row r="1605" spans="1:15" hidden="1" x14ac:dyDescent="0.25">
      <c r="A1605" s="5" t="s">
        <v>1522</v>
      </c>
      <c r="B1605" s="5" t="s">
        <v>5680</v>
      </c>
      <c r="D1605" s="5" t="s">
        <v>1510</v>
      </c>
      <c r="E1605" s="5" t="s">
        <v>2466</v>
      </c>
      <c r="F1605" s="5" t="s">
        <v>5575</v>
      </c>
      <c r="G1605" s="6">
        <v>46094.654166666667</v>
      </c>
      <c r="H1605" s="7">
        <v>46101</v>
      </c>
      <c r="I1605" s="5" t="s">
        <v>5681</v>
      </c>
      <c r="J1605" s="7">
        <v>46127</v>
      </c>
      <c r="K1605" s="5" t="s">
        <v>1527</v>
      </c>
      <c r="L1605" s="5" t="s">
        <v>1621</v>
      </c>
      <c r="M1605" s="8">
        <v>113.4</v>
      </c>
      <c r="N1605" s="5" t="s">
        <v>1536</v>
      </c>
      <c r="O1605" s="7">
        <v>46127</v>
      </c>
    </row>
    <row r="1606" spans="1:15" hidden="1" x14ac:dyDescent="0.25">
      <c r="A1606" s="5" t="s">
        <v>1522</v>
      </c>
      <c r="B1606" s="5" t="s">
        <v>5682</v>
      </c>
      <c r="D1606" s="5" t="s">
        <v>1510</v>
      </c>
      <c r="E1606" s="5" t="s">
        <v>2466</v>
      </c>
      <c r="F1606" s="5" t="s">
        <v>5267</v>
      </c>
      <c r="G1606" s="6">
        <v>46107.684027777781</v>
      </c>
      <c r="H1606" s="7">
        <v>46114</v>
      </c>
      <c r="I1606" s="5" t="s">
        <v>5683</v>
      </c>
      <c r="J1606" s="7">
        <v>46127</v>
      </c>
      <c r="K1606" s="5" t="s">
        <v>1527</v>
      </c>
      <c r="L1606" s="5" t="s">
        <v>1621</v>
      </c>
      <c r="M1606" s="8">
        <v>113.4</v>
      </c>
      <c r="N1606" s="5" t="s">
        <v>1536</v>
      </c>
      <c r="O1606" s="7">
        <v>46127</v>
      </c>
    </row>
    <row r="1607" spans="1:15" hidden="1" x14ac:dyDescent="0.25">
      <c r="A1607" s="5" t="s">
        <v>1522</v>
      </c>
      <c r="B1607" s="5" t="s">
        <v>5684</v>
      </c>
      <c r="D1607" s="5" t="s">
        <v>1510</v>
      </c>
      <c r="E1607" s="5" t="s">
        <v>2466</v>
      </c>
      <c r="F1607" s="5" t="s">
        <v>5267</v>
      </c>
      <c r="G1607" s="6">
        <v>46114.714583333334</v>
      </c>
      <c r="H1607" s="7">
        <v>46125</v>
      </c>
      <c r="I1607" s="5" t="s">
        <v>5685</v>
      </c>
      <c r="J1607" s="7">
        <v>46162</v>
      </c>
      <c r="K1607" s="5" t="s">
        <v>1527</v>
      </c>
      <c r="L1607" s="5" t="s">
        <v>1621</v>
      </c>
      <c r="M1607" s="8">
        <v>113.4</v>
      </c>
      <c r="N1607" s="5" t="s">
        <v>1529</v>
      </c>
      <c r="O1607" s="7">
        <v>46162</v>
      </c>
    </row>
    <row r="1608" spans="1:15" hidden="1" x14ac:dyDescent="0.25">
      <c r="A1608" s="5" t="s">
        <v>1522</v>
      </c>
      <c r="B1608" s="5" t="s">
        <v>5686</v>
      </c>
      <c r="D1608" s="5" t="s">
        <v>1510</v>
      </c>
      <c r="E1608" s="5" t="s">
        <v>2466</v>
      </c>
      <c r="F1608" s="5" t="s">
        <v>5267</v>
      </c>
      <c r="G1608" s="6">
        <v>46125.662499999999</v>
      </c>
      <c r="H1608" s="7">
        <v>46129</v>
      </c>
      <c r="I1608" s="6">
        <v>46127.723611111112</v>
      </c>
      <c r="J1608" s="7">
        <v>46128</v>
      </c>
      <c r="K1608" s="5" t="s">
        <v>1527</v>
      </c>
      <c r="L1608" s="5" t="s">
        <v>1621</v>
      </c>
      <c r="M1608" s="8">
        <v>113.4</v>
      </c>
      <c r="N1608" s="5" t="s">
        <v>1536</v>
      </c>
      <c r="O1608" s="7">
        <v>46128</v>
      </c>
    </row>
    <row r="1609" spans="1:15" hidden="1" x14ac:dyDescent="0.25">
      <c r="A1609" s="5" t="s">
        <v>1522</v>
      </c>
      <c r="B1609" s="5" t="s">
        <v>5687</v>
      </c>
      <c r="D1609" s="5" t="s">
        <v>1510</v>
      </c>
      <c r="E1609" s="5" t="s">
        <v>2466</v>
      </c>
      <c r="F1609" s="5" t="s">
        <v>5267</v>
      </c>
      <c r="G1609" s="6">
        <v>46125.665277777778</v>
      </c>
      <c r="H1609" s="7">
        <v>46129</v>
      </c>
      <c r="I1609" s="6">
        <v>46127.724305555559</v>
      </c>
      <c r="J1609" s="7">
        <v>46128</v>
      </c>
      <c r="K1609" s="5" t="s">
        <v>1527</v>
      </c>
      <c r="L1609" s="5" t="s">
        <v>1621</v>
      </c>
      <c r="M1609" s="8">
        <v>113.4</v>
      </c>
      <c r="N1609" s="5" t="s">
        <v>1536</v>
      </c>
      <c r="O1609" s="7">
        <v>46128</v>
      </c>
    </row>
    <row r="1610" spans="1:15" hidden="1" x14ac:dyDescent="0.25">
      <c r="A1610" s="5" t="s">
        <v>1522</v>
      </c>
      <c r="B1610" s="5" t="s">
        <v>5688</v>
      </c>
      <c r="D1610" s="5" t="s">
        <v>1510</v>
      </c>
      <c r="E1610" s="5" t="s">
        <v>2466</v>
      </c>
      <c r="F1610" s="5" t="s">
        <v>5267</v>
      </c>
      <c r="G1610" s="6">
        <v>46128.706944444442</v>
      </c>
      <c r="H1610" s="7">
        <v>46135</v>
      </c>
      <c r="I1610" s="5" t="s">
        <v>5584</v>
      </c>
      <c r="J1610" s="7">
        <v>46136</v>
      </c>
      <c r="K1610" s="5" t="s">
        <v>1527</v>
      </c>
      <c r="L1610" s="5" t="s">
        <v>1621</v>
      </c>
      <c r="M1610" s="8">
        <v>113.4</v>
      </c>
      <c r="N1610" s="5" t="s">
        <v>1529</v>
      </c>
      <c r="O1610" s="7">
        <v>46136</v>
      </c>
    </row>
    <row r="1611" spans="1:15" hidden="1" x14ac:dyDescent="0.25">
      <c r="A1611" s="5" t="s">
        <v>1522</v>
      </c>
      <c r="B1611" s="5" t="s">
        <v>5689</v>
      </c>
      <c r="D1611" s="5" t="s">
        <v>1510</v>
      </c>
      <c r="E1611" s="5" t="s">
        <v>2466</v>
      </c>
      <c r="F1611" s="5" t="s">
        <v>5267</v>
      </c>
      <c r="G1611" s="6">
        <v>46128.708333333336</v>
      </c>
      <c r="H1611" s="7">
        <v>46136</v>
      </c>
      <c r="I1611" s="5" t="s">
        <v>5690</v>
      </c>
      <c r="J1611" s="5" t="s">
        <v>1533</v>
      </c>
      <c r="K1611" s="5" t="s">
        <v>1527</v>
      </c>
      <c r="L1611" s="5" t="s">
        <v>1621</v>
      </c>
      <c r="M1611" s="8">
        <v>113.4</v>
      </c>
      <c r="N1611" s="5" t="s">
        <v>1541</v>
      </c>
      <c r="O1611" s="5" t="s">
        <v>1533</v>
      </c>
    </row>
    <row r="1612" spans="1:15" hidden="1" x14ac:dyDescent="0.25">
      <c r="A1612" s="5" t="s">
        <v>1522</v>
      </c>
      <c r="B1612" s="5" t="s">
        <v>5691</v>
      </c>
      <c r="D1612" s="5" t="s">
        <v>1510</v>
      </c>
      <c r="E1612" s="5" t="s">
        <v>2466</v>
      </c>
      <c r="F1612" s="5" t="s">
        <v>5267</v>
      </c>
      <c r="G1612" s="6">
        <v>46132.697222222225</v>
      </c>
      <c r="H1612" s="7">
        <v>46139</v>
      </c>
      <c r="I1612" s="6">
        <v>46136.679166666669</v>
      </c>
      <c r="J1612" s="7">
        <v>46140</v>
      </c>
      <c r="K1612" s="5" t="s">
        <v>1527</v>
      </c>
      <c r="L1612" s="5" t="s">
        <v>1621</v>
      </c>
      <c r="M1612" s="8">
        <v>113.4</v>
      </c>
      <c r="N1612" s="5" t="s">
        <v>1529</v>
      </c>
      <c r="O1612" s="7">
        <v>46140</v>
      </c>
    </row>
    <row r="1613" spans="1:15" hidden="1" x14ac:dyDescent="0.25">
      <c r="A1613" s="5" t="s">
        <v>1522</v>
      </c>
      <c r="B1613" s="5" t="s">
        <v>5692</v>
      </c>
      <c r="D1613" s="5" t="s">
        <v>1510</v>
      </c>
      <c r="E1613" s="5" t="s">
        <v>2466</v>
      </c>
      <c r="F1613" s="5" t="s">
        <v>5267</v>
      </c>
      <c r="G1613" s="6">
        <v>46134.72152777778</v>
      </c>
      <c r="H1613" s="7">
        <v>46142</v>
      </c>
      <c r="I1613" s="6">
        <v>46141.730555555558</v>
      </c>
      <c r="J1613" s="7">
        <v>46162</v>
      </c>
      <c r="K1613" s="5" t="s">
        <v>1527</v>
      </c>
      <c r="L1613" s="5" t="s">
        <v>1621</v>
      </c>
      <c r="M1613" s="8">
        <v>113.4</v>
      </c>
      <c r="N1613" s="5" t="s">
        <v>1529</v>
      </c>
      <c r="O1613" s="7">
        <v>46162</v>
      </c>
    </row>
    <row r="1614" spans="1:15" hidden="1" x14ac:dyDescent="0.25">
      <c r="A1614" s="5" t="s">
        <v>1522</v>
      </c>
      <c r="B1614" s="5" t="s">
        <v>5693</v>
      </c>
      <c r="D1614" s="5" t="s">
        <v>1510</v>
      </c>
      <c r="E1614" s="5" t="s">
        <v>2466</v>
      </c>
      <c r="F1614" s="5" t="s">
        <v>5267</v>
      </c>
      <c r="G1614" s="6">
        <v>46134.722916666666</v>
      </c>
      <c r="H1614" s="7">
        <v>46142</v>
      </c>
      <c r="I1614" s="5" t="s">
        <v>5694</v>
      </c>
      <c r="J1614" s="7">
        <v>46153</v>
      </c>
      <c r="K1614" s="5" t="s">
        <v>1527</v>
      </c>
      <c r="L1614" s="5" t="s">
        <v>1621</v>
      </c>
      <c r="M1614" s="8">
        <v>113.4</v>
      </c>
      <c r="N1614" s="5" t="s">
        <v>1529</v>
      </c>
      <c r="O1614" s="7">
        <v>46153</v>
      </c>
    </row>
    <row r="1615" spans="1:15" hidden="1" x14ac:dyDescent="0.25">
      <c r="A1615" s="5" t="s">
        <v>1522</v>
      </c>
      <c r="B1615" s="5" t="s">
        <v>5695</v>
      </c>
      <c r="D1615" s="5" t="s">
        <v>1510</v>
      </c>
      <c r="E1615" s="5" t="s">
        <v>2466</v>
      </c>
      <c r="F1615" s="5" t="s">
        <v>5267</v>
      </c>
      <c r="G1615" s="6">
        <v>46134.724305555559</v>
      </c>
      <c r="H1615" s="7">
        <v>46142</v>
      </c>
      <c r="I1615" s="5" t="s">
        <v>5696</v>
      </c>
      <c r="J1615" s="7">
        <v>46156</v>
      </c>
      <c r="K1615" s="5" t="s">
        <v>1527</v>
      </c>
      <c r="L1615" s="5" t="s">
        <v>1621</v>
      </c>
      <c r="M1615" s="8">
        <v>113.4</v>
      </c>
      <c r="N1615" s="5" t="s">
        <v>1529</v>
      </c>
      <c r="O1615" s="7">
        <v>46156</v>
      </c>
    </row>
    <row r="1616" spans="1:15" hidden="1" x14ac:dyDescent="0.25">
      <c r="A1616" s="5" t="s">
        <v>1522</v>
      </c>
      <c r="B1616" s="5" t="s">
        <v>5697</v>
      </c>
      <c r="D1616" s="5" t="s">
        <v>1510</v>
      </c>
      <c r="E1616" s="5" t="s">
        <v>2466</v>
      </c>
      <c r="F1616" s="5" t="s">
        <v>5267</v>
      </c>
      <c r="G1616" s="6">
        <v>46134.726388888892</v>
      </c>
      <c r="H1616" s="7">
        <v>46142</v>
      </c>
      <c r="I1616" s="6">
        <v>46141.730555555558</v>
      </c>
      <c r="J1616" s="7">
        <v>46162</v>
      </c>
      <c r="K1616" s="5" t="s">
        <v>1527</v>
      </c>
      <c r="L1616" s="5" t="s">
        <v>1621</v>
      </c>
      <c r="M1616" s="8">
        <v>113.4</v>
      </c>
      <c r="N1616" s="5" t="s">
        <v>1529</v>
      </c>
      <c r="O1616" s="7">
        <v>46162</v>
      </c>
    </row>
    <row r="1617" spans="1:15" hidden="1" x14ac:dyDescent="0.25">
      <c r="A1617" s="5" t="s">
        <v>1522</v>
      </c>
      <c r="B1617" s="5" t="s">
        <v>5698</v>
      </c>
      <c r="D1617" s="5" t="s">
        <v>1510</v>
      </c>
      <c r="E1617" s="5" t="s">
        <v>2466</v>
      </c>
      <c r="F1617" s="5" t="s">
        <v>5267</v>
      </c>
      <c r="G1617" s="6">
        <v>46139.633333333331</v>
      </c>
      <c r="H1617" s="7">
        <v>46146</v>
      </c>
      <c r="I1617" s="5" t="s">
        <v>4086</v>
      </c>
      <c r="J1617" s="7">
        <v>46147</v>
      </c>
      <c r="K1617" s="5" t="s">
        <v>1527</v>
      </c>
      <c r="L1617" s="5" t="s">
        <v>1621</v>
      </c>
      <c r="M1617" s="8">
        <v>113.4</v>
      </c>
      <c r="N1617" s="5" t="s">
        <v>1529</v>
      </c>
      <c r="O1617" s="7">
        <v>46147</v>
      </c>
    </row>
    <row r="1618" spans="1:15" hidden="1" x14ac:dyDescent="0.25">
      <c r="A1618" s="5" t="s">
        <v>1522</v>
      </c>
      <c r="B1618" s="5" t="s">
        <v>5699</v>
      </c>
      <c r="D1618" s="5" t="s">
        <v>1510</v>
      </c>
      <c r="E1618" s="5" t="s">
        <v>2466</v>
      </c>
      <c r="F1618" s="5" t="s">
        <v>5267</v>
      </c>
      <c r="G1618" s="6">
        <v>46139.636111111111</v>
      </c>
      <c r="H1618" s="7">
        <v>46146</v>
      </c>
      <c r="I1618" s="5" t="s">
        <v>5700</v>
      </c>
      <c r="J1618" s="7">
        <v>46153</v>
      </c>
      <c r="K1618" s="5" t="s">
        <v>1527</v>
      </c>
      <c r="L1618" s="5" t="s">
        <v>1621</v>
      </c>
      <c r="M1618" s="8">
        <v>113.4</v>
      </c>
      <c r="N1618" s="5" t="s">
        <v>1529</v>
      </c>
      <c r="O1618" s="7">
        <v>46153</v>
      </c>
    </row>
    <row r="1619" spans="1:15" hidden="1" x14ac:dyDescent="0.25">
      <c r="A1619" s="5" t="s">
        <v>1522</v>
      </c>
      <c r="B1619" s="5" t="s">
        <v>5701</v>
      </c>
      <c r="D1619" s="5" t="s">
        <v>1510</v>
      </c>
      <c r="E1619" s="5" t="s">
        <v>2466</v>
      </c>
      <c r="F1619" s="5" t="s">
        <v>5267</v>
      </c>
      <c r="G1619" s="6">
        <v>46139.638194444444</v>
      </c>
      <c r="H1619" s="7">
        <v>46146</v>
      </c>
      <c r="I1619" s="5" t="s">
        <v>5702</v>
      </c>
      <c r="J1619" s="7">
        <v>46167</v>
      </c>
      <c r="K1619" s="5" t="s">
        <v>1527</v>
      </c>
      <c r="L1619" s="5" t="s">
        <v>1621</v>
      </c>
      <c r="M1619" s="8">
        <v>113.4</v>
      </c>
      <c r="N1619" s="5" t="s">
        <v>1529</v>
      </c>
      <c r="O1619" s="7">
        <v>46167</v>
      </c>
    </row>
    <row r="1620" spans="1:15" hidden="1" x14ac:dyDescent="0.25">
      <c r="A1620" s="5" t="s">
        <v>1522</v>
      </c>
      <c r="B1620" s="5" t="s">
        <v>5703</v>
      </c>
      <c r="D1620" s="5" t="s">
        <v>1510</v>
      </c>
      <c r="E1620" s="5" t="s">
        <v>2466</v>
      </c>
      <c r="F1620" s="5" t="s">
        <v>5267</v>
      </c>
      <c r="G1620" s="6">
        <v>46139.752083333333</v>
      </c>
      <c r="H1620" s="7">
        <v>46147</v>
      </c>
      <c r="I1620" s="5" t="s">
        <v>5704</v>
      </c>
      <c r="J1620" s="7">
        <v>46167</v>
      </c>
      <c r="K1620" s="5" t="s">
        <v>1527</v>
      </c>
      <c r="L1620" s="5" t="s">
        <v>1621</v>
      </c>
      <c r="M1620" s="8">
        <v>113.4</v>
      </c>
      <c r="N1620" s="5" t="s">
        <v>1529</v>
      </c>
      <c r="O1620" s="7">
        <v>46167</v>
      </c>
    </row>
    <row r="1621" spans="1:15" hidden="1" x14ac:dyDescent="0.25">
      <c r="A1621" s="5" t="s">
        <v>1522</v>
      </c>
      <c r="B1621" s="5" t="s">
        <v>5705</v>
      </c>
      <c r="D1621" s="5" t="s">
        <v>1510</v>
      </c>
      <c r="E1621" s="5" t="s">
        <v>2466</v>
      </c>
      <c r="F1621" s="5" t="s">
        <v>5267</v>
      </c>
      <c r="G1621" s="6">
        <v>46139.753472222219</v>
      </c>
      <c r="H1621" s="7">
        <v>46147</v>
      </c>
      <c r="I1621" s="5" t="s">
        <v>5704</v>
      </c>
      <c r="J1621" s="7">
        <v>46167</v>
      </c>
      <c r="K1621" s="5" t="s">
        <v>1527</v>
      </c>
      <c r="L1621" s="5" t="s">
        <v>1621</v>
      </c>
      <c r="M1621" s="8">
        <v>113.4</v>
      </c>
      <c r="N1621" s="5" t="s">
        <v>1529</v>
      </c>
      <c r="O1621" s="7">
        <v>46167</v>
      </c>
    </row>
    <row r="1622" spans="1:15" hidden="1" x14ac:dyDescent="0.25">
      <c r="A1622" s="5" t="s">
        <v>1522</v>
      </c>
      <c r="B1622" s="5" t="s">
        <v>5706</v>
      </c>
      <c r="D1622" s="5" t="s">
        <v>1510</v>
      </c>
      <c r="E1622" s="5" t="s">
        <v>2466</v>
      </c>
      <c r="F1622" s="5" t="s">
        <v>5267</v>
      </c>
      <c r="G1622" s="6">
        <v>46139.756249999999</v>
      </c>
      <c r="H1622" s="7">
        <v>46147</v>
      </c>
      <c r="I1622" s="5" t="s">
        <v>5707</v>
      </c>
      <c r="J1622" s="7">
        <v>46174</v>
      </c>
      <c r="K1622" s="5" t="s">
        <v>1527</v>
      </c>
      <c r="L1622" s="5" t="s">
        <v>1621</v>
      </c>
      <c r="M1622" s="8">
        <v>113.4</v>
      </c>
      <c r="N1622" s="5" t="s">
        <v>1529</v>
      </c>
      <c r="O1622" s="7">
        <v>46174</v>
      </c>
    </row>
    <row r="1623" spans="1:15" hidden="1" x14ac:dyDescent="0.25">
      <c r="A1623" s="5" t="s">
        <v>1522</v>
      </c>
      <c r="B1623" s="5" t="s">
        <v>5708</v>
      </c>
      <c r="D1623" s="5" t="s">
        <v>1510</v>
      </c>
      <c r="E1623" s="5" t="s">
        <v>2466</v>
      </c>
      <c r="F1623" s="5" t="s">
        <v>5267</v>
      </c>
      <c r="G1623" s="6">
        <v>46141.706944444442</v>
      </c>
      <c r="H1623" s="7">
        <v>46148</v>
      </c>
      <c r="I1623" s="6">
        <v>46147.683333333334</v>
      </c>
      <c r="J1623" s="7">
        <v>46147</v>
      </c>
      <c r="K1623" s="5" t="s">
        <v>1527</v>
      </c>
      <c r="L1623" s="5" t="s">
        <v>1621</v>
      </c>
      <c r="M1623" s="8">
        <v>113.4</v>
      </c>
      <c r="N1623" s="5" t="s">
        <v>1529</v>
      </c>
      <c r="O1623" s="7">
        <v>46147</v>
      </c>
    </row>
    <row r="1624" spans="1:15" hidden="1" x14ac:dyDescent="0.25">
      <c r="A1624" s="5" t="s">
        <v>1522</v>
      </c>
      <c r="B1624" s="5" t="s">
        <v>5709</v>
      </c>
      <c r="D1624" s="5" t="s">
        <v>1510</v>
      </c>
      <c r="E1624" s="5" t="s">
        <v>2466</v>
      </c>
      <c r="F1624" s="5" t="s">
        <v>5267</v>
      </c>
      <c r="G1624" s="6">
        <v>46141.707638888889</v>
      </c>
      <c r="H1624" s="7">
        <v>46148</v>
      </c>
      <c r="I1624" s="6">
        <v>46147.683333333334</v>
      </c>
      <c r="J1624" s="7">
        <v>46147</v>
      </c>
      <c r="K1624" s="5" t="s">
        <v>1527</v>
      </c>
      <c r="L1624" s="5" t="s">
        <v>1621</v>
      </c>
      <c r="M1624" s="8">
        <v>113.4</v>
      </c>
      <c r="N1624" s="5" t="s">
        <v>1529</v>
      </c>
      <c r="O1624" s="7">
        <v>46147</v>
      </c>
    </row>
    <row r="1625" spans="1:15" hidden="1" x14ac:dyDescent="0.25">
      <c r="A1625" s="5" t="s">
        <v>1522</v>
      </c>
      <c r="B1625" s="5" t="s">
        <v>5710</v>
      </c>
      <c r="D1625" s="5" t="s">
        <v>1510</v>
      </c>
      <c r="E1625" s="5" t="s">
        <v>2466</v>
      </c>
      <c r="F1625" s="5" t="s">
        <v>5267</v>
      </c>
      <c r="G1625" s="6">
        <v>46141.709722222222</v>
      </c>
      <c r="H1625" s="7">
        <v>46148</v>
      </c>
      <c r="I1625" s="5" t="s">
        <v>5711</v>
      </c>
      <c r="J1625" s="7">
        <v>46174</v>
      </c>
      <c r="K1625" s="5" t="s">
        <v>1527</v>
      </c>
      <c r="L1625" s="5" t="s">
        <v>1621</v>
      </c>
      <c r="M1625" s="8">
        <v>113.4</v>
      </c>
      <c r="N1625" s="5" t="s">
        <v>1529</v>
      </c>
      <c r="O1625" s="7">
        <v>46174</v>
      </c>
    </row>
    <row r="1626" spans="1:15" hidden="1" x14ac:dyDescent="0.25">
      <c r="A1626" s="5" t="s">
        <v>1522</v>
      </c>
      <c r="B1626" s="5" t="s">
        <v>5712</v>
      </c>
      <c r="D1626" s="5" t="s">
        <v>1510</v>
      </c>
      <c r="E1626" s="5" t="s">
        <v>2466</v>
      </c>
      <c r="F1626" s="5" t="s">
        <v>5267</v>
      </c>
      <c r="G1626" s="6">
        <v>46141.711111111108</v>
      </c>
      <c r="H1626" s="7">
        <v>46149</v>
      </c>
      <c r="I1626" s="5" t="s">
        <v>1533</v>
      </c>
      <c r="J1626" s="5" t="s">
        <v>1533</v>
      </c>
      <c r="K1626" s="5" t="s">
        <v>1534</v>
      </c>
      <c r="L1626" s="5" t="s">
        <v>1621</v>
      </c>
      <c r="M1626" s="8">
        <v>113.4</v>
      </c>
      <c r="N1626" s="5" t="s">
        <v>1541</v>
      </c>
      <c r="O1626" s="5" t="s">
        <v>1533</v>
      </c>
    </row>
    <row r="1627" spans="1:15" hidden="1" x14ac:dyDescent="0.25">
      <c r="A1627" s="5" t="s">
        <v>1522</v>
      </c>
      <c r="B1627" s="5" t="s">
        <v>5713</v>
      </c>
      <c r="D1627" s="5" t="s">
        <v>1510</v>
      </c>
      <c r="E1627" s="5" t="s">
        <v>2466</v>
      </c>
      <c r="F1627" s="5" t="s">
        <v>5267</v>
      </c>
      <c r="G1627" s="6">
        <v>46142.705555555556</v>
      </c>
      <c r="H1627" s="7">
        <v>46150</v>
      </c>
      <c r="I1627" s="5" t="s">
        <v>1533</v>
      </c>
      <c r="J1627" s="5" t="s">
        <v>1533</v>
      </c>
      <c r="K1627" s="5" t="s">
        <v>1534</v>
      </c>
      <c r="L1627" s="5" t="s">
        <v>1621</v>
      </c>
      <c r="M1627" s="8">
        <v>113.4</v>
      </c>
      <c r="N1627" s="5" t="s">
        <v>1541</v>
      </c>
      <c r="O1627" s="5" t="s">
        <v>1533</v>
      </c>
    </row>
    <row r="1628" spans="1:15" hidden="1" x14ac:dyDescent="0.25">
      <c r="A1628" s="5" t="s">
        <v>1522</v>
      </c>
      <c r="B1628" s="5" t="s">
        <v>5714</v>
      </c>
      <c r="D1628" s="5" t="s">
        <v>1510</v>
      </c>
      <c r="E1628" s="5" t="s">
        <v>2466</v>
      </c>
      <c r="F1628" s="5" t="s">
        <v>5267</v>
      </c>
      <c r="G1628" s="6">
        <v>46146.638194444444</v>
      </c>
      <c r="H1628" s="7">
        <v>46153</v>
      </c>
      <c r="I1628" s="5" t="s">
        <v>5715</v>
      </c>
      <c r="J1628" s="7">
        <v>46175</v>
      </c>
      <c r="K1628" s="5" t="s">
        <v>1527</v>
      </c>
      <c r="L1628" s="5" t="s">
        <v>1621</v>
      </c>
      <c r="M1628" s="8">
        <v>113.4</v>
      </c>
      <c r="N1628" s="5" t="s">
        <v>1529</v>
      </c>
      <c r="O1628" s="7">
        <v>46175</v>
      </c>
    </row>
    <row r="1629" spans="1:15" hidden="1" x14ac:dyDescent="0.25">
      <c r="A1629" s="5" t="s">
        <v>1522</v>
      </c>
      <c r="B1629" s="5">
        <v>39001</v>
      </c>
      <c r="D1629" s="5" t="s">
        <v>1510</v>
      </c>
      <c r="E1629" s="5" t="s">
        <v>2466</v>
      </c>
      <c r="F1629" s="5" t="s">
        <v>5643</v>
      </c>
      <c r="G1629" s="6">
        <v>46101.385416666664</v>
      </c>
      <c r="H1629" s="7">
        <v>46113</v>
      </c>
      <c r="I1629" s="5" t="s">
        <v>3419</v>
      </c>
      <c r="J1629" s="7">
        <v>46114</v>
      </c>
      <c r="K1629" s="5" t="s">
        <v>1527</v>
      </c>
      <c r="L1629" s="5" t="s">
        <v>1564</v>
      </c>
      <c r="M1629" s="8">
        <v>113.3</v>
      </c>
      <c r="N1629" s="5" t="s">
        <v>1536</v>
      </c>
      <c r="O1629" s="7">
        <v>46114</v>
      </c>
    </row>
    <row r="1630" spans="1:15" hidden="1" x14ac:dyDescent="0.25">
      <c r="A1630" s="5" t="s">
        <v>1522</v>
      </c>
      <c r="B1630" s="5" t="s">
        <v>5716</v>
      </c>
      <c r="D1630" s="5" t="s">
        <v>1510</v>
      </c>
      <c r="E1630" s="5" t="s">
        <v>2466</v>
      </c>
      <c r="F1630" s="5" t="s">
        <v>5575</v>
      </c>
      <c r="G1630" s="6">
        <v>46041.659722222219</v>
      </c>
      <c r="H1630" s="7">
        <v>46049</v>
      </c>
      <c r="I1630" s="5" t="s">
        <v>5717</v>
      </c>
      <c r="J1630" s="7">
        <v>46059</v>
      </c>
      <c r="K1630" s="5" t="s">
        <v>1527</v>
      </c>
      <c r="L1630" s="5" t="s">
        <v>1621</v>
      </c>
      <c r="M1630" s="8">
        <v>113.3</v>
      </c>
      <c r="N1630" s="5" t="s">
        <v>1536</v>
      </c>
      <c r="O1630" s="7">
        <v>46059</v>
      </c>
    </row>
    <row r="1631" spans="1:15" hidden="1" x14ac:dyDescent="0.25">
      <c r="A1631" s="5" t="s">
        <v>1522</v>
      </c>
      <c r="B1631" s="5" t="s">
        <v>5718</v>
      </c>
      <c r="D1631" s="5" t="s">
        <v>1510</v>
      </c>
      <c r="E1631" s="5" t="s">
        <v>2466</v>
      </c>
      <c r="F1631" s="5" t="s">
        <v>5575</v>
      </c>
      <c r="G1631" s="6">
        <v>46073.676388888889</v>
      </c>
      <c r="H1631" s="7">
        <v>46080</v>
      </c>
      <c r="I1631" s="5" t="s">
        <v>5626</v>
      </c>
      <c r="J1631" s="7">
        <v>46086</v>
      </c>
      <c r="K1631" s="5" t="s">
        <v>1527</v>
      </c>
      <c r="L1631" s="5" t="s">
        <v>1621</v>
      </c>
      <c r="M1631" s="8">
        <v>113.3</v>
      </c>
      <c r="N1631" s="5" t="s">
        <v>1536</v>
      </c>
      <c r="O1631" s="7">
        <v>46086</v>
      </c>
    </row>
    <row r="1632" spans="1:15" hidden="1" x14ac:dyDescent="0.25">
      <c r="A1632" s="5" t="s">
        <v>1522</v>
      </c>
      <c r="B1632" s="5" t="s">
        <v>5719</v>
      </c>
      <c r="D1632" s="5" t="s">
        <v>1510</v>
      </c>
      <c r="E1632" s="5" t="s">
        <v>2466</v>
      </c>
      <c r="F1632" s="5" t="s">
        <v>5267</v>
      </c>
      <c r="G1632" s="6">
        <v>46092.628472222219</v>
      </c>
      <c r="H1632" s="7">
        <v>46099</v>
      </c>
      <c r="I1632" s="5" t="s">
        <v>5720</v>
      </c>
      <c r="J1632" s="7">
        <v>46106</v>
      </c>
      <c r="K1632" s="5" t="s">
        <v>1527</v>
      </c>
      <c r="L1632" s="5" t="s">
        <v>1621</v>
      </c>
      <c r="M1632" s="8">
        <v>113.3</v>
      </c>
      <c r="N1632" s="5" t="s">
        <v>1536</v>
      </c>
      <c r="O1632" s="7">
        <v>46106</v>
      </c>
    </row>
    <row r="1633" spans="1:15" hidden="1" x14ac:dyDescent="0.25">
      <c r="A1633" s="5" t="s">
        <v>1522</v>
      </c>
      <c r="B1633" s="5" t="s">
        <v>5721</v>
      </c>
      <c r="D1633" s="5" t="s">
        <v>1510</v>
      </c>
      <c r="E1633" s="5" t="s">
        <v>2466</v>
      </c>
      <c r="F1633" s="5" t="s">
        <v>5267</v>
      </c>
      <c r="G1633" s="6">
        <v>46104.694444444445</v>
      </c>
      <c r="H1633" s="7">
        <v>46112</v>
      </c>
      <c r="I1633" s="5" t="s">
        <v>5722</v>
      </c>
      <c r="J1633" s="7">
        <v>46128</v>
      </c>
      <c r="K1633" s="5" t="s">
        <v>1527</v>
      </c>
      <c r="L1633" s="5" t="s">
        <v>1621</v>
      </c>
      <c r="M1633" s="8">
        <v>113.3</v>
      </c>
      <c r="N1633" s="5" t="s">
        <v>1536</v>
      </c>
      <c r="O1633" s="7">
        <v>46128</v>
      </c>
    </row>
    <row r="1634" spans="1:15" hidden="1" x14ac:dyDescent="0.25">
      <c r="A1634" s="5" t="s">
        <v>1522</v>
      </c>
      <c r="B1634" s="5" t="s">
        <v>5723</v>
      </c>
      <c r="D1634" s="5" t="s">
        <v>1510</v>
      </c>
      <c r="E1634" s="5" t="s">
        <v>2466</v>
      </c>
      <c r="F1634" s="5" t="s">
        <v>5575</v>
      </c>
      <c r="G1634" s="6">
        <v>46107.681944444441</v>
      </c>
      <c r="H1634" s="7">
        <v>46114</v>
      </c>
      <c r="I1634" s="5" t="s">
        <v>5724</v>
      </c>
      <c r="J1634" s="7">
        <v>46125</v>
      </c>
      <c r="K1634" s="5" t="s">
        <v>1527</v>
      </c>
      <c r="L1634" s="5" t="s">
        <v>1621</v>
      </c>
      <c r="M1634" s="8">
        <v>113.3</v>
      </c>
      <c r="N1634" s="5" t="s">
        <v>1536</v>
      </c>
      <c r="O1634" s="7">
        <v>46125</v>
      </c>
    </row>
    <row r="1635" spans="1:15" hidden="1" x14ac:dyDescent="0.25">
      <c r="A1635" s="5" t="s">
        <v>1522</v>
      </c>
      <c r="B1635" s="5" t="s">
        <v>5725</v>
      </c>
      <c r="D1635" s="5" t="s">
        <v>1510</v>
      </c>
      <c r="E1635" s="5" t="s">
        <v>2466</v>
      </c>
      <c r="F1635" s="5" t="s">
        <v>5267</v>
      </c>
      <c r="G1635" s="6">
        <v>46114.709722222222</v>
      </c>
      <c r="H1635" s="7">
        <v>46125</v>
      </c>
      <c r="I1635" s="5" t="s">
        <v>5726</v>
      </c>
      <c r="J1635" s="7">
        <v>46136</v>
      </c>
      <c r="K1635" s="5" t="s">
        <v>1527</v>
      </c>
      <c r="L1635" s="5" t="s">
        <v>1621</v>
      </c>
      <c r="M1635" s="8">
        <v>113.3</v>
      </c>
      <c r="N1635" s="5" t="s">
        <v>1529</v>
      </c>
      <c r="O1635" s="7">
        <v>46136</v>
      </c>
    </row>
    <row r="1636" spans="1:15" hidden="1" x14ac:dyDescent="0.25">
      <c r="A1636" s="5" t="s">
        <v>1522</v>
      </c>
      <c r="B1636" s="5" t="s">
        <v>5727</v>
      </c>
      <c r="D1636" s="5" t="s">
        <v>1510</v>
      </c>
      <c r="E1636" s="5" t="s">
        <v>2466</v>
      </c>
      <c r="F1636" s="5" t="s">
        <v>5267</v>
      </c>
      <c r="G1636" s="6">
        <v>46139.757638888892</v>
      </c>
      <c r="H1636" s="7">
        <v>46147</v>
      </c>
      <c r="I1636" s="5" t="s">
        <v>5728</v>
      </c>
      <c r="J1636" s="7">
        <v>46153</v>
      </c>
      <c r="K1636" s="5" t="s">
        <v>1527</v>
      </c>
      <c r="L1636" s="5" t="s">
        <v>1621</v>
      </c>
      <c r="M1636" s="8">
        <v>113.3</v>
      </c>
      <c r="N1636" s="5" t="s">
        <v>1529</v>
      </c>
      <c r="O1636" s="7">
        <v>46153</v>
      </c>
    </row>
    <row r="1637" spans="1:15" hidden="1" x14ac:dyDescent="0.25">
      <c r="A1637" s="5" t="s">
        <v>1522</v>
      </c>
      <c r="B1637" s="5" t="s">
        <v>5729</v>
      </c>
      <c r="D1637" s="5" t="s">
        <v>1510</v>
      </c>
      <c r="E1637" s="5" t="s">
        <v>2466</v>
      </c>
      <c r="F1637" s="5" t="s">
        <v>5267</v>
      </c>
      <c r="G1637" s="6">
        <v>46141.712500000001</v>
      </c>
      <c r="H1637" s="7">
        <v>46149</v>
      </c>
      <c r="I1637" s="5" t="s">
        <v>5730</v>
      </c>
      <c r="J1637" s="7">
        <v>46167</v>
      </c>
      <c r="K1637" s="5" t="s">
        <v>1527</v>
      </c>
      <c r="L1637" s="5" t="s">
        <v>1621</v>
      </c>
      <c r="M1637" s="8">
        <v>113.3</v>
      </c>
      <c r="N1637" s="5" t="s">
        <v>1529</v>
      </c>
      <c r="O1637" s="7">
        <v>46167</v>
      </c>
    </row>
    <row r="1638" spans="1:15" x14ac:dyDescent="0.25">
      <c r="A1638" s="5" t="s">
        <v>4</v>
      </c>
      <c r="B1638" s="5" t="s">
        <v>5731</v>
      </c>
      <c r="D1638" s="5" t="s">
        <v>222</v>
      </c>
      <c r="E1638" s="5" t="s">
        <v>5732</v>
      </c>
      <c r="F1638" s="5" t="s">
        <v>5733</v>
      </c>
      <c r="G1638" s="6">
        <v>46147.63958333333</v>
      </c>
      <c r="H1638" s="7">
        <v>46154</v>
      </c>
      <c r="I1638" s="6">
        <v>46148.599305555559</v>
      </c>
      <c r="J1638" s="7">
        <v>46148</v>
      </c>
      <c r="K1638" s="5" t="s">
        <v>1527</v>
      </c>
      <c r="L1638" s="5" t="s">
        <v>1621</v>
      </c>
      <c r="M1638" s="8">
        <v>113.08</v>
      </c>
      <c r="N1638" s="5" t="s">
        <v>1536</v>
      </c>
      <c r="O1638" s="7">
        <v>46148</v>
      </c>
    </row>
    <row r="1639" spans="1:15" x14ac:dyDescent="0.25">
      <c r="A1639" s="5" t="s">
        <v>4</v>
      </c>
      <c r="B1639" s="5" t="s">
        <v>5734</v>
      </c>
      <c r="D1639" s="5" t="s">
        <v>805</v>
      </c>
      <c r="E1639" s="5" t="s">
        <v>5735</v>
      </c>
      <c r="F1639" s="5" t="s">
        <v>5736</v>
      </c>
      <c r="G1639" s="6">
        <v>46156.603472222225</v>
      </c>
      <c r="H1639" s="7">
        <v>46163</v>
      </c>
      <c r="I1639" s="5" t="s">
        <v>5737</v>
      </c>
      <c r="J1639" s="7">
        <v>46170</v>
      </c>
      <c r="K1639" s="5" t="s">
        <v>1527</v>
      </c>
      <c r="L1639" s="5" t="s">
        <v>1621</v>
      </c>
      <c r="M1639" s="8">
        <v>112.89</v>
      </c>
      <c r="N1639" s="5" t="s">
        <v>1536</v>
      </c>
      <c r="O1639" s="7">
        <v>46170</v>
      </c>
    </row>
    <row r="1640" spans="1:15" x14ac:dyDescent="0.25">
      <c r="A1640" s="5" t="s">
        <v>4</v>
      </c>
      <c r="B1640" s="5" t="s">
        <v>5738</v>
      </c>
      <c r="D1640" s="5" t="s">
        <v>1132</v>
      </c>
      <c r="E1640" s="5" t="s">
        <v>5739</v>
      </c>
      <c r="F1640" s="5" t="s">
        <v>5740</v>
      </c>
      <c r="G1640" s="6">
        <v>46041.633333333331</v>
      </c>
      <c r="H1640" s="7">
        <v>46048</v>
      </c>
      <c r="I1640" s="6">
        <v>46044.670138888891</v>
      </c>
      <c r="J1640" s="7">
        <v>46044</v>
      </c>
      <c r="K1640" s="5" t="s">
        <v>1527</v>
      </c>
      <c r="L1640" s="5" t="s">
        <v>1621</v>
      </c>
      <c r="M1640" s="8">
        <v>112.77</v>
      </c>
      <c r="N1640" s="5" t="s">
        <v>1536</v>
      </c>
      <c r="O1640" s="7">
        <v>46044</v>
      </c>
    </row>
    <row r="1641" spans="1:15" x14ac:dyDescent="0.25">
      <c r="A1641" s="5" t="s">
        <v>4</v>
      </c>
      <c r="B1641" s="5" t="s">
        <v>5741</v>
      </c>
      <c r="D1641" s="5" t="s">
        <v>671</v>
      </c>
      <c r="E1641" s="5" t="s">
        <v>5742</v>
      </c>
      <c r="F1641" s="5" t="s">
        <v>5743</v>
      </c>
      <c r="G1641" s="6">
        <v>46157.635416666664</v>
      </c>
      <c r="H1641" s="7">
        <v>46164</v>
      </c>
      <c r="I1641" s="6">
        <v>46164.699305555558</v>
      </c>
      <c r="J1641" s="7">
        <v>46164</v>
      </c>
      <c r="K1641" s="5" t="s">
        <v>1527</v>
      </c>
      <c r="L1641" s="5" t="s">
        <v>1621</v>
      </c>
      <c r="M1641" s="8">
        <v>112.33</v>
      </c>
      <c r="N1641" s="5" t="s">
        <v>1536</v>
      </c>
      <c r="O1641" s="7">
        <v>46164</v>
      </c>
    </row>
    <row r="1642" spans="1:15" x14ac:dyDescent="0.25">
      <c r="A1642" s="5" t="s">
        <v>4</v>
      </c>
      <c r="B1642" s="5" t="s">
        <v>5744</v>
      </c>
      <c r="D1642" s="5" t="s">
        <v>283</v>
      </c>
      <c r="E1642" s="5" t="s">
        <v>5745</v>
      </c>
      <c r="F1642" s="5" t="s">
        <v>1532</v>
      </c>
      <c r="G1642" s="6">
        <v>46108.6</v>
      </c>
      <c r="H1642" s="7">
        <v>46120</v>
      </c>
      <c r="I1642" s="5" t="s">
        <v>5746</v>
      </c>
      <c r="J1642" s="7">
        <v>46111</v>
      </c>
      <c r="K1642" s="5" t="s">
        <v>1527</v>
      </c>
      <c r="L1642" s="5" t="s">
        <v>1535</v>
      </c>
      <c r="M1642" s="8">
        <v>112.25</v>
      </c>
      <c r="N1642" s="5" t="s">
        <v>1536</v>
      </c>
      <c r="O1642" s="7">
        <v>46111</v>
      </c>
    </row>
    <row r="1643" spans="1:15" x14ac:dyDescent="0.25">
      <c r="A1643" s="5" t="s">
        <v>4</v>
      </c>
      <c r="B1643" s="5" t="s">
        <v>5747</v>
      </c>
      <c r="D1643" s="5" t="s">
        <v>1091</v>
      </c>
      <c r="E1643" s="5" t="s">
        <v>5748</v>
      </c>
      <c r="F1643" s="5" t="s">
        <v>1548</v>
      </c>
      <c r="G1643" s="6">
        <v>46036.449305555558</v>
      </c>
      <c r="H1643" s="7">
        <v>46049</v>
      </c>
      <c r="I1643" s="5" t="s">
        <v>5749</v>
      </c>
      <c r="J1643" s="7">
        <v>46050</v>
      </c>
      <c r="K1643" s="5" t="s">
        <v>1527</v>
      </c>
      <c r="L1643" s="5" t="s">
        <v>1564</v>
      </c>
      <c r="M1643" s="8">
        <v>112</v>
      </c>
      <c r="N1643" s="5" t="s">
        <v>1536</v>
      </c>
      <c r="O1643" s="7">
        <v>46050</v>
      </c>
    </row>
    <row r="1644" spans="1:15" x14ac:dyDescent="0.25">
      <c r="A1644" s="5" t="s">
        <v>4</v>
      </c>
      <c r="B1644" s="5" t="s">
        <v>5750</v>
      </c>
      <c r="D1644" s="5" t="s">
        <v>511</v>
      </c>
      <c r="E1644" s="5" t="s">
        <v>5751</v>
      </c>
      <c r="F1644" s="5" t="s">
        <v>1548</v>
      </c>
      <c r="G1644" s="6">
        <v>46048.392361111109</v>
      </c>
      <c r="H1644" s="7">
        <v>46059</v>
      </c>
      <c r="I1644" s="5" t="s">
        <v>5752</v>
      </c>
      <c r="J1644" s="7">
        <v>46062</v>
      </c>
      <c r="K1644" s="5" t="s">
        <v>1527</v>
      </c>
      <c r="L1644" s="5" t="s">
        <v>1564</v>
      </c>
      <c r="M1644" s="8">
        <v>112</v>
      </c>
      <c r="N1644" s="5" t="s">
        <v>1536</v>
      </c>
      <c r="O1644" s="7">
        <v>46062</v>
      </c>
    </row>
    <row r="1645" spans="1:15" x14ac:dyDescent="0.25">
      <c r="A1645" s="5" t="s">
        <v>4</v>
      </c>
      <c r="B1645" s="5" t="s">
        <v>5753</v>
      </c>
      <c r="D1645" s="5" t="s">
        <v>709</v>
      </c>
      <c r="E1645" s="5" t="s">
        <v>5754</v>
      </c>
      <c r="F1645" s="5" t="s">
        <v>1548</v>
      </c>
      <c r="G1645" s="6">
        <v>46051.693055555559</v>
      </c>
      <c r="H1645" s="7">
        <v>46064</v>
      </c>
      <c r="I1645" s="5" t="s">
        <v>5755</v>
      </c>
      <c r="J1645" s="7">
        <v>46070</v>
      </c>
      <c r="K1645" s="5" t="s">
        <v>1527</v>
      </c>
      <c r="L1645" s="5" t="s">
        <v>1564</v>
      </c>
      <c r="M1645" s="8">
        <v>112</v>
      </c>
      <c r="N1645" s="5" t="s">
        <v>1529</v>
      </c>
      <c r="O1645" s="7">
        <v>46070</v>
      </c>
    </row>
    <row r="1646" spans="1:15" x14ac:dyDescent="0.25">
      <c r="A1646" s="5" t="s">
        <v>4</v>
      </c>
      <c r="B1646" s="5" t="s">
        <v>5756</v>
      </c>
      <c r="D1646" s="5" t="s">
        <v>1424</v>
      </c>
      <c r="E1646" s="5" t="s">
        <v>4469</v>
      </c>
      <c r="F1646" s="5" t="s">
        <v>1759</v>
      </c>
      <c r="G1646" s="6">
        <v>46101.46875</v>
      </c>
      <c r="H1646" s="7">
        <v>46114</v>
      </c>
      <c r="I1646" s="6">
        <v>46112.732638888891</v>
      </c>
      <c r="J1646" s="7">
        <v>46112</v>
      </c>
      <c r="K1646" s="5" t="s">
        <v>1527</v>
      </c>
      <c r="L1646" s="5" t="s">
        <v>1564</v>
      </c>
      <c r="M1646" s="8">
        <v>112</v>
      </c>
      <c r="N1646" s="5" t="s">
        <v>1536</v>
      </c>
      <c r="O1646" s="7">
        <v>46112</v>
      </c>
    </row>
    <row r="1647" spans="1:15" x14ac:dyDescent="0.25">
      <c r="A1647" s="5" t="s">
        <v>4</v>
      </c>
      <c r="B1647" s="5" t="s">
        <v>5757</v>
      </c>
      <c r="D1647" s="5" t="s">
        <v>1453</v>
      </c>
      <c r="E1647" s="5" t="s">
        <v>3849</v>
      </c>
      <c r="F1647" s="5" t="s">
        <v>5758</v>
      </c>
      <c r="G1647" s="6">
        <v>46044.700694444444</v>
      </c>
      <c r="H1647" s="7">
        <v>46051</v>
      </c>
      <c r="I1647" s="6">
        <v>46048.672222222223</v>
      </c>
      <c r="J1647" s="7">
        <v>46048</v>
      </c>
      <c r="K1647" s="5" t="s">
        <v>1527</v>
      </c>
      <c r="L1647" s="5" t="s">
        <v>1621</v>
      </c>
      <c r="M1647" s="8">
        <v>111.96</v>
      </c>
      <c r="N1647" s="5" t="s">
        <v>1536</v>
      </c>
      <c r="O1647" s="7">
        <v>46048</v>
      </c>
    </row>
    <row r="1648" spans="1:15" x14ac:dyDescent="0.25">
      <c r="A1648" s="5" t="s">
        <v>4</v>
      </c>
      <c r="B1648" s="5" t="s">
        <v>5759</v>
      </c>
      <c r="D1648" s="5" t="s">
        <v>1352</v>
      </c>
      <c r="E1648" s="5" t="s">
        <v>5419</v>
      </c>
      <c r="F1648" s="5" t="s">
        <v>1759</v>
      </c>
      <c r="G1648" s="6">
        <v>46135.439583333333</v>
      </c>
      <c r="H1648" s="7">
        <v>46136</v>
      </c>
      <c r="I1648" s="6">
        <v>46136.680555555555</v>
      </c>
      <c r="J1648" s="5" t="s">
        <v>1533</v>
      </c>
      <c r="K1648" s="5" t="s">
        <v>1527</v>
      </c>
      <c r="L1648" s="5" t="s">
        <v>1564</v>
      </c>
      <c r="M1648" s="8">
        <v>111.72</v>
      </c>
      <c r="N1648" s="5" t="s">
        <v>1541</v>
      </c>
      <c r="O1648" s="5" t="s">
        <v>1533</v>
      </c>
    </row>
    <row r="1649" spans="1:15" x14ac:dyDescent="0.25">
      <c r="A1649" s="5" t="s">
        <v>4</v>
      </c>
      <c r="B1649" s="5" t="s">
        <v>5760</v>
      </c>
      <c r="D1649" s="5" t="s">
        <v>211</v>
      </c>
      <c r="E1649" s="5" t="s">
        <v>1910</v>
      </c>
      <c r="F1649" s="5" t="s">
        <v>1813</v>
      </c>
      <c r="G1649" s="6">
        <v>46058.682638888888</v>
      </c>
      <c r="H1649" s="7">
        <v>46070</v>
      </c>
      <c r="I1649" s="5" t="s">
        <v>5761</v>
      </c>
      <c r="J1649" s="7">
        <v>46072</v>
      </c>
      <c r="K1649" s="5" t="s">
        <v>1527</v>
      </c>
      <c r="L1649" s="5" t="s">
        <v>1535</v>
      </c>
      <c r="M1649" s="8">
        <v>111.57</v>
      </c>
      <c r="N1649" s="5" t="s">
        <v>1536</v>
      </c>
      <c r="O1649" s="7">
        <v>46072</v>
      </c>
    </row>
    <row r="1650" spans="1:15" x14ac:dyDescent="0.25">
      <c r="A1650" s="5" t="s">
        <v>4</v>
      </c>
      <c r="B1650" s="5" t="s">
        <v>5762</v>
      </c>
      <c r="D1650" s="5" t="s">
        <v>541</v>
      </c>
      <c r="E1650" s="5" t="s">
        <v>5763</v>
      </c>
      <c r="F1650" s="5" t="s">
        <v>5764</v>
      </c>
      <c r="G1650" s="6">
        <v>46083.749305555553</v>
      </c>
      <c r="H1650" s="7">
        <v>46090</v>
      </c>
      <c r="I1650" s="5" t="s">
        <v>5765</v>
      </c>
      <c r="J1650" s="7">
        <v>46094</v>
      </c>
      <c r="K1650" s="5" t="s">
        <v>1527</v>
      </c>
      <c r="L1650" s="5" t="s">
        <v>1564</v>
      </c>
      <c r="M1650" s="8">
        <v>111.15</v>
      </c>
      <c r="N1650" s="5" t="s">
        <v>1536</v>
      </c>
      <c r="O1650" s="7">
        <v>46094</v>
      </c>
    </row>
    <row r="1651" spans="1:15" x14ac:dyDescent="0.25">
      <c r="A1651" s="5" t="s">
        <v>4</v>
      </c>
      <c r="B1651" s="5" t="s">
        <v>5766</v>
      </c>
      <c r="D1651" s="5" t="s">
        <v>1263</v>
      </c>
      <c r="E1651" s="5" t="s">
        <v>4944</v>
      </c>
      <c r="F1651" s="5" t="s">
        <v>2314</v>
      </c>
      <c r="G1651" s="6">
        <v>46155.603472222225</v>
      </c>
      <c r="H1651" s="7">
        <v>46168</v>
      </c>
      <c r="I1651" s="5" t="s">
        <v>5767</v>
      </c>
      <c r="J1651" s="7">
        <v>46163</v>
      </c>
      <c r="K1651" s="5" t="s">
        <v>1527</v>
      </c>
      <c r="L1651" s="5" t="s">
        <v>1564</v>
      </c>
      <c r="M1651" s="8">
        <v>110.9</v>
      </c>
      <c r="N1651" s="5" t="s">
        <v>1536</v>
      </c>
      <c r="O1651" s="7">
        <v>46163</v>
      </c>
    </row>
    <row r="1652" spans="1:15" x14ac:dyDescent="0.25">
      <c r="A1652" s="5" t="s">
        <v>4</v>
      </c>
      <c r="B1652" s="5" t="s">
        <v>5768</v>
      </c>
      <c r="D1652" s="5" t="s">
        <v>1272</v>
      </c>
      <c r="E1652" s="5" t="s">
        <v>5037</v>
      </c>
      <c r="F1652" s="5" t="s">
        <v>5769</v>
      </c>
      <c r="G1652" s="6">
        <v>46161.724999999999</v>
      </c>
      <c r="H1652" s="7">
        <v>46168</v>
      </c>
      <c r="I1652" s="5" t="s">
        <v>5039</v>
      </c>
      <c r="J1652" s="7">
        <v>46169</v>
      </c>
      <c r="K1652" s="5" t="s">
        <v>1527</v>
      </c>
      <c r="L1652" s="5" t="s">
        <v>1621</v>
      </c>
      <c r="M1652" s="8">
        <v>110.07</v>
      </c>
      <c r="N1652" s="5" t="s">
        <v>1536</v>
      </c>
      <c r="O1652" s="7">
        <v>46169</v>
      </c>
    </row>
    <row r="1653" spans="1:15" hidden="1" x14ac:dyDescent="0.25">
      <c r="A1653" s="5" t="s">
        <v>1522</v>
      </c>
      <c r="B1653" s="5" t="s">
        <v>5770</v>
      </c>
      <c r="D1653" s="5" t="s">
        <v>384</v>
      </c>
      <c r="E1653" s="5" t="s">
        <v>5771</v>
      </c>
      <c r="F1653" s="5" t="s">
        <v>1548</v>
      </c>
      <c r="G1653" s="6">
        <v>46041.387499999997</v>
      </c>
      <c r="H1653" s="7">
        <v>46045</v>
      </c>
      <c r="I1653" s="6">
        <v>46045.511805555558</v>
      </c>
      <c r="J1653" s="7">
        <v>46056</v>
      </c>
      <c r="K1653" s="5" t="s">
        <v>1527</v>
      </c>
      <c r="L1653" s="5" t="s">
        <v>1528</v>
      </c>
      <c r="M1653" s="8">
        <v>110</v>
      </c>
      <c r="N1653" s="5" t="s">
        <v>1536</v>
      </c>
      <c r="O1653" s="7">
        <v>46056</v>
      </c>
    </row>
    <row r="1654" spans="1:15" hidden="1" x14ac:dyDescent="0.25">
      <c r="A1654" s="5" t="s">
        <v>1522</v>
      </c>
      <c r="B1654" s="5" t="s">
        <v>5772</v>
      </c>
      <c r="D1654" s="5" t="s">
        <v>1463</v>
      </c>
      <c r="E1654" s="5" t="s">
        <v>5773</v>
      </c>
      <c r="F1654" s="5" t="s">
        <v>1548</v>
      </c>
      <c r="G1654" s="6">
        <v>46065.602777777778</v>
      </c>
      <c r="H1654" s="7">
        <v>46071</v>
      </c>
      <c r="I1654" s="5" t="s">
        <v>5660</v>
      </c>
      <c r="J1654" s="7">
        <v>46073</v>
      </c>
      <c r="K1654" s="5" t="s">
        <v>1527</v>
      </c>
      <c r="L1654" s="5" t="s">
        <v>1528</v>
      </c>
      <c r="M1654" s="8">
        <v>110</v>
      </c>
      <c r="N1654" s="5" t="s">
        <v>1536</v>
      </c>
      <c r="O1654" s="7">
        <v>46073</v>
      </c>
    </row>
    <row r="1655" spans="1:15" hidden="1" x14ac:dyDescent="0.25">
      <c r="A1655" s="5" t="s">
        <v>1522</v>
      </c>
      <c r="B1655" s="5" t="s">
        <v>5774</v>
      </c>
      <c r="D1655" s="5" t="s">
        <v>1508</v>
      </c>
      <c r="E1655" s="5" t="s">
        <v>2606</v>
      </c>
      <c r="F1655" s="5" t="s">
        <v>3157</v>
      </c>
      <c r="G1655" s="6">
        <v>46149.661111111112</v>
      </c>
      <c r="H1655" s="7">
        <v>46155</v>
      </c>
      <c r="I1655" s="5" t="s">
        <v>5775</v>
      </c>
      <c r="J1655" s="7">
        <v>46157</v>
      </c>
      <c r="K1655" s="5" t="s">
        <v>1527</v>
      </c>
      <c r="L1655" s="5" t="s">
        <v>1528</v>
      </c>
      <c r="M1655" s="8">
        <v>110</v>
      </c>
      <c r="N1655" s="5" t="s">
        <v>1536</v>
      </c>
      <c r="O1655" s="7">
        <v>46157</v>
      </c>
    </row>
    <row r="1656" spans="1:15" x14ac:dyDescent="0.25">
      <c r="A1656" s="5" t="s">
        <v>4</v>
      </c>
      <c r="B1656" s="5" t="s">
        <v>5776</v>
      </c>
      <c r="D1656" s="5" t="s">
        <v>1093</v>
      </c>
      <c r="E1656" s="5" t="s">
        <v>5777</v>
      </c>
      <c r="F1656" s="5" t="s">
        <v>1759</v>
      </c>
      <c r="G1656" s="6">
        <v>46072.588888888888</v>
      </c>
      <c r="H1656" s="7">
        <v>46085</v>
      </c>
      <c r="I1656" s="5" t="s">
        <v>5778</v>
      </c>
      <c r="J1656" s="7">
        <v>46083</v>
      </c>
      <c r="K1656" s="5" t="s">
        <v>1527</v>
      </c>
      <c r="L1656" s="5" t="s">
        <v>1564</v>
      </c>
      <c r="M1656" s="8">
        <v>110</v>
      </c>
      <c r="N1656" s="5" t="s">
        <v>1536</v>
      </c>
      <c r="O1656" s="7">
        <v>46083</v>
      </c>
    </row>
    <row r="1657" spans="1:15" x14ac:dyDescent="0.25">
      <c r="A1657" s="5" t="s">
        <v>4</v>
      </c>
      <c r="B1657" s="5" t="s">
        <v>5779</v>
      </c>
      <c r="D1657" s="5" t="s">
        <v>287</v>
      </c>
      <c r="E1657" s="5" t="s">
        <v>5780</v>
      </c>
      <c r="F1657" s="5" t="s">
        <v>1770</v>
      </c>
      <c r="G1657" s="6">
        <v>46077.401388888888</v>
      </c>
      <c r="H1657" s="7">
        <v>46090</v>
      </c>
      <c r="I1657" s="6">
        <v>46086.509027777778</v>
      </c>
      <c r="J1657" s="7">
        <v>46086</v>
      </c>
      <c r="K1657" s="5" t="s">
        <v>1527</v>
      </c>
      <c r="L1657" s="5" t="s">
        <v>1564</v>
      </c>
      <c r="M1657" s="8">
        <v>110</v>
      </c>
      <c r="N1657" s="5" t="s">
        <v>1536</v>
      </c>
      <c r="O1657" s="7">
        <v>46086</v>
      </c>
    </row>
    <row r="1658" spans="1:15" x14ac:dyDescent="0.25">
      <c r="A1658" s="5" t="s">
        <v>4</v>
      </c>
      <c r="B1658" s="5" t="s">
        <v>5781</v>
      </c>
      <c r="D1658" s="5" t="s">
        <v>305</v>
      </c>
      <c r="E1658" s="5" t="s">
        <v>5782</v>
      </c>
      <c r="F1658" s="5" t="s">
        <v>5783</v>
      </c>
      <c r="G1658" s="6">
        <v>46035.679861111108</v>
      </c>
      <c r="H1658" s="7">
        <v>46042</v>
      </c>
      <c r="I1658" s="5" t="s">
        <v>5016</v>
      </c>
      <c r="J1658" s="7">
        <v>46043</v>
      </c>
      <c r="K1658" s="5" t="s">
        <v>1527</v>
      </c>
      <c r="L1658" s="5" t="s">
        <v>1621</v>
      </c>
      <c r="M1658" s="8">
        <v>109.73</v>
      </c>
      <c r="N1658" s="5" t="s">
        <v>1536</v>
      </c>
      <c r="O1658" s="7">
        <v>46043</v>
      </c>
    </row>
    <row r="1659" spans="1:15" hidden="1" x14ac:dyDescent="0.25">
      <c r="A1659" s="5" t="s">
        <v>1522</v>
      </c>
      <c r="B1659" s="5" t="s">
        <v>5784</v>
      </c>
      <c r="D1659" s="5" t="s">
        <v>1510</v>
      </c>
      <c r="E1659" s="5" t="s">
        <v>2466</v>
      </c>
      <c r="F1659" s="5" t="s">
        <v>3434</v>
      </c>
      <c r="G1659" s="6">
        <v>46111.618750000001</v>
      </c>
      <c r="H1659" s="7">
        <v>46111</v>
      </c>
      <c r="I1659" s="6">
        <v>46111.620833333334</v>
      </c>
      <c r="J1659" s="7">
        <v>46111</v>
      </c>
      <c r="K1659" s="5" t="s">
        <v>1527</v>
      </c>
      <c r="L1659" s="5" t="s">
        <v>1621</v>
      </c>
      <c r="M1659" s="8">
        <v>109.25</v>
      </c>
      <c r="N1659" s="5" t="s">
        <v>1536</v>
      </c>
      <c r="O1659" s="7">
        <v>46111</v>
      </c>
    </row>
    <row r="1660" spans="1:15" x14ac:dyDescent="0.25">
      <c r="A1660" s="5" t="s">
        <v>4</v>
      </c>
      <c r="B1660" s="5" t="s">
        <v>5785</v>
      </c>
      <c r="D1660" s="5" t="s">
        <v>1490</v>
      </c>
      <c r="E1660" s="5" t="s">
        <v>5786</v>
      </c>
      <c r="F1660" s="5" t="s">
        <v>5787</v>
      </c>
      <c r="G1660" s="6">
        <v>46097.688888888886</v>
      </c>
      <c r="H1660" s="7">
        <v>46104</v>
      </c>
      <c r="I1660" s="6">
        <v>46099.701388888891</v>
      </c>
      <c r="J1660" s="7">
        <v>46099</v>
      </c>
      <c r="K1660" s="5" t="s">
        <v>1527</v>
      </c>
      <c r="L1660" s="5" t="s">
        <v>1621</v>
      </c>
      <c r="M1660" s="8">
        <v>109.13</v>
      </c>
      <c r="N1660" s="5" t="s">
        <v>1536</v>
      </c>
      <c r="O1660" s="7">
        <v>46099</v>
      </c>
    </row>
    <row r="1661" spans="1:15" x14ac:dyDescent="0.25">
      <c r="A1661" s="5" t="s">
        <v>4</v>
      </c>
      <c r="B1661" s="5" t="s">
        <v>5788</v>
      </c>
      <c r="D1661" s="5" t="s">
        <v>1479</v>
      </c>
      <c r="E1661" s="5" t="s">
        <v>1932</v>
      </c>
      <c r="F1661" s="5" t="s">
        <v>1532</v>
      </c>
      <c r="G1661" s="6">
        <v>46127.470833333333</v>
      </c>
      <c r="H1661" s="7">
        <v>46139</v>
      </c>
      <c r="I1661" s="6">
        <v>46136.606249999997</v>
      </c>
      <c r="J1661" s="7">
        <v>46146</v>
      </c>
      <c r="K1661" s="5" t="s">
        <v>1527</v>
      </c>
      <c r="L1661" s="5" t="s">
        <v>1535</v>
      </c>
      <c r="M1661" s="8">
        <v>109</v>
      </c>
      <c r="N1661" s="5" t="s">
        <v>1536</v>
      </c>
      <c r="O1661" s="7">
        <v>46146</v>
      </c>
    </row>
    <row r="1662" spans="1:15" x14ac:dyDescent="0.25">
      <c r="A1662" s="5" t="s">
        <v>4</v>
      </c>
      <c r="B1662" s="5" t="s">
        <v>5789</v>
      </c>
      <c r="D1662" s="5" t="s">
        <v>485</v>
      </c>
      <c r="E1662" s="5" t="s">
        <v>5790</v>
      </c>
      <c r="F1662" s="5" t="s">
        <v>4832</v>
      </c>
      <c r="G1662" s="6">
        <v>46113.329861111109</v>
      </c>
      <c r="H1662" s="7">
        <v>46118</v>
      </c>
      <c r="I1662" s="5" t="s">
        <v>5791</v>
      </c>
      <c r="J1662" s="7">
        <v>46114</v>
      </c>
      <c r="K1662" s="5" t="s">
        <v>1527</v>
      </c>
      <c r="L1662" s="5" t="s">
        <v>1564</v>
      </c>
      <c r="M1662" s="8">
        <v>108.9</v>
      </c>
      <c r="N1662" s="5" t="s">
        <v>1536</v>
      </c>
      <c r="O1662" s="7">
        <v>46114</v>
      </c>
    </row>
    <row r="1663" spans="1:15" x14ac:dyDescent="0.25">
      <c r="A1663" s="5" t="s">
        <v>4</v>
      </c>
      <c r="B1663" s="5" t="s">
        <v>5792</v>
      </c>
      <c r="D1663" s="5" t="s">
        <v>1462</v>
      </c>
      <c r="E1663" s="5" t="s">
        <v>2946</v>
      </c>
      <c r="F1663" s="5" t="s">
        <v>1548</v>
      </c>
      <c r="G1663" s="6">
        <v>46072.727777777778</v>
      </c>
      <c r="H1663" s="7">
        <v>46083</v>
      </c>
      <c r="I1663" s="5" t="s">
        <v>5793</v>
      </c>
      <c r="J1663" s="7">
        <v>46085</v>
      </c>
      <c r="K1663" s="5" t="s">
        <v>1527</v>
      </c>
      <c r="L1663" s="5" t="s">
        <v>1535</v>
      </c>
      <c r="M1663" s="9">
        <v>108.5</v>
      </c>
      <c r="N1663" s="5" t="s">
        <v>1536</v>
      </c>
      <c r="O1663" s="7">
        <v>46085</v>
      </c>
    </row>
    <row r="1664" spans="1:15" x14ac:dyDescent="0.25">
      <c r="A1664" s="5" t="s">
        <v>4</v>
      </c>
      <c r="B1664" s="5" t="s">
        <v>5794</v>
      </c>
      <c r="D1664" s="5" t="s">
        <v>430</v>
      </c>
      <c r="E1664" s="5" t="s">
        <v>5795</v>
      </c>
      <c r="F1664" s="5" t="s">
        <v>5796</v>
      </c>
      <c r="G1664" s="6">
        <v>46059.724305555559</v>
      </c>
      <c r="H1664" s="7">
        <v>46066</v>
      </c>
      <c r="I1664" s="6">
        <v>46066.656944444447</v>
      </c>
      <c r="J1664" s="7">
        <v>46066</v>
      </c>
      <c r="K1664" s="5" t="s">
        <v>1527</v>
      </c>
      <c r="L1664" s="5" t="s">
        <v>1621</v>
      </c>
      <c r="M1664" s="8">
        <v>108.27</v>
      </c>
      <c r="N1664" s="5" t="s">
        <v>1536</v>
      </c>
      <c r="O1664" s="7">
        <v>46066</v>
      </c>
    </row>
    <row r="1665" spans="1:15" hidden="1" x14ac:dyDescent="0.25">
      <c r="A1665" s="5" t="s">
        <v>1522</v>
      </c>
      <c r="B1665" s="5" t="s">
        <v>5797</v>
      </c>
      <c r="D1665" s="5" t="s">
        <v>788</v>
      </c>
      <c r="E1665" s="5" t="s">
        <v>5798</v>
      </c>
      <c r="F1665" s="5" t="s">
        <v>1548</v>
      </c>
      <c r="G1665" s="6">
        <v>46098.46875</v>
      </c>
      <c r="H1665" s="7">
        <v>46106</v>
      </c>
      <c r="I1665" s="6">
        <v>46101.661805555559</v>
      </c>
      <c r="J1665" s="7">
        <v>46101</v>
      </c>
      <c r="K1665" s="5" t="s">
        <v>1527</v>
      </c>
      <c r="L1665" s="5" t="s">
        <v>1554</v>
      </c>
      <c r="M1665" s="8">
        <v>108</v>
      </c>
      <c r="N1665" s="5" t="s">
        <v>1536</v>
      </c>
      <c r="O1665" s="7">
        <v>46101</v>
      </c>
    </row>
    <row r="1666" spans="1:15" x14ac:dyDescent="0.25">
      <c r="A1666" s="5" t="s">
        <v>4</v>
      </c>
      <c r="B1666" s="5" t="s">
        <v>5799</v>
      </c>
      <c r="D1666" s="5" t="s">
        <v>1450</v>
      </c>
      <c r="E1666" s="5" t="s">
        <v>1655</v>
      </c>
      <c r="F1666" s="5" t="s">
        <v>5800</v>
      </c>
      <c r="G1666" s="6">
        <v>46042.447916666664</v>
      </c>
      <c r="H1666" s="7">
        <v>46051</v>
      </c>
      <c r="I1666" s="5" t="s">
        <v>5801</v>
      </c>
      <c r="J1666" s="7">
        <v>46069</v>
      </c>
      <c r="K1666" s="5" t="s">
        <v>1527</v>
      </c>
      <c r="L1666" s="5" t="s">
        <v>1535</v>
      </c>
      <c r="M1666" s="8">
        <v>107</v>
      </c>
      <c r="N1666" s="5" t="s">
        <v>1536</v>
      </c>
      <c r="O1666" s="7">
        <v>46069</v>
      </c>
    </row>
    <row r="1667" spans="1:15" x14ac:dyDescent="0.25">
      <c r="A1667" s="5" t="s">
        <v>4</v>
      </c>
      <c r="B1667" s="5" t="s">
        <v>5802</v>
      </c>
      <c r="D1667" s="5" t="s">
        <v>785</v>
      </c>
      <c r="E1667" s="5" t="s">
        <v>5803</v>
      </c>
      <c r="F1667" s="5" t="s">
        <v>2740</v>
      </c>
      <c r="G1667" s="6">
        <v>46093.427083333336</v>
      </c>
      <c r="H1667" s="7">
        <v>46106</v>
      </c>
      <c r="I1667" s="5" t="s">
        <v>5804</v>
      </c>
      <c r="J1667" s="7">
        <v>46113</v>
      </c>
      <c r="K1667" s="5" t="s">
        <v>1527</v>
      </c>
      <c r="L1667" s="5" t="s">
        <v>1564</v>
      </c>
      <c r="M1667" s="8">
        <v>107</v>
      </c>
      <c r="N1667" s="5" t="s">
        <v>1536</v>
      </c>
      <c r="O1667" s="7">
        <v>46113</v>
      </c>
    </row>
    <row r="1668" spans="1:15" x14ac:dyDescent="0.25">
      <c r="A1668" s="5" t="s">
        <v>4</v>
      </c>
      <c r="B1668" s="5" t="s">
        <v>5805</v>
      </c>
      <c r="D1668" s="5" t="s">
        <v>112</v>
      </c>
      <c r="E1668" s="5" t="s">
        <v>5806</v>
      </c>
      <c r="F1668" s="5" t="s">
        <v>1738</v>
      </c>
      <c r="G1668" s="6">
        <v>46106.429166666669</v>
      </c>
      <c r="H1668" s="7">
        <v>46120</v>
      </c>
      <c r="I1668" s="6">
        <v>46112.731944444444</v>
      </c>
      <c r="J1668" s="7">
        <v>46112</v>
      </c>
      <c r="K1668" s="5" t="s">
        <v>1527</v>
      </c>
      <c r="L1668" s="5" t="s">
        <v>1564</v>
      </c>
      <c r="M1668" s="8">
        <v>107</v>
      </c>
      <c r="N1668" s="5" t="s">
        <v>1536</v>
      </c>
      <c r="O1668" s="7">
        <v>46112</v>
      </c>
    </row>
    <row r="1669" spans="1:15" x14ac:dyDescent="0.25">
      <c r="A1669" s="5" t="s">
        <v>4</v>
      </c>
      <c r="B1669" s="5" t="s">
        <v>5807</v>
      </c>
      <c r="D1669" s="5" t="s">
        <v>58</v>
      </c>
      <c r="E1669" s="5" t="s">
        <v>5808</v>
      </c>
      <c r="F1669" s="5" t="s">
        <v>5809</v>
      </c>
      <c r="G1669" s="6">
        <v>46037.688888888886</v>
      </c>
      <c r="H1669" s="7">
        <v>46044</v>
      </c>
      <c r="I1669" s="6">
        <v>46038.698611111111</v>
      </c>
      <c r="J1669" s="7">
        <v>46038</v>
      </c>
      <c r="K1669" s="5" t="s">
        <v>1527</v>
      </c>
      <c r="L1669" s="5" t="s">
        <v>1621</v>
      </c>
      <c r="M1669" s="8">
        <v>106.41</v>
      </c>
      <c r="N1669" s="5" t="s">
        <v>1536</v>
      </c>
      <c r="O1669" s="7">
        <v>46038</v>
      </c>
    </row>
    <row r="1670" spans="1:15" hidden="1" x14ac:dyDescent="0.25">
      <c r="A1670" s="5" t="s">
        <v>1522</v>
      </c>
      <c r="B1670" s="5" t="s">
        <v>5810</v>
      </c>
      <c r="D1670" s="5" t="s">
        <v>1510</v>
      </c>
      <c r="E1670" s="5" t="s">
        <v>2466</v>
      </c>
      <c r="F1670" s="5" t="s">
        <v>5811</v>
      </c>
      <c r="G1670" s="6">
        <v>46146.636805555558</v>
      </c>
      <c r="H1670" s="7">
        <v>46150</v>
      </c>
      <c r="I1670" s="5" t="s">
        <v>5812</v>
      </c>
      <c r="J1670" s="7">
        <v>46153</v>
      </c>
      <c r="K1670" s="5" t="s">
        <v>1527</v>
      </c>
      <c r="L1670" s="5" t="s">
        <v>1621</v>
      </c>
      <c r="M1670" s="8">
        <v>106</v>
      </c>
      <c r="N1670" s="5" t="s">
        <v>1529</v>
      </c>
      <c r="O1670" s="7">
        <v>46153</v>
      </c>
    </row>
    <row r="1671" spans="1:15" x14ac:dyDescent="0.25">
      <c r="A1671" s="5" t="s">
        <v>4</v>
      </c>
      <c r="B1671" s="5" t="s">
        <v>5813</v>
      </c>
      <c r="D1671" s="5" t="s">
        <v>210</v>
      </c>
      <c r="E1671" s="5" t="s">
        <v>5814</v>
      </c>
      <c r="F1671" s="5" t="s">
        <v>1759</v>
      </c>
      <c r="G1671" s="6">
        <v>46077.54583333333</v>
      </c>
      <c r="H1671" s="7">
        <v>46090</v>
      </c>
      <c r="I1671" s="6">
        <v>46084.759722222225</v>
      </c>
      <c r="J1671" s="7">
        <v>46083</v>
      </c>
      <c r="K1671" s="5" t="s">
        <v>1527</v>
      </c>
      <c r="L1671" s="5" t="s">
        <v>1564</v>
      </c>
      <c r="M1671" s="8">
        <v>105.6</v>
      </c>
      <c r="N1671" s="5" t="s">
        <v>1536</v>
      </c>
      <c r="O1671" s="7">
        <v>46083</v>
      </c>
    </row>
    <row r="1672" spans="1:15" x14ac:dyDescent="0.25">
      <c r="A1672" s="5" t="s">
        <v>4</v>
      </c>
      <c r="B1672" s="5" t="s">
        <v>5815</v>
      </c>
      <c r="D1672" s="5" t="s">
        <v>730</v>
      </c>
      <c r="E1672" s="5" t="s">
        <v>5816</v>
      </c>
      <c r="F1672" s="5" t="s">
        <v>5817</v>
      </c>
      <c r="G1672" s="6">
        <v>46161.393055555556</v>
      </c>
      <c r="H1672" s="7">
        <v>46168</v>
      </c>
      <c r="I1672" s="5" t="s">
        <v>1533</v>
      </c>
      <c r="J1672" s="5" t="s">
        <v>1533</v>
      </c>
      <c r="K1672" s="5" t="s">
        <v>1540</v>
      </c>
      <c r="L1672" s="5" t="s">
        <v>1621</v>
      </c>
      <c r="M1672" s="8">
        <v>105.47</v>
      </c>
      <c r="N1672" s="5" t="s">
        <v>1541</v>
      </c>
      <c r="O1672" s="5" t="s">
        <v>1533</v>
      </c>
    </row>
    <row r="1673" spans="1:15" x14ac:dyDescent="0.25">
      <c r="A1673" s="5" t="s">
        <v>4</v>
      </c>
      <c r="B1673" s="5">
        <v>38344</v>
      </c>
      <c r="D1673" s="5" t="s">
        <v>844</v>
      </c>
      <c r="E1673" s="5" t="s">
        <v>5818</v>
      </c>
      <c r="F1673" s="5" t="s">
        <v>5819</v>
      </c>
      <c r="G1673" s="6">
        <v>46059.775000000001</v>
      </c>
      <c r="H1673" s="7">
        <v>46066</v>
      </c>
      <c r="I1673" s="6">
        <v>46065.63958333333</v>
      </c>
      <c r="J1673" s="7">
        <v>46065</v>
      </c>
      <c r="K1673" s="5" t="s">
        <v>1527</v>
      </c>
      <c r="L1673" s="5" t="s">
        <v>1564</v>
      </c>
      <c r="M1673" s="8">
        <v>105.3</v>
      </c>
      <c r="N1673" s="5" t="s">
        <v>1536</v>
      </c>
      <c r="O1673" s="7">
        <v>46065</v>
      </c>
    </row>
    <row r="1674" spans="1:15" x14ac:dyDescent="0.25">
      <c r="A1674" s="5" t="s">
        <v>4</v>
      </c>
      <c r="B1674" s="5" t="s">
        <v>5820</v>
      </c>
      <c r="D1674" s="5" t="s">
        <v>448</v>
      </c>
      <c r="E1674" s="5" t="s">
        <v>5821</v>
      </c>
      <c r="F1674" s="5" t="s">
        <v>5822</v>
      </c>
      <c r="G1674" s="6">
        <v>46036.638194444444</v>
      </c>
      <c r="H1674" s="7">
        <v>46044</v>
      </c>
      <c r="I1674" s="5" t="s">
        <v>5823</v>
      </c>
      <c r="J1674" s="7">
        <v>46050</v>
      </c>
      <c r="K1674" s="5" t="s">
        <v>1527</v>
      </c>
      <c r="L1674" s="5" t="s">
        <v>1621</v>
      </c>
      <c r="M1674" s="8">
        <v>105.12</v>
      </c>
      <c r="N1674" s="5" t="s">
        <v>1536</v>
      </c>
      <c r="O1674" s="7">
        <v>46050</v>
      </c>
    </row>
    <row r="1675" spans="1:15" x14ac:dyDescent="0.25">
      <c r="A1675" s="5" t="s">
        <v>4</v>
      </c>
      <c r="B1675" s="5" t="s">
        <v>5824</v>
      </c>
      <c r="D1675" s="5" t="s">
        <v>208</v>
      </c>
      <c r="E1675" s="5" t="s">
        <v>5825</v>
      </c>
      <c r="F1675" s="5" t="s">
        <v>5826</v>
      </c>
      <c r="G1675" s="6">
        <v>46127.703472222223</v>
      </c>
      <c r="H1675" s="7">
        <v>46135</v>
      </c>
      <c r="I1675" s="6">
        <v>46135.627083333333</v>
      </c>
      <c r="J1675" s="7">
        <v>46135</v>
      </c>
      <c r="K1675" s="5" t="s">
        <v>1527</v>
      </c>
      <c r="L1675" s="5" t="s">
        <v>1564</v>
      </c>
      <c r="M1675" s="8">
        <v>105.07</v>
      </c>
      <c r="N1675" s="5" t="s">
        <v>1536</v>
      </c>
      <c r="O1675" s="7">
        <v>46135</v>
      </c>
    </row>
    <row r="1676" spans="1:15" hidden="1" x14ac:dyDescent="0.25">
      <c r="A1676" s="5" t="s">
        <v>1522</v>
      </c>
      <c r="B1676" s="5" t="s">
        <v>5827</v>
      </c>
      <c r="D1676" s="5" t="s">
        <v>1510</v>
      </c>
      <c r="E1676" s="5" t="s">
        <v>2466</v>
      </c>
      <c r="F1676" s="5" t="s">
        <v>5267</v>
      </c>
      <c r="G1676" s="6">
        <v>46114.713194444441</v>
      </c>
      <c r="H1676" s="7">
        <v>46125</v>
      </c>
      <c r="I1676" s="5" t="s">
        <v>5828</v>
      </c>
      <c r="J1676" s="7">
        <v>46132</v>
      </c>
      <c r="K1676" s="5" t="s">
        <v>1527</v>
      </c>
      <c r="L1676" s="5" t="s">
        <v>1621</v>
      </c>
      <c r="M1676" s="8">
        <v>105</v>
      </c>
      <c r="N1676" s="5" t="s">
        <v>1529</v>
      </c>
      <c r="O1676" s="7">
        <v>46132</v>
      </c>
    </row>
    <row r="1677" spans="1:15" hidden="1" x14ac:dyDescent="0.25">
      <c r="A1677" s="5" t="s">
        <v>1522</v>
      </c>
      <c r="B1677" s="5" t="s">
        <v>5829</v>
      </c>
      <c r="D1677" s="5" t="s">
        <v>1495</v>
      </c>
      <c r="E1677" s="5" t="s">
        <v>1935</v>
      </c>
      <c r="F1677" s="5" t="s">
        <v>5830</v>
      </c>
      <c r="G1677" s="6">
        <v>46168.745138888888</v>
      </c>
      <c r="H1677" s="7">
        <v>46169</v>
      </c>
      <c r="I1677" s="6">
        <v>46169.703472222223</v>
      </c>
      <c r="J1677" s="7">
        <v>46169</v>
      </c>
      <c r="K1677" s="5" t="s">
        <v>1527</v>
      </c>
      <c r="L1677" s="5" t="s">
        <v>1528</v>
      </c>
      <c r="M1677" s="8">
        <v>105</v>
      </c>
      <c r="N1677" s="5" t="s">
        <v>1529</v>
      </c>
      <c r="O1677" s="7">
        <v>46169</v>
      </c>
    </row>
    <row r="1678" spans="1:15" x14ac:dyDescent="0.25">
      <c r="A1678" s="5" t="s">
        <v>4</v>
      </c>
      <c r="B1678" s="5" t="s">
        <v>5831</v>
      </c>
      <c r="D1678" s="5" t="s">
        <v>1429</v>
      </c>
      <c r="E1678" s="5" t="s">
        <v>4653</v>
      </c>
      <c r="F1678" s="5" t="s">
        <v>1548</v>
      </c>
      <c r="G1678" s="6">
        <v>46031.614583333336</v>
      </c>
      <c r="H1678" s="7">
        <v>46042</v>
      </c>
      <c r="I1678" s="6">
        <v>46038.698611111111</v>
      </c>
      <c r="J1678" s="7">
        <v>46038</v>
      </c>
      <c r="K1678" s="5" t="s">
        <v>1527</v>
      </c>
      <c r="L1678" s="5" t="s">
        <v>1564</v>
      </c>
      <c r="M1678" s="8">
        <v>105</v>
      </c>
      <c r="N1678" s="5" t="s">
        <v>1536</v>
      </c>
      <c r="O1678" s="7">
        <v>46038</v>
      </c>
    </row>
    <row r="1679" spans="1:15" x14ac:dyDescent="0.25">
      <c r="A1679" s="5" t="s">
        <v>4</v>
      </c>
      <c r="B1679" s="5" t="s">
        <v>5832</v>
      </c>
      <c r="D1679" s="5" t="s">
        <v>1206</v>
      </c>
      <c r="E1679" s="5" t="s">
        <v>5833</v>
      </c>
      <c r="F1679" s="5" t="s">
        <v>5834</v>
      </c>
      <c r="G1679" s="6">
        <v>46064.647916666669</v>
      </c>
      <c r="H1679" s="7">
        <v>46065</v>
      </c>
      <c r="I1679" s="5" t="s">
        <v>3497</v>
      </c>
      <c r="J1679" s="7">
        <v>46064</v>
      </c>
      <c r="K1679" s="5" t="s">
        <v>1527</v>
      </c>
      <c r="L1679" s="5" t="s">
        <v>1554</v>
      </c>
      <c r="M1679" s="8">
        <v>105</v>
      </c>
      <c r="N1679" s="5" t="s">
        <v>1536</v>
      </c>
      <c r="O1679" s="7">
        <v>46064</v>
      </c>
    </row>
    <row r="1680" spans="1:15" x14ac:dyDescent="0.25">
      <c r="A1680" s="5" t="s">
        <v>4</v>
      </c>
      <c r="B1680" s="5" t="s">
        <v>5835</v>
      </c>
      <c r="D1680" s="5" t="s">
        <v>536</v>
      </c>
      <c r="E1680" s="5" t="s">
        <v>5836</v>
      </c>
      <c r="F1680" s="5" t="s">
        <v>1738</v>
      </c>
      <c r="G1680" s="6">
        <v>46072.746527777781</v>
      </c>
      <c r="H1680" s="7">
        <v>46085</v>
      </c>
      <c r="I1680" s="5" t="s">
        <v>5837</v>
      </c>
      <c r="J1680" s="7">
        <v>46080</v>
      </c>
      <c r="K1680" s="5" t="s">
        <v>1527</v>
      </c>
      <c r="L1680" s="5" t="s">
        <v>1564</v>
      </c>
      <c r="M1680" s="8">
        <v>105</v>
      </c>
      <c r="N1680" s="5" t="s">
        <v>1536</v>
      </c>
      <c r="O1680" s="7">
        <v>46080</v>
      </c>
    </row>
    <row r="1681" spans="1:15" x14ac:dyDescent="0.25">
      <c r="A1681" s="5" t="s">
        <v>4</v>
      </c>
      <c r="B1681" s="5" t="s">
        <v>5838</v>
      </c>
      <c r="D1681" s="5" t="s">
        <v>419</v>
      </c>
      <c r="E1681" s="5" t="s">
        <v>5839</v>
      </c>
      <c r="F1681" s="5" t="s">
        <v>1770</v>
      </c>
      <c r="G1681" s="6">
        <v>46086.613194444442</v>
      </c>
      <c r="H1681" s="7">
        <v>46099</v>
      </c>
      <c r="I1681" s="6">
        <v>46092.606944444444</v>
      </c>
      <c r="J1681" s="7">
        <v>46092</v>
      </c>
      <c r="K1681" s="5" t="s">
        <v>1527</v>
      </c>
      <c r="L1681" s="5" t="s">
        <v>1564</v>
      </c>
      <c r="M1681" s="8">
        <v>105</v>
      </c>
      <c r="N1681" s="5" t="s">
        <v>1536</v>
      </c>
      <c r="O1681" s="7">
        <v>46092</v>
      </c>
    </row>
    <row r="1682" spans="1:15" x14ac:dyDescent="0.25">
      <c r="A1682" s="5" t="s">
        <v>4</v>
      </c>
      <c r="B1682" s="5" t="s">
        <v>5840</v>
      </c>
      <c r="D1682" s="5" t="s">
        <v>1400</v>
      </c>
      <c r="E1682" s="5" t="s">
        <v>5841</v>
      </c>
      <c r="F1682" s="5" t="s">
        <v>1738</v>
      </c>
      <c r="G1682" s="6">
        <v>46093.709722222222</v>
      </c>
      <c r="H1682" s="7">
        <v>46106</v>
      </c>
      <c r="I1682" s="6">
        <v>46104.708333333336</v>
      </c>
      <c r="J1682" s="7">
        <v>46104</v>
      </c>
      <c r="K1682" s="5" t="s">
        <v>1527</v>
      </c>
      <c r="L1682" s="5" t="s">
        <v>1564</v>
      </c>
      <c r="M1682" s="8">
        <v>105</v>
      </c>
      <c r="N1682" s="5" t="s">
        <v>1536</v>
      </c>
      <c r="O1682" s="7">
        <v>46104</v>
      </c>
    </row>
    <row r="1683" spans="1:15" x14ac:dyDescent="0.25">
      <c r="A1683" s="5" t="s">
        <v>4</v>
      </c>
      <c r="B1683" s="5" t="s">
        <v>5842</v>
      </c>
      <c r="D1683" s="5" t="s">
        <v>556</v>
      </c>
      <c r="E1683" s="5" t="s">
        <v>5843</v>
      </c>
      <c r="F1683" s="5" t="s">
        <v>1759</v>
      </c>
      <c r="G1683" s="6">
        <v>46100.732638888891</v>
      </c>
      <c r="H1683" s="7">
        <v>46113</v>
      </c>
      <c r="I1683" s="6">
        <v>46113.745138888888</v>
      </c>
      <c r="J1683" s="7">
        <v>46107</v>
      </c>
      <c r="K1683" s="5" t="s">
        <v>1527</v>
      </c>
      <c r="L1683" s="5" t="s">
        <v>1564</v>
      </c>
      <c r="M1683" s="8">
        <v>105</v>
      </c>
      <c r="N1683" s="5" t="s">
        <v>1536</v>
      </c>
      <c r="O1683" s="7">
        <v>46107</v>
      </c>
    </row>
    <row r="1684" spans="1:15" x14ac:dyDescent="0.25">
      <c r="A1684" s="5" t="s">
        <v>4</v>
      </c>
      <c r="B1684" s="5" t="s">
        <v>5844</v>
      </c>
      <c r="D1684" s="5" t="s">
        <v>944</v>
      </c>
      <c r="E1684" s="5" t="s">
        <v>5845</v>
      </c>
      <c r="F1684" s="5" t="s">
        <v>1738</v>
      </c>
      <c r="G1684" s="6">
        <v>46149.682638888888</v>
      </c>
      <c r="H1684" s="7">
        <v>46160</v>
      </c>
      <c r="I1684" s="5" t="s">
        <v>5846</v>
      </c>
      <c r="J1684" s="7">
        <v>46154</v>
      </c>
      <c r="K1684" s="5" t="s">
        <v>1527</v>
      </c>
      <c r="L1684" s="5" t="s">
        <v>1564</v>
      </c>
      <c r="M1684" s="8">
        <v>105</v>
      </c>
      <c r="N1684" s="5" t="s">
        <v>1536</v>
      </c>
      <c r="O1684" s="7">
        <v>46154</v>
      </c>
    </row>
    <row r="1685" spans="1:15" x14ac:dyDescent="0.25">
      <c r="A1685" s="5" t="s">
        <v>4</v>
      </c>
      <c r="B1685" s="5" t="s">
        <v>5847</v>
      </c>
      <c r="D1685" s="5" t="s">
        <v>890</v>
      </c>
      <c r="E1685" s="5" t="s">
        <v>5848</v>
      </c>
      <c r="F1685" s="5" t="s">
        <v>5849</v>
      </c>
      <c r="G1685" s="6">
        <v>46056.631944444445</v>
      </c>
      <c r="H1685" s="7">
        <v>46063</v>
      </c>
      <c r="I1685" s="5" t="s">
        <v>2835</v>
      </c>
      <c r="J1685" s="7">
        <v>46065</v>
      </c>
      <c r="K1685" s="5" t="s">
        <v>1527</v>
      </c>
      <c r="L1685" s="5" t="s">
        <v>1621</v>
      </c>
      <c r="M1685" s="8">
        <v>104.89</v>
      </c>
      <c r="N1685" s="5" t="s">
        <v>1536</v>
      </c>
      <c r="O1685" s="7">
        <v>46065</v>
      </c>
    </row>
    <row r="1686" spans="1:15" x14ac:dyDescent="0.25">
      <c r="A1686" s="5" t="s">
        <v>4</v>
      </c>
      <c r="B1686" s="5" t="s">
        <v>5850</v>
      </c>
      <c r="D1686" s="5" t="s">
        <v>192</v>
      </c>
      <c r="E1686" s="5" t="s">
        <v>5851</v>
      </c>
      <c r="F1686" s="5" t="s">
        <v>5852</v>
      </c>
      <c r="G1686" s="6">
        <v>46085.734027777777</v>
      </c>
      <c r="H1686" s="7">
        <v>46091</v>
      </c>
      <c r="I1686" s="6">
        <v>46090.636111111111</v>
      </c>
      <c r="J1686" s="7">
        <v>46090</v>
      </c>
      <c r="K1686" s="5" t="s">
        <v>1527</v>
      </c>
      <c r="L1686" s="5" t="s">
        <v>1621</v>
      </c>
      <c r="M1686" s="8">
        <v>104.53</v>
      </c>
      <c r="N1686" s="5" t="s">
        <v>1536</v>
      </c>
      <c r="O1686" s="7">
        <v>46090</v>
      </c>
    </row>
    <row r="1687" spans="1:15" x14ac:dyDescent="0.25">
      <c r="A1687" s="5" t="s">
        <v>4</v>
      </c>
      <c r="B1687" s="5" t="s">
        <v>5853</v>
      </c>
      <c r="D1687" s="5" t="s">
        <v>209</v>
      </c>
      <c r="E1687" s="5" t="s">
        <v>5854</v>
      </c>
      <c r="F1687" s="5" t="s">
        <v>1813</v>
      </c>
      <c r="G1687" s="6">
        <v>46129.585416666669</v>
      </c>
      <c r="H1687" s="7">
        <v>46141</v>
      </c>
      <c r="I1687" s="5" t="s">
        <v>5855</v>
      </c>
      <c r="J1687" s="7">
        <v>46136</v>
      </c>
      <c r="K1687" s="5" t="s">
        <v>1527</v>
      </c>
      <c r="L1687" s="5" t="s">
        <v>1535</v>
      </c>
      <c r="M1687" s="8">
        <v>104.5</v>
      </c>
      <c r="N1687" s="5" t="s">
        <v>1536</v>
      </c>
      <c r="O1687" s="7">
        <v>46136</v>
      </c>
    </row>
    <row r="1688" spans="1:15" x14ac:dyDescent="0.25">
      <c r="A1688" s="5" t="s">
        <v>4</v>
      </c>
      <c r="B1688" s="5" t="s">
        <v>5856</v>
      </c>
      <c r="D1688" s="5" t="s">
        <v>1419</v>
      </c>
      <c r="E1688" s="5" t="s">
        <v>2504</v>
      </c>
      <c r="F1688" s="5" t="s">
        <v>1548</v>
      </c>
      <c r="G1688" s="6">
        <v>46045.695138888892</v>
      </c>
      <c r="H1688" s="7">
        <v>46056</v>
      </c>
      <c r="I1688" s="5" t="s">
        <v>5857</v>
      </c>
      <c r="J1688" s="7">
        <v>46062</v>
      </c>
      <c r="K1688" s="5" t="s">
        <v>1527</v>
      </c>
      <c r="L1688" s="5" t="s">
        <v>1535</v>
      </c>
      <c r="M1688" s="8">
        <v>104.2</v>
      </c>
      <c r="N1688" s="5" t="s">
        <v>1536</v>
      </c>
      <c r="O1688" s="7">
        <v>46062</v>
      </c>
    </row>
    <row r="1689" spans="1:15" x14ac:dyDescent="0.25">
      <c r="A1689" s="5" t="s">
        <v>4</v>
      </c>
      <c r="B1689" s="5" t="s">
        <v>5858</v>
      </c>
      <c r="D1689" s="5" t="s">
        <v>481</v>
      </c>
      <c r="E1689" s="5" t="s">
        <v>5859</v>
      </c>
      <c r="F1689" s="5" t="s">
        <v>5860</v>
      </c>
      <c r="G1689" s="6">
        <v>46161.619444444441</v>
      </c>
      <c r="H1689" s="7">
        <v>46168</v>
      </c>
      <c r="I1689" s="6">
        <v>46164.698611111111</v>
      </c>
      <c r="J1689" s="7">
        <v>46164</v>
      </c>
      <c r="K1689" s="5" t="s">
        <v>1527</v>
      </c>
      <c r="L1689" s="5" t="s">
        <v>1621</v>
      </c>
      <c r="M1689" s="8">
        <v>104.17</v>
      </c>
      <c r="N1689" s="5" t="s">
        <v>1536</v>
      </c>
      <c r="O1689" s="7">
        <v>46164</v>
      </c>
    </row>
    <row r="1690" spans="1:15" x14ac:dyDescent="0.25">
      <c r="A1690" s="5" t="s">
        <v>4</v>
      </c>
      <c r="B1690" s="5" t="s">
        <v>5861</v>
      </c>
      <c r="D1690" s="5" t="s">
        <v>1381</v>
      </c>
      <c r="E1690" s="5" t="s">
        <v>5862</v>
      </c>
      <c r="F1690" s="5" t="s">
        <v>5863</v>
      </c>
      <c r="G1690" s="6">
        <v>46132.64166666667</v>
      </c>
      <c r="H1690" s="7">
        <v>46139</v>
      </c>
      <c r="I1690" s="5" t="s">
        <v>4927</v>
      </c>
      <c r="J1690" s="7">
        <v>46140</v>
      </c>
      <c r="K1690" s="5" t="s">
        <v>1527</v>
      </c>
      <c r="L1690" s="5" t="s">
        <v>1621</v>
      </c>
      <c r="M1690" s="8">
        <v>104.08</v>
      </c>
      <c r="N1690" s="5" t="s">
        <v>1536</v>
      </c>
      <c r="O1690" s="7">
        <v>46140</v>
      </c>
    </row>
    <row r="1691" spans="1:15" hidden="1" x14ac:dyDescent="0.25">
      <c r="A1691" s="5" t="s">
        <v>1522</v>
      </c>
      <c r="B1691" s="5" t="s">
        <v>5864</v>
      </c>
      <c r="D1691" s="5" t="s">
        <v>1461</v>
      </c>
      <c r="E1691" s="5" t="s">
        <v>2480</v>
      </c>
      <c r="F1691" s="5" t="s">
        <v>5865</v>
      </c>
      <c r="G1691" s="6">
        <v>46150.498611111114</v>
      </c>
      <c r="H1691" s="7">
        <v>46150</v>
      </c>
      <c r="I1691" s="5" t="s">
        <v>2854</v>
      </c>
      <c r="J1691" s="7">
        <v>46153</v>
      </c>
      <c r="K1691" s="5" t="s">
        <v>1527</v>
      </c>
      <c r="L1691" s="5" t="s">
        <v>1528</v>
      </c>
      <c r="M1691" s="8">
        <v>104</v>
      </c>
      <c r="N1691" s="5" t="s">
        <v>1536</v>
      </c>
      <c r="O1691" s="7">
        <v>46153</v>
      </c>
    </row>
    <row r="1692" spans="1:15" x14ac:dyDescent="0.25">
      <c r="A1692" s="5" t="s">
        <v>4</v>
      </c>
      <c r="B1692" s="5" t="s">
        <v>5866</v>
      </c>
      <c r="D1692" s="5" t="s">
        <v>1476</v>
      </c>
      <c r="E1692" s="5" t="s">
        <v>4368</v>
      </c>
      <c r="F1692" s="5" t="s">
        <v>1899</v>
      </c>
      <c r="G1692" s="6">
        <v>46111.67291666667</v>
      </c>
      <c r="H1692" s="7">
        <v>46125</v>
      </c>
      <c r="I1692" s="5" t="s">
        <v>1533</v>
      </c>
      <c r="J1692" s="7">
        <v>46122</v>
      </c>
      <c r="K1692" s="5" t="s">
        <v>1534</v>
      </c>
      <c r="L1692" s="5" t="s">
        <v>1564</v>
      </c>
      <c r="M1692" s="8">
        <v>104</v>
      </c>
      <c r="N1692" s="5" t="s">
        <v>1536</v>
      </c>
      <c r="O1692" s="7">
        <v>46122</v>
      </c>
    </row>
    <row r="1693" spans="1:15" x14ac:dyDescent="0.25">
      <c r="A1693" s="5" t="s">
        <v>4</v>
      </c>
      <c r="B1693" s="5" t="s">
        <v>5867</v>
      </c>
      <c r="D1693" s="5" t="s">
        <v>632</v>
      </c>
      <c r="E1693" s="5" t="s">
        <v>2758</v>
      </c>
      <c r="F1693" s="5" t="s">
        <v>1759</v>
      </c>
      <c r="G1693" s="6">
        <v>46136.621527777781</v>
      </c>
      <c r="H1693" s="7">
        <v>46150</v>
      </c>
      <c r="I1693" s="5" t="s">
        <v>5868</v>
      </c>
      <c r="J1693" s="7">
        <v>46148</v>
      </c>
      <c r="K1693" s="5" t="s">
        <v>1527</v>
      </c>
      <c r="L1693" s="5" t="s">
        <v>1564</v>
      </c>
      <c r="M1693" s="8">
        <v>104</v>
      </c>
      <c r="N1693" s="5" t="s">
        <v>1536</v>
      </c>
      <c r="O1693" s="7">
        <v>46148</v>
      </c>
    </row>
    <row r="1694" spans="1:15" x14ac:dyDescent="0.25">
      <c r="A1694" s="5" t="s">
        <v>4</v>
      </c>
      <c r="B1694" s="5" t="s">
        <v>5869</v>
      </c>
      <c r="D1694" s="5" t="s">
        <v>1476</v>
      </c>
      <c r="E1694" s="5" t="s">
        <v>4368</v>
      </c>
      <c r="F1694" s="5" t="s">
        <v>1899</v>
      </c>
      <c r="G1694" s="6">
        <v>46147.59652777778</v>
      </c>
      <c r="H1694" s="7">
        <v>46157</v>
      </c>
      <c r="I1694" s="6">
        <v>46156.65347222222</v>
      </c>
      <c r="J1694" s="7">
        <v>46150</v>
      </c>
      <c r="K1694" s="5" t="s">
        <v>1527</v>
      </c>
      <c r="L1694" s="5" t="s">
        <v>1535</v>
      </c>
      <c r="M1694" s="8">
        <v>104</v>
      </c>
      <c r="N1694" s="5" t="s">
        <v>1536</v>
      </c>
      <c r="O1694" s="7">
        <v>46150</v>
      </c>
    </row>
    <row r="1695" spans="1:15" x14ac:dyDescent="0.25">
      <c r="A1695" s="5" t="s">
        <v>4</v>
      </c>
      <c r="B1695" s="5" t="s">
        <v>5870</v>
      </c>
      <c r="D1695" s="5" t="s">
        <v>1505</v>
      </c>
      <c r="E1695" s="5" t="s">
        <v>4115</v>
      </c>
      <c r="F1695" s="5" t="s">
        <v>5871</v>
      </c>
      <c r="G1695" s="6">
        <v>46164.679861111108</v>
      </c>
      <c r="H1695" s="7">
        <v>46164</v>
      </c>
      <c r="I1695" s="6">
        <v>46164.313194444447</v>
      </c>
      <c r="J1695" s="7">
        <v>46164</v>
      </c>
      <c r="K1695" s="5" t="s">
        <v>1527</v>
      </c>
      <c r="L1695" s="5" t="s">
        <v>1564</v>
      </c>
      <c r="M1695" s="8">
        <v>104</v>
      </c>
      <c r="N1695" s="5" t="s">
        <v>1536</v>
      </c>
      <c r="O1695" s="7">
        <v>46164</v>
      </c>
    </row>
    <row r="1696" spans="1:15" x14ac:dyDescent="0.25">
      <c r="A1696" s="5" t="s">
        <v>4</v>
      </c>
      <c r="B1696" s="5" t="s">
        <v>5872</v>
      </c>
      <c r="D1696" s="5" t="s">
        <v>1120</v>
      </c>
      <c r="E1696" s="5" t="s">
        <v>5873</v>
      </c>
      <c r="F1696" s="5" t="s">
        <v>5874</v>
      </c>
      <c r="G1696" s="6">
        <v>46034.629861111112</v>
      </c>
      <c r="H1696" s="7">
        <v>46043</v>
      </c>
      <c r="I1696" s="5" t="s">
        <v>5875</v>
      </c>
      <c r="J1696" s="7">
        <v>46044</v>
      </c>
      <c r="K1696" s="5" t="s">
        <v>1527</v>
      </c>
      <c r="L1696" s="5" t="s">
        <v>1621</v>
      </c>
      <c r="M1696" s="8">
        <v>103.1</v>
      </c>
      <c r="N1696" s="5" t="s">
        <v>1536</v>
      </c>
      <c r="O1696" s="7">
        <v>46044</v>
      </c>
    </row>
    <row r="1697" spans="1:15" x14ac:dyDescent="0.25">
      <c r="A1697" s="5" t="s">
        <v>4</v>
      </c>
      <c r="B1697" s="5" t="s">
        <v>5876</v>
      </c>
      <c r="D1697" s="5" t="s">
        <v>1273</v>
      </c>
      <c r="E1697" s="5" t="s">
        <v>5877</v>
      </c>
      <c r="F1697" s="5" t="s">
        <v>1532</v>
      </c>
      <c r="G1697" s="6">
        <v>46078.668749999997</v>
      </c>
      <c r="H1697" s="7">
        <v>46087</v>
      </c>
      <c r="I1697" s="5" t="s">
        <v>5878</v>
      </c>
      <c r="J1697" s="7">
        <v>46092</v>
      </c>
      <c r="K1697" s="5" t="s">
        <v>1527</v>
      </c>
      <c r="L1697" s="5" t="s">
        <v>1535</v>
      </c>
      <c r="M1697" s="8">
        <v>103</v>
      </c>
      <c r="N1697" s="5" t="s">
        <v>1536</v>
      </c>
      <c r="O1697" s="7">
        <v>46092</v>
      </c>
    </row>
    <row r="1698" spans="1:15" x14ac:dyDescent="0.25">
      <c r="A1698" s="5" t="s">
        <v>4</v>
      </c>
      <c r="B1698" s="5" t="s">
        <v>5879</v>
      </c>
      <c r="D1698" s="5" t="s">
        <v>31</v>
      </c>
      <c r="E1698" s="5" t="s">
        <v>5880</v>
      </c>
      <c r="F1698" s="5" t="s">
        <v>5881</v>
      </c>
      <c r="G1698" s="6">
        <v>46126.755555555559</v>
      </c>
      <c r="H1698" s="7">
        <v>46134</v>
      </c>
      <c r="I1698" s="6">
        <v>46129.592361111114</v>
      </c>
      <c r="J1698" s="7">
        <v>46129</v>
      </c>
      <c r="K1698" s="5" t="s">
        <v>1527</v>
      </c>
      <c r="L1698" s="5" t="s">
        <v>1564</v>
      </c>
      <c r="M1698" s="8">
        <v>102.73</v>
      </c>
      <c r="N1698" s="5" t="s">
        <v>1536</v>
      </c>
      <c r="O1698" s="7">
        <v>46129</v>
      </c>
    </row>
    <row r="1699" spans="1:15" x14ac:dyDescent="0.25">
      <c r="A1699" s="5" t="s">
        <v>4</v>
      </c>
      <c r="B1699" s="5" t="s">
        <v>5882</v>
      </c>
      <c r="D1699" s="5" t="s">
        <v>1216</v>
      </c>
      <c r="E1699" s="5" t="s">
        <v>5883</v>
      </c>
      <c r="F1699" s="5" t="s">
        <v>1770</v>
      </c>
      <c r="G1699" s="6">
        <v>46092.371527777781</v>
      </c>
      <c r="H1699" s="7">
        <v>46105</v>
      </c>
      <c r="I1699" s="5" t="s">
        <v>1533</v>
      </c>
      <c r="J1699" s="7">
        <v>46106</v>
      </c>
      <c r="K1699" s="5" t="s">
        <v>1534</v>
      </c>
      <c r="L1699" s="5" t="s">
        <v>1564</v>
      </c>
      <c r="M1699" s="8">
        <v>102.5</v>
      </c>
      <c r="N1699" s="5" t="s">
        <v>1536</v>
      </c>
      <c r="O1699" s="7">
        <v>46106</v>
      </c>
    </row>
    <row r="1700" spans="1:15" x14ac:dyDescent="0.25">
      <c r="A1700" s="5" t="s">
        <v>4</v>
      </c>
      <c r="B1700" s="5" t="s">
        <v>5884</v>
      </c>
      <c r="D1700" s="5" t="s">
        <v>1362</v>
      </c>
      <c r="E1700" s="5" t="s">
        <v>4497</v>
      </c>
      <c r="F1700" s="5" t="s">
        <v>1770</v>
      </c>
      <c r="G1700" s="6">
        <v>46097.447916666664</v>
      </c>
      <c r="H1700" s="7">
        <v>46108</v>
      </c>
      <c r="I1700" s="6">
        <v>46107.698611111111</v>
      </c>
      <c r="J1700" s="7">
        <v>46107</v>
      </c>
      <c r="K1700" s="5" t="s">
        <v>1527</v>
      </c>
      <c r="L1700" s="5" t="s">
        <v>1564</v>
      </c>
      <c r="M1700" s="9">
        <v>102.5</v>
      </c>
      <c r="N1700" s="5" t="s">
        <v>1536</v>
      </c>
      <c r="O1700" s="7">
        <v>46107</v>
      </c>
    </row>
    <row r="1701" spans="1:15" x14ac:dyDescent="0.25">
      <c r="A1701" s="5" t="s">
        <v>4</v>
      </c>
      <c r="B1701" s="5" t="s">
        <v>5885</v>
      </c>
      <c r="D1701" s="5" t="s">
        <v>212</v>
      </c>
      <c r="E1701" s="5" t="s">
        <v>5886</v>
      </c>
      <c r="F1701" s="5" t="s">
        <v>5887</v>
      </c>
      <c r="G1701" s="6">
        <v>46049.507638888892</v>
      </c>
      <c r="H1701" s="7">
        <v>46055</v>
      </c>
      <c r="I1701" s="6">
        <v>46055.64166666667</v>
      </c>
      <c r="J1701" s="7">
        <v>46055</v>
      </c>
      <c r="K1701" s="5" t="s">
        <v>1527</v>
      </c>
      <c r="L1701" s="5" t="s">
        <v>1621</v>
      </c>
      <c r="M1701" s="8">
        <v>102.37</v>
      </c>
      <c r="N1701" s="5" t="s">
        <v>1536</v>
      </c>
      <c r="O1701" s="7">
        <v>46055</v>
      </c>
    </row>
    <row r="1702" spans="1:15" x14ac:dyDescent="0.25">
      <c r="A1702" s="5" t="s">
        <v>4</v>
      </c>
      <c r="B1702" s="5" t="s">
        <v>5888</v>
      </c>
      <c r="D1702" s="5" t="s">
        <v>1322</v>
      </c>
      <c r="E1702" s="5" t="s">
        <v>3076</v>
      </c>
      <c r="F1702" s="5" t="s">
        <v>3077</v>
      </c>
      <c r="G1702" s="6">
        <v>46118.342361111114</v>
      </c>
      <c r="H1702" s="7">
        <v>46122</v>
      </c>
      <c r="I1702" s="6">
        <v>46121.73541666667</v>
      </c>
      <c r="J1702" s="7">
        <v>46121</v>
      </c>
      <c r="K1702" s="5" t="s">
        <v>1527</v>
      </c>
      <c r="L1702" s="5" t="s">
        <v>1564</v>
      </c>
      <c r="M1702" s="8">
        <v>102.14</v>
      </c>
      <c r="N1702" s="5" t="s">
        <v>1536</v>
      </c>
      <c r="O1702" s="7">
        <v>46121</v>
      </c>
    </row>
    <row r="1703" spans="1:15" x14ac:dyDescent="0.25">
      <c r="A1703" s="5" t="s">
        <v>4</v>
      </c>
      <c r="B1703" s="5" t="s">
        <v>5889</v>
      </c>
      <c r="D1703" s="5" t="s">
        <v>1332</v>
      </c>
      <c r="E1703" s="5" t="s">
        <v>2596</v>
      </c>
      <c r="F1703" s="5" t="s">
        <v>5890</v>
      </c>
      <c r="G1703" s="6">
        <v>46125.695833333331</v>
      </c>
      <c r="H1703" s="7">
        <v>46132</v>
      </c>
      <c r="I1703" s="6">
        <v>46129.591666666667</v>
      </c>
      <c r="J1703" s="7">
        <v>46129</v>
      </c>
      <c r="K1703" s="5" t="s">
        <v>1527</v>
      </c>
      <c r="L1703" s="5" t="s">
        <v>1564</v>
      </c>
      <c r="M1703" s="8">
        <v>102.06</v>
      </c>
      <c r="N1703" s="5" t="s">
        <v>1536</v>
      </c>
      <c r="O1703" s="7">
        <v>46129</v>
      </c>
    </row>
    <row r="1704" spans="1:15" x14ac:dyDescent="0.25">
      <c r="A1704" s="5" t="s">
        <v>4</v>
      </c>
      <c r="B1704" s="5" t="s">
        <v>5891</v>
      </c>
      <c r="D1704" s="5" t="s">
        <v>1076</v>
      </c>
      <c r="E1704" s="5" t="s">
        <v>5892</v>
      </c>
      <c r="F1704" s="5" t="s">
        <v>5893</v>
      </c>
      <c r="G1704" s="6">
        <v>46086.634722222225</v>
      </c>
      <c r="H1704" s="7">
        <v>46091</v>
      </c>
      <c r="I1704" s="6">
        <v>46091.502083333333</v>
      </c>
      <c r="J1704" s="7">
        <v>46091</v>
      </c>
      <c r="K1704" s="5" t="s">
        <v>1527</v>
      </c>
      <c r="L1704" s="5" t="s">
        <v>1621</v>
      </c>
      <c r="M1704" s="8">
        <v>102.04</v>
      </c>
      <c r="N1704" s="5" t="s">
        <v>1536</v>
      </c>
      <c r="O1704" s="7">
        <v>46091</v>
      </c>
    </row>
    <row r="1705" spans="1:15" x14ac:dyDescent="0.25">
      <c r="A1705" s="5" t="s">
        <v>4</v>
      </c>
      <c r="B1705" s="5" t="s">
        <v>5894</v>
      </c>
      <c r="D1705" s="5" t="s">
        <v>934</v>
      </c>
      <c r="E1705" s="5" t="s">
        <v>5895</v>
      </c>
      <c r="F1705" s="5" t="s">
        <v>5896</v>
      </c>
      <c r="G1705" s="6">
        <v>46119.468055555553</v>
      </c>
      <c r="H1705" s="7">
        <v>46126</v>
      </c>
      <c r="I1705" s="6">
        <v>46126.635416666664</v>
      </c>
      <c r="J1705" s="7">
        <v>46125</v>
      </c>
      <c r="K1705" s="5" t="s">
        <v>1527</v>
      </c>
      <c r="L1705" s="5" t="s">
        <v>1564</v>
      </c>
      <c r="M1705" s="8">
        <v>101.91</v>
      </c>
      <c r="N1705" s="5" t="s">
        <v>1536</v>
      </c>
      <c r="O1705" s="7">
        <v>46125</v>
      </c>
    </row>
    <row r="1706" spans="1:15" x14ac:dyDescent="0.25">
      <c r="A1706" s="5" t="s">
        <v>4</v>
      </c>
      <c r="B1706" s="5" t="s">
        <v>5897</v>
      </c>
      <c r="D1706" s="5" t="s">
        <v>1359</v>
      </c>
      <c r="E1706" s="5" t="s">
        <v>5898</v>
      </c>
      <c r="F1706" s="5" t="s">
        <v>1813</v>
      </c>
      <c r="G1706" s="6">
        <v>46056.402777777781</v>
      </c>
      <c r="H1706" s="7">
        <v>46065</v>
      </c>
      <c r="I1706" s="5" t="s">
        <v>4788</v>
      </c>
      <c r="J1706" s="7">
        <v>46066</v>
      </c>
      <c r="K1706" s="5" t="s">
        <v>1527</v>
      </c>
      <c r="L1706" s="5" t="s">
        <v>1535</v>
      </c>
      <c r="M1706" s="8">
        <v>101.6</v>
      </c>
      <c r="N1706" s="5" t="s">
        <v>1536</v>
      </c>
      <c r="O1706" s="7">
        <v>46066</v>
      </c>
    </row>
    <row r="1707" spans="1:15" x14ac:dyDescent="0.25">
      <c r="A1707" s="5" t="s">
        <v>4</v>
      </c>
      <c r="B1707" s="5" t="s">
        <v>5899</v>
      </c>
      <c r="D1707" s="5" t="s">
        <v>1359</v>
      </c>
      <c r="E1707" s="5" t="s">
        <v>5898</v>
      </c>
      <c r="F1707" s="5" t="s">
        <v>5900</v>
      </c>
      <c r="G1707" s="6">
        <v>46099.495138888888</v>
      </c>
      <c r="H1707" s="7">
        <v>46112</v>
      </c>
      <c r="I1707" s="6">
        <v>46108.65347222222</v>
      </c>
      <c r="J1707" s="7">
        <v>46108</v>
      </c>
      <c r="K1707" s="5" t="s">
        <v>1527</v>
      </c>
      <c r="L1707" s="5" t="s">
        <v>1564</v>
      </c>
      <c r="M1707" s="8">
        <v>101.6</v>
      </c>
      <c r="N1707" s="5" t="s">
        <v>1536</v>
      </c>
      <c r="O1707" s="7">
        <v>46108</v>
      </c>
    </row>
    <row r="1708" spans="1:15" x14ac:dyDescent="0.25">
      <c r="A1708" s="5" t="s">
        <v>4</v>
      </c>
      <c r="B1708" s="5" t="s">
        <v>5901</v>
      </c>
      <c r="D1708" s="5" t="s">
        <v>122</v>
      </c>
      <c r="E1708" s="5" t="s">
        <v>5902</v>
      </c>
      <c r="F1708" s="5" t="s">
        <v>5903</v>
      </c>
      <c r="G1708" s="6">
        <v>46078.71597222222</v>
      </c>
      <c r="H1708" s="7">
        <v>46085</v>
      </c>
      <c r="I1708" s="6">
        <v>46084.617361111108</v>
      </c>
      <c r="J1708" s="7">
        <v>46083</v>
      </c>
      <c r="K1708" s="5" t="s">
        <v>1527</v>
      </c>
      <c r="L1708" s="5" t="s">
        <v>1621</v>
      </c>
      <c r="M1708" s="8">
        <v>101.45</v>
      </c>
      <c r="N1708" s="5" t="s">
        <v>1536</v>
      </c>
      <c r="O1708" s="7">
        <v>46083</v>
      </c>
    </row>
    <row r="1709" spans="1:15" hidden="1" x14ac:dyDescent="0.25">
      <c r="A1709" s="5" t="s">
        <v>1522</v>
      </c>
      <c r="B1709" s="5" t="s">
        <v>5904</v>
      </c>
      <c r="D1709" s="5" t="s">
        <v>702</v>
      </c>
      <c r="E1709" s="5" t="s">
        <v>5905</v>
      </c>
      <c r="F1709" s="5" t="s">
        <v>1548</v>
      </c>
      <c r="G1709" s="6">
        <v>46051.340277777781</v>
      </c>
      <c r="H1709" s="7">
        <v>46059</v>
      </c>
      <c r="I1709" s="6">
        <v>46059.675000000003</v>
      </c>
      <c r="J1709" s="7">
        <v>46059</v>
      </c>
      <c r="K1709" s="5" t="s">
        <v>1527</v>
      </c>
      <c r="L1709" s="5" t="s">
        <v>1528</v>
      </c>
      <c r="M1709" s="8">
        <v>101</v>
      </c>
      <c r="N1709" s="5" t="s">
        <v>1536</v>
      </c>
      <c r="O1709" s="7">
        <v>46059</v>
      </c>
    </row>
    <row r="1710" spans="1:15" x14ac:dyDescent="0.25">
      <c r="A1710" s="5" t="s">
        <v>4</v>
      </c>
      <c r="B1710" s="5" t="s">
        <v>5906</v>
      </c>
      <c r="D1710" s="5" t="s">
        <v>1340</v>
      </c>
      <c r="E1710" s="5" t="s">
        <v>3791</v>
      </c>
      <c r="F1710" s="5" t="s">
        <v>1532</v>
      </c>
      <c r="G1710" s="6">
        <v>46136.356249999997</v>
      </c>
      <c r="H1710" s="7">
        <v>46150</v>
      </c>
      <c r="I1710" s="5" t="s">
        <v>1533</v>
      </c>
      <c r="J1710" s="5" t="s">
        <v>1533</v>
      </c>
      <c r="K1710" s="5" t="s">
        <v>1540</v>
      </c>
      <c r="L1710" s="5" t="s">
        <v>1535</v>
      </c>
      <c r="M1710" s="8">
        <v>101</v>
      </c>
      <c r="N1710" s="5" t="s">
        <v>1541</v>
      </c>
      <c r="O1710" s="5" t="s">
        <v>1533</v>
      </c>
    </row>
    <row r="1711" spans="1:15" x14ac:dyDescent="0.25">
      <c r="A1711" s="5" t="s">
        <v>4</v>
      </c>
      <c r="B1711" s="5" t="s">
        <v>5907</v>
      </c>
      <c r="D1711" s="5" t="s">
        <v>507</v>
      </c>
      <c r="E1711" s="5" t="s">
        <v>5908</v>
      </c>
      <c r="F1711" s="5" t="s">
        <v>2740</v>
      </c>
      <c r="G1711" s="6">
        <v>46108.600694444445</v>
      </c>
      <c r="H1711" s="7">
        <v>46122</v>
      </c>
      <c r="I1711" s="5" t="s">
        <v>5909</v>
      </c>
      <c r="J1711" s="7">
        <v>46121</v>
      </c>
      <c r="K1711" s="5" t="s">
        <v>1527</v>
      </c>
      <c r="L1711" s="5" t="s">
        <v>1564</v>
      </c>
      <c r="M1711" s="8">
        <v>100.67</v>
      </c>
      <c r="N1711" s="5" t="s">
        <v>1536</v>
      </c>
      <c r="O1711" s="7">
        <v>46121</v>
      </c>
    </row>
    <row r="1712" spans="1:15" x14ac:dyDescent="0.25">
      <c r="A1712" s="5" t="s">
        <v>4</v>
      </c>
      <c r="B1712" s="5" t="s">
        <v>5910</v>
      </c>
      <c r="D1712" s="5" t="s">
        <v>275</v>
      </c>
      <c r="E1712" s="5" t="s">
        <v>5911</v>
      </c>
      <c r="F1712" s="5" t="s">
        <v>5912</v>
      </c>
      <c r="G1712" s="6">
        <v>46086.67291666667</v>
      </c>
      <c r="H1712" s="7">
        <v>46092</v>
      </c>
      <c r="I1712" s="6">
        <v>46091.502083333333</v>
      </c>
      <c r="J1712" s="7">
        <v>46091</v>
      </c>
      <c r="K1712" s="5" t="s">
        <v>1527</v>
      </c>
      <c r="L1712" s="5" t="s">
        <v>1621</v>
      </c>
      <c r="M1712" s="8">
        <v>100.47</v>
      </c>
      <c r="N1712" s="5" t="s">
        <v>1536</v>
      </c>
      <c r="O1712" s="7">
        <v>46091</v>
      </c>
    </row>
    <row r="1713" spans="1:15" hidden="1" x14ac:dyDescent="0.25">
      <c r="A1713" s="5" t="s">
        <v>1522</v>
      </c>
      <c r="B1713" s="5">
        <v>38098</v>
      </c>
      <c r="D1713" s="5" t="s">
        <v>1444</v>
      </c>
      <c r="E1713" s="5" t="s">
        <v>1865</v>
      </c>
      <c r="F1713" s="5" t="s">
        <v>5913</v>
      </c>
      <c r="G1713" s="6">
        <v>46048.587500000001</v>
      </c>
      <c r="H1713" s="7">
        <v>46049</v>
      </c>
      <c r="I1713" s="5" t="s">
        <v>5914</v>
      </c>
      <c r="J1713" s="7">
        <v>46050</v>
      </c>
      <c r="K1713" s="5" t="s">
        <v>1527</v>
      </c>
      <c r="L1713" s="5" t="s">
        <v>1528</v>
      </c>
      <c r="M1713" s="8">
        <v>100</v>
      </c>
      <c r="N1713" s="5" t="s">
        <v>1536</v>
      </c>
      <c r="O1713" s="7">
        <v>46050</v>
      </c>
    </row>
    <row r="1714" spans="1:15" hidden="1" x14ac:dyDescent="0.25">
      <c r="A1714" s="5" t="s">
        <v>1522</v>
      </c>
      <c r="B1714" s="5" t="s">
        <v>5915</v>
      </c>
      <c r="D1714" s="5" t="s">
        <v>635</v>
      </c>
      <c r="E1714" s="5" t="s">
        <v>5916</v>
      </c>
      <c r="F1714" s="5" t="s">
        <v>5917</v>
      </c>
      <c r="G1714" s="6">
        <v>46044.595833333333</v>
      </c>
      <c r="H1714" s="7">
        <v>46051</v>
      </c>
      <c r="I1714" s="6">
        <v>46051.693055555559</v>
      </c>
      <c r="J1714" s="7">
        <v>46051</v>
      </c>
      <c r="K1714" s="5" t="s">
        <v>1527</v>
      </c>
      <c r="L1714" s="5" t="s">
        <v>1528</v>
      </c>
      <c r="M1714" s="8">
        <v>100</v>
      </c>
      <c r="N1714" s="5" t="s">
        <v>1536</v>
      </c>
      <c r="O1714" s="7">
        <v>46051</v>
      </c>
    </row>
    <row r="1715" spans="1:15" hidden="1" x14ac:dyDescent="0.25">
      <c r="A1715" s="5" t="s">
        <v>1522</v>
      </c>
      <c r="B1715" s="5" t="s">
        <v>5918</v>
      </c>
      <c r="D1715" s="5" t="s">
        <v>1499</v>
      </c>
      <c r="E1715" s="5" t="s">
        <v>1712</v>
      </c>
      <c r="F1715" s="5" t="s">
        <v>5919</v>
      </c>
      <c r="G1715" s="6">
        <v>46066.436111111114</v>
      </c>
      <c r="H1715" s="7">
        <v>46079</v>
      </c>
      <c r="I1715" s="5" t="s">
        <v>1533</v>
      </c>
      <c r="J1715" s="7">
        <v>46080</v>
      </c>
      <c r="K1715" s="5" t="s">
        <v>1534</v>
      </c>
      <c r="L1715" s="5" t="s">
        <v>1528</v>
      </c>
      <c r="M1715" s="8">
        <v>100</v>
      </c>
      <c r="N1715" s="5" t="s">
        <v>1536</v>
      </c>
      <c r="O1715" s="7">
        <v>46080</v>
      </c>
    </row>
    <row r="1716" spans="1:15" hidden="1" x14ac:dyDescent="0.25">
      <c r="A1716" s="5" t="s">
        <v>1522</v>
      </c>
      <c r="B1716" s="5" t="s">
        <v>5920</v>
      </c>
      <c r="D1716" s="5" t="s">
        <v>1061</v>
      </c>
      <c r="E1716" s="5" t="s">
        <v>5921</v>
      </c>
      <c r="F1716" s="5" t="s">
        <v>1548</v>
      </c>
      <c r="G1716" s="6">
        <v>46080.602777777778</v>
      </c>
      <c r="H1716" s="7">
        <v>46091</v>
      </c>
      <c r="I1716" s="6">
        <v>46091.742361111108</v>
      </c>
      <c r="J1716" s="7">
        <v>46087</v>
      </c>
      <c r="K1716" s="5" t="s">
        <v>1527</v>
      </c>
      <c r="L1716" s="5" t="s">
        <v>1528</v>
      </c>
      <c r="M1716" s="8">
        <v>100</v>
      </c>
      <c r="N1716" s="5" t="s">
        <v>1536</v>
      </c>
      <c r="O1716" s="7">
        <v>46087</v>
      </c>
    </row>
    <row r="1717" spans="1:15" hidden="1" x14ac:dyDescent="0.25">
      <c r="A1717" s="5" t="s">
        <v>1522</v>
      </c>
      <c r="B1717" s="5" t="s">
        <v>5922</v>
      </c>
      <c r="D1717" s="5" t="s">
        <v>488</v>
      </c>
      <c r="E1717" s="5" t="s">
        <v>5923</v>
      </c>
      <c r="F1717" s="5" t="s">
        <v>2890</v>
      </c>
      <c r="G1717" s="6">
        <v>46091.679166666669</v>
      </c>
      <c r="H1717" s="7">
        <v>46094</v>
      </c>
      <c r="I1717" s="5" t="s">
        <v>5924</v>
      </c>
      <c r="J1717" s="7">
        <v>46093</v>
      </c>
      <c r="K1717" s="5" t="s">
        <v>1527</v>
      </c>
      <c r="L1717" s="5" t="s">
        <v>1528</v>
      </c>
      <c r="M1717" s="8">
        <v>100</v>
      </c>
      <c r="N1717" s="5" t="s">
        <v>1536</v>
      </c>
      <c r="O1717" s="7">
        <v>46093</v>
      </c>
    </row>
    <row r="1718" spans="1:15" hidden="1" x14ac:dyDescent="0.25">
      <c r="A1718" s="5" t="s">
        <v>1522</v>
      </c>
      <c r="B1718" s="5" t="s">
        <v>5925</v>
      </c>
      <c r="D1718" s="5" t="s">
        <v>1288</v>
      </c>
      <c r="E1718" s="5" t="s">
        <v>5926</v>
      </c>
      <c r="F1718" s="5" t="s">
        <v>2818</v>
      </c>
      <c r="G1718" s="6">
        <v>46112.476388888892</v>
      </c>
      <c r="H1718" s="7">
        <v>46119</v>
      </c>
      <c r="I1718" s="6">
        <v>46119.688888888886</v>
      </c>
      <c r="J1718" s="7">
        <v>46114</v>
      </c>
      <c r="K1718" s="5" t="s">
        <v>1527</v>
      </c>
      <c r="L1718" s="5" t="s">
        <v>1528</v>
      </c>
      <c r="M1718" s="8">
        <v>100</v>
      </c>
      <c r="N1718" s="5" t="s">
        <v>1536</v>
      </c>
      <c r="O1718" s="7">
        <v>46114</v>
      </c>
    </row>
    <row r="1719" spans="1:15" hidden="1" x14ac:dyDescent="0.25">
      <c r="A1719" s="5" t="s">
        <v>1522</v>
      </c>
      <c r="B1719" s="5" t="s">
        <v>5927</v>
      </c>
      <c r="D1719" s="5" t="s">
        <v>467</v>
      </c>
      <c r="E1719" s="5" t="s">
        <v>5928</v>
      </c>
      <c r="F1719" s="5" t="s">
        <v>2875</v>
      </c>
      <c r="G1719" s="6">
        <v>46119.571527777778</v>
      </c>
      <c r="H1719" s="7">
        <v>46125</v>
      </c>
      <c r="I1719" s="6">
        <v>46125.472916666666</v>
      </c>
      <c r="J1719" s="7">
        <v>46122</v>
      </c>
      <c r="K1719" s="5" t="s">
        <v>1527</v>
      </c>
      <c r="L1719" s="5" t="s">
        <v>1528</v>
      </c>
      <c r="M1719" s="8">
        <v>100</v>
      </c>
      <c r="N1719" s="5" t="s">
        <v>1536</v>
      </c>
      <c r="O1719" s="7">
        <v>46122</v>
      </c>
    </row>
    <row r="1720" spans="1:15" hidden="1" x14ac:dyDescent="0.25">
      <c r="A1720" s="5" t="s">
        <v>1522</v>
      </c>
      <c r="B1720" s="5" t="s">
        <v>5929</v>
      </c>
      <c r="D1720" s="5" t="s">
        <v>1288</v>
      </c>
      <c r="E1720" s="5" t="s">
        <v>5926</v>
      </c>
      <c r="F1720" s="5" t="s">
        <v>2818</v>
      </c>
      <c r="G1720" s="6">
        <v>46125.697222222225</v>
      </c>
      <c r="H1720" s="7">
        <v>46130</v>
      </c>
      <c r="I1720" s="6">
        <v>46128.763888888891</v>
      </c>
      <c r="J1720" s="7">
        <v>46128</v>
      </c>
      <c r="K1720" s="5" t="s">
        <v>1527</v>
      </c>
      <c r="L1720" s="5" t="s">
        <v>1528</v>
      </c>
      <c r="M1720" s="8">
        <v>100</v>
      </c>
      <c r="N1720" s="5" t="s">
        <v>1536</v>
      </c>
      <c r="O1720" s="7">
        <v>46128</v>
      </c>
    </row>
    <row r="1721" spans="1:15" hidden="1" x14ac:dyDescent="0.25">
      <c r="A1721" s="5" t="s">
        <v>1522</v>
      </c>
      <c r="B1721" s="5" t="s">
        <v>5930</v>
      </c>
      <c r="D1721" s="5" t="s">
        <v>1436</v>
      </c>
      <c r="E1721" s="5" t="s">
        <v>5931</v>
      </c>
      <c r="F1721" s="5" t="s">
        <v>5932</v>
      </c>
      <c r="G1721" s="6">
        <v>46155.488194444442</v>
      </c>
      <c r="H1721" s="7">
        <v>46163</v>
      </c>
      <c r="I1721" s="6">
        <v>46163.788194444445</v>
      </c>
      <c r="J1721" s="7">
        <v>46160</v>
      </c>
      <c r="K1721" s="5" t="s">
        <v>1527</v>
      </c>
      <c r="L1721" s="5" t="s">
        <v>1528</v>
      </c>
      <c r="M1721" s="8">
        <v>100</v>
      </c>
      <c r="N1721" s="5" t="s">
        <v>1536</v>
      </c>
      <c r="O1721" s="7">
        <v>46160</v>
      </c>
    </row>
    <row r="1722" spans="1:15" x14ac:dyDescent="0.25">
      <c r="A1722" s="5" t="s">
        <v>4</v>
      </c>
      <c r="B1722" s="5" t="s">
        <v>5933</v>
      </c>
      <c r="D1722" s="5" t="s">
        <v>1377</v>
      </c>
      <c r="E1722" s="5" t="s">
        <v>4404</v>
      </c>
      <c r="F1722" s="5" t="s">
        <v>1532</v>
      </c>
      <c r="G1722" s="6">
        <v>46036.443749999999</v>
      </c>
      <c r="H1722" s="7">
        <v>46041</v>
      </c>
      <c r="I1722" s="5" t="s">
        <v>5934</v>
      </c>
      <c r="J1722" s="7">
        <v>46050</v>
      </c>
      <c r="K1722" s="5" t="s">
        <v>1527</v>
      </c>
      <c r="L1722" s="5" t="s">
        <v>1535</v>
      </c>
      <c r="M1722" s="8">
        <v>100</v>
      </c>
      <c r="N1722" s="5" t="s">
        <v>1536</v>
      </c>
      <c r="O1722" s="7">
        <v>46050</v>
      </c>
    </row>
    <row r="1723" spans="1:15" x14ac:dyDescent="0.25">
      <c r="A1723" s="5" t="s">
        <v>4</v>
      </c>
      <c r="B1723" s="5" t="s">
        <v>5935</v>
      </c>
      <c r="D1723" s="5" t="s">
        <v>1126</v>
      </c>
      <c r="E1723" s="5" t="s">
        <v>5936</v>
      </c>
      <c r="F1723" s="5" t="s">
        <v>1548</v>
      </c>
      <c r="G1723" s="6">
        <v>46057.675000000003</v>
      </c>
      <c r="H1723" s="7">
        <v>46070</v>
      </c>
      <c r="I1723" s="5" t="s">
        <v>5937</v>
      </c>
      <c r="J1723" s="7">
        <v>46066</v>
      </c>
      <c r="K1723" s="5" t="s">
        <v>1527</v>
      </c>
      <c r="L1723" s="5" t="s">
        <v>1564</v>
      </c>
      <c r="M1723" s="8">
        <v>100</v>
      </c>
      <c r="N1723" s="5" t="s">
        <v>1536</v>
      </c>
      <c r="O1723" s="7">
        <v>46066</v>
      </c>
    </row>
    <row r="1724" spans="1:15" x14ac:dyDescent="0.25">
      <c r="A1724" s="5" t="s">
        <v>4</v>
      </c>
      <c r="B1724" s="5" t="s">
        <v>5938</v>
      </c>
      <c r="D1724" s="5" t="s">
        <v>1221</v>
      </c>
      <c r="E1724" s="5" t="s">
        <v>5939</v>
      </c>
      <c r="F1724" s="5" t="s">
        <v>5940</v>
      </c>
      <c r="G1724" s="6">
        <v>46059.418749999997</v>
      </c>
      <c r="H1724" s="7">
        <v>46072</v>
      </c>
      <c r="I1724" s="6">
        <v>46066.706944444442</v>
      </c>
      <c r="J1724" s="7">
        <v>46065</v>
      </c>
      <c r="K1724" s="5" t="s">
        <v>1527</v>
      </c>
      <c r="L1724" s="5" t="s">
        <v>1564</v>
      </c>
      <c r="M1724" s="8">
        <v>100</v>
      </c>
      <c r="N1724" s="5" t="s">
        <v>1536</v>
      </c>
      <c r="O1724" s="7">
        <v>46065</v>
      </c>
    </row>
    <row r="1725" spans="1:15" x14ac:dyDescent="0.25">
      <c r="A1725" s="5" t="s">
        <v>4</v>
      </c>
      <c r="B1725" s="5" t="s">
        <v>5941</v>
      </c>
      <c r="D1725" s="5" t="s">
        <v>1324</v>
      </c>
      <c r="E1725" s="5" t="s">
        <v>5448</v>
      </c>
      <c r="F1725" s="5" t="s">
        <v>1770</v>
      </c>
      <c r="G1725" s="6">
        <v>46071.436805555553</v>
      </c>
      <c r="H1725" s="7">
        <v>46084</v>
      </c>
      <c r="I1725" s="6">
        <v>46078.685416666667</v>
      </c>
      <c r="J1725" s="7">
        <v>46077</v>
      </c>
      <c r="K1725" s="5" t="s">
        <v>1527</v>
      </c>
      <c r="L1725" s="5" t="s">
        <v>1564</v>
      </c>
      <c r="M1725" s="8">
        <v>100</v>
      </c>
      <c r="N1725" s="5" t="s">
        <v>1536</v>
      </c>
      <c r="O1725" s="7">
        <v>46077</v>
      </c>
    </row>
    <row r="1726" spans="1:15" x14ac:dyDescent="0.25">
      <c r="A1726" s="5" t="s">
        <v>4</v>
      </c>
      <c r="B1726" s="5" t="s">
        <v>5942</v>
      </c>
      <c r="D1726" s="5" t="s">
        <v>156</v>
      </c>
      <c r="E1726" s="5" t="s">
        <v>5943</v>
      </c>
      <c r="F1726" s="5" t="s">
        <v>1738</v>
      </c>
      <c r="G1726" s="6">
        <v>46079.340277777781</v>
      </c>
      <c r="H1726" s="7">
        <v>46092</v>
      </c>
      <c r="I1726" s="6">
        <v>46090.738194444442</v>
      </c>
      <c r="J1726" s="7">
        <v>46087</v>
      </c>
      <c r="K1726" s="5" t="s">
        <v>1527</v>
      </c>
      <c r="L1726" s="5" t="s">
        <v>1564</v>
      </c>
      <c r="M1726" s="8">
        <v>100</v>
      </c>
      <c r="N1726" s="5" t="s">
        <v>1536</v>
      </c>
      <c r="O1726" s="7">
        <v>46087</v>
      </c>
    </row>
    <row r="1727" spans="1:15" x14ac:dyDescent="0.25">
      <c r="A1727" s="5" t="s">
        <v>4</v>
      </c>
      <c r="B1727" s="5" t="s">
        <v>5944</v>
      </c>
      <c r="D1727" s="5" t="s">
        <v>566</v>
      </c>
      <c r="E1727" s="5" t="s">
        <v>5945</v>
      </c>
      <c r="F1727" s="5" t="s">
        <v>1738</v>
      </c>
      <c r="G1727" s="6">
        <v>46104.387499999997</v>
      </c>
      <c r="H1727" s="7">
        <v>46118</v>
      </c>
      <c r="I1727" s="5" t="s">
        <v>5946</v>
      </c>
      <c r="J1727" s="7">
        <v>46111</v>
      </c>
      <c r="K1727" s="5" t="s">
        <v>1527</v>
      </c>
      <c r="L1727" s="5" t="s">
        <v>1564</v>
      </c>
      <c r="M1727" s="8">
        <v>100</v>
      </c>
      <c r="N1727" s="5" t="s">
        <v>1536</v>
      </c>
      <c r="O1727" s="7">
        <v>46111</v>
      </c>
    </row>
    <row r="1728" spans="1:15" x14ac:dyDescent="0.25">
      <c r="A1728" s="5" t="s">
        <v>4</v>
      </c>
      <c r="B1728" s="5" t="s">
        <v>5947</v>
      </c>
      <c r="D1728" s="5" t="s">
        <v>55</v>
      </c>
      <c r="E1728" s="5" t="s">
        <v>5948</v>
      </c>
      <c r="F1728" s="5" t="s">
        <v>1759</v>
      </c>
      <c r="G1728" s="6">
        <v>46104.631944444445</v>
      </c>
      <c r="H1728" s="7">
        <v>46118</v>
      </c>
      <c r="I1728" s="5" t="s">
        <v>5949</v>
      </c>
      <c r="J1728" s="7">
        <v>46114</v>
      </c>
      <c r="K1728" s="5" t="s">
        <v>1527</v>
      </c>
      <c r="L1728" s="5" t="s">
        <v>1564</v>
      </c>
      <c r="M1728" s="8">
        <v>100</v>
      </c>
      <c r="N1728" s="5" t="s">
        <v>1536</v>
      </c>
      <c r="O1728" s="7">
        <v>46114</v>
      </c>
    </row>
    <row r="1729" spans="1:15" x14ac:dyDescent="0.25">
      <c r="A1729" s="5" t="s">
        <v>4</v>
      </c>
      <c r="B1729" s="5" t="s">
        <v>5950</v>
      </c>
      <c r="D1729" s="5" t="s">
        <v>1283</v>
      </c>
      <c r="E1729" s="5" t="s">
        <v>1907</v>
      </c>
      <c r="F1729" s="5" t="s">
        <v>5951</v>
      </c>
      <c r="G1729" s="6">
        <v>46105.604861111111</v>
      </c>
      <c r="H1729" s="7">
        <v>46105</v>
      </c>
      <c r="I1729" s="6">
        <v>46105.313194444447</v>
      </c>
      <c r="J1729" s="7">
        <v>46106</v>
      </c>
      <c r="K1729" s="5" t="s">
        <v>1527</v>
      </c>
      <c r="L1729" s="5" t="s">
        <v>1564</v>
      </c>
      <c r="M1729" s="8">
        <v>100</v>
      </c>
      <c r="N1729" s="5" t="s">
        <v>1536</v>
      </c>
      <c r="O1729" s="7">
        <v>46106</v>
      </c>
    </row>
    <row r="1730" spans="1:15" x14ac:dyDescent="0.25">
      <c r="A1730" s="5" t="s">
        <v>4</v>
      </c>
      <c r="B1730" s="5" t="s">
        <v>5952</v>
      </c>
      <c r="D1730" s="5" t="s">
        <v>1501</v>
      </c>
      <c r="E1730" s="5" t="s">
        <v>3361</v>
      </c>
      <c r="F1730" s="5" t="s">
        <v>1738</v>
      </c>
      <c r="G1730" s="6">
        <v>46107.717361111114</v>
      </c>
      <c r="H1730" s="7">
        <v>46121</v>
      </c>
      <c r="I1730" s="6">
        <v>46121.734722222223</v>
      </c>
      <c r="J1730" s="7">
        <v>46118</v>
      </c>
      <c r="K1730" s="5" t="s">
        <v>1527</v>
      </c>
      <c r="L1730" s="5" t="s">
        <v>1564</v>
      </c>
      <c r="M1730" s="8">
        <v>100</v>
      </c>
      <c r="N1730" s="5" t="s">
        <v>1536</v>
      </c>
      <c r="O1730" s="7">
        <v>46118</v>
      </c>
    </row>
    <row r="1731" spans="1:15" x14ac:dyDescent="0.25">
      <c r="A1731" s="5" t="s">
        <v>4</v>
      </c>
      <c r="B1731" s="5" t="s">
        <v>5953</v>
      </c>
      <c r="D1731" s="5" t="s">
        <v>1095</v>
      </c>
      <c r="E1731" s="5" t="s">
        <v>5954</v>
      </c>
      <c r="F1731" s="5" t="s">
        <v>1738</v>
      </c>
      <c r="G1731" s="6">
        <v>46112.506944444445</v>
      </c>
      <c r="H1731" s="7">
        <v>46126</v>
      </c>
      <c r="I1731" s="6">
        <v>46126.751388888886</v>
      </c>
      <c r="J1731" s="7">
        <v>46121</v>
      </c>
      <c r="K1731" s="5" t="s">
        <v>1527</v>
      </c>
      <c r="L1731" s="5" t="s">
        <v>1564</v>
      </c>
      <c r="M1731" s="8">
        <v>100</v>
      </c>
      <c r="N1731" s="5" t="s">
        <v>1536</v>
      </c>
      <c r="O1731" s="7">
        <v>46121</v>
      </c>
    </row>
    <row r="1732" spans="1:15" x14ac:dyDescent="0.25">
      <c r="A1732" s="5" t="s">
        <v>4</v>
      </c>
      <c r="B1732" s="5" t="s">
        <v>5955</v>
      </c>
      <c r="D1732" s="5" t="s">
        <v>526</v>
      </c>
      <c r="E1732" s="5" t="s">
        <v>5956</v>
      </c>
      <c r="F1732" s="5" t="s">
        <v>1759</v>
      </c>
      <c r="G1732" s="6">
        <v>46135.419444444444</v>
      </c>
      <c r="H1732" s="7">
        <v>46149</v>
      </c>
      <c r="I1732" s="6">
        <v>46147.62777777778</v>
      </c>
      <c r="J1732" s="7">
        <v>46141</v>
      </c>
      <c r="K1732" s="5" t="s">
        <v>1527</v>
      </c>
      <c r="L1732" s="5" t="s">
        <v>1564</v>
      </c>
      <c r="M1732" s="8">
        <v>100</v>
      </c>
      <c r="N1732" s="5" t="s">
        <v>1536</v>
      </c>
      <c r="O1732" s="7">
        <v>46141</v>
      </c>
    </row>
    <row r="1733" spans="1:15" x14ac:dyDescent="0.25">
      <c r="A1733" s="5" t="s">
        <v>4</v>
      </c>
      <c r="B1733" s="5" t="s">
        <v>5957</v>
      </c>
      <c r="D1733" s="5" t="s">
        <v>1483</v>
      </c>
      <c r="E1733" s="5" t="s">
        <v>1676</v>
      </c>
      <c r="F1733" s="5" t="s">
        <v>2765</v>
      </c>
      <c r="G1733" s="6">
        <v>46101.415277777778</v>
      </c>
      <c r="H1733" s="7">
        <v>46101</v>
      </c>
      <c r="I1733" s="5" t="s">
        <v>5958</v>
      </c>
      <c r="J1733" s="7">
        <v>46101</v>
      </c>
      <c r="K1733" s="5" t="s">
        <v>1527</v>
      </c>
      <c r="L1733" s="5" t="s">
        <v>1535</v>
      </c>
      <c r="M1733" s="8">
        <v>99.9</v>
      </c>
      <c r="N1733" s="5" t="s">
        <v>1536</v>
      </c>
      <c r="O1733" s="7">
        <v>46101</v>
      </c>
    </row>
    <row r="1734" spans="1:15" x14ac:dyDescent="0.25">
      <c r="A1734" s="5" t="s">
        <v>4</v>
      </c>
      <c r="B1734" s="5" t="s">
        <v>5959</v>
      </c>
      <c r="D1734" s="5" t="s">
        <v>832</v>
      </c>
      <c r="E1734" s="5" t="s">
        <v>5960</v>
      </c>
      <c r="F1734" s="5" t="s">
        <v>5961</v>
      </c>
      <c r="G1734" s="6">
        <v>46038.684027777781</v>
      </c>
      <c r="H1734" s="7">
        <v>46049</v>
      </c>
      <c r="I1734" s="6">
        <v>46042.604861111111</v>
      </c>
      <c r="J1734" s="7">
        <v>46042</v>
      </c>
      <c r="K1734" s="5" t="s">
        <v>1527</v>
      </c>
      <c r="L1734" s="5" t="s">
        <v>1621</v>
      </c>
      <c r="M1734" s="8">
        <v>99.8</v>
      </c>
      <c r="N1734" s="5" t="s">
        <v>1536</v>
      </c>
      <c r="O1734" s="7">
        <v>46042</v>
      </c>
    </row>
    <row r="1735" spans="1:15" x14ac:dyDescent="0.25">
      <c r="A1735" s="5" t="s">
        <v>4</v>
      </c>
      <c r="B1735" s="5" t="s">
        <v>5962</v>
      </c>
      <c r="D1735" s="5" t="s">
        <v>519</v>
      </c>
      <c r="E1735" s="5" t="s">
        <v>5963</v>
      </c>
      <c r="F1735" s="5" t="s">
        <v>5964</v>
      </c>
      <c r="G1735" s="6">
        <v>46055.707638888889</v>
      </c>
      <c r="H1735" s="7">
        <v>46064</v>
      </c>
      <c r="I1735" s="5" t="s">
        <v>5965</v>
      </c>
      <c r="J1735" s="7">
        <v>46064</v>
      </c>
      <c r="K1735" s="5" t="s">
        <v>1527</v>
      </c>
      <c r="L1735" s="5" t="s">
        <v>1621</v>
      </c>
      <c r="M1735" s="8">
        <v>99</v>
      </c>
      <c r="N1735" s="5" t="s">
        <v>1536</v>
      </c>
      <c r="O1735" s="7">
        <v>46064</v>
      </c>
    </row>
    <row r="1736" spans="1:15" x14ac:dyDescent="0.25">
      <c r="A1736" s="5" t="s">
        <v>4</v>
      </c>
      <c r="B1736" s="5" t="s">
        <v>5966</v>
      </c>
      <c r="D1736" s="5" t="s">
        <v>1280</v>
      </c>
      <c r="E1736" s="5" t="s">
        <v>4347</v>
      </c>
      <c r="F1736" s="5" t="s">
        <v>1770</v>
      </c>
      <c r="G1736" s="6">
        <v>46161.384722222225</v>
      </c>
      <c r="H1736" s="7">
        <v>46174</v>
      </c>
      <c r="I1736" s="6">
        <v>46167.745138888888</v>
      </c>
      <c r="J1736" s="7">
        <v>46167</v>
      </c>
      <c r="K1736" s="5" t="s">
        <v>1527</v>
      </c>
      <c r="L1736" s="5" t="s">
        <v>1564</v>
      </c>
      <c r="M1736" s="9">
        <v>98</v>
      </c>
      <c r="N1736" s="5" t="s">
        <v>1536</v>
      </c>
      <c r="O1736" s="7">
        <v>46167</v>
      </c>
    </row>
    <row r="1737" spans="1:15" x14ac:dyDescent="0.25">
      <c r="A1737" s="5" t="s">
        <v>4</v>
      </c>
      <c r="B1737" s="5" t="s">
        <v>5967</v>
      </c>
      <c r="D1737" s="5" t="s">
        <v>627</v>
      </c>
      <c r="E1737" s="5" t="s">
        <v>5968</v>
      </c>
      <c r="F1737" s="5" t="s">
        <v>5969</v>
      </c>
      <c r="G1737" s="6">
        <v>46113.648611111108</v>
      </c>
      <c r="H1737" s="7">
        <v>46120</v>
      </c>
      <c r="I1737" s="5" t="s">
        <v>5164</v>
      </c>
      <c r="J1737" s="7">
        <v>46121</v>
      </c>
      <c r="K1737" s="5" t="s">
        <v>1527</v>
      </c>
      <c r="L1737" s="5" t="s">
        <v>1621</v>
      </c>
      <c r="M1737" s="8">
        <v>97.65</v>
      </c>
      <c r="N1737" s="5" t="s">
        <v>1536</v>
      </c>
      <c r="O1737" s="7">
        <v>46121</v>
      </c>
    </row>
    <row r="1738" spans="1:15" hidden="1" x14ac:dyDescent="0.25">
      <c r="A1738" s="5" t="s">
        <v>1522</v>
      </c>
      <c r="B1738" s="5" t="s">
        <v>5970</v>
      </c>
      <c r="D1738" s="5" t="s">
        <v>1422</v>
      </c>
      <c r="E1738" s="5" t="s">
        <v>3396</v>
      </c>
      <c r="F1738" s="5" t="s">
        <v>2734</v>
      </c>
      <c r="G1738" s="6">
        <v>46135.386805555558</v>
      </c>
      <c r="H1738" s="7">
        <v>46141</v>
      </c>
      <c r="I1738" s="6">
        <v>46140.690972222219</v>
      </c>
      <c r="J1738" s="7">
        <v>46139</v>
      </c>
      <c r="K1738" s="5" t="s">
        <v>1527</v>
      </c>
      <c r="L1738" s="5" t="s">
        <v>1528</v>
      </c>
      <c r="M1738" s="8">
        <v>97.2</v>
      </c>
      <c r="N1738" s="5" t="s">
        <v>1536</v>
      </c>
      <c r="O1738" s="7">
        <v>46139</v>
      </c>
    </row>
    <row r="1739" spans="1:15" hidden="1" x14ac:dyDescent="0.25">
      <c r="A1739" s="5" t="s">
        <v>1522</v>
      </c>
      <c r="B1739" s="5" t="s">
        <v>5971</v>
      </c>
      <c r="D1739" s="5" t="s">
        <v>1510</v>
      </c>
      <c r="E1739" s="5" t="s">
        <v>2466</v>
      </c>
      <c r="F1739" s="5" t="s">
        <v>3389</v>
      </c>
      <c r="G1739" s="6">
        <v>46086.710416666669</v>
      </c>
      <c r="H1739" s="7">
        <v>46090</v>
      </c>
      <c r="I1739" s="5" t="s">
        <v>5972</v>
      </c>
      <c r="J1739" s="7">
        <v>46091</v>
      </c>
      <c r="K1739" s="5" t="s">
        <v>1527</v>
      </c>
      <c r="L1739" s="5" t="s">
        <v>1621</v>
      </c>
      <c r="M1739" s="8">
        <v>96</v>
      </c>
      <c r="N1739" s="5" t="s">
        <v>1536</v>
      </c>
      <c r="O1739" s="7">
        <v>46091</v>
      </c>
    </row>
    <row r="1740" spans="1:15" hidden="1" x14ac:dyDescent="0.25">
      <c r="A1740" s="5" t="s">
        <v>1522</v>
      </c>
      <c r="B1740" s="5" t="s">
        <v>5973</v>
      </c>
      <c r="D1740" s="5" t="s">
        <v>1510</v>
      </c>
      <c r="E1740" s="5" t="s">
        <v>2466</v>
      </c>
      <c r="F1740" s="5" t="s">
        <v>3389</v>
      </c>
      <c r="G1740" s="6">
        <v>46092.461805555555</v>
      </c>
      <c r="H1740" s="7">
        <v>46097</v>
      </c>
      <c r="I1740" s="6">
        <v>46097.599999999999</v>
      </c>
      <c r="J1740" s="7">
        <v>46097</v>
      </c>
      <c r="K1740" s="5" t="s">
        <v>1527</v>
      </c>
      <c r="L1740" s="5" t="s">
        <v>1621</v>
      </c>
      <c r="M1740" s="8">
        <v>96</v>
      </c>
      <c r="N1740" s="5" t="s">
        <v>1536</v>
      </c>
      <c r="O1740" s="7">
        <v>46097</v>
      </c>
    </row>
    <row r="1741" spans="1:15" hidden="1" x14ac:dyDescent="0.25">
      <c r="A1741" s="5" t="s">
        <v>1522</v>
      </c>
      <c r="B1741" s="5" t="s">
        <v>5974</v>
      </c>
      <c r="D1741" s="5" t="s">
        <v>1499</v>
      </c>
      <c r="E1741" s="5" t="s">
        <v>1712</v>
      </c>
      <c r="F1741" s="5" t="s">
        <v>1713</v>
      </c>
      <c r="G1741" s="6">
        <v>46111.347222222219</v>
      </c>
      <c r="H1741" s="7">
        <v>46115</v>
      </c>
      <c r="I1741" s="6">
        <v>46113.614583333336</v>
      </c>
      <c r="J1741" s="7">
        <v>46112</v>
      </c>
      <c r="K1741" s="5" t="s">
        <v>1527</v>
      </c>
      <c r="L1741" s="5" t="s">
        <v>1528</v>
      </c>
      <c r="M1741" s="8">
        <v>96</v>
      </c>
      <c r="N1741" s="5" t="s">
        <v>1536</v>
      </c>
      <c r="O1741" s="7">
        <v>46112</v>
      </c>
    </row>
    <row r="1742" spans="1:15" x14ac:dyDescent="0.25">
      <c r="A1742" s="5" t="s">
        <v>4</v>
      </c>
      <c r="B1742" s="5" t="s">
        <v>5975</v>
      </c>
      <c r="D1742" s="5" t="s">
        <v>1479</v>
      </c>
      <c r="E1742" s="5" t="s">
        <v>1932</v>
      </c>
      <c r="F1742" s="5" t="s">
        <v>5976</v>
      </c>
      <c r="G1742" s="6">
        <v>46140.450694444444</v>
      </c>
      <c r="H1742" s="7">
        <v>46148</v>
      </c>
      <c r="I1742" s="6">
        <v>46148.598611111112</v>
      </c>
      <c r="J1742" s="7">
        <v>46148</v>
      </c>
      <c r="K1742" s="5" t="s">
        <v>1527</v>
      </c>
      <c r="L1742" s="5" t="s">
        <v>1535</v>
      </c>
      <c r="M1742" s="8">
        <v>96</v>
      </c>
      <c r="N1742" s="5" t="s">
        <v>1536</v>
      </c>
      <c r="O1742" s="7">
        <v>46148</v>
      </c>
    </row>
    <row r="1743" spans="1:15" x14ac:dyDescent="0.25">
      <c r="A1743" s="5" t="s">
        <v>4</v>
      </c>
      <c r="B1743" s="5" t="s">
        <v>5977</v>
      </c>
      <c r="D1743" s="5" t="s">
        <v>1430</v>
      </c>
      <c r="E1743" s="5" t="s">
        <v>2676</v>
      </c>
      <c r="F1743" s="5" t="s">
        <v>2118</v>
      </c>
      <c r="G1743" s="6">
        <v>46104.551388888889</v>
      </c>
      <c r="H1743" s="7">
        <v>46113</v>
      </c>
      <c r="I1743" s="5" t="s">
        <v>5978</v>
      </c>
      <c r="J1743" s="7">
        <v>46119</v>
      </c>
      <c r="K1743" s="5" t="s">
        <v>1527</v>
      </c>
      <c r="L1743" s="5" t="s">
        <v>1535</v>
      </c>
      <c r="M1743" s="8">
        <v>95.7</v>
      </c>
      <c r="N1743" s="5" t="s">
        <v>1536</v>
      </c>
      <c r="O1743" s="7">
        <v>46119</v>
      </c>
    </row>
    <row r="1744" spans="1:15" x14ac:dyDescent="0.25">
      <c r="A1744" s="5" t="s">
        <v>4</v>
      </c>
      <c r="B1744" s="5" t="s">
        <v>5979</v>
      </c>
      <c r="D1744" s="5" t="s">
        <v>1344</v>
      </c>
      <c r="E1744" s="5" t="s">
        <v>5980</v>
      </c>
      <c r="F1744" s="5" t="s">
        <v>5981</v>
      </c>
      <c r="G1744" s="6">
        <v>46127.689583333333</v>
      </c>
      <c r="H1744" s="7">
        <v>46135</v>
      </c>
      <c r="I1744" s="6">
        <v>46132.618750000001</v>
      </c>
      <c r="J1744" s="7">
        <v>46132</v>
      </c>
      <c r="K1744" s="5" t="s">
        <v>1527</v>
      </c>
      <c r="L1744" s="5" t="s">
        <v>1564</v>
      </c>
      <c r="M1744" s="8">
        <v>95.67</v>
      </c>
      <c r="N1744" s="5" t="s">
        <v>1536</v>
      </c>
      <c r="O1744" s="7">
        <v>46132</v>
      </c>
    </row>
    <row r="1745" spans="1:15" x14ac:dyDescent="0.25">
      <c r="A1745" s="5" t="s">
        <v>4</v>
      </c>
      <c r="B1745" s="5" t="s">
        <v>5982</v>
      </c>
      <c r="D1745" s="5" t="s">
        <v>1092</v>
      </c>
      <c r="E1745" s="5" t="s">
        <v>5983</v>
      </c>
      <c r="F1745" s="5" t="s">
        <v>1548</v>
      </c>
      <c r="G1745" s="6">
        <v>46029.727083333331</v>
      </c>
      <c r="H1745" s="7">
        <v>46038</v>
      </c>
      <c r="I1745" s="5" t="s">
        <v>5984</v>
      </c>
      <c r="J1745" s="7">
        <v>46042</v>
      </c>
      <c r="K1745" s="5" t="s">
        <v>1527</v>
      </c>
      <c r="L1745" s="5" t="s">
        <v>1535</v>
      </c>
      <c r="M1745" s="8">
        <v>95.6</v>
      </c>
      <c r="N1745" s="5" t="s">
        <v>1536</v>
      </c>
      <c r="O1745" s="7">
        <v>46042</v>
      </c>
    </row>
    <row r="1746" spans="1:15" hidden="1" x14ac:dyDescent="0.25">
      <c r="A1746" s="5" t="s">
        <v>1522</v>
      </c>
      <c r="B1746" s="5" t="s">
        <v>5985</v>
      </c>
      <c r="D1746" s="5" t="s">
        <v>1510</v>
      </c>
      <c r="E1746" s="5" t="s">
        <v>2466</v>
      </c>
      <c r="F1746" s="5" t="s">
        <v>5986</v>
      </c>
      <c r="G1746" s="6">
        <v>46147.513888888891</v>
      </c>
      <c r="H1746" s="7">
        <v>46155</v>
      </c>
      <c r="I1746" s="6">
        <v>46153.706944444442</v>
      </c>
      <c r="J1746" s="7">
        <v>46153</v>
      </c>
      <c r="K1746" s="5" t="s">
        <v>1527</v>
      </c>
      <c r="L1746" s="5" t="s">
        <v>1621</v>
      </c>
      <c r="M1746" s="8">
        <v>95.58</v>
      </c>
      <c r="N1746" s="5" t="s">
        <v>1529</v>
      </c>
      <c r="O1746" s="7">
        <v>46153</v>
      </c>
    </row>
    <row r="1747" spans="1:15" x14ac:dyDescent="0.25">
      <c r="A1747" s="5" t="s">
        <v>4</v>
      </c>
      <c r="B1747" s="5" t="s">
        <v>5987</v>
      </c>
      <c r="D1747" s="5" t="s">
        <v>1482</v>
      </c>
      <c r="E1747" s="5" t="s">
        <v>4953</v>
      </c>
      <c r="F1747" s="5" t="s">
        <v>1770</v>
      </c>
      <c r="G1747" s="6">
        <v>46084.427083333336</v>
      </c>
      <c r="H1747" s="7">
        <v>46097</v>
      </c>
      <c r="I1747" s="6">
        <v>46087.699305555558</v>
      </c>
      <c r="J1747" s="7">
        <v>46087</v>
      </c>
      <c r="K1747" s="5" t="s">
        <v>1527</v>
      </c>
      <c r="L1747" s="5" t="s">
        <v>1564</v>
      </c>
      <c r="M1747" s="8">
        <v>95</v>
      </c>
      <c r="N1747" s="5" t="s">
        <v>1536</v>
      </c>
      <c r="O1747" s="7">
        <v>46087</v>
      </c>
    </row>
    <row r="1748" spans="1:15" x14ac:dyDescent="0.25">
      <c r="A1748" s="5" t="s">
        <v>4</v>
      </c>
      <c r="B1748" s="5" t="s">
        <v>5988</v>
      </c>
      <c r="D1748" s="5" t="s">
        <v>898</v>
      </c>
      <c r="E1748" s="5" t="s">
        <v>5989</v>
      </c>
      <c r="F1748" s="5" t="s">
        <v>1770</v>
      </c>
      <c r="G1748" s="6">
        <v>46090.438888888886</v>
      </c>
      <c r="H1748" s="7">
        <v>46099</v>
      </c>
      <c r="I1748" s="6">
        <v>46092.606249999997</v>
      </c>
      <c r="J1748" s="7">
        <v>46162</v>
      </c>
      <c r="K1748" s="5" t="s">
        <v>1527</v>
      </c>
      <c r="L1748" s="5" t="s">
        <v>1564</v>
      </c>
      <c r="M1748" s="8">
        <v>95</v>
      </c>
      <c r="N1748" s="5" t="s">
        <v>1536</v>
      </c>
      <c r="O1748" s="7">
        <v>46162</v>
      </c>
    </row>
    <row r="1749" spans="1:15" x14ac:dyDescent="0.25">
      <c r="A1749" s="5" t="s">
        <v>4</v>
      </c>
      <c r="B1749" s="5" t="s">
        <v>5990</v>
      </c>
      <c r="D1749" s="5" t="s">
        <v>906</v>
      </c>
      <c r="E1749" s="5" t="s">
        <v>5991</v>
      </c>
      <c r="F1749" s="5" t="s">
        <v>2875</v>
      </c>
      <c r="G1749" s="6">
        <v>46097.571527777778</v>
      </c>
      <c r="H1749" s="7">
        <v>46106</v>
      </c>
      <c r="I1749" s="5" t="s">
        <v>5992</v>
      </c>
      <c r="J1749" s="7">
        <v>46112</v>
      </c>
      <c r="K1749" s="5" t="s">
        <v>1527</v>
      </c>
      <c r="L1749" s="5" t="s">
        <v>1535</v>
      </c>
      <c r="M1749" s="8">
        <v>95</v>
      </c>
      <c r="N1749" s="5" t="s">
        <v>1536</v>
      </c>
      <c r="O1749" s="7">
        <v>46112</v>
      </c>
    </row>
    <row r="1750" spans="1:15" x14ac:dyDescent="0.25">
      <c r="A1750" s="5" t="s">
        <v>4</v>
      </c>
      <c r="B1750" s="5" t="s">
        <v>5993</v>
      </c>
      <c r="D1750" s="5" t="s">
        <v>605</v>
      </c>
      <c r="E1750" s="5" t="s">
        <v>5994</v>
      </c>
      <c r="F1750" s="5" t="s">
        <v>5995</v>
      </c>
      <c r="G1750" s="6">
        <v>46155.468055555553</v>
      </c>
      <c r="H1750" s="7">
        <v>46162</v>
      </c>
      <c r="I1750" s="6">
        <v>46161.415277777778</v>
      </c>
      <c r="J1750" s="7">
        <v>46160</v>
      </c>
      <c r="K1750" s="5" t="s">
        <v>1527</v>
      </c>
      <c r="L1750" s="5" t="s">
        <v>1621</v>
      </c>
      <c r="M1750" s="8">
        <v>94.99</v>
      </c>
      <c r="N1750" s="5" t="s">
        <v>1536</v>
      </c>
      <c r="O1750" s="7">
        <v>46160</v>
      </c>
    </row>
    <row r="1751" spans="1:15" x14ac:dyDescent="0.25">
      <c r="A1751" s="5" t="s">
        <v>4</v>
      </c>
      <c r="B1751" s="5" t="s">
        <v>5996</v>
      </c>
      <c r="D1751" s="5" t="s">
        <v>1251</v>
      </c>
      <c r="E1751" s="5" t="s">
        <v>5997</v>
      </c>
      <c r="F1751" s="5" t="s">
        <v>5998</v>
      </c>
      <c r="G1751" s="6">
        <v>46107.696527777778</v>
      </c>
      <c r="H1751" s="7">
        <v>46111</v>
      </c>
      <c r="I1751" s="5" t="s">
        <v>5999</v>
      </c>
      <c r="J1751" s="7">
        <v>46120</v>
      </c>
      <c r="K1751" s="5" t="s">
        <v>1527</v>
      </c>
      <c r="L1751" s="5" t="s">
        <v>1621</v>
      </c>
      <c r="M1751" s="8">
        <v>94.88</v>
      </c>
      <c r="N1751" s="5" t="s">
        <v>1536</v>
      </c>
      <c r="O1751" s="7">
        <v>46120</v>
      </c>
    </row>
    <row r="1752" spans="1:15" x14ac:dyDescent="0.25">
      <c r="A1752" s="5" t="s">
        <v>4</v>
      </c>
      <c r="B1752" s="5" t="s">
        <v>6000</v>
      </c>
      <c r="D1752" s="5" t="s">
        <v>185</v>
      </c>
      <c r="E1752" s="5" t="s">
        <v>6001</v>
      </c>
      <c r="F1752" s="5" t="s">
        <v>6002</v>
      </c>
      <c r="G1752" s="6">
        <v>46141.70208333333</v>
      </c>
      <c r="H1752" s="7">
        <v>46148</v>
      </c>
      <c r="I1752" s="5" t="s">
        <v>6003</v>
      </c>
      <c r="J1752" s="7">
        <v>46155</v>
      </c>
      <c r="K1752" s="5" t="s">
        <v>1527</v>
      </c>
      <c r="L1752" s="5" t="s">
        <v>1621</v>
      </c>
      <c r="M1752" s="8">
        <v>94.56</v>
      </c>
      <c r="N1752" s="5" t="s">
        <v>1536</v>
      </c>
      <c r="O1752" s="7">
        <v>46155</v>
      </c>
    </row>
    <row r="1753" spans="1:15" x14ac:dyDescent="0.25">
      <c r="A1753" s="5" t="s">
        <v>4</v>
      </c>
      <c r="B1753" s="5" t="s">
        <v>6004</v>
      </c>
      <c r="D1753" s="5" t="s">
        <v>1232</v>
      </c>
      <c r="E1753" s="5" t="s">
        <v>6005</v>
      </c>
      <c r="F1753" s="5" t="s">
        <v>6006</v>
      </c>
      <c r="G1753" s="6">
        <v>46044.720138888886</v>
      </c>
      <c r="H1753" s="7">
        <v>46055</v>
      </c>
      <c r="I1753" s="5" t="s">
        <v>4256</v>
      </c>
      <c r="J1753" s="7">
        <v>46058</v>
      </c>
      <c r="K1753" s="5" t="s">
        <v>1527</v>
      </c>
      <c r="L1753" s="5" t="s">
        <v>1621</v>
      </c>
      <c r="M1753" s="8">
        <v>94.38</v>
      </c>
      <c r="N1753" s="5" t="s">
        <v>1536</v>
      </c>
      <c r="O1753" s="7">
        <v>46058</v>
      </c>
    </row>
    <row r="1754" spans="1:15" x14ac:dyDescent="0.25">
      <c r="A1754" s="5" t="s">
        <v>4</v>
      </c>
      <c r="B1754" s="5" t="s">
        <v>6007</v>
      </c>
      <c r="D1754" s="5" t="s">
        <v>950</v>
      </c>
      <c r="E1754" s="5" t="s">
        <v>6008</v>
      </c>
      <c r="F1754" s="5" t="s">
        <v>6009</v>
      </c>
      <c r="G1754" s="6">
        <v>46064.669444444444</v>
      </c>
      <c r="H1754" s="7">
        <v>46070</v>
      </c>
      <c r="I1754" s="5" t="s">
        <v>6010</v>
      </c>
      <c r="J1754" s="7">
        <v>46073</v>
      </c>
      <c r="K1754" s="5" t="s">
        <v>1527</v>
      </c>
      <c r="L1754" s="5" t="s">
        <v>1621</v>
      </c>
      <c r="M1754" s="8">
        <v>94.38</v>
      </c>
      <c r="N1754" s="5" t="s">
        <v>1536</v>
      </c>
      <c r="O1754" s="7">
        <v>46073</v>
      </c>
    </row>
    <row r="1755" spans="1:15" x14ac:dyDescent="0.25">
      <c r="A1755" s="5" t="s">
        <v>4</v>
      </c>
      <c r="B1755" s="5" t="s">
        <v>6011</v>
      </c>
      <c r="D1755" s="5" t="s">
        <v>91</v>
      </c>
      <c r="E1755" s="5" t="s">
        <v>6012</v>
      </c>
      <c r="F1755" s="5" t="s">
        <v>6013</v>
      </c>
      <c r="G1755" s="6">
        <v>46064.69027777778</v>
      </c>
      <c r="H1755" s="7">
        <v>46070</v>
      </c>
      <c r="I1755" s="5" t="s">
        <v>6014</v>
      </c>
      <c r="J1755" s="7">
        <v>46073</v>
      </c>
      <c r="K1755" s="5" t="s">
        <v>1527</v>
      </c>
      <c r="L1755" s="5" t="s">
        <v>1621</v>
      </c>
      <c r="M1755" s="8">
        <v>94.38</v>
      </c>
      <c r="N1755" s="5" t="s">
        <v>1536</v>
      </c>
      <c r="O1755" s="7">
        <v>46073</v>
      </c>
    </row>
    <row r="1756" spans="1:15" x14ac:dyDescent="0.25">
      <c r="A1756" s="5" t="s">
        <v>4</v>
      </c>
      <c r="B1756" s="5" t="s">
        <v>6015</v>
      </c>
      <c r="D1756" s="5" t="s">
        <v>479</v>
      </c>
      <c r="E1756" s="5" t="s">
        <v>6016</v>
      </c>
      <c r="F1756" s="5" t="s">
        <v>6017</v>
      </c>
      <c r="G1756" s="6">
        <v>46100.67083333333</v>
      </c>
      <c r="H1756" s="7">
        <v>46107</v>
      </c>
      <c r="I1756" s="6">
        <v>46107.698611111111</v>
      </c>
      <c r="J1756" s="7">
        <v>46107</v>
      </c>
      <c r="K1756" s="5" t="s">
        <v>1527</v>
      </c>
      <c r="L1756" s="5" t="s">
        <v>1621</v>
      </c>
      <c r="M1756" s="8">
        <v>94.38</v>
      </c>
      <c r="N1756" s="5" t="s">
        <v>1536</v>
      </c>
      <c r="O1756" s="7">
        <v>46107</v>
      </c>
    </row>
    <row r="1757" spans="1:15" hidden="1" x14ac:dyDescent="0.25">
      <c r="A1757" s="5" t="s">
        <v>1522</v>
      </c>
      <c r="B1757" s="5" t="s">
        <v>6018</v>
      </c>
      <c r="D1757" s="5" t="s">
        <v>1492</v>
      </c>
      <c r="E1757" s="5" t="s">
        <v>2344</v>
      </c>
      <c r="F1757" s="5" t="s">
        <v>6019</v>
      </c>
      <c r="G1757" s="6">
        <v>46041.606249999997</v>
      </c>
      <c r="H1757" s="7">
        <v>46045</v>
      </c>
      <c r="I1757" s="5" t="s">
        <v>6020</v>
      </c>
      <c r="J1757" s="7">
        <v>46052</v>
      </c>
      <c r="K1757" s="5" t="s">
        <v>1527</v>
      </c>
      <c r="L1757" s="5" t="s">
        <v>1528</v>
      </c>
      <c r="M1757" s="8">
        <v>94.2</v>
      </c>
      <c r="N1757" s="5" t="s">
        <v>1536</v>
      </c>
      <c r="O1757" s="7">
        <v>46052</v>
      </c>
    </row>
    <row r="1758" spans="1:15" x14ac:dyDescent="0.25">
      <c r="A1758" s="5" t="s">
        <v>4</v>
      </c>
      <c r="B1758" s="5" t="s">
        <v>6021</v>
      </c>
      <c r="D1758" s="5" t="s">
        <v>826</v>
      </c>
      <c r="E1758" s="5" t="s">
        <v>6022</v>
      </c>
      <c r="F1758" s="5" t="s">
        <v>6023</v>
      </c>
      <c r="G1758" s="6">
        <v>46149.710416666669</v>
      </c>
      <c r="H1758" s="7">
        <v>46157</v>
      </c>
      <c r="I1758" s="5" t="s">
        <v>6024</v>
      </c>
      <c r="J1758" s="7">
        <v>46169</v>
      </c>
      <c r="K1758" s="5" t="s">
        <v>1527</v>
      </c>
      <c r="L1758" s="5" t="s">
        <v>1621</v>
      </c>
      <c r="M1758" s="9">
        <v>93.99</v>
      </c>
      <c r="N1758" s="5" t="s">
        <v>1536</v>
      </c>
      <c r="O1758" s="7">
        <v>46169</v>
      </c>
    </row>
    <row r="1759" spans="1:15" hidden="1" x14ac:dyDescent="0.25">
      <c r="A1759" s="5" t="s">
        <v>1522</v>
      </c>
      <c r="B1759" s="5" t="s">
        <v>6025</v>
      </c>
      <c r="D1759" s="5" t="s">
        <v>1496</v>
      </c>
      <c r="E1759" s="5" t="s">
        <v>1885</v>
      </c>
      <c r="F1759" s="5" t="s">
        <v>6026</v>
      </c>
      <c r="G1759" s="6">
        <v>46129.379166666666</v>
      </c>
      <c r="H1759" s="7">
        <v>46132</v>
      </c>
      <c r="I1759" s="5" t="s">
        <v>6027</v>
      </c>
      <c r="J1759" s="7">
        <v>46140</v>
      </c>
      <c r="K1759" s="5" t="s">
        <v>1527</v>
      </c>
      <c r="L1759" s="5" t="s">
        <v>1528</v>
      </c>
      <c r="M1759" s="8">
        <v>93.45</v>
      </c>
      <c r="N1759" s="5" t="s">
        <v>1536</v>
      </c>
      <c r="O1759" s="7">
        <v>46140</v>
      </c>
    </row>
    <row r="1760" spans="1:15" hidden="1" x14ac:dyDescent="0.25">
      <c r="A1760" s="5" t="s">
        <v>1522</v>
      </c>
      <c r="B1760" s="5" t="s">
        <v>6028</v>
      </c>
      <c r="D1760" s="5" t="s">
        <v>1503</v>
      </c>
      <c r="E1760" s="5" t="s">
        <v>1651</v>
      </c>
      <c r="F1760" s="5" t="s">
        <v>6029</v>
      </c>
      <c r="G1760" s="6">
        <v>46037.634722222225</v>
      </c>
      <c r="H1760" s="7">
        <v>46043</v>
      </c>
      <c r="I1760" s="6">
        <v>46043.459027777775</v>
      </c>
      <c r="J1760" s="7">
        <v>46043</v>
      </c>
      <c r="K1760" s="5" t="s">
        <v>1527</v>
      </c>
      <c r="L1760" s="5" t="s">
        <v>1528</v>
      </c>
      <c r="M1760" s="8">
        <v>92.5</v>
      </c>
      <c r="N1760" s="5" t="s">
        <v>1536</v>
      </c>
      <c r="O1760" s="7">
        <v>46043</v>
      </c>
    </row>
    <row r="1761" spans="1:15" x14ac:dyDescent="0.25">
      <c r="A1761" s="5" t="s">
        <v>4</v>
      </c>
      <c r="B1761" s="5" t="s">
        <v>6030</v>
      </c>
      <c r="D1761" s="5" t="s">
        <v>1125</v>
      </c>
      <c r="E1761" s="5" t="s">
        <v>6031</v>
      </c>
      <c r="F1761" s="5" t="s">
        <v>6032</v>
      </c>
      <c r="G1761" s="6">
        <v>46042.679166666669</v>
      </c>
      <c r="H1761" s="7">
        <v>46049</v>
      </c>
      <c r="I1761" s="6">
        <v>46044.670138888891</v>
      </c>
      <c r="J1761" s="7">
        <v>46044</v>
      </c>
      <c r="K1761" s="5" t="s">
        <v>1527</v>
      </c>
      <c r="L1761" s="5" t="s">
        <v>1621</v>
      </c>
      <c r="M1761" s="8">
        <v>92.43</v>
      </c>
      <c r="N1761" s="5" t="s">
        <v>1536</v>
      </c>
      <c r="O1761" s="7">
        <v>46044</v>
      </c>
    </row>
    <row r="1762" spans="1:15" hidden="1" x14ac:dyDescent="0.25">
      <c r="A1762" s="5" t="s">
        <v>1522</v>
      </c>
      <c r="B1762" s="5" t="s">
        <v>6033</v>
      </c>
      <c r="D1762" s="5" t="s">
        <v>1510</v>
      </c>
      <c r="E1762" s="5" t="s">
        <v>2466</v>
      </c>
      <c r="F1762" s="5" t="s">
        <v>5267</v>
      </c>
      <c r="G1762" s="6">
        <v>46139.759027777778</v>
      </c>
      <c r="H1762" s="7">
        <v>46147</v>
      </c>
      <c r="I1762" s="5" t="s">
        <v>5707</v>
      </c>
      <c r="J1762" s="7">
        <v>46174</v>
      </c>
      <c r="K1762" s="5" t="s">
        <v>1527</v>
      </c>
      <c r="L1762" s="5" t="s">
        <v>1621</v>
      </c>
      <c r="M1762" s="8">
        <v>92.4</v>
      </c>
      <c r="N1762" s="5" t="s">
        <v>1529</v>
      </c>
      <c r="O1762" s="7">
        <v>46174</v>
      </c>
    </row>
    <row r="1763" spans="1:15" x14ac:dyDescent="0.25">
      <c r="A1763" s="5" t="s">
        <v>4</v>
      </c>
      <c r="B1763" s="5" t="s">
        <v>6034</v>
      </c>
      <c r="D1763" s="5" t="s">
        <v>24</v>
      </c>
      <c r="E1763" s="5" t="s">
        <v>6035</v>
      </c>
      <c r="F1763" s="5" t="s">
        <v>6036</v>
      </c>
      <c r="G1763" s="6">
        <v>46058.742361111108</v>
      </c>
      <c r="H1763" s="7">
        <v>46064</v>
      </c>
      <c r="I1763" s="5" t="s">
        <v>6037</v>
      </c>
      <c r="J1763" s="7">
        <v>46077</v>
      </c>
      <c r="K1763" s="5" t="s">
        <v>1527</v>
      </c>
      <c r="L1763" s="5" t="s">
        <v>1621</v>
      </c>
      <c r="M1763" s="8">
        <v>92.37</v>
      </c>
      <c r="N1763" s="5" t="s">
        <v>1536</v>
      </c>
      <c r="O1763" s="7">
        <v>46077</v>
      </c>
    </row>
    <row r="1764" spans="1:15" hidden="1" x14ac:dyDescent="0.25">
      <c r="A1764" s="5" t="s">
        <v>1522</v>
      </c>
      <c r="B1764" s="5" t="s">
        <v>6038</v>
      </c>
      <c r="D1764" s="5" t="s">
        <v>1421</v>
      </c>
      <c r="E1764" s="5" t="s">
        <v>2500</v>
      </c>
      <c r="F1764" s="5" t="s">
        <v>6039</v>
      </c>
      <c r="G1764" s="6">
        <v>46034.499305555553</v>
      </c>
      <c r="H1764" s="7">
        <v>46038</v>
      </c>
      <c r="I1764" s="5" t="s">
        <v>6040</v>
      </c>
      <c r="J1764" s="7">
        <v>46038</v>
      </c>
      <c r="K1764" s="5" t="s">
        <v>1527</v>
      </c>
      <c r="L1764" s="5" t="s">
        <v>1528</v>
      </c>
      <c r="M1764" s="8">
        <v>92</v>
      </c>
      <c r="N1764" s="5" t="s">
        <v>1536</v>
      </c>
      <c r="O1764" s="7">
        <v>46038</v>
      </c>
    </row>
    <row r="1765" spans="1:15" x14ac:dyDescent="0.25">
      <c r="A1765" s="5" t="s">
        <v>4</v>
      </c>
      <c r="B1765" s="5" t="s">
        <v>6041</v>
      </c>
      <c r="D1765" s="5" t="s">
        <v>1077</v>
      </c>
      <c r="E1765" s="5" t="s">
        <v>6042</v>
      </c>
      <c r="F1765" s="5" t="s">
        <v>6043</v>
      </c>
      <c r="G1765" s="6">
        <v>46101.686111111114</v>
      </c>
      <c r="H1765" s="7">
        <v>46108</v>
      </c>
      <c r="I1765" s="5" t="s">
        <v>1874</v>
      </c>
      <c r="J1765" s="7">
        <v>46111</v>
      </c>
      <c r="K1765" s="5" t="s">
        <v>1527</v>
      </c>
      <c r="L1765" s="5" t="s">
        <v>1621</v>
      </c>
      <c r="M1765" s="8">
        <v>91.04</v>
      </c>
      <c r="N1765" s="5" t="s">
        <v>1536</v>
      </c>
      <c r="O1765" s="7">
        <v>46111</v>
      </c>
    </row>
    <row r="1766" spans="1:15" x14ac:dyDescent="0.25">
      <c r="A1766" s="5" t="s">
        <v>4</v>
      </c>
      <c r="B1766" s="5" t="s">
        <v>6044</v>
      </c>
      <c r="D1766" s="5" t="s">
        <v>356</v>
      </c>
      <c r="E1766" s="5" t="s">
        <v>6045</v>
      </c>
      <c r="F1766" s="5" t="s">
        <v>6046</v>
      </c>
      <c r="G1766" s="6">
        <v>46052.629166666666</v>
      </c>
      <c r="H1766" s="7">
        <v>46059</v>
      </c>
      <c r="I1766" s="6">
        <v>46057.663888888892</v>
      </c>
      <c r="J1766" s="7">
        <v>46057</v>
      </c>
      <c r="K1766" s="5" t="s">
        <v>1527</v>
      </c>
      <c r="L1766" s="5" t="s">
        <v>1621</v>
      </c>
      <c r="M1766" s="8">
        <v>90.56</v>
      </c>
      <c r="N1766" s="5" t="s">
        <v>1536</v>
      </c>
      <c r="O1766" s="7">
        <v>46057</v>
      </c>
    </row>
    <row r="1767" spans="1:15" x14ac:dyDescent="0.25">
      <c r="A1767" s="5" t="s">
        <v>4</v>
      </c>
      <c r="B1767" s="5" t="s">
        <v>6047</v>
      </c>
      <c r="D1767" s="5" t="s">
        <v>768</v>
      </c>
      <c r="E1767" s="5" t="s">
        <v>6048</v>
      </c>
      <c r="F1767" s="5" t="s">
        <v>6049</v>
      </c>
      <c r="G1767" s="6">
        <v>46072.444444444445</v>
      </c>
      <c r="H1767" s="7">
        <v>46079</v>
      </c>
      <c r="I1767" s="5" t="s">
        <v>6050</v>
      </c>
      <c r="J1767" s="7">
        <v>46080</v>
      </c>
      <c r="K1767" s="5" t="s">
        <v>1527</v>
      </c>
      <c r="L1767" s="5" t="s">
        <v>1621</v>
      </c>
      <c r="M1767" s="8">
        <v>90.56</v>
      </c>
      <c r="N1767" s="5" t="s">
        <v>1536</v>
      </c>
      <c r="O1767" s="7">
        <v>46080</v>
      </c>
    </row>
    <row r="1768" spans="1:15" x14ac:dyDescent="0.25">
      <c r="A1768" s="5" t="s">
        <v>4</v>
      </c>
      <c r="B1768" s="5" t="s">
        <v>6051</v>
      </c>
      <c r="D1768" s="5" t="s">
        <v>964</v>
      </c>
      <c r="E1768" s="5" t="s">
        <v>6052</v>
      </c>
      <c r="F1768" s="5" t="s">
        <v>6053</v>
      </c>
      <c r="G1768" s="6">
        <v>46097.696527777778</v>
      </c>
      <c r="H1768" s="7">
        <v>46104</v>
      </c>
      <c r="I1768" s="5" t="s">
        <v>1533</v>
      </c>
      <c r="J1768" s="7">
        <v>46105</v>
      </c>
      <c r="K1768" s="5" t="s">
        <v>1534</v>
      </c>
      <c r="L1768" s="5" t="s">
        <v>1621</v>
      </c>
      <c r="M1768" s="8">
        <v>90.56</v>
      </c>
      <c r="N1768" s="5" t="s">
        <v>1536</v>
      </c>
      <c r="O1768" s="7">
        <v>46105</v>
      </c>
    </row>
    <row r="1769" spans="1:15" hidden="1" x14ac:dyDescent="0.25">
      <c r="A1769" s="5" t="s">
        <v>1522</v>
      </c>
      <c r="B1769" s="5" t="s">
        <v>6054</v>
      </c>
      <c r="D1769" s="5" t="s">
        <v>957</v>
      </c>
      <c r="E1769" s="5" t="s">
        <v>6055</v>
      </c>
      <c r="F1769" s="5" t="s">
        <v>1548</v>
      </c>
      <c r="G1769" s="6">
        <v>46161.609027777777</v>
      </c>
      <c r="H1769" s="7">
        <v>46169</v>
      </c>
      <c r="I1769" s="5" t="s">
        <v>4867</v>
      </c>
      <c r="J1769" s="7">
        <v>46161</v>
      </c>
      <c r="K1769" s="5" t="s">
        <v>1527</v>
      </c>
      <c r="L1769" s="5" t="s">
        <v>1528</v>
      </c>
      <c r="M1769" s="8">
        <v>90.5</v>
      </c>
      <c r="N1769" s="5" t="s">
        <v>1536</v>
      </c>
      <c r="O1769" s="7">
        <v>46161</v>
      </c>
    </row>
    <row r="1770" spans="1:15" hidden="1" x14ac:dyDescent="0.25">
      <c r="A1770" s="5" t="s">
        <v>1522</v>
      </c>
      <c r="B1770" s="5" t="s">
        <v>6056</v>
      </c>
      <c r="D1770" s="5" t="s">
        <v>1496</v>
      </c>
      <c r="E1770" s="5" t="s">
        <v>1885</v>
      </c>
      <c r="F1770" s="5" t="s">
        <v>6057</v>
      </c>
      <c r="G1770" s="6">
        <v>46034.590277777781</v>
      </c>
      <c r="H1770" s="7">
        <v>46038</v>
      </c>
      <c r="I1770" s="5" t="s">
        <v>6058</v>
      </c>
      <c r="J1770" s="7">
        <v>46038</v>
      </c>
      <c r="K1770" s="5" t="s">
        <v>1527</v>
      </c>
      <c r="L1770" s="5" t="s">
        <v>1528</v>
      </c>
      <c r="M1770" s="8">
        <v>90</v>
      </c>
      <c r="N1770" s="5" t="s">
        <v>1536</v>
      </c>
      <c r="O1770" s="7">
        <v>46038</v>
      </c>
    </row>
    <row r="1771" spans="1:15" hidden="1" x14ac:dyDescent="0.25">
      <c r="A1771" s="5" t="s">
        <v>1522</v>
      </c>
      <c r="B1771" s="5" t="s">
        <v>6059</v>
      </c>
      <c r="D1771" s="5" t="s">
        <v>904</v>
      </c>
      <c r="E1771" s="5" t="s">
        <v>6060</v>
      </c>
      <c r="F1771" s="5" t="s">
        <v>1548</v>
      </c>
      <c r="G1771" s="6">
        <v>46085.625694444447</v>
      </c>
      <c r="H1771" s="7">
        <v>46087</v>
      </c>
      <c r="I1771" s="5" t="s">
        <v>6061</v>
      </c>
      <c r="J1771" s="7">
        <v>46127</v>
      </c>
      <c r="K1771" s="5" t="s">
        <v>1527</v>
      </c>
      <c r="L1771" s="5" t="s">
        <v>1528</v>
      </c>
      <c r="M1771" s="8">
        <v>90</v>
      </c>
      <c r="N1771" s="5" t="s">
        <v>1536</v>
      </c>
      <c r="O1771" s="7">
        <v>46127</v>
      </c>
    </row>
    <row r="1772" spans="1:15" hidden="1" x14ac:dyDescent="0.25">
      <c r="A1772" s="5" t="s">
        <v>1522</v>
      </c>
      <c r="B1772" s="5" t="s">
        <v>6062</v>
      </c>
      <c r="D1772" s="5" t="s">
        <v>1510</v>
      </c>
      <c r="E1772" s="5" t="s">
        <v>2466</v>
      </c>
      <c r="F1772" s="5" t="s">
        <v>5811</v>
      </c>
      <c r="G1772" s="6">
        <v>46121.446527777778</v>
      </c>
      <c r="H1772" s="7">
        <v>46121</v>
      </c>
      <c r="I1772" s="5" t="s">
        <v>6063</v>
      </c>
      <c r="J1772" s="7">
        <v>46127</v>
      </c>
      <c r="K1772" s="5" t="s">
        <v>1527</v>
      </c>
      <c r="L1772" s="5" t="s">
        <v>1554</v>
      </c>
      <c r="M1772" s="8">
        <v>90</v>
      </c>
      <c r="N1772" s="5" t="s">
        <v>1536</v>
      </c>
      <c r="O1772" s="7">
        <v>46127</v>
      </c>
    </row>
    <row r="1773" spans="1:15" hidden="1" x14ac:dyDescent="0.25">
      <c r="A1773" s="5" t="s">
        <v>1522</v>
      </c>
      <c r="B1773" s="5" t="s">
        <v>6064</v>
      </c>
      <c r="D1773" s="5" t="s">
        <v>1290</v>
      </c>
      <c r="E1773" s="5" t="s">
        <v>2889</v>
      </c>
      <c r="F1773" s="5" t="s">
        <v>2890</v>
      </c>
      <c r="G1773" s="6">
        <v>46129.40625</v>
      </c>
      <c r="H1773" s="7">
        <v>46134</v>
      </c>
      <c r="I1773" s="6">
        <v>46134.727777777778</v>
      </c>
      <c r="J1773" s="7">
        <v>46134</v>
      </c>
      <c r="K1773" s="5" t="s">
        <v>1527</v>
      </c>
      <c r="L1773" s="5" t="s">
        <v>1528</v>
      </c>
      <c r="M1773" s="8">
        <v>90</v>
      </c>
      <c r="N1773" s="5" t="s">
        <v>1536</v>
      </c>
      <c r="O1773" s="7">
        <v>46134</v>
      </c>
    </row>
    <row r="1774" spans="1:15" x14ac:dyDescent="0.25">
      <c r="A1774" s="5" t="s">
        <v>4</v>
      </c>
      <c r="B1774" s="5" t="s">
        <v>6065</v>
      </c>
      <c r="D1774" s="5" t="s">
        <v>1509</v>
      </c>
      <c r="E1774" s="5" t="s">
        <v>3024</v>
      </c>
      <c r="F1774" s="5" t="s">
        <v>6066</v>
      </c>
      <c r="G1774" s="6">
        <v>46105.382638888892</v>
      </c>
      <c r="H1774" s="7">
        <v>46114</v>
      </c>
      <c r="I1774" s="5" t="s">
        <v>6067</v>
      </c>
      <c r="J1774" s="7">
        <v>46119</v>
      </c>
      <c r="K1774" s="5" t="s">
        <v>1527</v>
      </c>
      <c r="L1774" s="5" t="s">
        <v>1535</v>
      </c>
      <c r="M1774" s="8">
        <v>90</v>
      </c>
      <c r="N1774" s="5" t="s">
        <v>1536</v>
      </c>
      <c r="O1774" s="7">
        <v>46119</v>
      </c>
    </row>
    <row r="1775" spans="1:15" x14ac:dyDescent="0.25">
      <c r="A1775" s="5" t="s">
        <v>4</v>
      </c>
      <c r="B1775" s="5" t="s">
        <v>6068</v>
      </c>
      <c r="D1775" s="5" t="s">
        <v>1450</v>
      </c>
      <c r="E1775" s="5" t="s">
        <v>1655</v>
      </c>
      <c r="F1775" s="5" t="s">
        <v>6069</v>
      </c>
      <c r="G1775" s="6">
        <v>46154.645138888889</v>
      </c>
      <c r="H1775" s="7">
        <v>46163</v>
      </c>
      <c r="I1775" s="5" t="s">
        <v>6070</v>
      </c>
      <c r="J1775" s="7">
        <v>46163</v>
      </c>
      <c r="K1775" s="5" t="s">
        <v>1527</v>
      </c>
      <c r="L1775" s="5" t="s">
        <v>1535</v>
      </c>
      <c r="M1775" s="8">
        <v>90</v>
      </c>
      <c r="N1775" s="5" t="s">
        <v>1536</v>
      </c>
      <c r="O1775" s="7">
        <v>46163</v>
      </c>
    </row>
    <row r="1776" spans="1:15" x14ac:dyDescent="0.25">
      <c r="A1776" s="5" t="s">
        <v>4</v>
      </c>
      <c r="B1776" s="5" t="s">
        <v>6071</v>
      </c>
      <c r="D1776" s="5" t="s">
        <v>1452</v>
      </c>
      <c r="E1776" s="5" t="s">
        <v>4075</v>
      </c>
      <c r="F1776" s="5" t="s">
        <v>1532</v>
      </c>
      <c r="G1776" s="6">
        <v>46171.464583333334</v>
      </c>
      <c r="H1776" s="7">
        <v>46182</v>
      </c>
      <c r="I1776" s="6">
        <v>46182.717361111114</v>
      </c>
      <c r="J1776" s="7">
        <v>46182</v>
      </c>
      <c r="K1776" s="5" t="s">
        <v>1527</v>
      </c>
      <c r="L1776" s="5" t="s">
        <v>1535</v>
      </c>
      <c r="M1776" s="9">
        <v>90</v>
      </c>
      <c r="N1776" s="5" t="s">
        <v>1529</v>
      </c>
      <c r="O1776" s="7">
        <v>46182</v>
      </c>
    </row>
    <row r="1777" spans="1:15" x14ac:dyDescent="0.25">
      <c r="A1777" s="5" t="s">
        <v>4</v>
      </c>
      <c r="B1777" s="5" t="s">
        <v>6072</v>
      </c>
      <c r="D1777" s="5" t="s">
        <v>782</v>
      </c>
      <c r="E1777" s="5" t="s">
        <v>6073</v>
      </c>
      <c r="F1777" s="5" t="s">
        <v>6074</v>
      </c>
      <c r="G1777" s="6">
        <v>46149.694444444445</v>
      </c>
      <c r="H1777" s="7">
        <v>46157</v>
      </c>
      <c r="I1777" s="5" t="s">
        <v>6075</v>
      </c>
      <c r="J1777" s="7">
        <v>46164</v>
      </c>
      <c r="K1777" s="5" t="s">
        <v>1527</v>
      </c>
      <c r="L1777" s="5" t="s">
        <v>1621</v>
      </c>
      <c r="M1777" s="8">
        <v>89.99</v>
      </c>
      <c r="N1777" s="5" t="s">
        <v>1536</v>
      </c>
      <c r="O1777" s="7">
        <v>46164</v>
      </c>
    </row>
    <row r="1778" spans="1:15" x14ac:dyDescent="0.25">
      <c r="A1778" s="5" t="s">
        <v>4</v>
      </c>
      <c r="B1778" s="5" t="s">
        <v>6076</v>
      </c>
      <c r="D1778" s="5" t="s">
        <v>76</v>
      </c>
      <c r="E1778" s="5" t="s">
        <v>6077</v>
      </c>
      <c r="F1778" s="5" t="s">
        <v>6078</v>
      </c>
      <c r="G1778" s="6">
        <v>46126.423611111109</v>
      </c>
      <c r="H1778" s="7">
        <v>46134</v>
      </c>
      <c r="I1778" s="6">
        <v>46128.622916666667</v>
      </c>
      <c r="J1778" s="7">
        <v>46128</v>
      </c>
      <c r="K1778" s="5" t="s">
        <v>1527</v>
      </c>
      <c r="L1778" s="5" t="s">
        <v>1564</v>
      </c>
      <c r="M1778" s="8">
        <v>89.54</v>
      </c>
      <c r="N1778" s="5" t="s">
        <v>1536</v>
      </c>
      <c r="O1778" s="7">
        <v>46128</v>
      </c>
    </row>
    <row r="1779" spans="1:15" x14ac:dyDescent="0.25">
      <c r="A1779" s="5" t="s">
        <v>4</v>
      </c>
      <c r="B1779" s="5" t="s">
        <v>6079</v>
      </c>
      <c r="D1779" s="5" t="s">
        <v>1105</v>
      </c>
      <c r="E1779" s="5" t="s">
        <v>6080</v>
      </c>
      <c r="F1779" s="5" t="s">
        <v>6081</v>
      </c>
      <c r="G1779" s="6">
        <v>46169.669444444444</v>
      </c>
      <c r="H1779" s="7">
        <v>46176</v>
      </c>
      <c r="I1779" s="5" t="s">
        <v>6082</v>
      </c>
      <c r="J1779" s="7">
        <v>46182</v>
      </c>
      <c r="K1779" s="5" t="s">
        <v>1527</v>
      </c>
      <c r="L1779" s="5" t="s">
        <v>3243</v>
      </c>
      <c r="M1779" s="8">
        <v>89.44</v>
      </c>
      <c r="N1779" s="5" t="s">
        <v>1536</v>
      </c>
      <c r="O1779" s="7">
        <v>46182</v>
      </c>
    </row>
    <row r="1780" spans="1:15" x14ac:dyDescent="0.25">
      <c r="A1780" s="5" t="s">
        <v>4</v>
      </c>
      <c r="B1780" s="5" t="s">
        <v>6083</v>
      </c>
      <c r="D1780" s="5" t="s">
        <v>725</v>
      </c>
      <c r="E1780" s="5" t="s">
        <v>6084</v>
      </c>
      <c r="F1780" s="5" t="s">
        <v>6085</v>
      </c>
      <c r="G1780" s="6">
        <v>46063.782638888886</v>
      </c>
      <c r="H1780" s="7">
        <v>46069</v>
      </c>
      <c r="I1780" s="5" t="s">
        <v>6086</v>
      </c>
      <c r="J1780" s="7">
        <v>46076</v>
      </c>
      <c r="K1780" s="5" t="s">
        <v>1527</v>
      </c>
      <c r="L1780" s="5" t="s">
        <v>1564</v>
      </c>
      <c r="M1780" s="8">
        <v>89.4</v>
      </c>
      <c r="N1780" s="5" t="s">
        <v>1536</v>
      </c>
      <c r="O1780" s="7">
        <v>46076</v>
      </c>
    </row>
    <row r="1781" spans="1:15" x14ac:dyDescent="0.25">
      <c r="A1781" s="5" t="s">
        <v>4</v>
      </c>
      <c r="B1781" s="5" t="s">
        <v>6087</v>
      </c>
      <c r="D1781" s="5" t="s">
        <v>1418</v>
      </c>
      <c r="E1781" s="5" t="s">
        <v>4809</v>
      </c>
      <c r="F1781" s="5" t="s">
        <v>6088</v>
      </c>
      <c r="G1781" s="6">
        <v>46035.620833333334</v>
      </c>
      <c r="H1781" s="7">
        <v>46044</v>
      </c>
      <c r="I1781" s="5" t="s">
        <v>6089</v>
      </c>
      <c r="J1781" s="7">
        <v>46055</v>
      </c>
      <c r="K1781" s="5" t="s">
        <v>1527</v>
      </c>
      <c r="L1781" s="5" t="s">
        <v>1535</v>
      </c>
      <c r="M1781" s="8">
        <v>89.2</v>
      </c>
      <c r="N1781" s="5" t="s">
        <v>1536</v>
      </c>
      <c r="O1781" s="7">
        <v>46055</v>
      </c>
    </row>
    <row r="1782" spans="1:15" x14ac:dyDescent="0.25">
      <c r="A1782" s="5" t="s">
        <v>4</v>
      </c>
      <c r="B1782" s="5" t="s">
        <v>6090</v>
      </c>
      <c r="D1782" s="5" t="s">
        <v>1033</v>
      </c>
      <c r="E1782" s="5" t="s">
        <v>6091</v>
      </c>
      <c r="F1782" s="5" t="s">
        <v>1548</v>
      </c>
      <c r="G1782" s="6">
        <v>46028.625</v>
      </c>
      <c r="H1782" s="7">
        <v>46037</v>
      </c>
      <c r="I1782" s="5" t="s">
        <v>6092</v>
      </c>
      <c r="J1782" s="7">
        <v>46044</v>
      </c>
      <c r="K1782" s="5" t="s">
        <v>1527</v>
      </c>
      <c r="L1782" s="5" t="s">
        <v>1535</v>
      </c>
      <c r="M1782" s="8">
        <v>89</v>
      </c>
      <c r="N1782" s="5" t="s">
        <v>1536</v>
      </c>
      <c r="O1782" s="7">
        <v>46044</v>
      </c>
    </row>
    <row r="1783" spans="1:15" x14ac:dyDescent="0.25">
      <c r="A1783" s="5" t="s">
        <v>4</v>
      </c>
      <c r="B1783" s="5">
        <v>38694</v>
      </c>
      <c r="D1783" s="5" t="s">
        <v>1456</v>
      </c>
      <c r="E1783" s="5" t="s">
        <v>1747</v>
      </c>
      <c r="F1783" s="5" t="s">
        <v>6093</v>
      </c>
      <c r="G1783" s="6">
        <v>46083.765972222223</v>
      </c>
      <c r="H1783" s="7">
        <v>46090</v>
      </c>
      <c r="I1783" s="6">
        <v>46087.699305555558</v>
      </c>
      <c r="J1783" s="7">
        <v>46087</v>
      </c>
      <c r="K1783" s="5" t="s">
        <v>1527</v>
      </c>
      <c r="L1783" s="5" t="s">
        <v>1564</v>
      </c>
      <c r="M1783" s="8">
        <v>88.93</v>
      </c>
      <c r="N1783" s="5" t="s">
        <v>1536</v>
      </c>
      <c r="O1783" s="7">
        <v>46087</v>
      </c>
    </row>
    <row r="1784" spans="1:15" x14ac:dyDescent="0.25">
      <c r="A1784" s="5" t="s">
        <v>4</v>
      </c>
      <c r="B1784" s="5" t="s">
        <v>6094</v>
      </c>
      <c r="D1784" s="5" t="s">
        <v>1024</v>
      </c>
      <c r="E1784" s="5" t="s">
        <v>6095</v>
      </c>
      <c r="F1784" s="5" t="s">
        <v>6096</v>
      </c>
      <c r="G1784" s="6">
        <v>46108.609027777777</v>
      </c>
      <c r="H1784" s="7">
        <v>46115</v>
      </c>
      <c r="I1784" s="5" t="s">
        <v>6097</v>
      </c>
      <c r="J1784" s="7">
        <v>46121</v>
      </c>
      <c r="K1784" s="5" t="s">
        <v>1527</v>
      </c>
      <c r="L1784" s="5" t="s">
        <v>1621</v>
      </c>
      <c r="M1784" s="8">
        <v>88.93</v>
      </c>
      <c r="N1784" s="5" t="s">
        <v>1536</v>
      </c>
      <c r="O1784" s="7">
        <v>46121</v>
      </c>
    </row>
    <row r="1785" spans="1:15" x14ac:dyDescent="0.25">
      <c r="A1785" s="5" t="s">
        <v>4</v>
      </c>
      <c r="B1785" s="5" t="s">
        <v>6098</v>
      </c>
      <c r="D1785" s="5" t="s">
        <v>28</v>
      </c>
      <c r="E1785" s="5" t="s">
        <v>6099</v>
      </c>
      <c r="F1785" s="5" t="s">
        <v>6100</v>
      </c>
      <c r="G1785" s="6">
        <v>46108.625694444447</v>
      </c>
      <c r="H1785" s="7">
        <v>46115</v>
      </c>
      <c r="I1785" s="5" t="s">
        <v>6101</v>
      </c>
      <c r="J1785" s="7">
        <v>46120</v>
      </c>
      <c r="K1785" s="5" t="s">
        <v>1527</v>
      </c>
      <c r="L1785" s="5" t="s">
        <v>1621</v>
      </c>
      <c r="M1785" s="8">
        <v>88.93</v>
      </c>
      <c r="N1785" s="5" t="s">
        <v>1536</v>
      </c>
      <c r="O1785" s="7">
        <v>46120</v>
      </c>
    </row>
    <row r="1786" spans="1:15" x14ac:dyDescent="0.25">
      <c r="A1786" s="5" t="s">
        <v>4</v>
      </c>
      <c r="B1786" s="5" t="s">
        <v>6102</v>
      </c>
      <c r="D1786" s="5" t="s">
        <v>1156</v>
      </c>
      <c r="E1786" s="5" t="s">
        <v>6103</v>
      </c>
      <c r="F1786" s="5" t="s">
        <v>6104</v>
      </c>
      <c r="G1786" s="6">
        <v>46028.65625</v>
      </c>
      <c r="H1786" s="7">
        <v>46038</v>
      </c>
      <c r="I1786" s="6">
        <v>46036.582638888889</v>
      </c>
      <c r="J1786" s="7">
        <v>46036</v>
      </c>
      <c r="K1786" s="5" t="s">
        <v>1527</v>
      </c>
      <c r="L1786" s="5" t="s">
        <v>1621</v>
      </c>
      <c r="M1786" s="8">
        <v>88.65</v>
      </c>
      <c r="N1786" s="5" t="s">
        <v>1536</v>
      </c>
      <c r="O1786" s="7">
        <v>46036</v>
      </c>
    </row>
    <row r="1787" spans="1:15" x14ac:dyDescent="0.25">
      <c r="A1787" s="5" t="s">
        <v>4</v>
      </c>
      <c r="B1787" s="5" t="s">
        <v>6105</v>
      </c>
      <c r="D1787" s="5" t="s">
        <v>772</v>
      </c>
      <c r="E1787" s="5" t="s">
        <v>6106</v>
      </c>
      <c r="F1787" s="5" t="s">
        <v>6107</v>
      </c>
      <c r="G1787" s="6">
        <v>46120.64166666667</v>
      </c>
      <c r="H1787" s="7">
        <v>46126</v>
      </c>
      <c r="I1787" s="6">
        <v>46126.634722222225</v>
      </c>
      <c r="J1787" s="7">
        <v>46125</v>
      </c>
      <c r="K1787" s="5" t="s">
        <v>1527</v>
      </c>
      <c r="L1787" s="5" t="s">
        <v>1564</v>
      </c>
      <c r="M1787" s="8">
        <v>88.49</v>
      </c>
      <c r="N1787" s="5" t="s">
        <v>1536</v>
      </c>
      <c r="O1787" s="7">
        <v>46125</v>
      </c>
    </row>
    <row r="1788" spans="1:15" hidden="1" x14ac:dyDescent="0.25">
      <c r="A1788" s="5" t="s">
        <v>1522</v>
      </c>
      <c r="B1788" s="5">
        <v>39785</v>
      </c>
      <c r="D1788" s="5" t="s">
        <v>452</v>
      </c>
      <c r="E1788" s="5" t="s">
        <v>6108</v>
      </c>
      <c r="F1788" s="5" t="s">
        <v>6109</v>
      </c>
      <c r="G1788" s="6">
        <v>46150.632638888892</v>
      </c>
      <c r="H1788" s="7">
        <v>46157</v>
      </c>
      <c r="I1788" s="6">
        <v>46154.754861111112</v>
      </c>
      <c r="J1788" s="7">
        <v>46154</v>
      </c>
      <c r="K1788" s="5" t="s">
        <v>1527</v>
      </c>
      <c r="L1788" s="5" t="s">
        <v>1528</v>
      </c>
      <c r="M1788" s="8">
        <v>88</v>
      </c>
      <c r="N1788" s="5" t="s">
        <v>1536</v>
      </c>
      <c r="O1788" s="7">
        <v>46154</v>
      </c>
    </row>
    <row r="1789" spans="1:15" x14ac:dyDescent="0.25">
      <c r="A1789" s="5" t="s">
        <v>4</v>
      </c>
      <c r="B1789" s="5" t="s">
        <v>6110</v>
      </c>
      <c r="D1789" s="5" t="s">
        <v>773</v>
      </c>
      <c r="E1789" s="5" t="s">
        <v>6111</v>
      </c>
      <c r="F1789" s="5" t="s">
        <v>6112</v>
      </c>
      <c r="G1789" s="6">
        <v>46043.68472222222</v>
      </c>
      <c r="H1789" s="7">
        <v>46050</v>
      </c>
      <c r="I1789" s="6">
        <v>46044.670138888891</v>
      </c>
      <c r="J1789" s="7">
        <v>46044</v>
      </c>
      <c r="K1789" s="5" t="s">
        <v>1527</v>
      </c>
      <c r="L1789" s="5" t="s">
        <v>1621</v>
      </c>
      <c r="M1789" s="8">
        <v>87.78</v>
      </c>
      <c r="N1789" s="5" t="s">
        <v>1536</v>
      </c>
      <c r="O1789" s="7">
        <v>46044</v>
      </c>
    </row>
    <row r="1790" spans="1:15" x14ac:dyDescent="0.25">
      <c r="A1790" s="5" t="s">
        <v>4</v>
      </c>
      <c r="B1790" s="5" t="s">
        <v>6113</v>
      </c>
      <c r="D1790" s="5" t="s">
        <v>1449</v>
      </c>
      <c r="E1790" s="5" t="s">
        <v>6114</v>
      </c>
      <c r="F1790" s="5" t="s">
        <v>6115</v>
      </c>
      <c r="G1790" s="6">
        <v>46128.638194444444</v>
      </c>
      <c r="H1790" s="7">
        <v>46135</v>
      </c>
      <c r="I1790" s="6">
        <v>46135.627083333333</v>
      </c>
      <c r="J1790" s="7">
        <v>46135</v>
      </c>
      <c r="K1790" s="5" t="s">
        <v>1527</v>
      </c>
      <c r="L1790" s="5" t="s">
        <v>1621</v>
      </c>
      <c r="M1790" s="8">
        <v>87.49</v>
      </c>
      <c r="N1790" s="5" t="s">
        <v>1536</v>
      </c>
      <c r="O1790" s="7">
        <v>46135</v>
      </c>
    </row>
    <row r="1791" spans="1:15" x14ac:dyDescent="0.25">
      <c r="A1791" s="5" t="s">
        <v>4</v>
      </c>
      <c r="B1791" s="5" t="s">
        <v>6116</v>
      </c>
      <c r="D1791" s="5" t="s">
        <v>1429</v>
      </c>
      <c r="E1791" s="5" t="s">
        <v>4653</v>
      </c>
      <c r="F1791" s="5" t="s">
        <v>1548</v>
      </c>
      <c r="G1791" s="6">
        <v>46041.495833333334</v>
      </c>
      <c r="H1791" s="7">
        <v>46052</v>
      </c>
      <c r="I1791" s="5" t="s">
        <v>6117</v>
      </c>
      <c r="J1791" s="7">
        <v>46059</v>
      </c>
      <c r="K1791" s="5" t="s">
        <v>1527</v>
      </c>
      <c r="L1791" s="5" t="s">
        <v>1564</v>
      </c>
      <c r="M1791" s="8">
        <v>87</v>
      </c>
      <c r="N1791" s="5" t="s">
        <v>1536</v>
      </c>
      <c r="O1791" s="7">
        <v>46059</v>
      </c>
    </row>
    <row r="1792" spans="1:15" x14ac:dyDescent="0.25">
      <c r="A1792" s="5" t="s">
        <v>4</v>
      </c>
      <c r="B1792" s="5" t="s">
        <v>6118</v>
      </c>
      <c r="D1792" s="5" t="s">
        <v>1266</v>
      </c>
      <c r="E1792" s="5" t="s">
        <v>6119</v>
      </c>
      <c r="F1792" s="5" t="s">
        <v>1548</v>
      </c>
      <c r="G1792" s="6">
        <v>46037.352083333331</v>
      </c>
      <c r="H1792" s="7">
        <v>46050</v>
      </c>
      <c r="I1792" s="6">
        <v>46044.390972222223</v>
      </c>
      <c r="J1792" s="7">
        <v>46044</v>
      </c>
      <c r="K1792" s="5" t="s">
        <v>1527</v>
      </c>
      <c r="L1792" s="5" t="s">
        <v>1564</v>
      </c>
      <c r="M1792" s="8">
        <v>86.4</v>
      </c>
      <c r="N1792" s="5" t="s">
        <v>1536</v>
      </c>
      <c r="O1792" s="7">
        <v>46044</v>
      </c>
    </row>
    <row r="1793" spans="1:15" x14ac:dyDescent="0.25">
      <c r="A1793" s="5" t="s">
        <v>4</v>
      </c>
      <c r="B1793" s="5" t="s">
        <v>6120</v>
      </c>
      <c r="D1793" s="5" t="s">
        <v>1489</v>
      </c>
      <c r="E1793" s="5" t="s">
        <v>2431</v>
      </c>
      <c r="F1793" s="5" t="s">
        <v>1742</v>
      </c>
      <c r="G1793" s="6">
        <v>46100.586805555555</v>
      </c>
      <c r="H1793" s="7">
        <v>46111</v>
      </c>
      <c r="I1793" s="5" t="s">
        <v>6121</v>
      </c>
      <c r="J1793" s="7">
        <v>46111</v>
      </c>
      <c r="K1793" s="5" t="s">
        <v>1527</v>
      </c>
      <c r="L1793" s="5" t="s">
        <v>1535</v>
      </c>
      <c r="M1793" s="8">
        <v>86.35</v>
      </c>
      <c r="N1793" s="5" t="s">
        <v>1536</v>
      </c>
      <c r="O1793" s="7">
        <v>46111</v>
      </c>
    </row>
    <row r="1794" spans="1:15" hidden="1" x14ac:dyDescent="0.25">
      <c r="A1794" s="5" t="s">
        <v>1522</v>
      </c>
      <c r="B1794" s="5">
        <v>39375</v>
      </c>
      <c r="D1794" s="5" t="s">
        <v>1364</v>
      </c>
      <c r="E1794" s="5" t="s">
        <v>6122</v>
      </c>
      <c r="F1794" s="5" t="s">
        <v>6123</v>
      </c>
      <c r="G1794" s="6">
        <v>46126.329861111109</v>
      </c>
      <c r="H1794" s="7">
        <v>46133</v>
      </c>
      <c r="I1794" s="6">
        <v>46129.591666666667</v>
      </c>
      <c r="J1794" s="7">
        <v>46129</v>
      </c>
      <c r="K1794" s="5" t="s">
        <v>1527</v>
      </c>
      <c r="L1794" s="5" t="s">
        <v>1528</v>
      </c>
      <c r="M1794" s="8">
        <v>85.88</v>
      </c>
      <c r="N1794" s="5" t="s">
        <v>1536</v>
      </c>
      <c r="O1794" s="7">
        <v>46129</v>
      </c>
    </row>
    <row r="1795" spans="1:15" x14ac:dyDescent="0.25">
      <c r="A1795" s="5" t="s">
        <v>4</v>
      </c>
      <c r="B1795" s="5" t="s">
        <v>6124</v>
      </c>
      <c r="D1795" s="5" t="s">
        <v>1281</v>
      </c>
      <c r="E1795" s="5" t="s">
        <v>6125</v>
      </c>
      <c r="F1795" s="5" t="s">
        <v>6126</v>
      </c>
      <c r="G1795" s="6">
        <v>46108.692361111112</v>
      </c>
      <c r="H1795" s="7">
        <v>46115</v>
      </c>
      <c r="I1795" s="5" t="s">
        <v>6127</v>
      </c>
      <c r="J1795" s="7">
        <v>46119</v>
      </c>
      <c r="K1795" s="5" t="s">
        <v>1527</v>
      </c>
      <c r="L1795" s="5" t="s">
        <v>1621</v>
      </c>
      <c r="M1795" s="8">
        <v>85.74</v>
      </c>
      <c r="N1795" s="5" t="s">
        <v>1536</v>
      </c>
      <c r="O1795" s="7">
        <v>46119</v>
      </c>
    </row>
    <row r="1796" spans="1:15" x14ac:dyDescent="0.25">
      <c r="A1796" s="5" t="s">
        <v>4</v>
      </c>
      <c r="B1796" s="5" t="s">
        <v>6128</v>
      </c>
      <c r="D1796" s="5" t="s">
        <v>889</v>
      </c>
      <c r="E1796" s="5" t="s">
        <v>6129</v>
      </c>
      <c r="F1796" s="5" t="s">
        <v>6130</v>
      </c>
      <c r="G1796" s="6">
        <v>46107.705555555556</v>
      </c>
      <c r="H1796" s="7">
        <v>46112</v>
      </c>
      <c r="I1796" s="5" t="s">
        <v>6131</v>
      </c>
      <c r="J1796" s="7">
        <v>46118</v>
      </c>
      <c r="K1796" s="5" t="s">
        <v>1527</v>
      </c>
      <c r="L1796" s="5" t="s">
        <v>1621</v>
      </c>
      <c r="M1796" s="8">
        <v>85.69</v>
      </c>
      <c r="N1796" s="5" t="s">
        <v>1536</v>
      </c>
      <c r="O1796" s="7">
        <v>46118</v>
      </c>
    </row>
    <row r="1797" spans="1:15" x14ac:dyDescent="0.25">
      <c r="A1797" s="5" t="s">
        <v>4</v>
      </c>
      <c r="B1797" s="5" t="s">
        <v>6132</v>
      </c>
      <c r="D1797" s="5" t="s">
        <v>51</v>
      </c>
      <c r="E1797" s="5" t="s">
        <v>6133</v>
      </c>
      <c r="F1797" s="5" t="s">
        <v>6134</v>
      </c>
      <c r="G1797" s="6">
        <v>46107.73541666667</v>
      </c>
      <c r="H1797" s="7">
        <v>46113</v>
      </c>
      <c r="I1797" s="6">
        <v>46112.732638888891</v>
      </c>
      <c r="J1797" s="7">
        <v>46112</v>
      </c>
      <c r="K1797" s="5" t="s">
        <v>1527</v>
      </c>
      <c r="L1797" s="5" t="s">
        <v>1621</v>
      </c>
      <c r="M1797" s="8">
        <v>85.68</v>
      </c>
      <c r="N1797" s="5" t="s">
        <v>1536</v>
      </c>
      <c r="O1797" s="7">
        <v>46112</v>
      </c>
    </row>
    <row r="1798" spans="1:15" hidden="1" x14ac:dyDescent="0.25">
      <c r="A1798" s="5" t="s">
        <v>1522</v>
      </c>
      <c r="B1798" s="5" t="s">
        <v>6135</v>
      </c>
      <c r="D1798" s="5" t="s">
        <v>1510</v>
      </c>
      <c r="E1798" s="5" t="s">
        <v>2466</v>
      </c>
      <c r="F1798" s="5" t="s">
        <v>3434</v>
      </c>
      <c r="G1798" s="6">
        <v>46099.616666666669</v>
      </c>
      <c r="H1798" s="7">
        <v>46101</v>
      </c>
      <c r="I1798" s="6">
        <v>46100.626388888886</v>
      </c>
      <c r="J1798" s="7">
        <v>46100</v>
      </c>
      <c r="K1798" s="5" t="s">
        <v>1527</v>
      </c>
      <c r="L1798" s="5" t="s">
        <v>1621</v>
      </c>
      <c r="M1798" s="8">
        <v>85.6</v>
      </c>
      <c r="N1798" s="5" t="s">
        <v>1536</v>
      </c>
      <c r="O1798" s="7">
        <v>46100</v>
      </c>
    </row>
    <row r="1799" spans="1:15" x14ac:dyDescent="0.25">
      <c r="A1799" s="5" t="s">
        <v>4</v>
      </c>
      <c r="B1799" s="5" t="s">
        <v>6136</v>
      </c>
      <c r="D1799" s="5" t="s">
        <v>557</v>
      </c>
      <c r="E1799" s="5" t="s">
        <v>6137</v>
      </c>
      <c r="F1799" s="5" t="s">
        <v>6138</v>
      </c>
      <c r="G1799" s="6">
        <v>46141.690972222219</v>
      </c>
      <c r="H1799" s="7">
        <v>46148</v>
      </c>
      <c r="I1799" s="5" t="s">
        <v>6139</v>
      </c>
      <c r="J1799" s="7">
        <v>46153</v>
      </c>
      <c r="K1799" s="5" t="s">
        <v>1527</v>
      </c>
      <c r="L1799" s="5" t="s">
        <v>1621</v>
      </c>
      <c r="M1799" s="8">
        <v>85.25</v>
      </c>
      <c r="N1799" s="5" t="s">
        <v>1536</v>
      </c>
      <c r="O1799" s="7">
        <v>46153</v>
      </c>
    </row>
    <row r="1800" spans="1:15" x14ac:dyDescent="0.25">
      <c r="A1800" s="5" t="s">
        <v>4</v>
      </c>
      <c r="B1800" s="5" t="s">
        <v>6140</v>
      </c>
      <c r="D1800" s="5" t="s">
        <v>252</v>
      </c>
      <c r="E1800" s="5" t="s">
        <v>6141</v>
      </c>
      <c r="F1800" s="5" t="s">
        <v>6142</v>
      </c>
      <c r="G1800" s="6">
        <v>46155.580555555556</v>
      </c>
      <c r="H1800" s="7">
        <v>46162</v>
      </c>
      <c r="I1800" s="6">
        <v>46161.415972222225</v>
      </c>
      <c r="J1800" s="7">
        <v>46160</v>
      </c>
      <c r="K1800" s="5" t="s">
        <v>1527</v>
      </c>
      <c r="L1800" s="5" t="s">
        <v>1621</v>
      </c>
      <c r="M1800" s="8">
        <v>85.24</v>
      </c>
      <c r="N1800" s="5" t="s">
        <v>1536</v>
      </c>
      <c r="O1800" s="7">
        <v>46160</v>
      </c>
    </row>
    <row r="1801" spans="1:15" hidden="1" x14ac:dyDescent="0.25">
      <c r="A1801" s="5" t="s">
        <v>1522</v>
      </c>
      <c r="B1801" s="5" t="s">
        <v>6143</v>
      </c>
      <c r="D1801" s="5" t="s">
        <v>1499</v>
      </c>
      <c r="E1801" s="5" t="s">
        <v>1712</v>
      </c>
      <c r="F1801" s="5" t="s">
        <v>1713</v>
      </c>
      <c r="G1801" s="6">
        <v>46139.390277777777</v>
      </c>
      <c r="H1801" s="7">
        <v>46147</v>
      </c>
      <c r="I1801" s="6">
        <v>46141.731944444444</v>
      </c>
      <c r="J1801" s="7">
        <v>46140</v>
      </c>
      <c r="K1801" s="5" t="s">
        <v>1527</v>
      </c>
      <c r="L1801" s="5" t="s">
        <v>1528</v>
      </c>
      <c r="M1801" s="8">
        <v>85</v>
      </c>
      <c r="N1801" s="5" t="s">
        <v>1536</v>
      </c>
      <c r="O1801" s="7">
        <v>46140</v>
      </c>
    </row>
    <row r="1802" spans="1:15" x14ac:dyDescent="0.25">
      <c r="A1802" s="5" t="s">
        <v>4</v>
      </c>
      <c r="B1802" s="5" t="s">
        <v>6144</v>
      </c>
      <c r="D1802" s="5" t="s">
        <v>224</v>
      </c>
      <c r="E1802" s="5" t="s">
        <v>6145</v>
      </c>
      <c r="F1802" s="5" t="s">
        <v>6146</v>
      </c>
      <c r="G1802" s="6">
        <v>46156.63958333333</v>
      </c>
      <c r="H1802" s="7">
        <v>46163</v>
      </c>
      <c r="I1802" s="6">
        <v>46162.435416666667</v>
      </c>
      <c r="J1802" s="7">
        <v>46162</v>
      </c>
      <c r="K1802" s="5" t="s">
        <v>1527</v>
      </c>
      <c r="L1802" s="5" t="s">
        <v>1621</v>
      </c>
      <c r="M1802" s="8">
        <v>84.69</v>
      </c>
      <c r="N1802" s="5" t="s">
        <v>1536</v>
      </c>
      <c r="O1802" s="7">
        <v>46162</v>
      </c>
    </row>
    <row r="1803" spans="1:15" x14ac:dyDescent="0.25">
      <c r="A1803" s="5" t="s">
        <v>4</v>
      </c>
      <c r="B1803" s="5" t="s">
        <v>6147</v>
      </c>
      <c r="D1803" s="5" t="s">
        <v>959</v>
      </c>
      <c r="E1803" s="5" t="s">
        <v>6148</v>
      </c>
      <c r="F1803" s="5" t="s">
        <v>6149</v>
      </c>
      <c r="G1803" s="6">
        <v>46157.627083333333</v>
      </c>
      <c r="H1803" s="7">
        <v>46164</v>
      </c>
      <c r="I1803" s="5" t="s">
        <v>6150</v>
      </c>
      <c r="J1803" s="7">
        <v>46170</v>
      </c>
      <c r="K1803" s="5" t="s">
        <v>1527</v>
      </c>
      <c r="L1803" s="5" t="s">
        <v>1621</v>
      </c>
      <c r="M1803" s="8">
        <v>84.69</v>
      </c>
      <c r="N1803" s="5" t="s">
        <v>1536</v>
      </c>
      <c r="O1803" s="7">
        <v>46170</v>
      </c>
    </row>
    <row r="1804" spans="1:15" x14ac:dyDescent="0.25">
      <c r="A1804" s="5" t="s">
        <v>4</v>
      </c>
      <c r="B1804" s="5" t="s">
        <v>6151</v>
      </c>
      <c r="D1804" s="5" t="s">
        <v>1145</v>
      </c>
      <c r="E1804" s="5" t="s">
        <v>6152</v>
      </c>
      <c r="F1804" s="5" t="s">
        <v>6153</v>
      </c>
      <c r="G1804" s="6">
        <v>46059.718055555553</v>
      </c>
      <c r="H1804" s="7">
        <v>46066</v>
      </c>
      <c r="I1804" s="6">
        <v>46066.656944444447</v>
      </c>
      <c r="J1804" s="7">
        <v>46066</v>
      </c>
      <c r="K1804" s="5" t="s">
        <v>1527</v>
      </c>
      <c r="L1804" s="5" t="s">
        <v>1621</v>
      </c>
      <c r="M1804" s="8">
        <v>84.49</v>
      </c>
      <c r="N1804" s="5" t="s">
        <v>1536</v>
      </c>
      <c r="O1804" s="7">
        <v>46066</v>
      </c>
    </row>
    <row r="1805" spans="1:15" x14ac:dyDescent="0.25">
      <c r="A1805" s="5" t="s">
        <v>4</v>
      </c>
      <c r="B1805" s="5" t="s">
        <v>6154</v>
      </c>
      <c r="D1805" s="5" t="s">
        <v>213</v>
      </c>
      <c r="E1805" s="5" t="s">
        <v>6155</v>
      </c>
      <c r="F1805" s="5" t="s">
        <v>6156</v>
      </c>
      <c r="G1805" s="6">
        <v>46100.655555555553</v>
      </c>
      <c r="H1805" s="7">
        <v>46107</v>
      </c>
      <c r="I1805" s="6">
        <v>46107.698611111111</v>
      </c>
      <c r="J1805" s="7">
        <v>46107</v>
      </c>
      <c r="K1805" s="5" t="s">
        <v>1527</v>
      </c>
      <c r="L1805" s="5" t="s">
        <v>1621</v>
      </c>
      <c r="M1805" s="8">
        <v>84.09</v>
      </c>
      <c r="N1805" s="5" t="s">
        <v>1536</v>
      </c>
      <c r="O1805" s="7">
        <v>46107</v>
      </c>
    </row>
    <row r="1806" spans="1:15" hidden="1" x14ac:dyDescent="0.25">
      <c r="A1806" s="5" t="s">
        <v>1522</v>
      </c>
      <c r="B1806" s="5" t="s">
        <v>6157</v>
      </c>
      <c r="D1806" s="5" t="s">
        <v>1504</v>
      </c>
      <c r="E1806" s="5" t="s">
        <v>1888</v>
      </c>
      <c r="F1806" s="5" t="s">
        <v>1548</v>
      </c>
      <c r="G1806" s="6">
        <v>46051.436111111114</v>
      </c>
      <c r="H1806" s="7">
        <v>46064</v>
      </c>
      <c r="I1806" s="6">
        <v>46064.757638888892</v>
      </c>
      <c r="J1806" s="7">
        <v>46064</v>
      </c>
      <c r="K1806" s="5" t="s">
        <v>1527</v>
      </c>
      <c r="L1806" s="5" t="s">
        <v>1528</v>
      </c>
      <c r="M1806" s="8">
        <v>84</v>
      </c>
      <c r="N1806" s="5" t="s">
        <v>1536</v>
      </c>
      <c r="O1806" s="7">
        <v>46064</v>
      </c>
    </row>
    <row r="1807" spans="1:15" x14ac:dyDescent="0.25">
      <c r="A1807" s="5" t="s">
        <v>4</v>
      </c>
      <c r="B1807" s="5" t="s">
        <v>6158</v>
      </c>
      <c r="D1807" s="5" t="s">
        <v>828</v>
      </c>
      <c r="E1807" s="5" t="s">
        <v>6159</v>
      </c>
      <c r="F1807" s="5" t="s">
        <v>4832</v>
      </c>
      <c r="G1807" s="6">
        <v>46119.402083333334</v>
      </c>
      <c r="H1807" s="7">
        <v>46119</v>
      </c>
      <c r="I1807" s="6">
        <v>46119.686111111114</v>
      </c>
      <c r="J1807" s="7">
        <v>46119</v>
      </c>
      <c r="K1807" s="5" t="s">
        <v>1527</v>
      </c>
      <c r="L1807" s="5" t="s">
        <v>1564</v>
      </c>
      <c r="M1807" s="8">
        <v>83.9</v>
      </c>
      <c r="N1807" s="5" t="s">
        <v>1536</v>
      </c>
      <c r="O1807" s="7">
        <v>46119</v>
      </c>
    </row>
    <row r="1808" spans="1:15" x14ac:dyDescent="0.25">
      <c r="A1808" s="5" t="s">
        <v>4</v>
      </c>
      <c r="B1808" s="5" t="s">
        <v>6160</v>
      </c>
      <c r="D1808" s="5" t="s">
        <v>982</v>
      </c>
      <c r="E1808" s="5" t="s">
        <v>6161</v>
      </c>
      <c r="F1808" s="5" t="s">
        <v>6162</v>
      </c>
      <c r="G1808" s="6">
        <v>46055.695833333331</v>
      </c>
      <c r="H1808" s="7">
        <v>46063</v>
      </c>
      <c r="I1808" s="6">
        <v>46063.667361111111</v>
      </c>
      <c r="J1808" s="7">
        <v>46063</v>
      </c>
      <c r="K1808" s="5" t="s">
        <v>1527</v>
      </c>
      <c r="L1808" s="5" t="s">
        <v>1621</v>
      </c>
      <c r="M1808" s="8">
        <v>83.66</v>
      </c>
      <c r="N1808" s="5" t="s">
        <v>1536</v>
      </c>
      <c r="O1808" s="7">
        <v>46063</v>
      </c>
    </row>
    <row r="1809" spans="1:15" x14ac:dyDescent="0.25">
      <c r="A1809" s="5" t="s">
        <v>4</v>
      </c>
      <c r="B1809" s="5" t="s">
        <v>6163</v>
      </c>
      <c r="D1809" s="5" t="s">
        <v>778</v>
      </c>
      <c r="E1809" s="5" t="s">
        <v>6164</v>
      </c>
      <c r="F1809" s="5" t="s">
        <v>6165</v>
      </c>
      <c r="G1809" s="6">
        <v>46070.59097222222</v>
      </c>
      <c r="H1809" s="7">
        <v>46077</v>
      </c>
      <c r="I1809" s="5" t="s">
        <v>4180</v>
      </c>
      <c r="J1809" s="7">
        <v>46071</v>
      </c>
      <c r="K1809" s="5" t="s">
        <v>1527</v>
      </c>
      <c r="L1809" s="5" t="s">
        <v>1621</v>
      </c>
      <c r="M1809" s="8">
        <v>83.24</v>
      </c>
      <c r="N1809" s="5" t="s">
        <v>1536</v>
      </c>
      <c r="O1809" s="7">
        <v>46071</v>
      </c>
    </row>
    <row r="1810" spans="1:15" x14ac:dyDescent="0.25">
      <c r="A1810" s="5" t="s">
        <v>4</v>
      </c>
      <c r="B1810" s="5" t="s">
        <v>6166</v>
      </c>
      <c r="D1810" s="5" t="s">
        <v>1080</v>
      </c>
      <c r="E1810" s="5" t="s">
        <v>6167</v>
      </c>
      <c r="F1810" s="5" t="s">
        <v>1548</v>
      </c>
      <c r="G1810" s="6">
        <v>46044.634027777778</v>
      </c>
      <c r="H1810" s="7">
        <v>46057</v>
      </c>
      <c r="I1810" s="5" t="s">
        <v>6168</v>
      </c>
      <c r="J1810" s="7">
        <v>46064</v>
      </c>
      <c r="K1810" s="5" t="s">
        <v>1527</v>
      </c>
      <c r="L1810" s="5" t="s">
        <v>1564</v>
      </c>
      <c r="M1810" s="8">
        <v>83.05</v>
      </c>
      <c r="N1810" s="5" t="s">
        <v>1536</v>
      </c>
      <c r="O1810" s="7">
        <v>46064</v>
      </c>
    </row>
    <row r="1811" spans="1:15" hidden="1" x14ac:dyDescent="0.25">
      <c r="A1811" s="5" t="s">
        <v>1522</v>
      </c>
      <c r="B1811" s="5" t="s">
        <v>6169</v>
      </c>
      <c r="D1811" s="5" t="s">
        <v>1480</v>
      </c>
      <c r="E1811" s="5" t="s">
        <v>1524</v>
      </c>
      <c r="F1811" s="5" t="s">
        <v>1548</v>
      </c>
      <c r="G1811" s="6">
        <v>46035.493750000001</v>
      </c>
      <c r="H1811" s="7">
        <v>46042</v>
      </c>
      <c r="I1811" s="6">
        <v>46041.527083333334</v>
      </c>
      <c r="J1811" s="7">
        <v>46041</v>
      </c>
      <c r="K1811" s="5" t="s">
        <v>1527</v>
      </c>
      <c r="L1811" s="5" t="s">
        <v>1528</v>
      </c>
      <c r="M1811" s="8">
        <v>83</v>
      </c>
      <c r="N1811" s="5" t="s">
        <v>1536</v>
      </c>
      <c r="O1811" s="7">
        <v>46041</v>
      </c>
    </row>
    <row r="1812" spans="1:15" x14ac:dyDescent="0.25">
      <c r="A1812" s="5" t="s">
        <v>4</v>
      </c>
      <c r="B1812" s="5" t="s">
        <v>6170</v>
      </c>
      <c r="D1812" s="5" t="s">
        <v>981</v>
      </c>
      <c r="E1812" s="5" t="s">
        <v>6171</v>
      </c>
      <c r="F1812" s="5" t="s">
        <v>6172</v>
      </c>
      <c r="G1812" s="6">
        <v>46056.411805555559</v>
      </c>
      <c r="H1812" s="7">
        <v>46059</v>
      </c>
      <c r="I1812" s="5" t="s">
        <v>6173</v>
      </c>
      <c r="J1812" s="7">
        <v>46062</v>
      </c>
      <c r="K1812" s="5" t="s">
        <v>1527</v>
      </c>
      <c r="L1812" s="5" t="s">
        <v>1535</v>
      </c>
      <c r="M1812" s="8">
        <v>82.5</v>
      </c>
      <c r="N1812" s="5" t="s">
        <v>1536</v>
      </c>
      <c r="O1812" s="7">
        <v>46062</v>
      </c>
    </row>
    <row r="1813" spans="1:15" x14ac:dyDescent="0.25">
      <c r="A1813" s="5" t="s">
        <v>4</v>
      </c>
      <c r="B1813" s="5" t="s">
        <v>6174</v>
      </c>
      <c r="D1813" s="5" t="s">
        <v>946</v>
      </c>
      <c r="E1813" s="5" t="s">
        <v>6175</v>
      </c>
      <c r="F1813" s="5" t="s">
        <v>6176</v>
      </c>
      <c r="G1813" s="6">
        <v>46076.676388888889</v>
      </c>
      <c r="H1813" s="7">
        <v>46083</v>
      </c>
      <c r="I1813" s="6">
        <v>46078.692361111112</v>
      </c>
      <c r="J1813" s="7">
        <v>46078</v>
      </c>
      <c r="K1813" s="5" t="s">
        <v>1527</v>
      </c>
      <c r="L1813" s="5" t="s">
        <v>1621</v>
      </c>
      <c r="M1813" s="8">
        <v>82.37</v>
      </c>
      <c r="N1813" s="5" t="s">
        <v>1536</v>
      </c>
      <c r="O1813" s="7">
        <v>46078</v>
      </c>
    </row>
    <row r="1814" spans="1:15" x14ac:dyDescent="0.25">
      <c r="A1814" s="5" t="s">
        <v>4</v>
      </c>
      <c r="B1814" s="5" t="s">
        <v>6177</v>
      </c>
      <c r="D1814" s="5" t="s">
        <v>524</v>
      </c>
      <c r="E1814" s="5" t="s">
        <v>6178</v>
      </c>
      <c r="F1814" s="5" t="s">
        <v>2314</v>
      </c>
      <c r="G1814" s="6">
        <v>46085.631944444445</v>
      </c>
      <c r="H1814" s="7">
        <v>46098</v>
      </c>
      <c r="I1814" s="6">
        <v>46094.556250000001</v>
      </c>
      <c r="J1814" s="7">
        <v>46093</v>
      </c>
      <c r="K1814" s="5" t="s">
        <v>1527</v>
      </c>
      <c r="L1814" s="5" t="s">
        <v>1564</v>
      </c>
      <c r="M1814" s="8">
        <v>81.900000000000006</v>
      </c>
      <c r="N1814" s="5" t="s">
        <v>1536</v>
      </c>
      <c r="O1814" s="7">
        <v>46093</v>
      </c>
    </row>
    <row r="1815" spans="1:15" x14ac:dyDescent="0.25">
      <c r="A1815" s="5" t="s">
        <v>4</v>
      </c>
      <c r="B1815" s="5" t="s">
        <v>6179</v>
      </c>
      <c r="D1815" s="5" t="s">
        <v>1470</v>
      </c>
      <c r="E1815" s="5" t="s">
        <v>4754</v>
      </c>
      <c r="F1815" s="5" t="s">
        <v>6180</v>
      </c>
      <c r="G1815" s="6">
        <v>46083.769444444442</v>
      </c>
      <c r="H1815" s="7">
        <v>46090</v>
      </c>
      <c r="I1815" s="5" t="s">
        <v>6181</v>
      </c>
      <c r="J1815" s="7">
        <v>46093</v>
      </c>
      <c r="K1815" s="5" t="s">
        <v>1527</v>
      </c>
      <c r="L1815" s="5" t="s">
        <v>1564</v>
      </c>
      <c r="M1815" s="8">
        <v>81.8</v>
      </c>
      <c r="N1815" s="5" t="s">
        <v>1536</v>
      </c>
      <c r="O1815" s="7">
        <v>46093</v>
      </c>
    </row>
    <row r="1816" spans="1:15" x14ac:dyDescent="0.25">
      <c r="A1816" s="5" t="s">
        <v>4</v>
      </c>
      <c r="B1816" s="5" t="s">
        <v>6182</v>
      </c>
      <c r="D1816" s="5" t="s">
        <v>262</v>
      </c>
      <c r="E1816" s="5" t="s">
        <v>6183</v>
      </c>
      <c r="F1816" s="5" t="s">
        <v>6184</v>
      </c>
      <c r="G1816" s="6">
        <v>46078.711111111108</v>
      </c>
      <c r="H1816" s="7">
        <v>46085</v>
      </c>
      <c r="I1816" s="6">
        <v>46085.716666666667</v>
      </c>
      <c r="J1816" s="7">
        <v>46085</v>
      </c>
      <c r="K1816" s="5" t="s">
        <v>1527</v>
      </c>
      <c r="L1816" s="5" t="s">
        <v>1621</v>
      </c>
      <c r="M1816" s="8">
        <v>81.63</v>
      </c>
      <c r="N1816" s="5" t="s">
        <v>1536</v>
      </c>
      <c r="O1816" s="7">
        <v>46085</v>
      </c>
    </row>
    <row r="1817" spans="1:15" x14ac:dyDescent="0.25">
      <c r="A1817" s="5" t="s">
        <v>4</v>
      </c>
      <c r="B1817" s="5" t="s">
        <v>6185</v>
      </c>
      <c r="D1817" s="5" t="s">
        <v>1183</v>
      </c>
      <c r="E1817" s="5" t="s">
        <v>6186</v>
      </c>
      <c r="F1817" s="5" t="s">
        <v>6187</v>
      </c>
      <c r="G1817" s="6">
        <v>46029.670138888891</v>
      </c>
      <c r="H1817" s="7">
        <v>46036</v>
      </c>
      <c r="I1817" s="6">
        <v>46034.707638888889</v>
      </c>
      <c r="J1817" s="7">
        <v>46034</v>
      </c>
      <c r="K1817" s="5" t="s">
        <v>1527</v>
      </c>
      <c r="L1817" s="5" t="s">
        <v>1621</v>
      </c>
      <c r="M1817" s="9">
        <v>81.569999999999993</v>
      </c>
      <c r="N1817" s="5" t="s">
        <v>1536</v>
      </c>
      <c r="O1817" s="7">
        <v>46034</v>
      </c>
    </row>
    <row r="1818" spans="1:15" x14ac:dyDescent="0.25">
      <c r="A1818" s="5" t="s">
        <v>4</v>
      </c>
      <c r="B1818" s="5" t="s">
        <v>6188</v>
      </c>
      <c r="D1818" s="5" t="s">
        <v>344</v>
      </c>
      <c r="E1818" s="5" t="s">
        <v>6189</v>
      </c>
      <c r="F1818" s="5" t="s">
        <v>6190</v>
      </c>
      <c r="G1818" s="6">
        <v>46043.707638888889</v>
      </c>
      <c r="H1818" s="7">
        <v>46050</v>
      </c>
      <c r="I1818" s="5" t="s">
        <v>4938</v>
      </c>
      <c r="J1818" s="7">
        <v>46062</v>
      </c>
      <c r="K1818" s="5" t="s">
        <v>1527</v>
      </c>
      <c r="L1818" s="5" t="s">
        <v>1621</v>
      </c>
      <c r="M1818" s="8">
        <v>81.459999999999994</v>
      </c>
      <c r="N1818" s="5" t="s">
        <v>1536</v>
      </c>
      <c r="O1818" s="7">
        <v>46062</v>
      </c>
    </row>
    <row r="1819" spans="1:15" x14ac:dyDescent="0.25">
      <c r="A1819" s="5" t="s">
        <v>4</v>
      </c>
      <c r="B1819" s="5" t="s">
        <v>6191</v>
      </c>
      <c r="D1819" s="5" t="s">
        <v>850</v>
      </c>
      <c r="E1819" s="5" t="s">
        <v>6192</v>
      </c>
      <c r="F1819" s="5" t="s">
        <v>6193</v>
      </c>
      <c r="G1819" s="6">
        <v>46093.663888888892</v>
      </c>
      <c r="H1819" s="7">
        <v>46100</v>
      </c>
      <c r="I1819" s="5" t="s">
        <v>6194</v>
      </c>
      <c r="J1819" s="7">
        <v>46108</v>
      </c>
      <c r="K1819" s="5" t="s">
        <v>1527</v>
      </c>
      <c r="L1819" s="5" t="s">
        <v>1621</v>
      </c>
      <c r="M1819" s="8">
        <v>80.98</v>
      </c>
      <c r="N1819" s="5" t="s">
        <v>1536</v>
      </c>
      <c r="O1819" s="7">
        <v>46108</v>
      </c>
    </row>
    <row r="1820" spans="1:15" x14ac:dyDescent="0.25">
      <c r="A1820" s="5" t="s">
        <v>4</v>
      </c>
      <c r="B1820" s="5" t="s">
        <v>6195</v>
      </c>
      <c r="D1820" s="5" t="s">
        <v>178</v>
      </c>
      <c r="E1820" s="5" t="s">
        <v>6196</v>
      </c>
      <c r="F1820" s="5" t="s">
        <v>6197</v>
      </c>
      <c r="G1820" s="6">
        <v>46044.711805555555</v>
      </c>
      <c r="H1820" s="7">
        <v>46051</v>
      </c>
      <c r="I1820" s="6">
        <v>46049.742361111108</v>
      </c>
      <c r="J1820" s="7">
        <v>46049</v>
      </c>
      <c r="K1820" s="5" t="s">
        <v>1527</v>
      </c>
      <c r="L1820" s="5" t="s">
        <v>1621</v>
      </c>
      <c r="M1820" s="8">
        <v>80.400000000000006</v>
      </c>
      <c r="N1820" s="5" t="s">
        <v>1536</v>
      </c>
      <c r="O1820" s="7">
        <v>46049</v>
      </c>
    </row>
    <row r="1821" spans="1:15" x14ac:dyDescent="0.25">
      <c r="A1821" s="5" t="s">
        <v>4</v>
      </c>
      <c r="B1821" s="5" t="s">
        <v>6198</v>
      </c>
      <c r="D1821" s="5" t="s">
        <v>1336</v>
      </c>
      <c r="E1821" s="5" t="s">
        <v>6199</v>
      </c>
      <c r="F1821" s="5" t="s">
        <v>6200</v>
      </c>
      <c r="G1821" s="6">
        <v>46072.463194444441</v>
      </c>
      <c r="H1821" s="7">
        <v>46079</v>
      </c>
      <c r="I1821" s="6">
        <v>46078.691666666666</v>
      </c>
      <c r="J1821" s="7">
        <v>46078</v>
      </c>
      <c r="K1821" s="5" t="s">
        <v>1527</v>
      </c>
      <c r="L1821" s="5" t="s">
        <v>1621</v>
      </c>
      <c r="M1821" s="8">
        <v>80.39</v>
      </c>
      <c r="N1821" s="5" t="s">
        <v>1536</v>
      </c>
      <c r="O1821" s="7">
        <v>46078</v>
      </c>
    </row>
    <row r="1822" spans="1:15" hidden="1" x14ac:dyDescent="0.25">
      <c r="A1822" s="5" t="s">
        <v>1522</v>
      </c>
      <c r="B1822" s="5" t="s">
        <v>6201</v>
      </c>
      <c r="D1822" s="5" t="s">
        <v>1510</v>
      </c>
      <c r="E1822" s="5" t="s">
        <v>2466</v>
      </c>
      <c r="F1822" s="5" t="s">
        <v>3651</v>
      </c>
      <c r="G1822" s="6">
        <v>46057.695833333331</v>
      </c>
      <c r="H1822" s="7">
        <v>46059</v>
      </c>
      <c r="I1822" s="5" t="s">
        <v>6202</v>
      </c>
      <c r="J1822" s="7">
        <v>46066</v>
      </c>
      <c r="K1822" s="5" t="s">
        <v>1527</v>
      </c>
      <c r="L1822" s="5" t="s">
        <v>1621</v>
      </c>
      <c r="M1822" s="8">
        <v>80.25</v>
      </c>
      <c r="N1822" s="5" t="s">
        <v>1536</v>
      </c>
      <c r="O1822" s="7">
        <v>46066</v>
      </c>
    </row>
    <row r="1823" spans="1:15" hidden="1" x14ac:dyDescent="0.25">
      <c r="A1823" s="5" t="s">
        <v>1522</v>
      </c>
      <c r="B1823" s="5">
        <v>37995</v>
      </c>
      <c r="D1823" s="5" t="s">
        <v>1500</v>
      </c>
      <c r="E1823" s="5" t="s">
        <v>1559</v>
      </c>
      <c r="F1823" s="5" t="s">
        <v>1548</v>
      </c>
      <c r="G1823" s="6">
        <v>46041.669444444444</v>
      </c>
      <c r="H1823" s="7">
        <v>46041</v>
      </c>
      <c r="I1823" s="6">
        <v>46041.731944444444</v>
      </c>
      <c r="J1823" s="7">
        <v>46041</v>
      </c>
      <c r="K1823" s="5" t="s">
        <v>1527</v>
      </c>
      <c r="L1823" s="5" t="s">
        <v>1528</v>
      </c>
      <c r="M1823" s="8">
        <v>80</v>
      </c>
      <c r="N1823" s="5" t="s">
        <v>1536</v>
      </c>
      <c r="O1823" s="7">
        <v>46041</v>
      </c>
    </row>
    <row r="1824" spans="1:15" hidden="1" x14ac:dyDescent="0.25">
      <c r="A1824" s="5" t="s">
        <v>1522</v>
      </c>
      <c r="B1824" s="5" t="s">
        <v>6203</v>
      </c>
      <c r="D1824" s="5" t="s">
        <v>743</v>
      </c>
      <c r="E1824" s="5" t="s">
        <v>6204</v>
      </c>
      <c r="F1824" s="5" t="s">
        <v>2818</v>
      </c>
      <c r="G1824" s="6">
        <v>46034.650694444441</v>
      </c>
      <c r="H1824" s="7">
        <v>46036</v>
      </c>
      <c r="I1824" s="5" t="s">
        <v>1533</v>
      </c>
      <c r="J1824" s="7">
        <v>46038</v>
      </c>
      <c r="K1824" s="5" t="s">
        <v>1534</v>
      </c>
      <c r="L1824" s="5" t="s">
        <v>1554</v>
      </c>
      <c r="M1824" s="8">
        <v>80</v>
      </c>
      <c r="N1824" s="5" t="s">
        <v>1536</v>
      </c>
      <c r="O1824" s="7">
        <v>46038</v>
      </c>
    </row>
    <row r="1825" spans="1:15" hidden="1" x14ac:dyDescent="0.25">
      <c r="A1825" s="5" t="s">
        <v>1522</v>
      </c>
      <c r="B1825" s="5" t="s">
        <v>6205</v>
      </c>
      <c r="D1825" s="5" t="s">
        <v>1500</v>
      </c>
      <c r="E1825" s="5" t="s">
        <v>1559</v>
      </c>
      <c r="F1825" s="5" t="s">
        <v>6206</v>
      </c>
      <c r="G1825" s="6">
        <v>46062.459722222222</v>
      </c>
      <c r="H1825" s="7">
        <v>46066</v>
      </c>
      <c r="I1825" s="6">
        <v>46064.616666666669</v>
      </c>
      <c r="J1825" s="7">
        <v>46064</v>
      </c>
      <c r="K1825" s="5" t="s">
        <v>1527</v>
      </c>
      <c r="L1825" s="5" t="s">
        <v>1528</v>
      </c>
      <c r="M1825" s="8">
        <v>80</v>
      </c>
      <c r="N1825" s="5" t="s">
        <v>1536</v>
      </c>
      <c r="O1825" s="7">
        <v>46064</v>
      </c>
    </row>
    <row r="1826" spans="1:15" hidden="1" x14ac:dyDescent="0.25">
      <c r="A1826" s="5" t="s">
        <v>1522</v>
      </c>
      <c r="B1826" s="5" t="s">
        <v>6207</v>
      </c>
      <c r="D1826" s="5" t="s">
        <v>1414</v>
      </c>
      <c r="E1826" s="5" t="s">
        <v>3407</v>
      </c>
      <c r="F1826" s="5" t="s">
        <v>1548</v>
      </c>
      <c r="G1826" s="6">
        <v>46077.637499999997</v>
      </c>
      <c r="H1826" s="7">
        <v>46080</v>
      </c>
      <c r="I1826" s="5" t="s">
        <v>1601</v>
      </c>
      <c r="J1826" s="7">
        <v>46079</v>
      </c>
      <c r="K1826" s="5" t="s">
        <v>1527</v>
      </c>
      <c r="L1826" s="5" t="s">
        <v>1528</v>
      </c>
      <c r="M1826" s="8">
        <v>80</v>
      </c>
      <c r="N1826" s="5" t="s">
        <v>1536</v>
      </c>
      <c r="O1826" s="7">
        <v>46079</v>
      </c>
    </row>
    <row r="1827" spans="1:15" hidden="1" x14ac:dyDescent="0.25">
      <c r="A1827" s="5" t="s">
        <v>1522</v>
      </c>
      <c r="B1827" s="5" t="s">
        <v>6208</v>
      </c>
      <c r="D1827" s="5" t="s">
        <v>67</v>
      </c>
      <c r="E1827" s="5" t="s">
        <v>6209</v>
      </c>
      <c r="F1827" s="5" t="s">
        <v>3157</v>
      </c>
      <c r="G1827" s="6">
        <v>46107.573611111111</v>
      </c>
      <c r="H1827" s="7">
        <v>46113</v>
      </c>
      <c r="I1827" s="6">
        <v>46112.377083333333</v>
      </c>
      <c r="J1827" s="7">
        <v>46108</v>
      </c>
      <c r="K1827" s="5" t="s">
        <v>1527</v>
      </c>
      <c r="L1827" s="5" t="s">
        <v>1528</v>
      </c>
      <c r="M1827" s="9">
        <v>80</v>
      </c>
      <c r="N1827" s="5" t="s">
        <v>1536</v>
      </c>
      <c r="O1827" s="7">
        <v>46108</v>
      </c>
    </row>
    <row r="1828" spans="1:15" hidden="1" x14ac:dyDescent="0.25">
      <c r="A1828" s="5" t="s">
        <v>1522</v>
      </c>
      <c r="B1828" s="5" t="s">
        <v>6210</v>
      </c>
      <c r="D1828" s="5" t="s">
        <v>1250</v>
      </c>
      <c r="E1828" s="5" t="s">
        <v>6211</v>
      </c>
      <c r="F1828" s="5" t="s">
        <v>6212</v>
      </c>
      <c r="G1828" s="6">
        <v>46111.345138888886</v>
      </c>
      <c r="H1828" s="7">
        <v>46115</v>
      </c>
      <c r="I1828" s="5" t="s">
        <v>5155</v>
      </c>
      <c r="J1828" s="7">
        <v>46114</v>
      </c>
      <c r="K1828" s="5" t="s">
        <v>1527</v>
      </c>
      <c r="L1828" s="5" t="s">
        <v>1528</v>
      </c>
      <c r="M1828" s="8">
        <v>80</v>
      </c>
      <c r="N1828" s="5" t="s">
        <v>1536</v>
      </c>
      <c r="O1828" s="7">
        <v>46114</v>
      </c>
    </row>
    <row r="1829" spans="1:15" x14ac:dyDescent="0.25">
      <c r="A1829" s="5" t="s">
        <v>4</v>
      </c>
      <c r="B1829" s="5" t="s">
        <v>6213</v>
      </c>
      <c r="D1829" s="5" t="s">
        <v>838</v>
      </c>
      <c r="E1829" s="5" t="s">
        <v>6214</v>
      </c>
      <c r="F1829" s="5" t="s">
        <v>6215</v>
      </c>
      <c r="G1829" s="6">
        <v>46127.324999999997</v>
      </c>
      <c r="H1829" s="7">
        <v>46135</v>
      </c>
      <c r="I1829" s="5" t="s">
        <v>6216</v>
      </c>
      <c r="J1829" s="7">
        <v>46134</v>
      </c>
      <c r="K1829" s="5" t="s">
        <v>1527</v>
      </c>
      <c r="L1829" s="5" t="s">
        <v>1564</v>
      </c>
      <c r="M1829" s="8">
        <v>80</v>
      </c>
      <c r="N1829" s="5" t="s">
        <v>1536</v>
      </c>
      <c r="O1829" s="7">
        <v>46134</v>
      </c>
    </row>
    <row r="1830" spans="1:15" hidden="1" x14ac:dyDescent="0.25">
      <c r="A1830" s="5" t="s">
        <v>1522</v>
      </c>
      <c r="B1830" s="5" t="s">
        <v>6217</v>
      </c>
      <c r="D1830" s="5" t="s">
        <v>149</v>
      </c>
      <c r="E1830" s="5" t="s">
        <v>6218</v>
      </c>
      <c r="F1830" s="5" t="s">
        <v>1548</v>
      </c>
      <c r="G1830" s="6">
        <v>46148.421527777777</v>
      </c>
      <c r="H1830" s="7">
        <v>46156</v>
      </c>
      <c r="I1830" s="5" t="s">
        <v>6219</v>
      </c>
      <c r="J1830" s="7">
        <v>46160</v>
      </c>
      <c r="K1830" s="5" t="s">
        <v>1527</v>
      </c>
      <c r="L1830" s="5" t="s">
        <v>1528</v>
      </c>
      <c r="M1830" s="8">
        <v>79.900000000000006</v>
      </c>
      <c r="N1830" s="5" t="s">
        <v>1536</v>
      </c>
      <c r="O1830" s="7">
        <v>46160</v>
      </c>
    </row>
    <row r="1831" spans="1:15" x14ac:dyDescent="0.25">
      <c r="A1831" s="5" t="s">
        <v>4</v>
      </c>
      <c r="B1831" s="5" t="s">
        <v>6220</v>
      </c>
      <c r="D1831" s="5" t="s">
        <v>144</v>
      </c>
      <c r="E1831" s="5" t="s">
        <v>6221</v>
      </c>
      <c r="F1831" s="5" t="s">
        <v>6222</v>
      </c>
      <c r="G1831" s="6">
        <v>46084.711805555555</v>
      </c>
      <c r="H1831" s="7">
        <v>46084</v>
      </c>
      <c r="I1831" s="6">
        <v>46084.712500000001</v>
      </c>
      <c r="J1831" s="7">
        <v>46084</v>
      </c>
      <c r="K1831" s="5" t="s">
        <v>1527</v>
      </c>
      <c r="L1831" s="5" t="s">
        <v>1564</v>
      </c>
      <c r="M1831" s="8">
        <v>79.900000000000006</v>
      </c>
      <c r="N1831" s="5" t="s">
        <v>1536</v>
      </c>
      <c r="O1831" s="7">
        <v>46084</v>
      </c>
    </row>
    <row r="1832" spans="1:15" x14ac:dyDescent="0.25">
      <c r="A1832" s="5" t="s">
        <v>4</v>
      </c>
      <c r="B1832" s="5" t="s">
        <v>6223</v>
      </c>
      <c r="D1832" s="5" t="s">
        <v>96</v>
      </c>
      <c r="E1832" s="5" t="s">
        <v>6224</v>
      </c>
      <c r="F1832" s="5" t="s">
        <v>6225</v>
      </c>
      <c r="G1832" s="6">
        <v>46071.606944444444</v>
      </c>
      <c r="H1832" s="7">
        <v>46071</v>
      </c>
      <c r="I1832" s="6">
        <v>46071.313194444447</v>
      </c>
      <c r="J1832" s="7">
        <v>46071</v>
      </c>
      <c r="K1832" s="5" t="s">
        <v>1527</v>
      </c>
      <c r="L1832" s="5" t="s">
        <v>1564</v>
      </c>
      <c r="M1832" s="8">
        <v>79.8</v>
      </c>
      <c r="N1832" s="5" t="s">
        <v>1536</v>
      </c>
      <c r="O1832" s="7">
        <v>46071</v>
      </c>
    </row>
    <row r="1833" spans="1:15" x14ac:dyDescent="0.25">
      <c r="A1833" s="5" t="s">
        <v>4</v>
      </c>
      <c r="B1833" s="5" t="s">
        <v>6226</v>
      </c>
      <c r="D1833" s="5" t="s">
        <v>565</v>
      </c>
      <c r="E1833" s="5" t="s">
        <v>6227</v>
      </c>
      <c r="F1833" s="5" t="s">
        <v>6228</v>
      </c>
      <c r="G1833" s="6">
        <v>46042.703472222223</v>
      </c>
      <c r="H1833" s="7">
        <v>46050</v>
      </c>
      <c r="I1833" s="5" t="s">
        <v>6229</v>
      </c>
      <c r="J1833" s="7">
        <v>46051</v>
      </c>
      <c r="K1833" s="5" t="s">
        <v>1527</v>
      </c>
      <c r="L1833" s="5" t="s">
        <v>1621</v>
      </c>
      <c r="M1833" s="8">
        <v>79.41</v>
      </c>
      <c r="N1833" s="5" t="s">
        <v>1536</v>
      </c>
      <c r="O1833" s="7">
        <v>46051</v>
      </c>
    </row>
    <row r="1834" spans="1:15" hidden="1" x14ac:dyDescent="0.25">
      <c r="A1834" s="5" t="s">
        <v>1522</v>
      </c>
      <c r="B1834" s="5" t="s">
        <v>6230</v>
      </c>
      <c r="D1834" s="5" t="s">
        <v>1503</v>
      </c>
      <c r="E1834" s="5" t="s">
        <v>1651</v>
      </c>
      <c r="F1834" s="5" t="s">
        <v>6231</v>
      </c>
      <c r="G1834" s="6">
        <v>46090.390972222223</v>
      </c>
      <c r="H1834" s="7">
        <v>46094</v>
      </c>
      <c r="I1834" s="5" t="s">
        <v>6232</v>
      </c>
      <c r="J1834" s="7">
        <v>46098</v>
      </c>
      <c r="K1834" s="5" t="s">
        <v>1527</v>
      </c>
      <c r="L1834" s="5" t="s">
        <v>1528</v>
      </c>
      <c r="M1834" s="8">
        <v>79.2</v>
      </c>
      <c r="N1834" s="5" t="s">
        <v>1536</v>
      </c>
      <c r="O1834" s="7">
        <v>46098</v>
      </c>
    </row>
    <row r="1835" spans="1:15" hidden="1" x14ac:dyDescent="0.25">
      <c r="A1835" s="5" t="s">
        <v>1522</v>
      </c>
      <c r="B1835" s="5" t="s">
        <v>6233</v>
      </c>
      <c r="D1835" s="5" t="s">
        <v>175</v>
      </c>
      <c r="E1835" s="5" t="s">
        <v>6234</v>
      </c>
      <c r="F1835" s="5" t="s">
        <v>6235</v>
      </c>
      <c r="G1835" s="6">
        <v>46147.643750000003</v>
      </c>
      <c r="H1835" s="7">
        <v>46155</v>
      </c>
      <c r="I1835" s="6">
        <v>46153.59375</v>
      </c>
      <c r="J1835" s="7">
        <v>46153</v>
      </c>
      <c r="K1835" s="5" t="s">
        <v>1527</v>
      </c>
      <c r="L1835" s="5" t="s">
        <v>1528</v>
      </c>
      <c r="M1835" s="8">
        <v>79.069999999999993</v>
      </c>
      <c r="N1835" s="5" t="s">
        <v>1536</v>
      </c>
      <c r="O1835" s="7">
        <v>46153</v>
      </c>
    </row>
    <row r="1836" spans="1:15" x14ac:dyDescent="0.25">
      <c r="A1836" s="5" t="s">
        <v>4</v>
      </c>
      <c r="B1836" s="5" t="s">
        <v>6236</v>
      </c>
      <c r="D1836" s="5" t="s">
        <v>1127</v>
      </c>
      <c r="E1836" s="5" t="s">
        <v>6237</v>
      </c>
      <c r="F1836" s="5" t="s">
        <v>6238</v>
      </c>
      <c r="G1836" s="6">
        <v>46146.697916666664</v>
      </c>
      <c r="H1836" s="7">
        <v>46154</v>
      </c>
      <c r="I1836" s="6">
        <v>46153.59375</v>
      </c>
      <c r="J1836" s="7">
        <v>46153</v>
      </c>
      <c r="K1836" s="5" t="s">
        <v>1527</v>
      </c>
      <c r="L1836" s="5" t="s">
        <v>1621</v>
      </c>
      <c r="M1836" s="8">
        <v>79.040000000000006</v>
      </c>
      <c r="N1836" s="5" t="s">
        <v>1536</v>
      </c>
      <c r="O1836" s="7">
        <v>46153</v>
      </c>
    </row>
    <row r="1837" spans="1:15" x14ac:dyDescent="0.25">
      <c r="A1837" s="5" t="s">
        <v>4</v>
      </c>
      <c r="B1837" s="5" t="s">
        <v>6239</v>
      </c>
      <c r="D1837" s="5" t="s">
        <v>1497</v>
      </c>
      <c r="E1837" s="5" t="s">
        <v>1600</v>
      </c>
      <c r="F1837" s="5" t="s">
        <v>1532</v>
      </c>
      <c r="G1837" s="6">
        <v>46161.368055555555</v>
      </c>
      <c r="H1837" s="7">
        <v>46168</v>
      </c>
      <c r="I1837" s="5" t="s">
        <v>2103</v>
      </c>
      <c r="J1837" s="7">
        <v>46168</v>
      </c>
      <c r="K1837" s="5" t="s">
        <v>1527</v>
      </c>
      <c r="L1837" s="5" t="s">
        <v>1535</v>
      </c>
      <c r="M1837" s="8">
        <v>79</v>
      </c>
      <c r="N1837" s="5" t="s">
        <v>1536</v>
      </c>
      <c r="O1837" s="7">
        <v>46168</v>
      </c>
    </row>
    <row r="1838" spans="1:15" hidden="1" x14ac:dyDescent="0.25">
      <c r="A1838" s="5" t="s">
        <v>1522</v>
      </c>
      <c r="B1838" s="5" t="s">
        <v>6240</v>
      </c>
      <c r="D1838" s="5" t="s">
        <v>204</v>
      </c>
      <c r="E1838" s="5" t="s">
        <v>6241</v>
      </c>
      <c r="F1838" s="5" t="s">
        <v>1548</v>
      </c>
      <c r="G1838" s="6">
        <v>46066.39166666667</v>
      </c>
      <c r="H1838" s="7">
        <v>46078</v>
      </c>
      <c r="I1838" s="6">
        <v>46077.675694444442</v>
      </c>
      <c r="J1838" s="7">
        <v>46073</v>
      </c>
      <c r="K1838" s="5" t="s">
        <v>1527</v>
      </c>
      <c r="L1838" s="5" t="s">
        <v>1528</v>
      </c>
      <c r="M1838" s="9">
        <v>78</v>
      </c>
      <c r="N1838" s="5" t="s">
        <v>1536</v>
      </c>
      <c r="O1838" s="7">
        <v>46073</v>
      </c>
    </row>
    <row r="1839" spans="1:15" x14ac:dyDescent="0.25">
      <c r="A1839" s="5" t="s">
        <v>4</v>
      </c>
      <c r="B1839" s="5" t="s">
        <v>6242</v>
      </c>
      <c r="D1839" s="5" t="s">
        <v>682</v>
      </c>
      <c r="E1839" s="5" t="s">
        <v>6243</v>
      </c>
      <c r="F1839" s="5" t="s">
        <v>1813</v>
      </c>
      <c r="G1839" s="6">
        <v>46029.399305555555</v>
      </c>
      <c r="H1839" s="7">
        <v>46038</v>
      </c>
      <c r="I1839" s="6">
        <v>46036.688194444447</v>
      </c>
      <c r="J1839" s="7">
        <v>46036</v>
      </c>
      <c r="K1839" s="5" t="s">
        <v>1527</v>
      </c>
      <c r="L1839" s="5" t="s">
        <v>1535</v>
      </c>
      <c r="M1839" s="8">
        <v>78</v>
      </c>
      <c r="N1839" s="5" t="s">
        <v>1536</v>
      </c>
      <c r="O1839" s="7">
        <v>46036</v>
      </c>
    </row>
    <row r="1840" spans="1:15" x14ac:dyDescent="0.25">
      <c r="A1840" s="5" t="s">
        <v>4</v>
      </c>
      <c r="B1840" s="5" t="s">
        <v>6244</v>
      </c>
      <c r="D1840" s="5" t="s">
        <v>440</v>
      </c>
      <c r="E1840" s="5" t="s">
        <v>6245</v>
      </c>
      <c r="F1840" s="5" t="s">
        <v>6246</v>
      </c>
      <c r="G1840" s="6">
        <v>46119.425000000003</v>
      </c>
      <c r="H1840" s="7">
        <v>46126</v>
      </c>
      <c r="I1840" s="6">
        <v>46125.470833333333</v>
      </c>
      <c r="J1840" s="7">
        <v>46121</v>
      </c>
      <c r="K1840" s="5" t="s">
        <v>1527</v>
      </c>
      <c r="L1840" s="5" t="s">
        <v>1564</v>
      </c>
      <c r="M1840" s="8">
        <v>77.569999999999993</v>
      </c>
      <c r="N1840" s="5" t="s">
        <v>1536</v>
      </c>
      <c r="O1840" s="7">
        <v>46121</v>
      </c>
    </row>
    <row r="1841" spans="1:15" x14ac:dyDescent="0.25">
      <c r="A1841" s="5" t="s">
        <v>4</v>
      </c>
      <c r="B1841" s="5" t="s">
        <v>6247</v>
      </c>
      <c r="D1841" s="5" t="s">
        <v>719</v>
      </c>
      <c r="E1841" s="5" t="s">
        <v>6248</v>
      </c>
      <c r="F1841" s="5" t="s">
        <v>6249</v>
      </c>
      <c r="G1841" s="6">
        <v>46034.668055555558</v>
      </c>
      <c r="H1841" s="7">
        <v>46043</v>
      </c>
      <c r="I1841" s="5" t="s">
        <v>6250</v>
      </c>
      <c r="J1841" s="7">
        <v>46050</v>
      </c>
      <c r="K1841" s="5" t="s">
        <v>1527</v>
      </c>
      <c r="L1841" s="5" t="s">
        <v>1621</v>
      </c>
      <c r="M1841" s="8">
        <v>77.55</v>
      </c>
      <c r="N1841" s="5" t="s">
        <v>1536</v>
      </c>
      <c r="O1841" s="7">
        <v>46050</v>
      </c>
    </row>
    <row r="1842" spans="1:15" x14ac:dyDescent="0.25">
      <c r="A1842" s="5" t="s">
        <v>4</v>
      </c>
      <c r="B1842" s="5" t="s">
        <v>6251</v>
      </c>
      <c r="D1842" s="5" t="s">
        <v>756</v>
      </c>
      <c r="E1842" s="5" t="s">
        <v>6252</v>
      </c>
      <c r="F1842" s="5" t="s">
        <v>6253</v>
      </c>
      <c r="G1842" s="6">
        <v>46051.633333333331</v>
      </c>
      <c r="H1842" s="7">
        <v>46058</v>
      </c>
      <c r="I1842" s="6">
        <v>46055.64166666667</v>
      </c>
      <c r="J1842" s="7">
        <v>46055</v>
      </c>
      <c r="K1842" s="5" t="s">
        <v>1527</v>
      </c>
      <c r="L1842" s="5" t="s">
        <v>1621</v>
      </c>
      <c r="M1842" s="8">
        <v>77.349999999999994</v>
      </c>
      <c r="N1842" s="5" t="s">
        <v>1536</v>
      </c>
      <c r="O1842" s="7">
        <v>46055</v>
      </c>
    </row>
    <row r="1843" spans="1:15" x14ac:dyDescent="0.25">
      <c r="A1843" s="5" t="s">
        <v>4</v>
      </c>
      <c r="B1843" s="5" t="s">
        <v>6254</v>
      </c>
      <c r="D1843" s="5" t="s">
        <v>852</v>
      </c>
      <c r="E1843" s="5" t="s">
        <v>6255</v>
      </c>
      <c r="F1843" s="5" t="s">
        <v>6256</v>
      </c>
      <c r="G1843" s="6">
        <v>46055.688888888886</v>
      </c>
      <c r="H1843" s="7">
        <v>46062</v>
      </c>
      <c r="I1843" s="6">
        <v>46062.655555555553</v>
      </c>
      <c r="J1843" s="7">
        <v>46062</v>
      </c>
      <c r="K1843" s="5" t="s">
        <v>1527</v>
      </c>
      <c r="L1843" s="5" t="s">
        <v>1621</v>
      </c>
      <c r="M1843" s="8">
        <v>77.17</v>
      </c>
      <c r="N1843" s="5" t="s">
        <v>1536</v>
      </c>
      <c r="O1843" s="7">
        <v>46062</v>
      </c>
    </row>
    <row r="1844" spans="1:15" x14ac:dyDescent="0.25">
      <c r="A1844" s="5" t="s">
        <v>4</v>
      </c>
      <c r="B1844" s="5" t="s">
        <v>6257</v>
      </c>
      <c r="D1844" s="5" t="s">
        <v>840</v>
      </c>
      <c r="E1844" s="5" t="s">
        <v>6258</v>
      </c>
      <c r="F1844" s="5" t="s">
        <v>6259</v>
      </c>
      <c r="G1844" s="6">
        <v>46066.693749999999</v>
      </c>
      <c r="H1844" s="7">
        <v>46077</v>
      </c>
      <c r="I1844" s="6">
        <v>46077.674305555556</v>
      </c>
      <c r="J1844" s="7">
        <v>46077</v>
      </c>
      <c r="K1844" s="5" t="s">
        <v>1527</v>
      </c>
      <c r="L1844" s="5" t="s">
        <v>1621</v>
      </c>
      <c r="M1844" s="8">
        <v>77</v>
      </c>
      <c r="N1844" s="5" t="s">
        <v>1536</v>
      </c>
      <c r="O1844" s="7">
        <v>46077</v>
      </c>
    </row>
    <row r="1845" spans="1:15" x14ac:dyDescent="0.25">
      <c r="A1845" s="5" t="s">
        <v>4</v>
      </c>
      <c r="B1845" s="5" t="s">
        <v>6260</v>
      </c>
      <c r="D1845" s="5" t="s">
        <v>1188</v>
      </c>
      <c r="E1845" s="5" t="s">
        <v>6261</v>
      </c>
      <c r="F1845" s="5" t="s">
        <v>1759</v>
      </c>
      <c r="G1845" s="6">
        <v>46084.338888888888</v>
      </c>
      <c r="H1845" s="7">
        <v>46094</v>
      </c>
      <c r="I1845" s="6">
        <v>46086.732638888891</v>
      </c>
      <c r="J1845" s="7">
        <v>46086</v>
      </c>
      <c r="K1845" s="5" t="s">
        <v>1527</v>
      </c>
      <c r="L1845" s="5" t="s">
        <v>1564</v>
      </c>
      <c r="M1845" s="8">
        <v>77</v>
      </c>
      <c r="N1845" s="5" t="s">
        <v>1536</v>
      </c>
      <c r="O1845" s="7">
        <v>46086</v>
      </c>
    </row>
    <row r="1846" spans="1:15" x14ac:dyDescent="0.25">
      <c r="A1846" s="5" t="s">
        <v>4</v>
      </c>
      <c r="B1846" s="5" t="s">
        <v>6262</v>
      </c>
      <c r="D1846" s="5" t="s">
        <v>1174</v>
      </c>
      <c r="E1846" s="5" t="s">
        <v>6263</v>
      </c>
      <c r="F1846" s="5" t="s">
        <v>6264</v>
      </c>
      <c r="G1846" s="6">
        <v>46161.660416666666</v>
      </c>
      <c r="H1846" s="7">
        <v>46168</v>
      </c>
      <c r="I1846" s="6">
        <v>46167.745833333334</v>
      </c>
      <c r="J1846" s="7">
        <v>46167</v>
      </c>
      <c r="K1846" s="5" t="s">
        <v>1527</v>
      </c>
      <c r="L1846" s="5" t="s">
        <v>1621</v>
      </c>
      <c r="M1846" s="8">
        <v>77</v>
      </c>
      <c r="N1846" s="5" t="s">
        <v>1536</v>
      </c>
      <c r="O1846" s="7">
        <v>46167</v>
      </c>
    </row>
    <row r="1847" spans="1:15" x14ac:dyDescent="0.25">
      <c r="A1847" s="5" t="s">
        <v>4</v>
      </c>
      <c r="B1847" s="5" t="s">
        <v>6265</v>
      </c>
      <c r="D1847" s="5" t="s">
        <v>186</v>
      </c>
      <c r="E1847" s="5" t="s">
        <v>6266</v>
      </c>
      <c r="F1847" s="5" t="s">
        <v>6267</v>
      </c>
      <c r="G1847" s="6">
        <v>46168.675694444442</v>
      </c>
      <c r="H1847" s="7">
        <v>46175</v>
      </c>
      <c r="I1847" s="5" t="s">
        <v>3950</v>
      </c>
      <c r="J1847" s="7">
        <v>46171</v>
      </c>
      <c r="K1847" s="5" t="s">
        <v>1527</v>
      </c>
      <c r="L1847" s="5" t="s">
        <v>1621</v>
      </c>
      <c r="M1847" s="8">
        <v>76.989999999999995</v>
      </c>
      <c r="N1847" s="5" t="s">
        <v>1536</v>
      </c>
      <c r="O1847" s="7">
        <v>46171</v>
      </c>
    </row>
    <row r="1848" spans="1:15" x14ac:dyDescent="0.25">
      <c r="A1848" s="5" t="s">
        <v>4</v>
      </c>
      <c r="B1848" s="5" t="s">
        <v>6268</v>
      </c>
      <c r="D1848" s="5" t="s">
        <v>1287</v>
      </c>
      <c r="E1848" s="5" t="s">
        <v>4320</v>
      </c>
      <c r="F1848" s="5" t="s">
        <v>6269</v>
      </c>
      <c r="G1848" s="6">
        <v>46142.688194444447</v>
      </c>
      <c r="H1848" s="7">
        <v>46148</v>
      </c>
      <c r="I1848" s="6">
        <v>46148.598611111112</v>
      </c>
      <c r="J1848" s="7">
        <v>46148</v>
      </c>
      <c r="K1848" s="5" t="s">
        <v>1527</v>
      </c>
      <c r="L1848" s="5" t="s">
        <v>1621</v>
      </c>
      <c r="M1848" s="8">
        <v>76.72</v>
      </c>
      <c r="N1848" s="5" t="s">
        <v>1536</v>
      </c>
      <c r="O1848" s="7">
        <v>46148</v>
      </c>
    </row>
    <row r="1849" spans="1:15" x14ac:dyDescent="0.25">
      <c r="A1849" s="5" t="s">
        <v>4</v>
      </c>
      <c r="B1849" s="5" t="s">
        <v>6270</v>
      </c>
      <c r="D1849" s="5" t="s">
        <v>841</v>
      </c>
      <c r="E1849" s="5" t="s">
        <v>6271</v>
      </c>
      <c r="F1849" s="5" t="s">
        <v>6272</v>
      </c>
      <c r="G1849" s="6">
        <v>46062.671527777777</v>
      </c>
      <c r="H1849" s="7">
        <v>46069</v>
      </c>
      <c r="I1849" s="6">
        <v>46066.656944444447</v>
      </c>
      <c r="J1849" s="7">
        <v>46066</v>
      </c>
      <c r="K1849" s="5" t="s">
        <v>1527</v>
      </c>
      <c r="L1849" s="5" t="s">
        <v>1621</v>
      </c>
      <c r="M1849" s="8">
        <v>76.61</v>
      </c>
      <c r="N1849" s="5" t="s">
        <v>1536</v>
      </c>
      <c r="O1849" s="7">
        <v>46066</v>
      </c>
    </row>
    <row r="1850" spans="1:15" x14ac:dyDescent="0.25">
      <c r="A1850" s="5" t="s">
        <v>4</v>
      </c>
      <c r="B1850" s="5" t="s">
        <v>6273</v>
      </c>
      <c r="D1850" s="5" t="s">
        <v>183</v>
      </c>
      <c r="E1850" s="5" t="s">
        <v>6274</v>
      </c>
      <c r="F1850" s="5" t="s">
        <v>6275</v>
      </c>
      <c r="G1850" s="6">
        <v>46121.765277777777</v>
      </c>
      <c r="H1850" s="7">
        <v>46128</v>
      </c>
      <c r="I1850" s="6">
        <v>46128.622916666667</v>
      </c>
      <c r="J1850" s="7">
        <v>46128</v>
      </c>
      <c r="K1850" s="5" t="s">
        <v>1527</v>
      </c>
      <c r="L1850" s="5" t="s">
        <v>1564</v>
      </c>
      <c r="M1850" s="8">
        <v>76.61</v>
      </c>
      <c r="N1850" s="5" t="s">
        <v>1536</v>
      </c>
      <c r="O1850" s="7">
        <v>46128</v>
      </c>
    </row>
    <row r="1851" spans="1:15" hidden="1" x14ac:dyDescent="0.25">
      <c r="A1851" s="5" t="s">
        <v>1522</v>
      </c>
      <c r="B1851" s="5" t="s">
        <v>6276</v>
      </c>
      <c r="D1851" s="5" t="s">
        <v>630</v>
      </c>
      <c r="E1851" s="5" t="s">
        <v>6277</v>
      </c>
      <c r="F1851" s="5" t="s">
        <v>6278</v>
      </c>
      <c r="G1851" s="6">
        <v>46036.359027777777</v>
      </c>
      <c r="H1851" s="7">
        <v>46042</v>
      </c>
      <c r="I1851" s="5" t="s">
        <v>4428</v>
      </c>
      <c r="J1851" s="7">
        <v>46044</v>
      </c>
      <c r="K1851" s="5" t="s">
        <v>1527</v>
      </c>
      <c r="L1851" s="5" t="s">
        <v>1528</v>
      </c>
      <c r="M1851" s="8">
        <v>76.459999999999994</v>
      </c>
      <c r="N1851" s="5" t="s">
        <v>1536</v>
      </c>
      <c r="O1851" s="7">
        <v>46044</v>
      </c>
    </row>
    <row r="1852" spans="1:15" x14ac:dyDescent="0.25">
      <c r="A1852" s="5" t="s">
        <v>4</v>
      </c>
      <c r="B1852" s="5" t="s">
        <v>6279</v>
      </c>
      <c r="D1852" s="5" t="s">
        <v>728</v>
      </c>
      <c r="E1852" s="5" t="s">
        <v>6280</v>
      </c>
      <c r="F1852" s="5" t="s">
        <v>6281</v>
      </c>
      <c r="G1852" s="6">
        <v>46073.632638888892</v>
      </c>
      <c r="H1852" s="7">
        <v>46080</v>
      </c>
      <c r="I1852" s="6">
        <v>46078.692361111112</v>
      </c>
      <c r="J1852" s="7">
        <v>46078</v>
      </c>
      <c r="K1852" s="5" t="s">
        <v>1527</v>
      </c>
      <c r="L1852" s="5" t="s">
        <v>1621</v>
      </c>
      <c r="M1852" s="8">
        <v>76.459999999999994</v>
      </c>
      <c r="N1852" s="5" t="s">
        <v>1536</v>
      </c>
      <c r="O1852" s="7">
        <v>46078</v>
      </c>
    </row>
    <row r="1853" spans="1:15" hidden="1" x14ac:dyDescent="0.25">
      <c r="A1853" s="5" t="s">
        <v>1522</v>
      </c>
      <c r="B1853" s="5" t="s">
        <v>6282</v>
      </c>
      <c r="D1853" s="5" t="s">
        <v>580</v>
      </c>
      <c r="E1853" s="5" t="s">
        <v>6283</v>
      </c>
      <c r="F1853" s="5" t="s">
        <v>1548</v>
      </c>
      <c r="G1853" s="6">
        <v>46037.740277777775</v>
      </c>
      <c r="H1853" s="7">
        <v>46045</v>
      </c>
      <c r="I1853" s="6">
        <v>46045.693749999999</v>
      </c>
      <c r="J1853" s="7">
        <v>46045</v>
      </c>
      <c r="K1853" s="5" t="s">
        <v>1527</v>
      </c>
      <c r="L1853" s="5" t="s">
        <v>1528</v>
      </c>
      <c r="M1853" s="8">
        <v>75</v>
      </c>
      <c r="N1853" s="5" t="s">
        <v>1536</v>
      </c>
      <c r="O1853" s="7">
        <v>46045</v>
      </c>
    </row>
    <row r="1854" spans="1:15" hidden="1" x14ac:dyDescent="0.25">
      <c r="A1854" s="5" t="s">
        <v>1522</v>
      </c>
      <c r="B1854" s="5" t="s">
        <v>6284</v>
      </c>
      <c r="D1854" s="5" t="s">
        <v>1506</v>
      </c>
      <c r="E1854" s="5" t="s">
        <v>3189</v>
      </c>
      <c r="F1854" s="5" t="s">
        <v>3157</v>
      </c>
      <c r="G1854" s="6">
        <v>46045.382638888892</v>
      </c>
      <c r="H1854" s="7">
        <v>46055</v>
      </c>
      <c r="I1854" s="5" t="s">
        <v>6285</v>
      </c>
      <c r="J1854" s="7">
        <v>46056</v>
      </c>
      <c r="K1854" s="5" t="s">
        <v>1527</v>
      </c>
      <c r="L1854" s="5" t="s">
        <v>1528</v>
      </c>
      <c r="M1854" s="8">
        <v>75</v>
      </c>
      <c r="N1854" s="5" t="s">
        <v>1536</v>
      </c>
      <c r="O1854" s="7">
        <v>46056</v>
      </c>
    </row>
    <row r="1855" spans="1:15" x14ac:dyDescent="0.25">
      <c r="A1855" s="5" t="s">
        <v>4</v>
      </c>
      <c r="B1855" s="5" t="s">
        <v>6286</v>
      </c>
      <c r="D1855" s="5" t="s">
        <v>859</v>
      </c>
      <c r="E1855" s="5" t="s">
        <v>6287</v>
      </c>
      <c r="F1855" s="5" t="s">
        <v>1548</v>
      </c>
      <c r="G1855" s="6">
        <v>46031.43472222222</v>
      </c>
      <c r="H1855" s="7">
        <v>46041</v>
      </c>
      <c r="I1855" s="6">
        <v>46036.581944444442</v>
      </c>
      <c r="J1855" s="7">
        <v>46036</v>
      </c>
      <c r="K1855" s="5" t="s">
        <v>1527</v>
      </c>
      <c r="L1855" s="5" t="s">
        <v>1564</v>
      </c>
      <c r="M1855" s="8">
        <v>75</v>
      </c>
      <c r="N1855" s="5" t="s">
        <v>1536</v>
      </c>
      <c r="O1855" s="7">
        <v>46036</v>
      </c>
    </row>
    <row r="1856" spans="1:15" x14ac:dyDescent="0.25">
      <c r="A1856" s="5" t="s">
        <v>4</v>
      </c>
      <c r="B1856" s="5" t="s">
        <v>6288</v>
      </c>
      <c r="D1856" s="5" t="s">
        <v>1275</v>
      </c>
      <c r="E1856" s="5" t="s">
        <v>6289</v>
      </c>
      <c r="F1856" s="5" t="s">
        <v>1548</v>
      </c>
      <c r="G1856" s="6">
        <v>46057.336805555555</v>
      </c>
      <c r="H1856" s="7">
        <v>46070</v>
      </c>
      <c r="I1856" s="5" t="s">
        <v>6290</v>
      </c>
      <c r="J1856" s="7">
        <v>46063</v>
      </c>
      <c r="K1856" s="5" t="s">
        <v>1527</v>
      </c>
      <c r="L1856" s="5" t="s">
        <v>1564</v>
      </c>
      <c r="M1856" s="8">
        <v>75</v>
      </c>
      <c r="N1856" s="5" t="s">
        <v>1536</v>
      </c>
      <c r="O1856" s="7">
        <v>46063</v>
      </c>
    </row>
    <row r="1857" spans="1:15" x14ac:dyDescent="0.25">
      <c r="A1857" s="5" t="s">
        <v>4</v>
      </c>
      <c r="B1857" s="5" t="s">
        <v>6291</v>
      </c>
      <c r="D1857" s="5" t="s">
        <v>953</v>
      </c>
      <c r="E1857" s="5" t="s">
        <v>6292</v>
      </c>
      <c r="F1857" s="5" t="s">
        <v>6293</v>
      </c>
      <c r="G1857" s="6">
        <v>46078.719444444447</v>
      </c>
      <c r="H1857" s="7">
        <v>46085</v>
      </c>
      <c r="I1857" s="6">
        <v>46085.716666666667</v>
      </c>
      <c r="J1857" s="7">
        <v>46085</v>
      </c>
      <c r="K1857" s="5" t="s">
        <v>1527</v>
      </c>
      <c r="L1857" s="5" t="s">
        <v>1621</v>
      </c>
      <c r="M1857" s="8">
        <v>74.989999999999995</v>
      </c>
      <c r="N1857" s="5" t="s">
        <v>1536</v>
      </c>
      <c r="O1857" s="7">
        <v>46085</v>
      </c>
    </row>
    <row r="1858" spans="1:15" x14ac:dyDescent="0.25">
      <c r="A1858" s="5" t="s">
        <v>4</v>
      </c>
      <c r="B1858" s="5" t="s">
        <v>6294</v>
      </c>
      <c r="D1858" s="5" t="s">
        <v>1297</v>
      </c>
      <c r="E1858" s="5" t="s">
        <v>6295</v>
      </c>
      <c r="F1858" s="5" t="s">
        <v>6296</v>
      </c>
      <c r="G1858" s="6">
        <v>46083.761805555558</v>
      </c>
      <c r="H1858" s="7">
        <v>46090</v>
      </c>
      <c r="I1858" s="6">
        <v>46086.509027777778</v>
      </c>
      <c r="J1858" s="7">
        <v>46086</v>
      </c>
      <c r="K1858" s="5" t="s">
        <v>1527</v>
      </c>
      <c r="L1858" s="5" t="s">
        <v>1564</v>
      </c>
      <c r="M1858" s="8">
        <v>74.94</v>
      </c>
      <c r="N1858" s="5" t="s">
        <v>1536</v>
      </c>
      <c r="O1858" s="7">
        <v>46086</v>
      </c>
    </row>
    <row r="1859" spans="1:15" x14ac:dyDescent="0.25">
      <c r="A1859" s="5" t="s">
        <v>4</v>
      </c>
      <c r="B1859" s="5" t="s">
        <v>6297</v>
      </c>
      <c r="D1859" s="5" t="s">
        <v>391</v>
      </c>
      <c r="E1859" s="5" t="s">
        <v>6298</v>
      </c>
      <c r="F1859" s="5" t="s">
        <v>6299</v>
      </c>
      <c r="G1859" s="6">
        <v>46098.632638888892</v>
      </c>
      <c r="H1859" s="7">
        <v>46104</v>
      </c>
      <c r="I1859" s="5" t="s">
        <v>2684</v>
      </c>
      <c r="J1859" s="7">
        <v>46106</v>
      </c>
      <c r="K1859" s="5" t="s">
        <v>1527</v>
      </c>
      <c r="L1859" s="5" t="s">
        <v>1621</v>
      </c>
      <c r="M1859" s="8">
        <v>74.94</v>
      </c>
      <c r="N1859" s="5" t="s">
        <v>1536</v>
      </c>
      <c r="O1859" s="7">
        <v>46106</v>
      </c>
    </row>
    <row r="1860" spans="1:15" hidden="1" x14ac:dyDescent="0.25">
      <c r="A1860" s="5" t="s">
        <v>1522</v>
      </c>
      <c r="B1860" s="5" t="s">
        <v>6300</v>
      </c>
      <c r="D1860" s="5" t="s">
        <v>1507</v>
      </c>
      <c r="E1860" s="5" t="s">
        <v>2247</v>
      </c>
      <c r="F1860" s="5" t="s">
        <v>1548</v>
      </c>
      <c r="G1860" s="6">
        <v>46126.359027777777</v>
      </c>
      <c r="H1860" s="7">
        <v>46134</v>
      </c>
      <c r="I1860" s="5" t="s">
        <v>1533</v>
      </c>
      <c r="J1860" s="7">
        <v>46134</v>
      </c>
      <c r="K1860" s="5" t="s">
        <v>1534</v>
      </c>
      <c r="L1860" s="5" t="s">
        <v>1528</v>
      </c>
      <c r="M1860" s="8">
        <v>74.8</v>
      </c>
      <c r="N1860" s="5" t="s">
        <v>1536</v>
      </c>
      <c r="O1860" s="7">
        <v>46134</v>
      </c>
    </row>
    <row r="1861" spans="1:15" hidden="1" x14ac:dyDescent="0.25">
      <c r="A1861" s="5" t="s">
        <v>1522</v>
      </c>
      <c r="B1861" s="5" t="s">
        <v>6301</v>
      </c>
      <c r="D1861" s="5" t="s">
        <v>1507</v>
      </c>
      <c r="E1861" s="5" t="s">
        <v>2247</v>
      </c>
      <c r="F1861" s="5" t="s">
        <v>6302</v>
      </c>
      <c r="G1861" s="6">
        <v>46140.477777777778</v>
      </c>
      <c r="H1861" s="7">
        <v>46147</v>
      </c>
      <c r="I1861" s="5" t="s">
        <v>6303</v>
      </c>
      <c r="J1861" s="7">
        <v>46149</v>
      </c>
      <c r="K1861" s="5" t="s">
        <v>1527</v>
      </c>
      <c r="L1861" s="5" t="s">
        <v>1528</v>
      </c>
      <c r="M1861" s="8">
        <v>74.8</v>
      </c>
      <c r="N1861" s="5" t="s">
        <v>1529</v>
      </c>
      <c r="O1861" s="7">
        <v>46149</v>
      </c>
    </row>
    <row r="1862" spans="1:15" x14ac:dyDescent="0.25">
      <c r="A1862" s="5" t="s">
        <v>4</v>
      </c>
      <c r="B1862" s="5" t="s">
        <v>6304</v>
      </c>
      <c r="D1862" s="5" t="s">
        <v>46</v>
      </c>
      <c r="E1862" s="5" t="s">
        <v>6305</v>
      </c>
      <c r="F1862" s="5" t="s">
        <v>6306</v>
      </c>
      <c r="G1862" s="6">
        <v>46147.614583333336</v>
      </c>
      <c r="H1862" s="7">
        <v>46154</v>
      </c>
      <c r="I1862" s="6">
        <v>46150.600694444445</v>
      </c>
      <c r="J1862" s="7">
        <v>46150</v>
      </c>
      <c r="K1862" s="5" t="s">
        <v>1527</v>
      </c>
      <c r="L1862" s="5" t="s">
        <v>1621</v>
      </c>
      <c r="M1862" s="8">
        <v>74.66</v>
      </c>
      <c r="N1862" s="5" t="s">
        <v>1536</v>
      </c>
      <c r="O1862" s="7">
        <v>46150</v>
      </c>
    </row>
    <row r="1863" spans="1:15" x14ac:dyDescent="0.25">
      <c r="A1863" s="5" t="s">
        <v>4</v>
      </c>
      <c r="B1863" s="5" t="s">
        <v>6307</v>
      </c>
      <c r="D1863" s="5" t="s">
        <v>1319</v>
      </c>
      <c r="E1863" s="5" t="s">
        <v>4611</v>
      </c>
      <c r="F1863" s="5" t="s">
        <v>1548</v>
      </c>
      <c r="G1863" s="6">
        <v>46101.666666666664</v>
      </c>
      <c r="H1863" s="7">
        <v>46114</v>
      </c>
      <c r="I1863" s="6">
        <v>46113.615277777775</v>
      </c>
      <c r="J1863" s="7">
        <v>46113</v>
      </c>
      <c r="K1863" s="5" t="s">
        <v>1527</v>
      </c>
      <c r="L1863" s="5" t="s">
        <v>1535</v>
      </c>
      <c r="M1863" s="8">
        <v>73.8</v>
      </c>
      <c r="N1863" s="5" t="s">
        <v>1536</v>
      </c>
      <c r="O1863" s="7">
        <v>46113</v>
      </c>
    </row>
    <row r="1864" spans="1:15" x14ac:dyDescent="0.25">
      <c r="A1864" s="5" t="s">
        <v>4</v>
      </c>
      <c r="B1864" s="5" t="s">
        <v>6308</v>
      </c>
      <c r="D1864" s="5" t="s">
        <v>18</v>
      </c>
      <c r="E1864" s="5" t="s">
        <v>6309</v>
      </c>
      <c r="F1864" s="5" t="s">
        <v>3022</v>
      </c>
      <c r="G1864" s="6">
        <v>46167.65347222222</v>
      </c>
      <c r="H1864" s="7">
        <v>46176</v>
      </c>
      <c r="I1864" s="5" t="s">
        <v>1533</v>
      </c>
      <c r="J1864" s="7">
        <v>46183</v>
      </c>
      <c r="K1864" s="5" t="s">
        <v>1534</v>
      </c>
      <c r="L1864" s="5" t="s">
        <v>1535</v>
      </c>
      <c r="M1864" s="8">
        <v>73.8</v>
      </c>
      <c r="N1864" s="5" t="s">
        <v>1536</v>
      </c>
      <c r="O1864" s="7">
        <v>46183</v>
      </c>
    </row>
    <row r="1865" spans="1:15" x14ac:dyDescent="0.25">
      <c r="A1865" s="5" t="s">
        <v>4</v>
      </c>
      <c r="B1865" s="5" t="s">
        <v>6310</v>
      </c>
      <c r="D1865" s="5" t="s">
        <v>513</v>
      </c>
      <c r="E1865" s="5" t="s">
        <v>6311</v>
      </c>
      <c r="F1865" s="5" t="s">
        <v>6312</v>
      </c>
      <c r="G1865" s="6">
        <v>46170.675000000003</v>
      </c>
      <c r="H1865" s="7">
        <v>46177</v>
      </c>
      <c r="I1865" s="5" t="s">
        <v>1533</v>
      </c>
      <c r="J1865" s="7">
        <v>46183</v>
      </c>
      <c r="K1865" s="5" t="s">
        <v>1534</v>
      </c>
      <c r="L1865" s="5" t="s">
        <v>3243</v>
      </c>
      <c r="M1865" s="8">
        <v>73.39</v>
      </c>
      <c r="N1865" s="5" t="s">
        <v>1529</v>
      </c>
      <c r="O1865" s="7">
        <v>46183</v>
      </c>
    </row>
    <row r="1866" spans="1:15" x14ac:dyDescent="0.25">
      <c r="A1866" s="5" t="s">
        <v>4</v>
      </c>
      <c r="B1866" s="5" t="s">
        <v>6313</v>
      </c>
      <c r="D1866" s="5" t="s">
        <v>201</v>
      </c>
      <c r="E1866" s="5" t="s">
        <v>6314</v>
      </c>
      <c r="F1866" s="5" t="s">
        <v>6315</v>
      </c>
      <c r="G1866" s="6">
        <v>46128.697222222225</v>
      </c>
      <c r="H1866" s="7">
        <v>46135</v>
      </c>
      <c r="I1866" s="5" t="s">
        <v>3630</v>
      </c>
      <c r="J1866" s="7">
        <v>46136</v>
      </c>
      <c r="K1866" s="5" t="s">
        <v>1527</v>
      </c>
      <c r="L1866" s="5" t="s">
        <v>1621</v>
      </c>
      <c r="M1866" s="8">
        <v>73.25</v>
      </c>
      <c r="N1866" s="5" t="s">
        <v>1536</v>
      </c>
      <c r="O1866" s="7">
        <v>46136</v>
      </c>
    </row>
    <row r="1867" spans="1:15" x14ac:dyDescent="0.25">
      <c r="A1867" s="5" t="s">
        <v>4</v>
      </c>
      <c r="B1867" s="5" t="s">
        <v>6316</v>
      </c>
      <c r="D1867" s="5" t="s">
        <v>1265</v>
      </c>
      <c r="E1867" s="5" t="s">
        <v>6317</v>
      </c>
      <c r="F1867" s="5" t="s">
        <v>6318</v>
      </c>
      <c r="G1867" s="6">
        <v>46049.482638888891</v>
      </c>
      <c r="H1867" s="7">
        <v>46056</v>
      </c>
      <c r="I1867" s="6">
        <v>46056.613888888889</v>
      </c>
      <c r="J1867" s="7">
        <v>46056</v>
      </c>
      <c r="K1867" s="5" t="s">
        <v>1527</v>
      </c>
      <c r="L1867" s="5" t="s">
        <v>1621</v>
      </c>
      <c r="M1867" s="8">
        <v>73.17</v>
      </c>
      <c r="N1867" s="5" t="s">
        <v>1536</v>
      </c>
      <c r="O1867" s="7">
        <v>46056</v>
      </c>
    </row>
    <row r="1868" spans="1:15" x14ac:dyDescent="0.25">
      <c r="A1868" s="5" t="s">
        <v>4</v>
      </c>
      <c r="B1868" s="5" t="s">
        <v>6319</v>
      </c>
      <c r="D1868" s="5" t="s">
        <v>518</v>
      </c>
      <c r="E1868" s="5" t="s">
        <v>6320</v>
      </c>
      <c r="F1868" s="5" t="s">
        <v>6321</v>
      </c>
      <c r="G1868" s="6">
        <v>46113.65347222222</v>
      </c>
      <c r="H1868" s="7">
        <v>46120</v>
      </c>
      <c r="I1868" s="5" t="s">
        <v>4589</v>
      </c>
      <c r="J1868" s="7">
        <v>46118</v>
      </c>
      <c r="K1868" s="5" t="s">
        <v>1527</v>
      </c>
      <c r="L1868" s="5" t="s">
        <v>1621</v>
      </c>
      <c r="M1868" s="8">
        <v>73.17</v>
      </c>
      <c r="N1868" s="5" t="s">
        <v>1536</v>
      </c>
      <c r="O1868" s="7">
        <v>46118</v>
      </c>
    </row>
    <row r="1869" spans="1:15" x14ac:dyDescent="0.25">
      <c r="A1869" s="5" t="s">
        <v>4</v>
      </c>
      <c r="B1869" s="5" t="s">
        <v>6322</v>
      </c>
      <c r="D1869" s="5" t="s">
        <v>942</v>
      </c>
      <c r="E1869" s="5" t="s">
        <v>6323</v>
      </c>
      <c r="F1869" s="5" t="s">
        <v>6324</v>
      </c>
      <c r="G1869" s="6">
        <v>46121.761805555558</v>
      </c>
      <c r="H1869" s="7">
        <v>46128</v>
      </c>
      <c r="I1869" s="5" t="s">
        <v>2044</v>
      </c>
      <c r="J1869" s="7">
        <v>46134</v>
      </c>
      <c r="K1869" s="5" t="s">
        <v>1527</v>
      </c>
      <c r="L1869" s="5" t="s">
        <v>1564</v>
      </c>
      <c r="M1869" s="8">
        <v>73.17</v>
      </c>
      <c r="N1869" s="5" t="s">
        <v>1536</v>
      </c>
      <c r="O1869" s="7">
        <v>46134</v>
      </c>
    </row>
    <row r="1870" spans="1:15" x14ac:dyDescent="0.25">
      <c r="A1870" s="5" t="s">
        <v>4</v>
      </c>
      <c r="B1870" s="5" t="s">
        <v>6325</v>
      </c>
      <c r="D1870" s="5" t="s">
        <v>1433</v>
      </c>
      <c r="E1870" s="5" t="s">
        <v>4145</v>
      </c>
      <c r="F1870" s="5" t="s">
        <v>6326</v>
      </c>
      <c r="G1870" s="6">
        <v>46049.682638888888</v>
      </c>
      <c r="H1870" s="7">
        <v>46058</v>
      </c>
      <c r="I1870" s="6">
        <v>46056.613888888889</v>
      </c>
      <c r="J1870" s="7">
        <v>46056</v>
      </c>
      <c r="K1870" s="5" t="s">
        <v>1527</v>
      </c>
      <c r="L1870" s="5" t="s">
        <v>1535</v>
      </c>
      <c r="M1870" s="8">
        <v>73</v>
      </c>
      <c r="N1870" s="5" t="s">
        <v>1536</v>
      </c>
      <c r="O1870" s="7">
        <v>46056</v>
      </c>
    </row>
    <row r="1871" spans="1:15" x14ac:dyDescent="0.25">
      <c r="A1871" s="5" t="s">
        <v>4</v>
      </c>
      <c r="B1871" s="5" t="s">
        <v>6327</v>
      </c>
      <c r="D1871" s="5" t="s">
        <v>1230</v>
      </c>
      <c r="E1871" s="5" t="s">
        <v>6328</v>
      </c>
      <c r="F1871" s="5" t="s">
        <v>6329</v>
      </c>
      <c r="G1871" s="6">
        <v>46167.600694444445</v>
      </c>
      <c r="H1871" s="7">
        <v>46174</v>
      </c>
      <c r="I1871" s="6">
        <v>46171.628472222219</v>
      </c>
      <c r="J1871" s="7">
        <v>46171</v>
      </c>
      <c r="K1871" s="5" t="s">
        <v>1527</v>
      </c>
      <c r="L1871" s="5" t="s">
        <v>1621</v>
      </c>
      <c r="M1871" s="8">
        <v>72.959999999999994</v>
      </c>
      <c r="N1871" s="5" t="s">
        <v>1536</v>
      </c>
      <c r="O1871" s="7">
        <v>46171</v>
      </c>
    </row>
    <row r="1872" spans="1:15" x14ac:dyDescent="0.25">
      <c r="A1872" s="5" t="s">
        <v>4</v>
      </c>
      <c r="B1872" s="5" t="s">
        <v>6330</v>
      </c>
      <c r="D1872" s="5" t="s">
        <v>1294</v>
      </c>
      <c r="E1872" s="5" t="s">
        <v>6331</v>
      </c>
      <c r="F1872" s="5" t="s">
        <v>6332</v>
      </c>
      <c r="G1872" s="6">
        <v>46142.693749999999</v>
      </c>
      <c r="H1872" s="7">
        <v>46148</v>
      </c>
      <c r="I1872" s="5" t="s">
        <v>6333</v>
      </c>
      <c r="J1872" s="7">
        <v>46150</v>
      </c>
      <c r="K1872" s="5" t="s">
        <v>1527</v>
      </c>
      <c r="L1872" s="5" t="s">
        <v>1621</v>
      </c>
      <c r="M1872" s="8">
        <v>72.400000000000006</v>
      </c>
      <c r="N1872" s="5" t="s">
        <v>1536</v>
      </c>
      <c r="O1872" s="7">
        <v>46150</v>
      </c>
    </row>
    <row r="1873" spans="1:15" x14ac:dyDescent="0.25">
      <c r="A1873" s="5" t="s">
        <v>4</v>
      </c>
      <c r="B1873" s="5" t="s">
        <v>6334</v>
      </c>
      <c r="D1873" s="5" t="s">
        <v>1403</v>
      </c>
      <c r="E1873" s="5" t="s">
        <v>6335</v>
      </c>
      <c r="F1873" s="5" t="s">
        <v>6336</v>
      </c>
      <c r="G1873" s="6">
        <v>46167.629861111112</v>
      </c>
      <c r="H1873" s="7">
        <v>46174</v>
      </c>
      <c r="I1873" s="5" t="s">
        <v>6337</v>
      </c>
      <c r="J1873" s="7">
        <v>46171</v>
      </c>
      <c r="K1873" s="5" t="s">
        <v>1527</v>
      </c>
      <c r="L1873" s="5" t="s">
        <v>1564</v>
      </c>
      <c r="M1873" s="8">
        <v>72.400000000000006</v>
      </c>
      <c r="N1873" s="5" t="s">
        <v>1536</v>
      </c>
      <c r="O1873" s="7">
        <v>46171</v>
      </c>
    </row>
    <row r="1874" spans="1:15" x14ac:dyDescent="0.25">
      <c r="A1874" s="5" t="s">
        <v>4</v>
      </c>
      <c r="B1874" s="5" t="s">
        <v>6338</v>
      </c>
      <c r="D1874" s="5" t="s">
        <v>747</v>
      </c>
      <c r="E1874" s="5" t="s">
        <v>6339</v>
      </c>
      <c r="F1874" s="5" t="s">
        <v>6340</v>
      </c>
      <c r="G1874" s="6">
        <v>46057.709722222222</v>
      </c>
      <c r="H1874" s="7">
        <v>46064</v>
      </c>
      <c r="I1874" s="5" t="s">
        <v>6341</v>
      </c>
      <c r="J1874" s="7">
        <v>46065</v>
      </c>
      <c r="K1874" s="5" t="s">
        <v>1527</v>
      </c>
      <c r="L1874" s="5" t="s">
        <v>1621</v>
      </c>
      <c r="M1874" s="8">
        <v>72.069999999999993</v>
      </c>
      <c r="N1874" s="5" t="s">
        <v>1536</v>
      </c>
      <c r="O1874" s="7">
        <v>46065</v>
      </c>
    </row>
    <row r="1875" spans="1:15" x14ac:dyDescent="0.25">
      <c r="A1875" s="5" t="s">
        <v>4</v>
      </c>
      <c r="B1875" s="5" t="s">
        <v>6342</v>
      </c>
      <c r="D1875" s="5" t="s">
        <v>993</v>
      </c>
      <c r="E1875" s="5" t="s">
        <v>6343</v>
      </c>
      <c r="F1875" s="5" t="s">
        <v>6344</v>
      </c>
      <c r="G1875" s="6">
        <v>46031.645833333336</v>
      </c>
      <c r="H1875" s="7">
        <v>46038</v>
      </c>
      <c r="I1875" s="6">
        <v>46035.730555555558</v>
      </c>
      <c r="J1875" s="7">
        <v>46035</v>
      </c>
      <c r="K1875" s="5" t="s">
        <v>1527</v>
      </c>
      <c r="L1875" s="5" t="s">
        <v>1621</v>
      </c>
      <c r="M1875" s="9">
        <v>72.02</v>
      </c>
      <c r="N1875" s="5" t="s">
        <v>1536</v>
      </c>
      <c r="O1875" s="7">
        <v>46035</v>
      </c>
    </row>
    <row r="1876" spans="1:15" x14ac:dyDescent="0.25">
      <c r="A1876" s="5" t="s">
        <v>4</v>
      </c>
      <c r="B1876" s="5" t="s">
        <v>6345</v>
      </c>
      <c r="D1876" s="5" t="s">
        <v>665</v>
      </c>
      <c r="E1876" s="5" t="s">
        <v>6346</v>
      </c>
      <c r="F1876" s="5" t="s">
        <v>6347</v>
      </c>
      <c r="G1876" s="6">
        <v>46064.694444444445</v>
      </c>
      <c r="H1876" s="7">
        <v>46070</v>
      </c>
      <c r="I1876" s="5" t="s">
        <v>3946</v>
      </c>
      <c r="J1876" s="7">
        <v>46071</v>
      </c>
      <c r="K1876" s="5" t="s">
        <v>1527</v>
      </c>
      <c r="L1876" s="5" t="s">
        <v>1621</v>
      </c>
      <c r="M1876" s="8">
        <v>72.02</v>
      </c>
      <c r="N1876" s="5" t="s">
        <v>1536</v>
      </c>
      <c r="O1876" s="7">
        <v>46071</v>
      </c>
    </row>
    <row r="1877" spans="1:15" x14ac:dyDescent="0.25">
      <c r="A1877" s="5" t="s">
        <v>4</v>
      </c>
      <c r="B1877" s="5" t="s">
        <v>6348</v>
      </c>
      <c r="D1877" s="5" t="s">
        <v>995</v>
      </c>
      <c r="E1877" s="5" t="s">
        <v>6349</v>
      </c>
      <c r="F1877" s="5" t="s">
        <v>6350</v>
      </c>
      <c r="G1877" s="6">
        <v>46108.65</v>
      </c>
      <c r="H1877" s="7">
        <v>46115</v>
      </c>
      <c r="I1877" s="6">
        <v>46112.73333333333</v>
      </c>
      <c r="J1877" s="7">
        <v>46112</v>
      </c>
      <c r="K1877" s="5" t="s">
        <v>1527</v>
      </c>
      <c r="L1877" s="5" t="s">
        <v>1621</v>
      </c>
      <c r="M1877" s="8">
        <v>71.849999999999994</v>
      </c>
      <c r="N1877" s="5" t="s">
        <v>1536</v>
      </c>
      <c r="O1877" s="7">
        <v>46112</v>
      </c>
    </row>
    <row r="1878" spans="1:15" x14ac:dyDescent="0.25">
      <c r="A1878" s="5" t="s">
        <v>4</v>
      </c>
      <c r="B1878" s="5" t="s">
        <v>6351</v>
      </c>
      <c r="D1878" s="5" t="s">
        <v>1363</v>
      </c>
      <c r="E1878" s="5" t="s">
        <v>5539</v>
      </c>
      <c r="F1878" s="5" t="s">
        <v>6352</v>
      </c>
      <c r="G1878" s="6">
        <v>46029.661805555559</v>
      </c>
      <c r="H1878" s="7">
        <v>46035</v>
      </c>
      <c r="I1878" s="5" t="s">
        <v>6353</v>
      </c>
      <c r="J1878" s="7">
        <v>46048</v>
      </c>
      <c r="K1878" s="5" t="s">
        <v>1527</v>
      </c>
      <c r="L1878" s="5" t="s">
        <v>1621</v>
      </c>
      <c r="M1878" s="8">
        <v>71.52</v>
      </c>
      <c r="N1878" s="5" t="s">
        <v>1536</v>
      </c>
      <c r="O1878" s="7">
        <v>46048</v>
      </c>
    </row>
    <row r="1879" spans="1:15" x14ac:dyDescent="0.25">
      <c r="A1879" s="5" t="s">
        <v>4</v>
      </c>
      <c r="B1879" s="5" t="s">
        <v>6354</v>
      </c>
      <c r="D1879" s="5" t="s">
        <v>1021</v>
      </c>
      <c r="E1879" s="5" t="s">
        <v>6355</v>
      </c>
      <c r="F1879" s="5" t="s">
        <v>6356</v>
      </c>
      <c r="G1879" s="6">
        <v>46070.582638888889</v>
      </c>
      <c r="H1879" s="7">
        <v>46077</v>
      </c>
      <c r="I1879" s="6">
        <v>46071.616666666669</v>
      </c>
      <c r="J1879" s="7">
        <v>46071</v>
      </c>
      <c r="K1879" s="5" t="s">
        <v>1527</v>
      </c>
      <c r="L1879" s="5" t="s">
        <v>1621</v>
      </c>
      <c r="M1879" s="8">
        <v>71.349999999999994</v>
      </c>
      <c r="N1879" s="5" t="s">
        <v>1536</v>
      </c>
      <c r="O1879" s="7">
        <v>46071</v>
      </c>
    </row>
    <row r="1880" spans="1:15" x14ac:dyDescent="0.25">
      <c r="A1880" s="5" t="s">
        <v>4</v>
      </c>
      <c r="B1880" s="5" t="s">
        <v>6357</v>
      </c>
      <c r="D1880" s="5" t="s">
        <v>232</v>
      </c>
      <c r="E1880" s="5" t="s">
        <v>6358</v>
      </c>
      <c r="F1880" s="5" t="s">
        <v>6359</v>
      </c>
      <c r="G1880" s="6">
        <v>46084.748611111114</v>
      </c>
      <c r="H1880" s="7">
        <v>46090</v>
      </c>
      <c r="I1880" s="5" t="s">
        <v>5765</v>
      </c>
      <c r="J1880" s="7">
        <v>46094</v>
      </c>
      <c r="K1880" s="5" t="s">
        <v>1527</v>
      </c>
      <c r="L1880" s="5" t="s">
        <v>1621</v>
      </c>
      <c r="M1880" s="8">
        <v>71.260000000000005</v>
      </c>
      <c r="N1880" s="5" t="s">
        <v>1536</v>
      </c>
      <c r="O1880" s="7">
        <v>46094</v>
      </c>
    </row>
    <row r="1881" spans="1:15" x14ac:dyDescent="0.25">
      <c r="A1881" s="5" t="s">
        <v>4</v>
      </c>
      <c r="B1881" s="5" t="s">
        <v>6360</v>
      </c>
      <c r="D1881" s="5" t="s">
        <v>1294</v>
      </c>
      <c r="E1881" s="5" t="s">
        <v>6331</v>
      </c>
      <c r="F1881" s="5" t="s">
        <v>6361</v>
      </c>
      <c r="G1881" s="6">
        <v>46030.668749999997</v>
      </c>
      <c r="H1881" s="7">
        <v>46037</v>
      </c>
      <c r="I1881" s="5" t="s">
        <v>6362</v>
      </c>
      <c r="J1881" s="7">
        <v>46038</v>
      </c>
      <c r="K1881" s="5" t="s">
        <v>1527</v>
      </c>
      <c r="L1881" s="5" t="s">
        <v>1621</v>
      </c>
      <c r="M1881" s="8">
        <v>71.12</v>
      </c>
      <c r="N1881" s="5" t="s">
        <v>1536</v>
      </c>
      <c r="O1881" s="7">
        <v>46038</v>
      </c>
    </row>
    <row r="1882" spans="1:15" x14ac:dyDescent="0.25">
      <c r="A1882" s="5" t="s">
        <v>4</v>
      </c>
      <c r="B1882" s="5" t="s">
        <v>6363</v>
      </c>
      <c r="D1882" s="5" t="s">
        <v>1067</v>
      </c>
      <c r="E1882" s="5" t="s">
        <v>6364</v>
      </c>
      <c r="F1882" s="5" t="s">
        <v>6365</v>
      </c>
      <c r="G1882" s="6">
        <v>46048.631249999999</v>
      </c>
      <c r="H1882" s="7">
        <v>46059</v>
      </c>
      <c r="I1882" s="6">
        <v>46051.690972222219</v>
      </c>
      <c r="J1882" s="7">
        <v>46050</v>
      </c>
      <c r="K1882" s="5" t="s">
        <v>1527</v>
      </c>
      <c r="L1882" s="5" t="s">
        <v>1621</v>
      </c>
      <c r="M1882" s="8">
        <v>70.3</v>
      </c>
      <c r="N1882" s="5" t="s">
        <v>1536</v>
      </c>
      <c r="O1882" s="7">
        <v>46050</v>
      </c>
    </row>
    <row r="1883" spans="1:15" x14ac:dyDescent="0.25">
      <c r="A1883" s="5" t="s">
        <v>4</v>
      </c>
      <c r="B1883" s="5" t="s">
        <v>6366</v>
      </c>
      <c r="D1883" s="5" t="s">
        <v>726</v>
      </c>
      <c r="E1883" s="5" t="s">
        <v>6367</v>
      </c>
      <c r="F1883" s="5" t="s">
        <v>6368</v>
      </c>
      <c r="G1883" s="6">
        <v>46029.64166666667</v>
      </c>
      <c r="H1883" s="7">
        <v>46035</v>
      </c>
      <c r="I1883" s="5" t="s">
        <v>6369</v>
      </c>
      <c r="J1883" s="7">
        <v>46041</v>
      </c>
      <c r="K1883" s="5" t="s">
        <v>1527</v>
      </c>
      <c r="L1883" s="5" t="s">
        <v>1621</v>
      </c>
      <c r="M1883" s="8">
        <v>70.209999999999994</v>
      </c>
      <c r="N1883" s="5" t="s">
        <v>1536</v>
      </c>
      <c r="O1883" s="7">
        <v>46041</v>
      </c>
    </row>
    <row r="1884" spans="1:15" hidden="1" x14ac:dyDescent="0.25">
      <c r="A1884" s="5" t="s">
        <v>1522</v>
      </c>
      <c r="B1884" s="5" t="s">
        <v>6370</v>
      </c>
      <c r="D1884" s="5" t="s">
        <v>38</v>
      </c>
      <c r="E1884" s="5" t="s">
        <v>6371</v>
      </c>
      <c r="F1884" s="5" t="s">
        <v>1548</v>
      </c>
      <c r="G1884" s="6">
        <v>46050.43472222222</v>
      </c>
      <c r="H1884" s="7">
        <v>46058</v>
      </c>
      <c r="I1884" s="6">
        <v>46057.688194444447</v>
      </c>
      <c r="J1884" s="7">
        <v>46052</v>
      </c>
      <c r="K1884" s="5" t="s">
        <v>1527</v>
      </c>
      <c r="L1884" s="5" t="s">
        <v>1528</v>
      </c>
      <c r="M1884" s="8">
        <v>70</v>
      </c>
      <c r="N1884" s="5" t="s">
        <v>1536</v>
      </c>
      <c r="O1884" s="7">
        <v>46052</v>
      </c>
    </row>
    <row r="1885" spans="1:15" x14ac:dyDescent="0.25">
      <c r="A1885" s="5" t="s">
        <v>4</v>
      </c>
      <c r="B1885" s="5" t="s">
        <v>6372</v>
      </c>
      <c r="D1885" s="5" t="s">
        <v>1501</v>
      </c>
      <c r="E1885" s="5" t="s">
        <v>3361</v>
      </c>
      <c r="F1885" s="5" t="s">
        <v>1738</v>
      </c>
      <c r="G1885" s="6">
        <v>46113.671527777777</v>
      </c>
      <c r="H1885" s="7">
        <v>46127</v>
      </c>
      <c r="I1885" s="6">
        <v>46121.73541666667</v>
      </c>
      <c r="J1885" s="7">
        <v>46121</v>
      </c>
      <c r="K1885" s="5" t="s">
        <v>1527</v>
      </c>
      <c r="L1885" s="5" t="s">
        <v>1564</v>
      </c>
      <c r="M1885" s="8">
        <v>70</v>
      </c>
      <c r="N1885" s="5" t="s">
        <v>1536</v>
      </c>
      <c r="O1885" s="7">
        <v>46121</v>
      </c>
    </row>
    <row r="1886" spans="1:15" x14ac:dyDescent="0.25">
      <c r="A1886" s="5" t="s">
        <v>4</v>
      </c>
      <c r="B1886" s="5" t="s">
        <v>6373</v>
      </c>
      <c r="D1886" s="5" t="s">
        <v>1472</v>
      </c>
      <c r="E1886" s="5" t="s">
        <v>4317</v>
      </c>
      <c r="F1886" s="5" t="s">
        <v>1532</v>
      </c>
      <c r="G1886" s="6">
        <v>46128.574305555558</v>
      </c>
      <c r="H1886" s="7">
        <v>46129</v>
      </c>
      <c r="I1886" s="5" t="s">
        <v>6374</v>
      </c>
      <c r="J1886" s="7">
        <v>46129</v>
      </c>
      <c r="K1886" s="5" t="s">
        <v>1527</v>
      </c>
      <c r="L1886" s="5" t="s">
        <v>1535</v>
      </c>
      <c r="M1886" s="8">
        <v>70</v>
      </c>
      <c r="N1886" s="5" t="s">
        <v>1536</v>
      </c>
      <c r="O1886" s="7">
        <v>46129</v>
      </c>
    </row>
    <row r="1887" spans="1:15" x14ac:dyDescent="0.25">
      <c r="A1887" s="5" t="s">
        <v>4</v>
      </c>
      <c r="B1887" s="5" t="s">
        <v>6375</v>
      </c>
      <c r="D1887" s="5" t="s">
        <v>6376</v>
      </c>
      <c r="E1887" s="5" t="s">
        <v>6377</v>
      </c>
      <c r="F1887" s="5" t="s">
        <v>6378</v>
      </c>
      <c r="G1887" s="6">
        <v>46169.5625</v>
      </c>
      <c r="H1887" s="7">
        <v>46171</v>
      </c>
      <c r="I1887" s="6">
        <v>46171.411805555559</v>
      </c>
      <c r="J1887" s="7">
        <v>46170</v>
      </c>
      <c r="K1887" s="5" t="s">
        <v>1527</v>
      </c>
      <c r="L1887" s="5" t="s">
        <v>1535</v>
      </c>
      <c r="M1887" s="8">
        <v>70</v>
      </c>
      <c r="N1887" s="5" t="s">
        <v>1536</v>
      </c>
      <c r="O1887" s="7">
        <v>46170</v>
      </c>
    </row>
    <row r="1888" spans="1:15" x14ac:dyDescent="0.25">
      <c r="A1888" s="5" t="s">
        <v>4</v>
      </c>
      <c r="B1888" s="5" t="s">
        <v>6379</v>
      </c>
      <c r="D1888" s="5" t="s">
        <v>1100</v>
      </c>
      <c r="E1888" s="5" t="s">
        <v>6380</v>
      </c>
      <c r="F1888" s="5" t="s">
        <v>6381</v>
      </c>
      <c r="G1888" s="6">
        <v>46139.681944444441</v>
      </c>
      <c r="H1888" s="7">
        <v>46146</v>
      </c>
      <c r="I1888" s="6">
        <v>46142.647222222222</v>
      </c>
      <c r="J1888" s="7">
        <v>46141</v>
      </c>
      <c r="K1888" s="5" t="s">
        <v>1527</v>
      </c>
      <c r="L1888" s="5" t="s">
        <v>1621</v>
      </c>
      <c r="M1888" s="8">
        <v>69.95</v>
      </c>
      <c r="N1888" s="5" t="s">
        <v>1536</v>
      </c>
      <c r="O1888" s="7">
        <v>46141</v>
      </c>
    </row>
    <row r="1889" spans="1:15" x14ac:dyDescent="0.25">
      <c r="A1889" s="5" t="s">
        <v>4</v>
      </c>
      <c r="B1889" s="5" t="s">
        <v>6382</v>
      </c>
      <c r="D1889" s="5" t="s">
        <v>1408</v>
      </c>
      <c r="E1889" s="5" t="s">
        <v>5223</v>
      </c>
      <c r="F1889" s="5" t="s">
        <v>1548</v>
      </c>
      <c r="G1889" s="6">
        <v>46028.609722222223</v>
      </c>
      <c r="H1889" s="7">
        <v>46029</v>
      </c>
      <c r="I1889" s="6">
        <v>46029.45208333333</v>
      </c>
      <c r="J1889" s="7">
        <v>46029</v>
      </c>
      <c r="K1889" s="5" t="s">
        <v>1527</v>
      </c>
      <c r="L1889" s="5" t="s">
        <v>1564</v>
      </c>
      <c r="M1889" s="8">
        <v>69.900000000000006</v>
      </c>
      <c r="N1889" s="5" t="s">
        <v>1536</v>
      </c>
      <c r="O1889" s="7">
        <v>46029</v>
      </c>
    </row>
    <row r="1890" spans="1:15" x14ac:dyDescent="0.25">
      <c r="A1890" s="5" t="s">
        <v>4</v>
      </c>
      <c r="B1890" s="5" t="s">
        <v>6383</v>
      </c>
      <c r="D1890" s="5" t="s">
        <v>649</v>
      </c>
      <c r="E1890" s="5" t="s">
        <v>6384</v>
      </c>
      <c r="F1890" s="5" t="s">
        <v>1548</v>
      </c>
      <c r="G1890" s="6">
        <v>46041.344444444447</v>
      </c>
      <c r="H1890" s="7">
        <v>46043</v>
      </c>
      <c r="I1890" s="5" t="s">
        <v>6385</v>
      </c>
      <c r="J1890" s="7">
        <v>46043</v>
      </c>
      <c r="K1890" s="5" t="s">
        <v>1527</v>
      </c>
      <c r="L1890" s="5" t="s">
        <v>1564</v>
      </c>
      <c r="M1890" s="8">
        <v>69.900000000000006</v>
      </c>
      <c r="N1890" s="5" t="s">
        <v>1536</v>
      </c>
      <c r="O1890" s="7">
        <v>46043</v>
      </c>
    </row>
    <row r="1891" spans="1:15" x14ac:dyDescent="0.25">
      <c r="A1891" s="5" t="s">
        <v>4</v>
      </c>
      <c r="B1891" s="5" t="s">
        <v>6386</v>
      </c>
      <c r="D1891" s="5" t="s">
        <v>1343</v>
      </c>
      <c r="E1891" s="5" t="s">
        <v>6387</v>
      </c>
      <c r="F1891" s="5" t="s">
        <v>6388</v>
      </c>
      <c r="G1891" s="6">
        <v>46049.597222222219</v>
      </c>
      <c r="H1891" s="7">
        <v>46056</v>
      </c>
      <c r="I1891" s="5" t="s">
        <v>6389</v>
      </c>
      <c r="J1891" s="7">
        <v>46051</v>
      </c>
      <c r="K1891" s="5" t="s">
        <v>1527</v>
      </c>
      <c r="L1891" s="5" t="s">
        <v>1621</v>
      </c>
      <c r="M1891" s="8">
        <v>69.900000000000006</v>
      </c>
      <c r="N1891" s="5" t="s">
        <v>1536</v>
      </c>
      <c r="O1891" s="7">
        <v>46051</v>
      </c>
    </row>
    <row r="1892" spans="1:15" x14ac:dyDescent="0.25">
      <c r="A1892" s="5" t="s">
        <v>4</v>
      </c>
      <c r="B1892" s="5" t="s">
        <v>6390</v>
      </c>
      <c r="D1892" s="5" t="s">
        <v>418</v>
      </c>
      <c r="E1892" s="5" t="s">
        <v>6391</v>
      </c>
      <c r="F1892" s="5" t="s">
        <v>6392</v>
      </c>
      <c r="G1892" s="6">
        <v>46153.640277777777</v>
      </c>
      <c r="H1892" s="7">
        <v>46162</v>
      </c>
      <c r="I1892" s="6">
        <v>46156.643750000003</v>
      </c>
      <c r="J1892" s="7">
        <v>46154</v>
      </c>
      <c r="K1892" s="5" t="s">
        <v>1527</v>
      </c>
      <c r="L1892" s="5" t="s">
        <v>1621</v>
      </c>
      <c r="M1892" s="8">
        <v>69.900000000000006</v>
      </c>
      <c r="N1892" s="5" t="s">
        <v>1536</v>
      </c>
      <c r="O1892" s="7">
        <v>46154</v>
      </c>
    </row>
    <row r="1893" spans="1:15" x14ac:dyDescent="0.25">
      <c r="A1893" s="5" t="s">
        <v>4</v>
      </c>
      <c r="B1893" s="5" t="s">
        <v>6393</v>
      </c>
      <c r="D1893" s="5" t="s">
        <v>935</v>
      </c>
      <c r="E1893" s="5" t="s">
        <v>6394</v>
      </c>
      <c r="F1893" s="5" t="s">
        <v>6395</v>
      </c>
      <c r="G1893" s="6">
        <v>46106.695138888892</v>
      </c>
      <c r="H1893" s="7">
        <v>46113</v>
      </c>
      <c r="I1893" s="5" t="s">
        <v>6396</v>
      </c>
      <c r="J1893" s="7">
        <v>46111</v>
      </c>
      <c r="K1893" s="5" t="s">
        <v>1527</v>
      </c>
      <c r="L1893" s="5" t="s">
        <v>1621</v>
      </c>
      <c r="M1893" s="8">
        <v>69.83</v>
      </c>
      <c r="N1893" s="5" t="s">
        <v>1536</v>
      </c>
      <c r="O1893" s="7">
        <v>46111</v>
      </c>
    </row>
    <row r="1894" spans="1:15" x14ac:dyDescent="0.25">
      <c r="A1894" s="5" t="s">
        <v>4</v>
      </c>
      <c r="B1894" s="5" t="s">
        <v>6397</v>
      </c>
      <c r="D1894" s="5" t="s">
        <v>1490</v>
      </c>
      <c r="E1894" s="5" t="s">
        <v>6398</v>
      </c>
      <c r="F1894" s="5" t="s">
        <v>6399</v>
      </c>
      <c r="G1894" s="6">
        <v>46098.611111111109</v>
      </c>
      <c r="H1894" s="7">
        <v>46104</v>
      </c>
      <c r="I1894" s="6">
        <v>46100.62777777778</v>
      </c>
      <c r="J1894" s="7">
        <v>46100</v>
      </c>
      <c r="K1894" s="5" t="s">
        <v>1527</v>
      </c>
      <c r="L1894" s="5" t="s">
        <v>1621</v>
      </c>
      <c r="M1894" s="8">
        <v>69.56</v>
      </c>
      <c r="N1894" s="5" t="s">
        <v>1536</v>
      </c>
      <c r="O1894" s="7">
        <v>46100</v>
      </c>
    </row>
    <row r="1895" spans="1:15" hidden="1" x14ac:dyDescent="0.25">
      <c r="A1895" s="5" t="s">
        <v>1522</v>
      </c>
      <c r="B1895" s="5" t="s">
        <v>6400</v>
      </c>
      <c r="D1895" s="5" t="s">
        <v>1510</v>
      </c>
      <c r="E1895" s="5" t="s">
        <v>2466</v>
      </c>
      <c r="F1895" s="5" t="s">
        <v>5575</v>
      </c>
      <c r="G1895" s="6">
        <v>46052.692361111112</v>
      </c>
      <c r="H1895" s="7">
        <v>46059</v>
      </c>
      <c r="I1895" s="5" t="s">
        <v>6401</v>
      </c>
      <c r="J1895" s="7">
        <v>46066</v>
      </c>
      <c r="K1895" s="5" t="s">
        <v>1527</v>
      </c>
      <c r="L1895" s="5" t="s">
        <v>1621</v>
      </c>
      <c r="M1895" s="9">
        <v>69.52</v>
      </c>
      <c r="N1895" s="5" t="s">
        <v>1536</v>
      </c>
      <c r="O1895" s="7">
        <v>46066</v>
      </c>
    </row>
    <row r="1896" spans="1:15" x14ac:dyDescent="0.25">
      <c r="A1896" s="5" t="s">
        <v>4</v>
      </c>
      <c r="B1896" s="5" t="s">
        <v>6402</v>
      </c>
      <c r="D1896" s="5" t="s">
        <v>1453</v>
      </c>
      <c r="E1896" s="5" t="s">
        <v>3849</v>
      </c>
      <c r="F1896" s="5" t="s">
        <v>6403</v>
      </c>
      <c r="G1896" s="6">
        <v>46044.704861111109</v>
      </c>
      <c r="H1896" s="7">
        <v>46051</v>
      </c>
      <c r="I1896" s="6">
        <v>46048.672222222223</v>
      </c>
      <c r="J1896" s="7">
        <v>46048</v>
      </c>
      <c r="K1896" s="5" t="s">
        <v>1527</v>
      </c>
      <c r="L1896" s="5" t="s">
        <v>1621</v>
      </c>
      <c r="M1896" s="8">
        <v>69.459999999999994</v>
      </c>
      <c r="N1896" s="5" t="s">
        <v>1536</v>
      </c>
      <c r="O1896" s="7">
        <v>46048</v>
      </c>
    </row>
    <row r="1897" spans="1:15" hidden="1" x14ac:dyDescent="0.25">
      <c r="A1897" s="5" t="s">
        <v>1522</v>
      </c>
      <c r="B1897" s="5" t="s">
        <v>6404</v>
      </c>
      <c r="D1897" s="5" t="s">
        <v>1343</v>
      </c>
      <c r="E1897" s="5" t="s">
        <v>6387</v>
      </c>
      <c r="F1897" s="5" t="s">
        <v>1548</v>
      </c>
      <c r="G1897" s="6">
        <v>46027.582638888889</v>
      </c>
      <c r="H1897" s="7">
        <v>46035</v>
      </c>
      <c r="I1897" s="6">
        <v>46030.705555555556</v>
      </c>
      <c r="J1897" s="7">
        <v>46030</v>
      </c>
      <c r="K1897" s="5" t="s">
        <v>1527</v>
      </c>
      <c r="L1897" s="5" t="s">
        <v>1528</v>
      </c>
      <c r="M1897" s="8">
        <v>69</v>
      </c>
      <c r="N1897" s="5" t="s">
        <v>1536</v>
      </c>
      <c r="O1897" s="7">
        <v>46030</v>
      </c>
    </row>
    <row r="1898" spans="1:15" x14ac:dyDescent="0.25">
      <c r="A1898" s="5" t="s">
        <v>4</v>
      </c>
      <c r="B1898" s="5" t="s">
        <v>6405</v>
      </c>
      <c r="D1898" s="5" t="s">
        <v>1004</v>
      </c>
      <c r="E1898" s="5" t="s">
        <v>6406</v>
      </c>
      <c r="F1898" s="5" t="s">
        <v>5412</v>
      </c>
      <c r="G1898" s="6">
        <v>46167.625694444447</v>
      </c>
      <c r="H1898" s="7">
        <v>46167</v>
      </c>
      <c r="I1898" s="6">
        <v>46167.313194444447</v>
      </c>
      <c r="J1898" s="7">
        <v>46167</v>
      </c>
      <c r="K1898" s="5" t="s">
        <v>1527</v>
      </c>
      <c r="L1898" s="5" t="s">
        <v>1535</v>
      </c>
      <c r="M1898" s="8">
        <v>69</v>
      </c>
      <c r="N1898" s="5" t="s">
        <v>1536</v>
      </c>
      <c r="O1898" s="7">
        <v>46167</v>
      </c>
    </row>
    <row r="1899" spans="1:15" hidden="1" x14ac:dyDescent="0.25">
      <c r="A1899" s="5" t="s">
        <v>1522</v>
      </c>
      <c r="B1899" s="5" t="s">
        <v>6407</v>
      </c>
      <c r="D1899" s="5" t="s">
        <v>1507</v>
      </c>
      <c r="E1899" s="5" t="s">
        <v>2247</v>
      </c>
      <c r="F1899" s="5" t="s">
        <v>1548</v>
      </c>
      <c r="G1899" s="6">
        <v>46122.589583333334</v>
      </c>
      <c r="H1899" s="7">
        <v>46129</v>
      </c>
      <c r="I1899" s="6">
        <v>46127.740972222222</v>
      </c>
      <c r="J1899" s="7">
        <v>46127</v>
      </c>
      <c r="K1899" s="5" t="s">
        <v>1527</v>
      </c>
      <c r="L1899" s="5" t="s">
        <v>1528</v>
      </c>
      <c r="M1899" s="8">
        <v>68.8</v>
      </c>
      <c r="N1899" s="5" t="s">
        <v>1536</v>
      </c>
      <c r="O1899" s="7">
        <v>46127</v>
      </c>
    </row>
    <row r="1900" spans="1:15" x14ac:dyDescent="0.25">
      <c r="A1900" s="5" t="s">
        <v>4</v>
      </c>
      <c r="B1900" s="5" t="s">
        <v>6408</v>
      </c>
      <c r="D1900" s="5" t="s">
        <v>600</v>
      </c>
      <c r="E1900" s="5" t="s">
        <v>6409</v>
      </c>
      <c r="F1900" s="5" t="s">
        <v>6410</v>
      </c>
      <c r="G1900" s="6">
        <v>46077.669444444444</v>
      </c>
      <c r="H1900" s="7">
        <v>46084</v>
      </c>
      <c r="I1900" s="6">
        <v>46080.67291666667</v>
      </c>
      <c r="J1900" s="7">
        <v>46080</v>
      </c>
      <c r="K1900" s="5" t="s">
        <v>1527</v>
      </c>
      <c r="L1900" s="5" t="s">
        <v>1621</v>
      </c>
      <c r="M1900" s="8">
        <v>68.58</v>
      </c>
      <c r="N1900" s="5" t="s">
        <v>1536</v>
      </c>
      <c r="O1900" s="7">
        <v>46080</v>
      </c>
    </row>
    <row r="1901" spans="1:15" hidden="1" x14ac:dyDescent="0.25">
      <c r="A1901" s="5" t="s">
        <v>1522</v>
      </c>
      <c r="B1901" s="5" t="s">
        <v>6411</v>
      </c>
      <c r="D1901" s="5" t="s">
        <v>1504</v>
      </c>
      <c r="E1901" s="5" t="s">
        <v>1888</v>
      </c>
      <c r="F1901" s="5" t="s">
        <v>1548</v>
      </c>
      <c r="G1901" s="6">
        <v>46038.402083333334</v>
      </c>
      <c r="H1901" s="7">
        <v>46045</v>
      </c>
      <c r="I1901" s="6">
        <v>46043.668055555558</v>
      </c>
      <c r="J1901" s="7">
        <v>46043</v>
      </c>
      <c r="K1901" s="5" t="s">
        <v>1527</v>
      </c>
      <c r="L1901" s="5" t="s">
        <v>1528</v>
      </c>
      <c r="M1901" s="9">
        <v>68</v>
      </c>
      <c r="N1901" s="5" t="s">
        <v>1536</v>
      </c>
      <c r="O1901" s="7">
        <v>46043</v>
      </c>
    </row>
    <row r="1902" spans="1:15" x14ac:dyDescent="0.25">
      <c r="A1902" s="5" t="s">
        <v>4</v>
      </c>
      <c r="B1902" s="5" t="s">
        <v>6412</v>
      </c>
      <c r="D1902" s="5" t="s">
        <v>1044</v>
      </c>
      <c r="E1902" s="5" t="s">
        <v>6413</v>
      </c>
      <c r="F1902" s="5" t="s">
        <v>6414</v>
      </c>
      <c r="G1902" s="6">
        <v>46093.40902777778</v>
      </c>
      <c r="H1902" s="7">
        <v>46100</v>
      </c>
      <c r="I1902" s="5" t="s">
        <v>6415</v>
      </c>
      <c r="J1902" s="7">
        <v>46105</v>
      </c>
      <c r="K1902" s="5" t="s">
        <v>1527</v>
      </c>
      <c r="L1902" s="5" t="s">
        <v>1621</v>
      </c>
      <c r="M1902" s="8">
        <v>67.930000000000007</v>
      </c>
      <c r="N1902" s="5" t="s">
        <v>1536</v>
      </c>
      <c r="O1902" s="7">
        <v>46105</v>
      </c>
    </row>
    <row r="1903" spans="1:15" x14ac:dyDescent="0.25">
      <c r="A1903" s="5" t="s">
        <v>4</v>
      </c>
      <c r="B1903" s="5" t="s">
        <v>6416</v>
      </c>
      <c r="D1903" s="5" t="s">
        <v>1284</v>
      </c>
      <c r="E1903" s="5" t="s">
        <v>6417</v>
      </c>
      <c r="F1903" s="5" t="s">
        <v>6418</v>
      </c>
      <c r="G1903" s="6">
        <v>46080.693055555559</v>
      </c>
      <c r="H1903" s="7">
        <v>46087</v>
      </c>
      <c r="I1903" s="6">
        <v>46085.716666666667</v>
      </c>
      <c r="J1903" s="7">
        <v>46085</v>
      </c>
      <c r="K1903" s="5" t="s">
        <v>1527</v>
      </c>
      <c r="L1903" s="5" t="s">
        <v>1621</v>
      </c>
      <c r="M1903" s="8">
        <v>67.209999999999994</v>
      </c>
      <c r="N1903" s="5" t="s">
        <v>1536</v>
      </c>
      <c r="O1903" s="7">
        <v>46085</v>
      </c>
    </row>
    <row r="1904" spans="1:15" x14ac:dyDescent="0.25">
      <c r="A1904" s="5" t="s">
        <v>4</v>
      </c>
      <c r="B1904" s="5" t="s">
        <v>6419</v>
      </c>
      <c r="D1904" s="5" t="s">
        <v>1284</v>
      </c>
      <c r="E1904" s="5" t="s">
        <v>6417</v>
      </c>
      <c r="F1904" s="5" t="s">
        <v>6420</v>
      </c>
      <c r="G1904" s="6">
        <v>46083.772916666669</v>
      </c>
      <c r="H1904" s="7">
        <v>46090</v>
      </c>
      <c r="I1904" s="6">
        <v>46090.635416666664</v>
      </c>
      <c r="J1904" s="7">
        <v>46090</v>
      </c>
      <c r="K1904" s="5" t="s">
        <v>1527</v>
      </c>
      <c r="L1904" s="5" t="s">
        <v>1564</v>
      </c>
      <c r="M1904" s="8">
        <v>67.209999999999994</v>
      </c>
      <c r="N1904" s="5" t="s">
        <v>1536</v>
      </c>
      <c r="O1904" s="7">
        <v>46090</v>
      </c>
    </row>
    <row r="1905" spans="1:15" hidden="1" x14ac:dyDescent="0.25">
      <c r="A1905" s="5" t="s">
        <v>1522</v>
      </c>
      <c r="B1905" s="5" t="s">
        <v>6421</v>
      </c>
      <c r="D1905" s="5" t="s">
        <v>1495</v>
      </c>
      <c r="E1905" s="5" t="s">
        <v>1935</v>
      </c>
      <c r="F1905" s="5" t="s">
        <v>1548</v>
      </c>
      <c r="G1905" s="6">
        <v>46056.633333333331</v>
      </c>
      <c r="H1905" s="7">
        <v>46057</v>
      </c>
      <c r="I1905" s="5" t="s">
        <v>2446</v>
      </c>
      <c r="J1905" s="7">
        <v>46062</v>
      </c>
      <c r="K1905" s="5" t="s">
        <v>1527</v>
      </c>
      <c r="L1905" s="5" t="s">
        <v>1528</v>
      </c>
      <c r="M1905" s="8">
        <v>67</v>
      </c>
      <c r="N1905" s="5" t="s">
        <v>1536</v>
      </c>
      <c r="O1905" s="7">
        <v>46062</v>
      </c>
    </row>
    <row r="1906" spans="1:15" x14ac:dyDescent="0.25">
      <c r="A1906" s="5" t="s">
        <v>4</v>
      </c>
      <c r="B1906" s="5" t="s">
        <v>6422</v>
      </c>
      <c r="D1906" s="5" t="s">
        <v>1207</v>
      </c>
      <c r="E1906" s="5" t="s">
        <v>6423</v>
      </c>
      <c r="F1906" s="5" t="s">
        <v>6424</v>
      </c>
      <c r="G1906" s="6">
        <v>46121.756944444445</v>
      </c>
      <c r="H1906" s="7">
        <v>46128</v>
      </c>
      <c r="I1906" s="6">
        <v>46128.416666666664</v>
      </c>
      <c r="J1906" s="7">
        <v>46127</v>
      </c>
      <c r="K1906" s="5" t="s">
        <v>1527</v>
      </c>
      <c r="L1906" s="5" t="s">
        <v>1564</v>
      </c>
      <c r="M1906" s="8">
        <v>66.72</v>
      </c>
      <c r="N1906" s="5" t="s">
        <v>1536</v>
      </c>
      <c r="O1906" s="7">
        <v>46127</v>
      </c>
    </row>
    <row r="1907" spans="1:15" hidden="1" x14ac:dyDescent="0.25">
      <c r="A1907" s="5" t="s">
        <v>1522</v>
      </c>
      <c r="B1907" s="5" t="s">
        <v>6425</v>
      </c>
      <c r="D1907" s="5" t="s">
        <v>1510</v>
      </c>
      <c r="E1907" s="5" t="s">
        <v>2466</v>
      </c>
      <c r="F1907" s="5" t="s">
        <v>3434</v>
      </c>
      <c r="G1907" s="6">
        <v>46113.669444444444</v>
      </c>
      <c r="H1907" s="7">
        <v>46118</v>
      </c>
      <c r="I1907" s="6">
        <v>46114.59652777778</v>
      </c>
      <c r="J1907" s="7">
        <v>46114</v>
      </c>
      <c r="K1907" s="5" t="s">
        <v>1527</v>
      </c>
      <c r="L1907" s="5" t="s">
        <v>1621</v>
      </c>
      <c r="M1907" s="8">
        <v>66.5</v>
      </c>
      <c r="N1907" s="5" t="s">
        <v>1536</v>
      </c>
      <c r="O1907" s="7">
        <v>46114</v>
      </c>
    </row>
    <row r="1908" spans="1:15" x14ac:dyDescent="0.25">
      <c r="A1908" s="5" t="s">
        <v>4</v>
      </c>
      <c r="B1908" s="5" t="s">
        <v>6426</v>
      </c>
      <c r="D1908" s="5" t="s">
        <v>1392</v>
      </c>
      <c r="E1908" s="5" t="s">
        <v>3225</v>
      </c>
      <c r="F1908" s="5" t="s">
        <v>6427</v>
      </c>
      <c r="G1908" s="6">
        <v>46141.65902777778</v>
      </c>
      <c r="H1908" s="7">
        <v>46148</v>
      </c>
      <c r="I1908" s="5" t="s">
        <v>6428</v>
      </c>
      <c r="J1908" s="7">
        <v>46153</v>
      </c>
      <c r="K1908" s="5" t="s">
        <v>1527</v>
      </c>
      <c r="L1908" s="5" t="s">
        <v>1621</v>
      </c>
      <c r="M1908" s="8">
        <v>66.41</v>
      </c>
      <c r="N1908" s="5" t="s">
        <v>1536</v>
      </c>
      <c r="O1908" s="7">
        <v>46153</v>
      </c>
    </row>
    <row r="1909" spans="1:15" x14ac:dyDescent="0.25">
      <c r="A1909" s="5" t="s">
        <v>4</v>
      </c>
      <c r="B1909" s="5" t="s">
        <v>6429</v>
      </c>
      <c r="D1909" s="5" t="s">
        <v>913</v>
      </c>
      <c r="E1909" s="5" t="s">
        <v>6430</v>
      </c>
      <c r="F1909" s="5" t="s">
        <v>6431</v>
      </c>
      <c r="G1909" s="6">
        <v>46161.686805555553</v>
      </c>
      <c r="H1909" s="7">
        <v>46168</v>
      </c>
      <c r="I1909" s="6">
        <v>46167.745833333334</v>
      </c>
      <c r="J1909" s="7">
        <v>46167</v>
      </c>
      <c r="K1909" s="5" t="s">
        <v>1527</v>
      </c>
      <c r="L1909" s="5" t="s">
        <v>1621</v>
      </c>
      <c r="M1909" s="8">
        <v>66.13</v>
      </c>
      <c r="N1909" s="5" t="s">
        <v>1536</v>
      </c>
      <c r="O1909" s="7">
        <v>46167</v>
      </c>
    </row>
    <row r="1910" spans="1:15" x14ac:dyDescent="0.25">
      <c r="A1910" s="5" t="s">
        <v>4</v>
      </c>
      <c r="B1910" s="5" t="s">
        <v>6432</v>
      </c>
      <c r="D1910" s="5" t="s">
        <v>1281</v>
      </c>
      <c r="E1910" s="5" t="s">
        <v>6125</v>
      </c>
      <c r="F1910" s="5" t="s">
        <v>6433</v>
      </c>
      <c r="G1910" s="6">
        <v>46139.686111111114</v>
      </c>
      <c r="H1910" s="7">
        <v>46146</v>
      </c>
      <c r="I1910" s="5" t="s">
        <v>6434</v>
      </c>
      <c r="J1910" s="7">
        <v>46148</v>
      </c>
      <c r="K1910" s="5" t="s">
        <v>1527</v>
      </c>
      <c r="L1910" s="5" t="s">
        <v>1621</v>
      </c>
      <c r="M1910" s="8">
        <v>66.02</v>
      </c>
      <c r="N1910" s="5" t="s">
        <v>1536</v>
      </c>
      <c r="O1910" s="7">
        <v>46148</v>
      </c>
    </row>
    <row r="1911" spans="1:15" x14ac:dyDescent="0.25">
      <c r="A1911" s="5" t="s">
        <v>4</v>
      </c>
      <c r="B1911" s="5" t="s">
        <v>6435</v>
      </c>
      <c r="D1911" s="5" t="s">
        <v>783</v>
      </c>
      <c r="E1911" s="5" t="s">
        <v>6436</v>
      </c>
      <c r="F1911" s="5" t="s">
        <v>6437</v>
      </c>
      <c r="G1911" s="6">
        <v>46072.709722222222</v>
      </c>
      <c r="H1911" s="7">
        <v>46079</v>
      </c>
      <c r="I1911" s="6">
        <v>46078.691666666666</v>
      </c>
      <c r="J1911" s="7">
        <v>46078</v>
      </c>
      <c r="K1911" s="5" t="s">
        <v>1527</v>
      </c>
      <c r="L1911" s="5" t="s">
        <v>1621</v>
      </c>
      <c r="M1911" s="8">
        <v>66.010000000000005</v>
      </c>
      <c r="N1911" s="5" t="s">
        <v>1536</v>
      </c>
      <c r="O1911" s="7">
        <v>46078</v>
      </c>
    </row>
    <row r="1912" spans="1:15" x14ac:dyDescent="0.25">
      <c r="A1912" s="5" t="s">
        <v>4</v>
      </c>
      <c r="B1912" s="5" t="s">
        <v>6438</v>
      </c>
      <c r="D1912" s="5" t="s">
        <v>463</v>
      </c>
      <c r="E1912" s="5" t="s">
        <v>6439</v>
      </c>
      <c r="F1912" s="5" t="s">
        <v>6440</v>
      </c>
      <c r="G1912" s="6">
        <v>46049.490277777775</v>
      </c>
      <c r="H1912" s="7">
        <v>46056</v>
      </c>
      <c r="I1912" s="6">
        <v>46051.48333333333</v>
      </c>
      <c r="J1912" s="7">
        <v>46051</v>
      </c>
      <c r="K1912" s="5" t="s">
        <v>1527</v>
      </c>
      <c r="L1912" s="5" t="s">
        <v>1621</v>
      </c>
      <c r="M1912" s="8">
        <v>66</v>
      </c>
      <c r="N1912" s="5" t="s">
        <v>1536</v>
      </c>
      <c r="O1912" s="7">
        <v>46051</v>
      </c>
    </row>
    <row r="1913" spans="1:15" x14ac:dyDescent="0.25">
      <c r="A1913" s="5" t="s">
        <v>4</v>
      </c>
      <c r="B1913" s="5" t="s">
        <v>6441</v>
      </c>
      <c r="D1913" s="5" t="s">
        <v>1233</v>
      </c>
      <c r="E1913" s="5" t="s">
        <v>6442</v>
      </c>
      <c r="F1913" s="5" t="s">
        <v>6443</v>
      </c>
      <c r="G1913" s="6">
        <v>46069.580555555556</v>
      </c>
      <c r="H1913" s="7">
        <v>46076</v>
      </c>
      <c r="I1913" s="6">
        <v>46070.487500000003</v>
      </c>
      <c r="J1913" s="7">
        <v>46070</v>
      </c>
      <c r="K1913" s="5" t="s">
        <v>1527</v>
      </c>
      <c r="L1913" s="5" t="s">
        <v>1621</v>
      </c>
      <c r="M1913" s="8">
        <v>66</v>
      </c>
      <c r="N1913" s="5" t="s">
        <v>1536</v>
      </c>
      <c r="O1913" s="7">
        <v>46070</v>
      </c>
    </row>
    <row r="1914" spans="1:15" x14ac:dyDescent="0.25">
      <c r="A1914" s="5" t="s">
        <v>4</v>
      </c>
      <c r="B1914" s="5" t="s">
        <v>6444</v>
      </c>
      <c r="D1914" s="5" t="s">
        <v>910</v>
      </c>
      <c r="E1914" s="5" t="s">
        <v>6445</v>
      </c>
      <c r="F1914" s="5" t="s">
        <v>6446</v>
      </c>
      <c r="G1914" s="6">
        <v>46072.466666666667</v>
      </c>
      <c r="H1914" s="7">
        <v>46079</v>
      </c>
      <c r="I1914" s="6">
        <v>46078.691666666666</v>
      </c>
      <c r="J1914" s="7">
        <v>46078</v>
      </c>
      <c r="K1914" s="5" t="s">
        <v>1527</v>
      </c>
      <c r="L1914" s="5" t="s">
        <v>1621</v>
      </c>
      <c r="M1914" s="8">
        <v>66</v>
      </c>
      <c r="N1914" s="5" t="s">
        <v>1536</v>
      </c>
      <c r="O1914" s="7">
        <v>46078</v>
      </c>
    </row>
    <row r="1915" spans="1:15" x14ac:dyDescent="0.25">
      <c r="A1915" s="5" t="s">
        <v>4</v>
      </c>
      <c r="B1915" s="5" t="s">
        <v>6447</v>
      </c>
      <c r="D1915" s="5" t="s">
        <v>1404</v>
      </c>
      <c r="E1915" s="5" t="s">
        <v>5595</v>
      </c>
      <c r="F1915" s="5" t="s">
        <v>6448</v>
      </c>
      <c r="G1915" s="6">
        <v>46111.634722222225</v>
      </c>
      <c r="H1915" s="7">
        <v>46118</v>
      </c>
      <c r="I1915" s="5" t="s">
        <v>6449</v>
      </c>
      <c r="J1915" s="7">
        <v>46120</v>
      </c>
      <c r="K1915" s="5" t="s">
        <v>1527</v>
      </c>
      <c r="L1915" s="5" t="s">
        <v>1621</v>
      </c>
      <c r="M1915" s="9">
        <v>65.87</v>
      </c>
      <c r="N1915" s="5" t="s">
        <v>1536</v>
      </c>
      <c r="O1915" s="7">
        <v>46120</v>
      </c>
    </row>
    <row r="1916" spans="1:15" x14ac:dyDescent="0.25">
      <c r="A1916" s="5" t="s">
        <v>4</v>
      </c>
      <c r="B1916" s="5" t="s">
        <v>6450</v>
      </c>
      <c r="D1916" s="5" t="s">
        <v>1014</v>
      </c>
      <c r="E1916" s="5" t="s">
        <v>6451</v>
      </c>
      <c r="F1916" s="5" t="s">
        <v>6452</v>
      </c>
      <c r="G1916" s="6">
        <v>46105.684027777781</v>
      </c>
      <c r="H1916" s="7">
        <v>46111</v>
      </c>
      <c r="I1916" s="5" t="s">
        <v>6453</v>
      </c>
      <c r="J1916" s="7">
        <v>46118</v>
      </c>
      <c r="K1916" s="5" t="s">
        <v>1527</v>
      </c>
      <c r="L1916" s="5" t="s">
        <v>1621</v>
      </c>
      <c r="M1916" s="8">
        <v>65.849999999999994</v>
      </c>
      <c r="N1916" s="5" t="s">
        <v>1536</v>
      </c>
      <c r="O1916" s="7">
        <v>46118</v>
      </c>
    </row>
    <row r="1917" spans="1:15" x14ac:dyDescent="0.25">
      <c r="A1917" s="5" t="s">
        <v>4</v>
      </c>
      <c r="B1917" s="5" t="s">
        <v>6454</v>
      </c>
      <c r="D1917" s="5" t="s">
        <v>1201</v>
      </c>
      <c r="E1917" s="5" t="s">
        <v>6455</v>
      </c>
      <c r="F1917" s="5" t="s">
        <v>6456</v>
      </c>
      <c r="G1917" s="6">
        <v>46055.665277777778</v>
      </c>
      <c r="H1917" s="7">
        <v>46063</v>
      </c>
      <c r="I1917" s="5" t="s">
        <v>3121</v>
      </c>
      <c r="J1917" s="7">
        <v>46064</v>
      </c>
      <c r="K1917" s="5" t="s">
        <v>1527</v>
      </c>
      <c r="L1917" s="5" t="s">
        <v>1621</v>
      </c>
      <c r="M1917" s="8">
        <v>65.33</v>
      </c>
      <c r="N1917" s="5" t="s">
        <v>1536</v>
      </c>
      <c r="O1917" s="7">
        <v>46064</v>
      </c>
    </row>
    <row r="1918" spans="1:15" hidden="1" x14ac:dyDescent="0.25">
      <c r="A1918" s="5" t="s">
        <v>1522</v>
      </c>
      <c r="B1918" s="5" t="s">
        <v>6457</v>
      </c>
      <c r="D1918" s="5" t="s">
        <v>1493</v>
      </c>
      <c r="E1918" s="5" t="s">
        <v>2375</v>
      </c>
      <c r="F1918" s="5" t="s">
        <v>1548</v>
      </c>
      <c r="G1918" s="6">
        <v>46156.456250000003</v>
      </c>
      <c r="H1918" s="7">
        <v>46163</v>
      </c>
      <c r="I1918" s="5" t="s">
        <v>3044</v>
      </c>
      <c r="J1918" s="7">
        <v>46168</v>
      </c>
      <c r="K1918" s="5" t="s">
        <v>1527</v>
      </c>
      <c r="L1918" s="5" t="s">
        <v>1528</v>
      </c>
      <c r="M1918" s="8">
        <v>65</v>
      </c>
      <c r="N1918" s="5" t="s">
        <v>1536</v>
      </c>
      <c r="O1918" s="7">
        <v>46168</v>
      </c>
    </row>
    <row r="1919" spans="1:15" x14ac:dyDescent="0.25">
      <c r="A1919" s="5" t="s">
        <v>4</v>
      </c>
      <c r="B1919" s="5" t="s">
        <v>6458</v>
      </c>
      <c r="D1919" s="5" t="s">
        <v>825</v>
      </c>
      <c r="E1919" s="5" t="s">
        <v>6459</v>
      </c>
      <c r="F1919" s="5" t="s">
        <v>6460</v>
      </c>
      <c r="G1919" s="6">
        <v>46030.689583333333</v>
      </c>
      <c r="H1919" s="7">
        <v>46037</v>
      </c>
      <c r="I1919" s="5" t="s">
        <v>6461</v>
      </c>
      <c r="J1919" s="7">
        <v>46043</v>
      </c>
      <c r="K1919" s="5" t="s">
        <v>1527</v>
      </c>
      <c r="L1919" s="5" t="s">
        <v>1621</v>
      </c>
      <c r="M1919" s="8">
        <v>64.989999999999995</v>
      </c>
      <c r="N1919" s="5" t="s">
        <v>1536</v>
      </c>
      <c r="O1919" s="7">
        <v>46043</v>
      </c>
    </row>
    <row r="1920" spans="1:15" hidden="1" x14ac:dyDescent="0.25">
      <c r="A1920" s="5" t="s">
        <v>1522</v>
      </c>
      <c r="B1920" s="5" t="s">
        <v>6462</v>
      </c>
      <c r="D1920" s="5" t="s">
        <v>1455</v>
      </c>
      <c r="E1920" s="5" t="s">
        <v>1644</v>
      </c>
      <c r="F1920" s="5" t="s">
        <v>6463</v>
      </c>
      <c r="G1920" s="6">
        <v>46038.462500000001</v>
      </c>
      <c r="H1920" s="7">
        <v>46045</v>
      </c>
      <c r="I1920" s="5" t="s">
        <v>6464</v>
      </c>
      <c r="J1920" s="7">
        <v>46052</v>
      </c>
      <c r="K1920" s="5" t="s">
        <v>1527</v>
      </c>
      <c r="L1920" s="5" t="s">
        <v>1528</v>
      </c>
      <c r="M1920" s="8">
        <v>64.88</v>
      </c>
      <c r="N1920" s="5" t="s">
        <v>1536</v>
      </c>
      <c r="O1920" s="7">
        <v>46052</v>
      </c>
    </row>
    <row r="1921" spans="1:15" hidden="1" x14ac:dyDescent="0.25">
      <c r="A1921" s="5" t="s">
        <v>1522</v>
      </c>
      <c r="B1921" s="5" t="s">
        <v>6465</v>
      </c>
      <c r="D1921" s="5" t="s">
        <v>1499</v>
      </c>
      <c r="E1921" s="5" t="s">
        <v>1712</v>
      </c>
      <c r="F1921" s="5" t="s">
        <v>1713</v>
      </c>
      <c r="G1921" s="6">
        <v>46105.593055555553</v>
      </c>
      <c r="H1921" s="7">
        <v>46113</v>
      </c>
      <c r="I1921" s="6">
        <v>46113.615277777775</v>
      </c>
      <c r="J1921" s="7">
        <v>46112</v>
      </c>
      <c r="K1921" s="5" t="s">
        <v>1527</v>
      </c>
      <c r="L1921" s="5" t="s">
        <v>1528</v>
      </c>
      <c r="M1921" s="8">
        <v>64</v>
      </c>
      <c r="N1921" s="5" t="s">
        <v>1536</v>
      </c>
      <c r="O1921" s="7">
        <v>46112</v>
      </c>
    </row>
    <row r="1922" spans="1:15" hidden="1" x14ac:dyDescent="0.25">
      <c r="A1922" s="5" t="s">
        <v>1522</v>
      </c>
      <c r="B1922" s="5" t="s">
        <v>6466</v>
      </c>
      <c r="D1922" s="5" t="s">
        <v>1510</v>
      </c>
      <c r="E1922" s="5" t="s">
        <v>2466</v>
      </c>
      <c r="F1922" s="5" t="s">
        <v>6467</v>
      </c>
      <c r="G1922" s="6">
        <v>46104.690972222219</v>
      </c>
      <c r="H1922" s="7">
        <v>46106</v>
      </c>
      <c r="I1922" s="6">
        <v>46106.674305555556</v>
      </c>
      <c r="J1922" s="7">
        <v>46106</v>
      </c>
      <c r="K1922" s="5" t="s">
        <v>1527</v>
      </c>
      <c r="L1922" s="5" t="s">
        <v>1621</v>
      </c>
      <c r="M1922" s="8">
        <v>63.9</v>
      </c>
      <c r="N1922" s="5" t="s">
        <v>1536</v>
      </c>
      <c r="O1922" s="7">
        <v>46106</v>
      </c>
    </row>
    <row r="1923" spans="1:15" x14ac:dyDescent="0.25">
      <c r="A1923" s="5" t="s">
        <v>4</v>
      </c>
      <c r="B1923" s="5" t="s">
        <v>6468</v>
      </c>
      <c r="D1923" s="5" t="s">
        <v>453</v>
      </c>
      <c r="E1923" s="5" t="s">
        <v>6469</v>
      </c>
      <c r="F1923" s="5" t="s">
        <v>1548</v>
      </c>
      <c r="G1923" s="6">
        <v>46058.652083333334</v>
      </c>
      <c r="H1923" s="7">
        <v>46059</v>
      </c>
      <c r="I1923" s="5" t="s">
        <v>6470</v>
      </c>
      <c r="J1923" s="7">
        <v>46062</v>
      </c>
      <c r="K1923" s="5" t="s">
        <v>1527</v>
      </c>
      <c r="L1923" s="5" t="s">
        <v>1535</v>
      </c>
      <c r="M1923" s="8">
        <v>63.9</v>
      </c>
      <c r="N1923" s="5" t="s">
        <v>1536</v>
      </c>
      <c r="O1923" s="7">
        <v>46062</v>
      </c>
    </row>
    <row r="1924" spans="1:15" x14ac:dyDescent="0.25">
      <c r="A1924" s="5" t="s">
        <v>4</v>
      </c>
      <c r="B1924" s="5" t="s">
        <v>6471</v>
      </c>
      <c r="D1924" s="5" t="s">
        <v>227</v>
      </c>
      <c r="E1924" s="5" t="s">
        <v>6472</v>
      </c>
      <c r="F1924" s="5" t="s">
        <v>1904</v>
      </c>
      <c r="G1924" s="6">
        <v>46077.456944444442</v>
      </c>
      <c r="H1924" s="7">
        <v>46077</v>
      </c>
      <c r="I1924" s="6">
        <v>46077.675000000003</v>
      </c>
      <c r="J1924" s="7">
        <v>46077</v>
      </c>
      <c r="K1924" s="5" t="s">
        <v>1527</v>
      </c>
      <c r="L1924" s="5" t="s">
        <v>1564</v>
      </c>
      <c r="M1924" s="8">
        <v>63.9</v>
      </c>
      <c r="N1924" s="5" t="s">
        <v>1536</v>
      </c>
      <c r="O1924" s="7">
        <v>46077</v>
      </c>
    </row>
    <row r="1925" spans="1:15" x14ac:dyDescent="0.25">
      <c r="A1925" s="5" t="s">
        <v>4</v>
      </c>
      <c r="B1925" s="5" t="s">
        <v>6473</v>
      </c>
      <c r="D1925" s="5" t="s">
        <v>167</v>
      </c>
      <c r="E1925" s="5" t="s">
        <v>6474</v>
      </c>
      <c r="F1925" s="5" t="s">
        <v>6475</v>
      </c>
      <c r="G1925" s="6">
        <v>46098.663194444445</v>
      </c>
      <c r="H1925" s="7">
        <v>46106</v>
      </c>
      <c r="I1925" s="6">
        <v>46104.431250000001</v>
      </c>
      <c r="J1925" s="7">
        <v>46100</v>
      </c>
      <c r="K1925" s="5" t="s">
        <v>1527</v>
      </c>
      <c r="L1925" s="5" t="s">
        <v>1621</v>
      </c>
      <c r="M1925" s="8">
        <v>63.9</v>
      </c>
      <c r="N1925" s="5" t="s">
        <v>1536</v>
      </c>
      <c r="O1925" s="7">
        <v>46100</v>
      </c>
    </row>
    <row r="1926" spans="1:15" x14ac:dyDescent="0.25">
      <c r="A1926" s="5" t="s">
        <v>4</v>
      </c>
      <c r="B1926" s="5" t="s">
        <v>6476</v>
      </c>
      <c r="D1926" s="5" t="s">
        <v>1505</v>
      </c>
      <c r="E1926" s="5" t="s">
        <v>4115</v>
      </c>
      <c r="F1926" s="5" t="s">
        <v>5412</v>
      </c>
      <c r="G1926" s="6">
        <v>46101.469444444447</v>
      </c>
      <c r="H1926" s="7">
        <v>46101</v>
      </c>
      <c r="I1926" s="6">
        <v>46101.313194444447</v>
      </c>
      <c r="J1926" s="7">
        <v>46101</v>
      </c>
      <c r="K1926" s="5" t="s">
        <v>1527</v>
      </c>
      <c r="L1926" s="5" t="s">
        <v>1535</v>
      </c>
      <c r="M1926" s="8">
        <v>63.9</v>
      </c>
      <c r="N1926" s="5" t="s">
        <v>1536</v>
      </c>
      <c r="O1926" s="7">
        <v>46101</v>
      </c>
    </row>
    <row r="1927" spans="1:15" x14ac:dyDescent="0.25">
      <c r="A1927" s="5" t="s">
        <v>4</v>
      </c>
      <c r="B1927" s="5" t="s">
        <v>6477</v>
      </c>
      <c r="D1927" s="5" t="s">
        <v>568</v>
      </c>
      <c r="E1927" s="5" t="s">
        <v>6478</v>
      </c>
      <c r="F1927" s="5" t="s">
        <v>6479</v>
      </c>
      <c r="G1927" s="6">
        <v>46114.669444444444</v>
      </c>
      <c r="H1927" s="7">
        <v>46121</v>
      </c>
      <c r="I1927" s="5" t="s">
        <v>6480</v>
      </c>
      <c r="J1927" s="7">
        <v>46121</v>
      </c>
      <c r="K1927" s="5" t="s">
        <v>1527</v>
      </c>
      <c r="L1927" s="5" t="s">
        <v>1621</v>
      </c>
      <c r="M1927" s="8">
        <v>63.68</v>
      </c>
      <c r="N1927" s="5" t="s">
        <v>1536</v>
      </c>
      <c r="O1927" s="7">
        <v>46121</v>
      </c>
    </row>
    <row r="1928" spans="1:15" x14ac:dyDescent="0.25">
      <c r="A1928" s="5" t="s">
        <v>4</v>
      </c>
      <c r="B1928" s="5" t="s">
        <v>6481</v>
      </c>
      <c r="D1928" s="5" t="s">
        <v>615</v>
      </c>
      <c r="E1928" s="5" t="s">
        <v>6482</v>
      </c>
      <c r="F1928" s="5" t="s">
        <v>6483</v>
      </c>
      <c r="G1928" s="6">
        <v>46134.712500000001</v>
      </c>
      <c r="H1928" s="7">
        <v>46141</v>
      </c>
      <c r="I1928" s="6">
        <v>46141.345833333333</v>
      </c>
      <c r="J1928" s="7">
        <v>46140</v>
      </c>
      <c r="K1928" s="5" t="s">
        <v>1527</v>
      </c>
      <c r="L1928" s="5" t="s">
        <v>1621</v>
      </c>
      <c r="M1928" s="8">
        <v>63.51</v>
      </c>
      <c r="N1928" s="5" t="s">
        <v>1536</v>
      </c>
      <c r="O1928" s="7">
        <v>46140</v>
      </c>
    </row>
    <row r="1929" spans="1:15" hidden="1" x14ac:dyDescent="0.25">
      <c r="A1929" s="5" t="s">
        <v>1522</v>
      </c>
      <c r="B1929" s="5" t="s">
        <v>6484</v>
      </c>
      <c r="D1929" s="5" t="s">
        <v>489</v>
      </c>
      <c r="E1929" s="5" t="s">
        <v>6485</v>
      </c>
      <c r="F1929" s="5" t="s">
        <v>6486</v>
      </c>
      <c r="G1929" s="6">
        <v>46079.432638888888</v>
      </c>
      <c r="H1929" s="7">
        <v>46083</v>
      </c>
      <c r="I1929" s="5" t="s">
        <v>6487</v>
      </c>
      <c r="J1929" s="7">
        <v>46084</v>
      </c>
      <c r="K1929" s="5" t="s">
        <v>1527</v>
      </c>
      <c r="L1929" s="5" t="s">
        <v>1528</v>
      </c>
      <c r="M1929" s="8">
        <v>63.5</v>
      </c>
      <c r="N1929" s="5" t="s">
        <v>1536</v>
      </c>
      <c r="O1929" s="7">
        <v>46084</v>
      </c>
    </row>
    <row r="1930" spans="1:15" hidden="1" x14ac:dyDescent="0.25">
      <c r="A1930" s="5" t="s">
        <v>1522</v>
      </c>
      <c r="B1930" s="5" t="s">
        <v>6488</v>
      </c>
      <c r="D1930" s="5" t="s">
        <v>1510</v>
      </c>
      <c r="E1930" s="5" t="s">
        <v>2466</v>
      </c>
      <c r="F1930" s="5" t="s">
        <v>6467</v>
      </c>
      <c r="G1930" s="6">
        <v>46031.655555555553</v>
      </c>
      <c r="H1930" s="7">
        <v>46036</v>
      </c>
      <c r="I1930" s="6">
        <v>46034.707638888889</v>
      </c>
      <c r="J1930" s="7">
        <v>46034</v>
      </c>
      <c r="K1930" s="5" t="s">
        <v>1527</v>
      </c>
      <c r="L1930" s="5" t="s">
        <v>1554</v>
      </c>
      <c r="M1930" s="8">
        <v>63</v>
      </c>
      <c r="N1930" s="5" t="s">
        <v>1536</v>
      </c>
      <c r="O1930" s="7">
        <v>46034</v>
      </c>
    </row>
    <row r="1931" spans="1:15" hidden="1" x14ac:dyDescent="0.25">
      <c r="A1931" s="5" t="s">
        <v>1522</v>
      </c>
      <c r="B1931" s="5" t="s">
        <v>6489</v>
      </c>
      <c r="D1931" s="5" t="s">
        <v>1510</v>
      </c>
      <c r="E1931" s="5" t="s">
        <v>2466</v>
      </c>
      <c r="F1931" s="5" t="s">
        <v>5575</v>
      </c>
      <c r="G1931" s="6">
        <v>46062.423611111109</v>
      </c>
      <c r="H1931" s="7">
        <v>46063</v>
      </c>
      <c r="I1931" s="6">
        <v>46063.664583333331</v>
      </c>
      <c r="J1931" s="7">
        <v>46063</v>
      </c>
      <c r="K1931" s="5" t="s">
        <v>1527</v>
      </c>
      <c r="L1931" s="5" t="s">
        <v>1621</v>
      </c>
      <c r="M1931" s="8">
        <v>63</v>
      </c>
      <c r="N1931" s="5" t="s">
        <v>1536</v>
      </c>
      <c r="O1931" s="7">
        <v>46063</v>
      </c>
    </row>
    <row r="1932" spans="1:15" x14ac:dyDescent="0.25">
      <c r="A1932" s="5" t="s">
        <v>4</v>
      </c>
      <c r="B1932" s="5" t="s">
        <v>6490</v>
      </c>
      <c r="D1932" s="5" t="s">
        <v>406</v>
      </c>
      <c r="E1932" s="5" t="s">
        <v>6491</v>
      </c>
      <c r="F1932" s="5" t="s">
        <v>6492</v>
      </c>
      <c r="G1932" s="6">
        <v>46034.660416666666</v>
      </c>
      <c r="H1932" s="7">
        <v>46041</v>
      </c>
      <c r="I1932" s="5" t="s">
        <v>6493</v>
      </c>
      <c r="J1932" s="7">
        <v>46043</v>
      </c>
      <c r="K1932" s="5" t="s">
        <v>1527</v>
      </c>
      <c r="L1932" s="5" t="s">
        <v>1621</v>
      </c>
      <c r="M1932" s="8">
        <v>62.87</v>
      </c>
      <c r="N1932" s="5" t="s">
        <v>1536</v>
      </c>
      <c r="O1932" s="7">
        <v>46043</v>
      </c>
    </row>
    <row r="1933" spans="1:15" x14ac:dyDescent="0.25">
      <c r="A1933" s="5" t="s">
        <v>4</v>
      </c>
      <c r="B1933" s="5" t="s">
        <v>6494</v>
      </c>
      <c r="D1933" s="5" t="s">
        <v>1403</v>
      </c>
      <c r="E1933" s="5" t="s">
        <v>6335</v>
      </c>
      <c r="F1933" s="5" t="s">
        <v>6495</v>
      </c>
      <c r="G1933" s="6">
        <v>46121.776388888888</v>
      </c>
      <c r="H1933" s="7">
        <v>46128</v>
      </c>
      <c r="I1933" s="6">
        <v>46128.416666666664</v>
      </c>
      <c r="J1933" s="7">
        <v>46127</v>
      </c>
      <c r="K1933" s="5" t="s">
        <v>1527</v>
      </c>
      <c r="L1933" s="5" t="s">
        <v>1564</v>
      </c>
      <c r="M1933" s="8">
        <v>62.46</v>
      </c>
      <c r="N1933" s="5" t="s">
        <v>1536</v>
      </c>
      <c r="O1933" s="7">
        <v>46127</v>
      </c>
    </row>
    <row r="1934" spans="1:15" x14ac:dyDescent="0.25">
      <c r="A1934" s="5" t="s">
        <v>4</v>
      </c>
      <c r="B1934" s="5" t="s">
        <v>6496</v>
      </c>
      <c r="D1934" s="5" t="s">
        <v>1410</v>
      </c>
      <c r="E1934" s="5" t="s">
        <v>2815</v>
      </c>
      <c r="F1934" s="5" t="s">
        <v>6497</v>
      </c>
      <c r="G1934" s="6">
        <v>46167.666666666664</v>
      </c>
      <c r="H1934" s="7">
        <v>46174</v>
      </c>
      <c r="I1934" s="6">
        <v>46171.628472222219</v>
      </c>
      <c r="J1934" s="7">
        <v>46171</v>
      </c>
      <c r="K1934" s="5" t="s">
        <v>1527</v>
      </c>
      <c r="L1934" s="5" t="s">
        <v>1621</v>
      </c>
      <c r="M1934" s="8">
        <v>62.39</v>
      </c>
      <c r="N1934" s="5" t="s">
        <v>1536</v>
      </c>
      <c r="O1934" s="7">
        <v>46171</v>
      </c>
    </row>
    <row r="1935" spans="1:15" x14ac:dyDescent="0.25">
      <c r="A1935" s="5" t="s">
        <v>4</v>
      </c>
      <c r="B1935" s="5" t="s">
        <v>6498</v>
      </c>
      <c r="D1935" s="5" t="s">
        <v>15</v>
      </c>
      <c r="E1935" s="5" t="s">
        <v>6499</v>
      </c>
      <c r="F1935" s="5" t="s">
        <v>6500</v>
      </c>
      <c r="G1935" s="6">
        <v>46108.630555555559</v>
      </c>
      <c r="H1935" s="7">
        <v>46115</v>
      </c>
      <c r="I1935" s="5" t="s">
        <v>6127</v>
      </c>
      <c r="J1935" s="7">
        <v>46119</v>
      </c>
      <c r="K1935" s="5" t="s">
        <v>1527</v>
      </c>
      <c r="L1935" s="5" t="s">
        <v>1621</v>
      </c>
      <c r="M1935" s="8">
        <v>62.2</v>
      </c>
      <c r="N1935" s="5" t="s">
        <v>1536</v>
      </c>
      <c r="O1935" s="7">
        <v>46119</v>
      </c>
    </row>
    <row r="1936" spans="1:15" hidden="1" x14ac:dyDescent="0.25">
      <c r="A1936" s="5" t="s">
        <v>1522</v>
      </c>
      <c r="B1936" s="5" t="s">
        <v>6501</v>
      </c>
      <c r="D1936" s="5" t="s">
        <v>1499</v>
      </c>
      <c r="E1936" s="5" t="s">
        <v>1712</v>
      </c>
      <c r="F1936" s="5" t="s">
        <v>6502</v>
      </c>
      <c r="G1936" s="6">
        <v>46168.775000000001</v>
      </c>
      <c r="H1936" s="7">
        <v>46176</v>
      </c>
      <c r="I1936" s="5" t="s">
        <v>1533</v>
      </c>
      <c r="J1936" s="7">
        <v>46183</v>
      </c>
      <c r="K1936" s="5" t="s">
        <v>1534</v>
      </c>
      <c r="L1936" s="5" t="s">
        <v>1528</v>
      </c>
      <c r="M1936" s="8">
        <v>62</v>
      </c>
      <c r="N1936" s="5" t="s">
        <v>1529</v>
      </c>
      <c r="O1936" s="7">
        <v>46183</v>
      </c>
    </row>
    <row r="1937" spans="1:15" x14ac:dyDescent="0.25">
      <c r="A1937" s="5" t="s">
        <v>4</v>
      </c>
      <c r="B1937" s="5" t="s">
        <v>6503</v>
      </c>
      <c r="D1937" s="5" t="s">
        <v>145</v>
      </c>
      <c r="E1937" s="5" t="s">
        <v>6504</v>
      </c>
      <c r="F1937" s="5" t="s">
        <v>6505</v>
      </c>
      <c r="G1937" s="6">
        <v>46065.695138888892</v>
      </c>
      <c r="H1937" s="7">
        <v>46072</v>
      </c>
      <c r="I1937" s="6">
        <v>46069.477777777778</v>
      </c>
      <c r="J1937" s="7">
        <v>46069</v>
      </c>
      <c r="K1937" s="5" t="s">
        <v>1527</v>
      </c>
      <c r="L1937" s="5" t="s">
        <v>1621</v>
      </c>
      <c r="M1937" s="8">
        <v>61.85</v>
      </c>
      <c r="N1937" s="5" t="s">
        <v>1536</v>
      </c>
      <c r="O1937" s="7">
        <v>46069</v>
      </c>
    </row>
    <row r="1938" spans="1:15" x14ac:dyDescent="0.25">
      <c r="A1938" s="5" t="s">
        <v>4</v>
      </c>
      <c r="B1938" s="5" t="s">
        <v>6506</v>
      </c>
      <c r="D1938" s="5" t="s">
        <v>516</v>
      </c>
      <c r="E1938" s="5" t="s">
        <v>6507</v>
      </c>
      <c r="F1938" s="5" t="s">
        <v>6508</v>
      </c>
      <c r="G1938" s="6">
        <v>46167.681944444441</v>
      </c>
      <c r="H1938" s="7">
        <v>46174</v>
      </c>
      <c r="I1938" s="5" t="s">
        <v>1533</v>
      </c>
      <c r="J1938" s="7">
        <v>46183</v>
      </c>
      <c r="K1938" s="5" t="s">
        <v>1534</v>
      </c>
      <c r="L1938" s="5" t="s">
        <v>1621</v>
      </c>
      <c r="M1938" s="8">
        <v>61.5</v>
      </c>
      <c r="N1938" s="5" t="s">
        <v>1529</v>
      </c>
      <c r="O1938" s="7">
        <v>46183</v>
      </c>
    </row>
    <row r="1939" spans="1:15" x14ac:dyDescent="0.25">
      <c r="A1939" s="5" t="s">
        <v>4</v>
      </c>
      <c r="B1939" s="5" t="s">
        <v>6509</v>
      </c>
      <c r="D1939" s="5" t="s">
        <v>1490</v>
      </c>
      <c r="E1939" s="5" t="s">
        <v>6510</v>
      </c>
      <c r="F1939" s="5" t="s">
        <v>6511</v>
      </c>
      <c r="G1939" s="6">
        <v>46098.683333333334</v>
      </c>
      <c r="H1939" s="7">
        <v>46104</v>
      </c>
      <c r="I1939" s="6">
        <v>46100.62777777778</v>
      </c>
      <c r="J1939" s="7">
        <v>46100</v>
      </c>
      <c r="K1939" s="5" t="s">
        <v>1527</v>
      </c>
      <c r="L1939" s="5" t="s">
        <v>1621</v>
      </c>
      <c r="M1939" s="8">
        <v>61.32</v>
      </c>
      <c r="N1939" s="5" t="s">
        <v>1536</v>
      </c>
      <c r="O1939" s="7">
        <v>46100</v>
      </c>
    </row>
    <row r="1940" spans="1:15" x14ac:dyDescent="0.25">
      <c r="A1940" s="5" t="s">
        <v>4</v>
      </c>
      <c r="B1940" s="5" t="s">
        <v>6512</v>
      </c>
      <c r="D1940" s="5" t="s">
        <v>863</v>
      </c>
      <c r="E1940" s="5" t="s">
        <v>6513</v>
      </c>
      <c r="F1940" s="5" t="s">
        <v>6514</v>
      </c>
      <c r="G1940" s="6">
        <v>46035.686111111114</v>
      </c>
      <c r="H1940" s="7">
        <v>46042</v>
      </c>
      <c r="I1940" s="5" t="s">
        <v>1533</v>
      </c>
      <c r="J1940" s="7">
        <v>46038</v>
      </c>
      <c r="K1940" s="5" t="s">
        <v>1534</v>
      </c>
      <c r="L1940" s="5" t="s">
        <v>1621</v>
      </c>
      <c r="M1940" s="8">
        <v>61.05</v>
      </c>
      <c r="N1940" s="5" t="s">
        <v>1536</v>
      </c>
      <c r="O1940" s="7">
        <v>46038</v>
      </c>
    </row>
    <row r="1941" spans="1:15" x14ac:dyDescent="0.25">
      <c r="A1941" s="5" t="s">
        <v>4</v>
      </c>
      <c r="B1941" s="5" t="s">
        <v>6515</v>
      </c>
      <c r="D1941" s="5" t="s">
        <v>1262</v>
      </c>
      <c r="E1941" s="5" t="s">
        <v>6516</v>
      </c>
      <c r="F1941" s="5" t="s">
        <v>6517</v>
      </c>
      <c r="G1941" s="6">
        <v>46128.685416666667</v>
      </c>
      <c r="H1941" s="7">
        <v>46135</v>
      </c>
      <c r="I1941" s="5" t="s">
        <v>3630</v>
      </c>
      <c r="J1941" s="7">
        <v>46136</v>
      </c>
      <c r="K1941" s="5" t="s">
        <v>1527</v>
      </c>
      <c r="L1941" s="5" t="s">
        <v>1621</v>
      </c>
      <c r="M1941" s="8">
        <v>60.84</v>
      </c>
      <c r="N1941" s="5" t="s">
        <v>1536</v>
      </c>
      <c r="O1941" s="7">
        <v>46136</v>
      </c>
    </row>
    <row r="1942" spans="1:15" x14ac:dyDescent="0.25">
      <c r="A1942" s="5" t="s">
        <v>4</v>
      </c>
      <c r="B1942" s="5" t="s">
        <v>6518</v>
      </c>
      <c r="D1942" s="5" t="s">
        <v>1401</v>
      </c>
      <c r="E1942" s="5" t="s">
        <v>6519</v>
      </c>
      <c r="F1942" s="5" t="s">
        <v>6520</v>
      </c>
      <c r="G1942" s="6">
        <v>46063.77847222222</v>
      </c>
      <c r="H1942" s="7">
        <v>46070</v>
      </c>
      <c r="I1942" s="5" t="s">
        <v>3575</v>
      </c>
      <c r="J1942" s="7">
        <v>46077</v>
      </c>
      <c r="K1942" s="5" t="s">
        <v>1527</v>
      </c>
      <c r="L1942" s="5" t="s">
        <v>1564</v>
      </c>
      <c r="M1942" s="8">
        <v>60.65</v>
      </c>
      <c r="N1942" s="5" t="s">
        <v>1536</v>
      </c>
      <c r="O1942" s="7">
        <v>46077</v>
      </c>
    </row>
    <row r="1943" spans="1:15" x14ac:dyDescent="0.25">
      <c r="A1943" s="5" t="s">
        <v>4</v>
      </c>
      <c r="B1943" s="5" t="s">
        <v>6521</v>
      </c>
      <c r="D1943" s="5" t="s">
        <v>1166</v>
      </c>
      <c r="E1943" s="5" t="s">
        <v>6522</v>
      </c>
      <c r="F1943" s="5" t="s">
        <v>6523</v>
      </c>
      <c r="G1943" s="6">
        <v>46161.404166666667</v>
      </c>
      <c r="H1943" s="7">
        <v>46168</v>
      </c>
      <c r="I1943" s="6">
        <v>46163.720833333333</v>
      </c>
      <c r="J1943" s="7">
        <v>46163</v>
      </c>
      <c r="K1943" s="5" t="s">
        <v>1527</v>
      </c>
      <c r="L1943" s="5" t="s">
        <v>1621</v>
      </c>
      <c r="M1943" s="8">
        <v>60.31</v>
      </c>
      <c r="N1943" s="5" t="s">
        <v>1536</v>
      </c>
      <c r="O1943" s="7">
        <v>46163</v>
      </c>
    </row>
    <row r="1944" spans="1:15" x14ac:dyDescent="0.25">
      <c r="A1944" s="5" t="s">
        <v>4</v>
      </c>
      <c r="B1944" s="5" t="s">
        <v>6524</v>
      </c>
      <c r="D1944" s="5" t="s">
        <v>581</v>
      </c>
      <c r="E1944" s="5" t="s">
        <v>6525</v>
      </c>
      <c r="F1944" s="5" t="s">
        <v>6526</v>
      </c>
      <c r="G1944" s="6">
        <v>46078.730555555558</v>
      </c>
      <c r="H1944" s="7">
        <v>46085</v>
      </c>
      <c r="I1944" s="6">
        <v>46084.618055555555</v>
      </c>
      <c r="J1944" s="7">
        <v>46083</v>
      </c>
      <c r="K1944" s="5" t="s">
        <v>1527</v>
      </c>
      <c r="L1944" s="5" t="s">
        <v>1621</v>
      </c>
      <c r="M1944" s="8">
        <v>60.15</v>
      </c>
      <c r="N1944" s="5" t="s">
        <v>1536</v>
      </c>
      <c r="O1944" s="7">
        <v>46083</v>
      </c>
    </row>
    <row r="1945" spans="1:15" hidden="1" x14ac:dyDescent="0.25">
      <c r="A1945" s="5" t="s">
        <v>1522</v>
      </c>
      <c r="B1945" s="5">
        <v>38683</v>
      </c>
      <c r="D1945" s="5" t="s">
        <v>1510</v>
      </c>
      <c r="E1945" s="5" t="s">
        <v>2466</v>
      </c>
      <c r="F1945" s="5" t="s">
        <v>6527</v>
      </c>
      <c r="G1945" s="6">
        <v>46083.64166666667</v>
      </c>
      <c r="H1945" s="7">
        <v>46091</v>
      </c>
      <c r="I1945" s="6">
        <v>46091.502083333333</v>
      </c>
      <c r="J1945" s="7">
        <v>46091</v>
      </c>
      <c r="K1945" s="5" t="s">
        <v>1527</v>
      </c>
      <c r="L1945" s="5" t="s">
        <v>1564</v>
      </c>
      <c r="M1945" s="8">
        <v>60</v>
      </c>
      <c r="N1945" s="5" t="s">
        <v>1536</v>
      </c>
      <c r="O1945" s="7">
        <v>46091</v>
      </c>
    </row>
    <row r="1946" spans="1:15" hidden="1" x14ac:dyDescent="0.25">
      <c r="A1946" s="5" t="s">
        <v>1522</v>
      </c>
      <c r="B1946" s="5">
        <v>40003</v>
      </c>
      <c r="D1946" s="5" t="s">
        <v>1261</v>
      </c>
      <c r="E1946" s="5" t="s">
        <v>6528</v>
      </c>
      <c r="F1946" s="5" t="s">
        <v>6529</v>
      </c>
      <c r="G1946" s="6">
        <v>46163.606249999997</v>
      </c>
      <c r="H1946" s="7">
        <v>46163</v>
      </c>
      <c r="I1946" s="5" t="s">
        <v>1533</v>
      </c>
      <c r="J1946" s="5" t="s">
        <v>1533</v>
      </c>
      <c r="K1946" s="5" t="s">
        <v>1540</v>
      </c>
      <c r="L1946" s="5" t="s">
        <v>6530</v>
      </c>
      <c r="M1946" s="8">
        <v>60</v>
      </c>
      <c r="N1946" s="5" t="s">
        <v>1541</v>
      </c>
      <c r="O1946" s="5" t="s">
        <v>1533</v>
      </c>
    </row>
    <row r="1947" spans="1:15" hidden="1" x14ac:dyDescent="0.25">
      <c r="A1947" s="5" t="s">
        <v>1522</v>
      </c>
      <c r="B1947" s="5" t="s">
        <v>6531</v>
      </c>
      <c r="D1947" s="5" t="s">
        <v>1510</v>
      </c>
      <c r="E1947" s="5" t="s">
        <v>2466</v>
      </c>
      <c r="F1947" s="5" t="s">
        <v>5811</v>
      </c>
      <c r="G1947" s="6">
        <v>46031.709027777775</v>
      </c>
      <c r="H1947" s="7">
        <v>46035</v>
      </c>
      <c r="I1947" s="5" t="s">
        <v>6532</v>
      </c>
      <c r="J1947" s="7">
        <v>46037</v>
      </c>
      <c r="K1947" s="5" t="s">
        <v>1527</v>
      </c>
      <c r="L1947" s="5" t="s">
        <v>1621</v>
      </c>
      <c r="M1947" s="8">
        <v>60</v>
      </c>
      <c r="N1947" s="5" t="s">
        <v>1536</v>
      </c>
      <c r="O1947" s="7">
        <v>46037</v>
      </c>
    </row>
    <row r="1948" spans="1:15" hidden="1" x14ac:dyDescent="0.25">
      <c r="A1948" s="5" t="s">
        <v>1522</v>
      </c>
      <c r="B1948" s="5" t="s">
        <v>6533</v>
      </c>
      <c r="D1948" s="5" t="s">
        <v>1510</v>
      </c>
      <c r="E1948" s="5" t="s">
        <v>2466</v>
      </c>
      <c r="F1948" s="5" t="s">
        <v>5811</v>
      </c>
      <c r="G1948" s="6">
        <v>46050.693055555559</v>
      </c>
      <c r="H1948" s="7">
        <v>46051</v>
      </c>
      <c r="I1948" s="5" t="s">
        <v>6534</v>
      </c>
      <c r="J1948" s="7">
        <v>46063</v>
      </c>
      <c r="K1948" s="5" t="s">
        <v>1527</v>
      </c>
      <c r="L1948" s="5" t="s">
        <v>1554</v>
      </c>
      <c r="M1948" s="8">
        <v>60</v>
      </c>
      <c r="N1948" s="5" t="s">
        <v>1536</v>
      </c>
      <c r="O1948" s="7">
        <v>46063</v>
      </c>
    </row>
    <row r="1949" spans="1:15" hidden="1" x14ac:dyDescent="0.25">
      <c r="A1949" s="5" t="s">
        <v>1522</v>
      </c>
      <c r="B1949" s="5" t="s">
        <v>6535</v>
      </c>
      <c r="D1949" s="5" t="s">
        <v>1510</v>
      </c>
      <c r="E1949" s="5" t="s">
        <v>2466</v>
      </c>
      <c r="F1949" s="5" t="s">
        <v>5811</v>
      </c>
      <c r="G1949" s="6">
        <v>46065.654166666667</v>
      </c>
      <c r="H1949" s="7">
        <v>46066</v>
      </c>
      <c r="I1949" s="5" t="s">
        <v>6536</v>
      </c>
      <c r="J1949" s="7">
        <v>46083</v>
      </c>
      <c r="K1949" s="5" t="s">
        <v>1527</v>
      </c>
      <c r="L1949" s="5" t="s">
        <v>1621</v>
      </c>
      <c r="M1949" s="8">
        <v>60</v>
      </c>
      <c r="N1949" s="5" t="s">
        <v>1536</v>
      </c>
      <c r="O1949" s="7">
        <v>46083</v>
      </c>
    </row>
    <row r="1950" spans="1:15" hidden="1" x14ac:dyDescent="0.25">
      <c r="A1950" s="5" t="s">
        <v>1522</v>
      </c>
      <c r="B1950" s="5" t="s">
        <v>6537</v>
      </c>
      <c r="D1950" s="5" t="s">
        <v>1510</v>
      </c>
      <c r="E1950" s="5" t="s">
        <v>2466</v>
      </c>
      <c r="F1950" s="5" t="s">
        <v>5267</v>
      </c>
      <c r="G1950" s="6">
        <v>46114.717361111114</v>
      </c>
      <c r="H1950" s="7">
        <v>46125</v>
      </c>
      <c r="I1950" s="6">
        <v>46122.40902777778</v>
      </c>
      <c r="J1950" s="7">
        <v>46127</v>
      </c>
      <c r="K1950" s="5" t="s">
        <v>1527</v>
      </c>
      <c r="L1950" s="5" t="s">
        <v>1621</v>
      </c>
      <c r="M1950" s="8">
        <v>60</v>
      </c>
      <c r="N1950" s="5" t="s">
        <v>1536</v>
      </c>
      <c r="O1950" s="7">
        <v>46127</v>
      </c>
    </row>
    <row r="1951" spans="1:15" hidden="1" x14ac:dyDescent="0.25">
      <c r="A1951" s="5" t="s">
        <v>1522</v>
      </c>
      <c r="B1951" s="5" t="s">
        <v>6538</v>
      </c>
      <c r="D1951" s="5" t="s">
        <v>1510</v>
      </c>
      <c r="E1951" s="5" t="s">
        <v>2466</v>
      </c>
      <c r="F1951" s="5" t="s">
        <v>5811</v>
      </c>
      <c r="G1951" s="6">
        <v>46128.713194444441</v>
      </c>
      <c r="H1951" s="7">
        <v>46135</v>
      </c>
      <c r="I1951" s="6">
        <v>46129.707638888889</v>
      </c>
      <c r="J1951" s="7">
        <v>46132</v>
      </c>
      <c r="K1951" s="5" t="s">
        <v>1527</v>
      </c>
      <c r="L1951" s="5" t="s">
        <v>1621</v>
      </c>
      <c r="M1951" s="8">
        <v>60</v>
      </c>
      <c r="N1951" s="5" t="s">
        <v>1529</v>
      </c>
      <c r="O1951" s="7">
        <v>46132</v>
      </c>
    </row>
    <row r="1952" spans="1:15" hidden="1" x14ac:dyDescent="0.25">
      <c r="A1952" s="5" t="s">
        <v>1522</v>
      </c>
      <c r="B1952" s="5" t="s">
        <v>6539</v>
      </c>
      <c r="D1952" s="5" t="s">
        <v>1510</v>
      </c>
      <c r="E1952" s="5" t="s">
        <v>2466</v>
      </c>
      <c r="F1952" s="5" t="s">
        <v>5811</v>
      </c>
      <c r="G1952" s="6">
        <v>46132.692361111112</v>
      </c>
      <c r="H1952" s="7">
        <v>46135</v>
      </c>
      <c r="I1952" s="6">
        <v>46134.627083333333</v>
      </c>
      <c r="J1952" s="7">
        <v>46134</v>
      </c>
      <c r="K1952" s="5" t="s">
        <v>1527</v>
      </c>
      <c r="L1952" s="5" t="s">
        <v>1621</v>
      </c>
      <c r="M1952" s="8">
        <v>60</v>
      </c>
      <c r="N1952" s="5" t="s">
        <v>1529</v>
      </c>
      <c r="O1952" s="7">
        <v>46134</v>
      </c>
    </row>
    <row r="1953" spans="1:15" hidden="1" x14ac:dyDescent="0.25">
      <c r="A1953" s="5" t="s">
        <v>1522</v>
      </c>
      <c r="B1953" s="5" t="s">
        <v>6540</v>
      </c>
      <c r="D1953" s="5" t="s">
        <v>1510</v>
      </c>
      <c r="E1953" s="5" t="s">
        <v>2466</v>
      </c>
      <c r="F1953" s="5" t="s">
        <v>5811</v>
      </c>
      <c r="G1953" s="6">
        <v>46139.630555555559</v>
      </c>
      <c r="H1953" s="7">
        <v>46142</v>
      </c>
      <c r="I1953" s="6">
        <v>46141.731249999997</v>
      </c>
      <c r="J1953" s="7">
        <v>46162</v>
      </c>
      <c r="K1953" s="5" t="s">
        <v>1527</v>
      </c>
      <c r="L1953" s="5" t="s">
        <v>1621</v>
      </c>
      <c r="M1953" s="9">
        <v>60</v>
      </c>
      <c r="N1953" s="5" t="s">
        <v>1529</v>
      </c>
      <c r="O1953" s="7">
        <v>46162</v>
      </c>
    </row>
    <row r="1954" spans="1:15" hidden="1" x14ac:dyDescent="0.25">
      <c r="A1954" s="5" t="s">
        <v>1522</v>
      </c>
      <c r="B1954" s="5" t="s">
        <v>6541</v>
      </c>
      <c r="D1954" s="5" t="s">
        <v>1510</v>
      </c>
      <c r="E1954" s="5" t="s">
        <v>2466</v>
      </c>
      <c r="F1954" s="5" t="s">
        <v>5811</v>
      </c>
      <c r="G1954" s="6">
        <v>46139.748611111114</v>
      </c>
      <c r="H1954" s="7">
        <v>46142</v>
      </c>
      <c r="I1954" s="5" t="s">
        <v>6542</v>
      </c>
      <c r="J1954" s="7">
        <v>46146</v>
      </c>
      <c r="K1954" s="5" t="s">
        <v>1527</v>
      </c>
      <c r="L1954" s="5" t="s">
        <v>1621</v>
      </c>
      <c r="M1954" s="8">
        <v>60</v>
      </c>
      <c r="N1954" s="5" t="s">
        <v>1529</v>
      </c>
      <c r="O1954" s="7">
        <v>46146</v>
      </c>
    </row>
    <row r="1955" spans="1:15" x14ac:dyDescent="0.25">
      <c r="A1955" s="5" t="s">
        <v>4</v>
      </c>
      <c r="B1955" s="5">
        <v>39619</v>
      </c>
      <c r="D1955" s="5" t="s">
        <v>1122</v>
      </c>
      <c r="E1955" s="5" t="s">
        <v>6543</v>
      </c>
      <c r="F1955" s="5" t="s">
        <v>2118</v>
      </c>
      <c r="G1955" s="6">
        <v>46140.410416666666</v>
      </c>
      <c r="H1955" s="7">
        <v>46140</v>
      </c>
      <c r="I1955" s="6">
        <v>46140.313194444447</v>
      </c>
      <c r="J1955" s="7">
        <v>46140</v>
      </c>
      <c r="K1955" s="5" t="s">
        <v>1527</v>
      </c>
      <c r="L1955" s="5" t="s">
        <v>1564</v>
      </c>
      <c r="M1955" s="8">
        <v>60</v>
      </c>
      <c r="N1955" s="5" t="s">
        <v>1536</v>
      </c>
      <c r="O1955" s="7">
        <v>46140</v>
      </c>
    </row>
    <row r="1956" spans="1:15" x14ac:dyDescent="0.25">
      <c r="A1956" s="5" t="s">
        <v>4</v>
      </c>
      <c r="B1956" s="5" t="s">
        <v>6544</v>
      </c>
      <c r="D1956" s="5" t="s">
        <v>1312</v>
      </c>
      <c r="E1956" s="5" t="s">
        <v>6545</v>
      </c>
      <c r="F1956" s="5" t="s">
        <v>1548</v>
      </c>
      <c r="G1956" s="6">
        <v>46052.611805555556</v>
      </c>
      <c r="H1956" s="7">
        <v>46065</v>
      </c>
      <c r="I1956" s="6">
        <v>46062.745138888888</v>
      </c>
      <c r="J1956" s="7">
        <v>46058</v>
      </c>
      <c r="K1956" s="5" t="s">
        <v>1527</v>
      </c>
      <c r="L1956" s="5" t="s">
        <v>1564</v>
      </c>
      <c r="M1956" s="8">
        <v>60</v>
      </c>
      <c r="N1956" s="5" t="s">
        <v>1536</v>
      </c>
      <c r="O1956" s="7">
        <v>46058</v>
      </c>
    </row>
    <row r="1957" spans="1:15" x14ac:dyDescent="0.25">
      <c r="A1957" s="5" t="s">
        <v>4</v>
      </c>
      <c r="B1957" s="5" t="s">
        <v>6546</v>
      </c>
      <c r="D1957" s="5" t="s">
        <v>1312</v>
      </c>
      <c r="E1957" s="5" t="s">
        <v>6545</v>
      </c>
      <c r="F1957" s="5" t="s">
        <v>1759</v>
      </c>
      <c r="G1957" s="6">
        <v>46083.724305555559</v>
      </c>
      <c r="H1957" s="7">
        <v>46094</v>
      </c>
      <c r="I1957" s="6">
        <v>46091.742361111108</v>
      </c>
      <c r="J1957" s="7">
        <v>46090</v>
      </c>
      <c r="K1957" s="5" t="s">
        <v>1527</v>
      </c>
      <c r="L1957" s="5" t="s">
        <v>1564</v>
      </c>
      <c r="M1957" s="8">
        <v>60</v>
      </c>
      <c r="N1957" s="5" t="s">
        <v>1536</v>
      </c>
      <c r="O1957" s="7">
        <v>46090</v>
      </c>
    </row>
    <row r="1958" spans="1:15" x14ac:dyDescent="0.25">
      <c r="A1958" s="5" t="s">
        <v>4</v>
      </c>
      <c r="B1958" s="5" t="s">
        <v>6547</v>
      </c>
      <c r="D1958" s="5" t="s">
        <v>1264</v>
      </c>
      <c r="E1958" s="5" t="s">
        <v>5041</v>
      </c>
      <c r="F1958" s="5" t="s">
        <v>6548</v>
      </c>
      <c r="G1958" s="6">
        <v>46090.598611111112</v>
      </c>
      <c r="H1958" s="7">
        <v>46101</v>
      </c>
      <c r="I1958" s="6">
        <v>46098.763888888891</v>
      </c>
      <c r="J1958" s="7">
        <v>46104</v>
      </c>
      <c r="K1958" s="5" t="s">
        <v>1527</v>
      </c>
      <c r="L1958" s="5" t="s">
        <v>1564</v>
      </c>
      <c r="M1958" s="8">
        <v>60</v>
      </c>
      <c r="N1958" s="5" t="s">
        <v>1536</v>
      </c>
      <c r="O1958" s="7">
        <v>46104</v>
      </c>
    </row>
    <row r="1959" spans="1:15" x14ac:dyDescent="0.25">
      <c r="A1959" s="5" t="s">
        <v>4</v>
      </c>
      <c r="B1959" s="5" t="s">
        <v>6549</v>
      </c>
      <c r="D1959" s="5" t="s">
        <v>1373</v>
      </c>
      <c r="E1959" s="5" t="s">
        <v>1856</v>
      </c>
      <c r="F1959" s="5" t="s">
        <v>1813</v>
      </c>
      <c r="G1959" s="6">
        <v>46108.661111111112</v>
      </c>
      <c r="H1959" s="7">
        <v>46115</v>
      </c>
      <c r="I1959" s="6">
        <v>46114.713194444441</v>
      </c>
      <c r="J1959" s="7">
        <v>46113</v>
      </c>
      <c r="K1959" s="5" t="s">
        <v>1527</v>
      </c>
      <c r="L1959" s="5" t="s">
        <v>1535</v>
      </c>
      <c r="M1959" s="8">
        <v>60</v>
      </c>
      <c r="N1959" s="5" t="s">
        <v>1536</v>
      </c>
      <c r="O1959" s="7">
        <v>46113</v>
      </c>
    </row>
    <row r="1960" spans="1:15" x14ac:dyDescent="0.25">
      <c r="A1960" s="5" t="s">
        <v>4</v>
      </c>
      <c r="B1960" s="5" t="s">
        <v>6550</v>
      </c>
      <c r="D1960" s="5" t="s">
        <v>1032</v>
      </c>
      <c r="E1960" s="5" t="s">
        <v>6551</v>
      </c>
      <c r="F1960" s="5" t="s">
        <v>6552</v>
      </c>
      <c r="G1960" s="6">
        <v>46135.352083333331</v>
      </c>
      <c r="H1960" s="7">
        <v>46146</v>
      </c>
      <c r="I1960" s="6">
        <v>46139.753472222219</v>
      </c>
      <c r="J1960" s="7">
        <v>46139</v>
      </c>
      <c r="K1960" s="5" t="s">
        <v>1527</v>
      </c>
      <c r="L1960" s="5" t="s">
        <v>1564</v>
      </c>
      <c r="M1960" s="8">
        <v>60</v>
      </c>
      <c r="N1960" s="5" t="s">
        <v>1536</v>
      </c>
      <c r="O1960" s="7">
        <v>46139</v>
      </c>
    </row>
    <row r="1961" spans="1:15" x14ac:dyDescent="0.25">
      <c r="A1961" s="5" t="s">
        <v>4</v>
      </c>
      <c r="B1961" s="5" t="s">
        <v>6553</v>
      </c>
      <c r="D1961" s="5" t="s">
        <v>1505</v>
      </c>
      <c r="E1961" s="5" t="s">
        <v>4115</v>
      </c>
      <c r="F1961" s="5" t="s">
        <v>5412</v>
      </c>
      <c r="G1961" s="6">
        <v>46135.39166666667</v>
      </c>
      <c r="H1961" s="7">
        <v>46135</v>
      </c>
      <c r="I1961" s="6">
        <v>46135.313194444447</v>
      </c>
      <c r="J1961" s="7">
        <v>46135</v>
      </c>
      <c r="K1961" s="5" t="s">
        <v>1527</v>
      </c>
      <c r="L1961" s="5" t="s">
        <v>1535</v>
      </c>
      <c r="M1961" s="8">
        <v>60</v>
      </c>
      <c r="N1961" s="5" t="s">
        <v>1536</v>
      </c>
      <c r="O1961" s="7">
        <v>46135</v>
      </c>
    </row>
    <row r="1962" spans="1:15" x14ac:dyDescent="0.25">
      <c r="A1962" s="5" t="s">
        <v>4</v>
      </c>
      <c r="B1962" s="5" t="s">
        <v>6554</v>
      </c>
      <c r="D1962" s="5" t="s">
        <v>1407</v>
      </c>
      <c r="E1962" s="5" t="s">
        <v>4966</v>
      </c>
      <c r="F1962" s="5" t="s">
        <v>1759</v>
      </c>
      <c r="G1962" s="6">
        <v>46147.46597222222</v>
      </c>
      <c r="H1962" s="7">
        <v>46147</v>
      </c>
      <c r="I1962" s="5" t="s">
        <v>1533</v>
      </c>
      <c r="J1962" s="7">
        <v>46147</v>
      </c>
      <c r="K1962" s="5" t="s">
        <v>6555</v>
      </c>
      <c r="L1962" s="5" t="s">
        <v>1535</v>
      </c>
      <c r="M1962" s="9">
        <v>60</v>
      </c>
      <c r="N1962" s="5" t="s">
        <v>1536</v>
      </c>
      <c r="O1962" s="7">
        <v>46147</v>
      </c>
    </row>
    <row r="1963" spans="1:15" x14ac:dyDescent="0.25">
      <c r="A1963" s="5" t="s">
        <v>4</v>
      </c>
      <c r="B1963" s="5" t="s">
        <v>6556</v>
      </c>
      <c r="D1963" s="5" t="s">
        <v>551</v>
      </c>
      <c r="E1963" s="5" t="s">
        <v>6557</v>
      </c>
      <c r="F1963" s="5" t="s">
        <v>6558</v>
      </c>
      <c r="G1963" s="6">
        <v>46084.740972222222</v>
      </c>
      <c r="H1963" s="7">
        <v>46090</v>
      </c>
      <c r="I1963" s="6">
        <v>46086.508333333331</v>
      </c>
      <c r="J1963" s="7">
        <v>46086</v>
      </c>
      <c r="K1963" s="5" t="s">
        <v>1527</v>
      </c>
      <c r="L1963" s="5" t="s">
        <v>1621</v>
      </c>
      <c r="M1963" s="8">
        <v>59.58</v>
      </c>
      <c r="N1963" s="5" t="s">
        <v>1536</v>
      </c>
      <c r="O1963" s="7">
        <v>46086</v>
      </c>
    </row>
    <row r="1964" spans="1:15" x14ac:dyDescent="0.25">
      <c r="A1964" s="5" t="s">
        <v>4</v>
      </c>
      <c r="B1964" s="5">
        <v>38340</v>
      </c>
      <c r="D1964" s="5" t="s">
        <v>491</v>
      </c>
      <c r="E1964" s="5" t="s">
        <v>6559</v>
      </c>
      <c r="F1964" s="5" t="s">
        <v>6560</v>
      </c>
      <c r="G1964" s="6">
        <v>46059.754166666666</v>
      </c>
      <c r="H1964" s="7">
        <v>46066</v>
      </c>
      <c r="I1964" s="6">
        <v>46066.656944444447</v>
      </c>
      <c r="J1964" s="7">
        <v>46066</v>
      </c>
      <c r="K1964" s="5" t="s">
        <v>1527</v>
      </c>
      <c r="L1964" s="5" t="s">
        <v>1564</v>
      </c>
      <c r="M1964" s="8">
        <v>59.54</v>
      </c>
      <c r="N1964" s="5" t="s">
        <v>1536</v>
      </c>
      <c r="O1964" s="7">
        <v>46066</v>
      </c>
    </row>
    <row r="1965" spans="1:15" x14ac:dyDescent="0.25">
      <c r="A1965" s="5" t="s">
        <v>4</v>
      </c>
      <c r="B1965" s="5" t="s">
        <v>6561</v>
      </c>
      <c r="D1965" s="5" t="s">
        <v>229</v>
      </c>
      <c r="E1965" s="5" t="s">
        <v>6562</v>
      </c>
      <c r="F1965" s="5" t="s">
        <v>6563</v>
      </c>
      <c r="G1965" s="6">
        <v>46090.45</v>
      </c>
      <c r="H1965" s="7">
        <v>46090</v>
      </c>
      <c r="I1965" s="5" t="s">
        <v>3497</v>
      </c>
      <c r="J1965" s="7">
        <v>46090</v>
      </c>
      <c r="K1965" s="5" t="s">
        <v>1527</v>
      </c>
      <c r="L1965" s="5" t="s">
        <v>1564</v>
      </c>
      <c r="M1965" s="8">
        <v>59.5</v>
      </c>
      <c r="N1965" s="5" t="s">
        <v>1536</v>
      </c>
      <c r="O1965" s="7">
        <v>46090</v>
      </c>
    </row>
    <row r="1966" spans="1:15" x14ac:dyDescent="0.25">
      <c r="A1966" s="5" t="s">
        <v>4</v>
      </c>
      <c r="B1966" s="5" t="s">
        <v>6564</v>
      </c>
      <c r="D1966" s="5" t="s">
        <v>1505</v>
      </c>
      <c r="E1966" s="5" t="s">
        <v>4115</v>
      </c>
      <c r="F1966" s="5" t="s">
        <v>5412</v>
      </c>
      <c r="G1966" s="6">
        <v>46156.425694444442</v>
      </c>
      <c r="H1966" s="7">
        <v>46156</v>
      </c>
      <c r="I1966" s="6">
        <v>46156.313194444447</v>
      </c>
      <c r="J1966" s="7">
        <v>46156</v>
      </c>
      <c r="K1966" s="5" t="s">
        <v>1527</v>
      </c>
      <c r="L1966" s="5" t="s">
        <v>1535</v>
      </c>
      <c r="M1966" s="8">
        <v>59.5</v>
      </c>
      <c r="N1966" s="5" t="s">
        <v>1536</v>
      </c>
      <c r="O1966" s="7">
        <v>46156</v>
      </c>
    </row>
    <row r="1967" spans="1:15" x14ac:dyDescent="0.25">
      <c r="A1967" s="5" t="s">
        <v>4</v>
      </c>
      <c r="B1967" s="5" t="s">
        <v>6565</v>
      </c>
      <c r="D1967" s="5" t="s">
        <v>1226</v>
      </c>
      <c r="E1967" s="5" t="s">
        <v>6566</v>
      </c>
      <c r="F1967" s="5" t="s">
        <v>6567</v>
      </c>
      <c r="G1967" s="6">
        <v>46076.692361111112</v>
      </c>
      <c r="H1967" s="7">
        <v>46083</v>
      </c>
      <c r="I1967" s="6">
        <v>46078.692361111112</v>
      </c>
      <c r="J1967" s="7">
        <v>46078</v>
      </c>
      <c r="K1967" s="5" t="s">
        <v>1527</v>
      </c>
      <c r="L1967" s="5" t="s">
        <v>1621</v>
      </c>
      <c r="M1967" s="8">
        <v>58.63</v>
      </c>
      <c r="N1967" s="5" t="s">
        <v>1536</v>
      </c>
      <c r="O1967" s="7">
        <v>46078</v>
      </c>
    </row>
    <row r="1968" spans="1:15" x14ac:dyDescent="0.25">
      <c r="A1968" s="5" t="s">
        <v>4</v>
      </c>
      <c r="B1968" s="5" t="s">
        <v>6568</v>
      </c>
      <c r="D1968" s="5" t="s">
        <v>1420</v>
      </c>
      <c r="E1968" s="5" t="s">
        <v>6569</v>
      </c>
      <c r="F1968" s="5" t="s">
        <v>6570</v>
      </c>
      <c r="G1968" s="6">
        <v>46112.68472222222</v>
      </c>
      <c r="H1968" s="7">
        <v>46119</v>
      </c>
      <c r="I1968" s="5" t="s">
        <v>6571</v>
      </c>
      <c r="J1968" s="7">
        <v>46126</v>
      </c>
      <c r="K1968" s="5" t="s">
        <v>1527</v>
      </c>
      <c r="L1968" s="5" t="s">
        <v>1621</v>
      </c>
      <c r="M1968" s="8">
        <v>57.92</v>
      </c>
      <c r="N1968" s="5" t="s">
        <v>1536</v>
      </c>
      <c r="O1968" s="7">
        <v>46126</v>
      </c>
    </row>
    <row r="1969" spans="1:15" x14ac:dyDescent="0.25">
      <c r="A1969" s="5" t="s">
        <v>4</v>
      </c>
      <c r="B1969" s="5" t="s">
        <v>6572</v>
      </c>
      <c r="D1969" s="5" t="s">
        <v>1089</v>
      </c>
      <c r="E1969" s="5" t="s">
        <v>6573</v>
      </c>
      <c r="F1969" s="5" t="s">
        <v>1532</v>
      </c>
      <c r="G1969" s="6">
        <v>46161.413888888892</v>
      </c>
      <c r="H1969" s="7">
        <v>46170</v>
      </c>
      <c r="I1969" s="6">
        <v>46167.745138888888</v>
      </c>
      <c r="J1969" s="7">
        <v>46167</v>
      </c>
      <c r="K1969" s="5" t="s">
        <v>1527</v>
      </c>
      <c r="L1969" s="5" t="s">
        <v>1535</v>
      </c>
      <c r="M1969" s="8">
        <v>57.9</v>
      </c>
      <c r="N1969" s="5" t="s">
        <v>1536</v>
      </c>
      <c r="O1969" s="7">
        <v>46167</v>
      </c>
    </row>
    <row r="1970" spans="1:15" x14ac:dyDescent="0.25">
      <c r="A1970" s="5" t="s">
        <v>4</v>
      </c>
      <c r="B1970" s="5" t="s">
        <v>6574</v>
      </c>
      <c r="D1970" s="5" t="s">
        <v>860</v>
      </c>
      <c r="E1970" s="5" t="s">
        <v>6575</v>
      </c>
      <c r="F1970" s="5" t="s">
        <v>6576</v>
      </c>
      <c r="G1970" s="6">
        <v>46086.683333333334</v>
      </c>
      <c r="H1970" s="7">
        <v>46092</v>
      </c>
      <c r="I1970" s="5" t="s">
        <v>1533</v>
      </c>
      <c r="J1970" s="7">
        <v>46093</v>
      </c>
      <c r="K1970" s="5" t="s">
        <v>1534</v>
      </c>
      <c r="L1970" s="5" t="s">
        <v>1621</v>
      </c>
      <c r="M1970" s="8">
        <v>57.75</v>
      </c>
      <c r="N1970" s="5" t="s">
        <v>1536</v>
      </c>
      <c r="O1970" s="7">
        <v>46093</v>
      </c>
    </row>
    <row r="1971" spans="1:15" hidden="1" x14ac:dyDescent="0.25">
      <c r="A1971" s="5" t="s">
        <v>1522</v>
      </c>
      <c r="B1971" s="5" t="s">
        <v>6577</v>
      </c>
      <c r="D1971" s="5" t="s">
        <v>1510</v>
      </c>
      <c r="E1971" s="5" t="s">
        <v>2466</v>
      </c>
      <c r="F1971" s="5" t="s">
        <v>3389</v>
      </c>
      <c r="G1971" s="6">
        <v>46029.719444444447</v>
      </c>
      <c r="H1971" s="7">
        <v>46034</v>
      </c>
      <c r="I1971" s="5" t="s">
        <v>6578</v>
      </c>
      <c r="J1971" s="7">
        <v>46038</v>
      </c>
      <c r="K1971" s="5" t="s">
        <v>1527</v>
      </c>
      <c r="L1971" s="5" t="s">
        <v>1621</v>
      </c>
      <c r="M1971" s="8">
        <v>57.6</v>
      </c>
      <c r="N1971" s="5" t="s">
        <v>1536</v>
      </c>
      <c r="O1971" s="7">
        <v>46038</v>
      </c>
    </row>
    <row r="1972" spans="1:15" hidden="1" x14ac:dyDescent="0.25">
      <c r="A1972" s="5" t="s">
        <v>1522</v>
      </c>
      <c r="B1972" s="5" t="s">
        <v>6579</v>
      </c>
      <c r="D1972" s="5" t="s">
        <v>1510</v>
      </c>
      <c r="E1972" s="5" t="s">
        <v>2466</v>
      </c>
      <c r="F1972" s="5" t="s">
        <v>3389</v>
      </c>
      <c r="G1972" s="6">
        <v>46086.72152777778</v>
      </c>
      <c r="H1972" s="7">
        <v>46090</v>
      </c>
      <c r="I1972" s="5" t="s">
        <v>5972</v>
      </c>
      <c r="J1972" s="7">
        <v>46091</v>
      </c>
      <c r="K1972" s="5" t="s">
        <v>1527</v>
      </c>
      <c r="L1972" s="5" t="s">
        <v>1621</v>
      </c>
      <c r="M1972" s="8">
        <v>57.6</v>
      </c>
      <c r="N1972" s="5" t="s">
        <v>1536</v>
      </c>
      <c r="O1972" s="7">
        <v>46091</v>
      </c>
    </row>
    <row r="1973" spans="1:15" hidden="1" x14ac:dyDescent="0.25">
      <c r="A1973" s="5" t="s">
        <v>1522</v>
      </c>
      <c r="B1973" s="5" t="s">
        <v>6580</v>
      </c>
      <c r="D1973" s="5" t="s">
        <v>1510</v>
      </c>
      <c r="E1973" s="5" t="s">
        <v>2466</v>
      </c>
      <c r="F1973" s="5" t="s">
        <v>3389</v>
      </c>
      <c r="G1973" s="6">
        <v>46127.464583333334</v>
      </c>
      <c r="H1973" s="7">
        <v>46129</v>
      </c>
      <c r="I1973" s="6">
        <v>46129.59097222222</v>
      </c>
      <c r="J1973" s="7">
        <v>46129</v>
      </c>
      <c r="K1973" s="5" t="s">
        <v>1527</v>
      </c>
      <c r="L1973" s="5" t="s">
        <v>1621</v>
      </c>
      <c r="M1973" s="8">
        <v>57.6</v>
      </c>
      <c r="N1973" s="5" t="s">
        <v>1529</v>
      </c>
      <c r="O1973" s="7">
        <v>46129</v>
      </c>
    </row>
    <row r="1974" spans="1:15" hidden="1" x14ac:dyDescent="0.25">
      <c r="A1974" s="5" t="s">
        <v>1522</v>
      </c>
      <c r="B1974" s="5" t="s">
        <v>6581</v>
      </c>
      <c r="D1974" s="5" t="s">
        <v>1510</v>
      </c>
      <c r="E1974" s="5" t="s">
        <v>2466</v>
      </c>
      <c r="F1974" s="5" t="s">
        <v>3389</v>
      </c>
      <c r="G1974" s="6">
        <v>46128.727083333331</v>
      </c>
      <c r="H1974" s="7">
        <v>46132</v>
      </c>
      <c r="I1974" s="6">
        <v>46132.711111111108</v>
      </c>
      <c r="J1974" s="7">
        <v>46132</v>
      </c>
      <c r="K1974" s="5" t="s">
        <v>1527</v>
      </c>
      <c r="L1974" s="5" t="s">
        <v>1621</v>
      </c>
      <c r="M1974" s="8">
        <v>57.6</v>
      </c>
      <c r="N1974" s="5" t="s">
        <v>1529</v>
      </c>
      <c r="O1974" s="7">
        <v>46132</v>
      </c>
    </row>
    <row r="1975" spans="1:15" hidden="1" x14ac:dyDescent="0.25">
      <c r="A1975" s="5" t="s">
        <v>1522</v>
      </c>
      <c r="B1975" s="5" t="s">
        <v>6582</v>
      </c>
      <c r="D1975" s="5" t="s">
        <v>1510</v>
      </c>
      <c r="E1975" s="5" t="s">
        <v>2466</v>
      </c>
      <c r="F1975" s="5" t="s">
        <v>3389</v>
      </c>
      <c r="G1975" s="6">
        <v>46141.718055555553</v>
      </c>
      <c r="H1975" s="7">
        <v>46146</v>
      </c>
      <c r="I1975" s="6">
        <v>46146.71597222222</v>
      </c>
      <c r="J1975" s="7">
        <v>46146</v>
      </c>
      <c r="K1975" s="5" t="s">
        <v>1527</v>
      </c>
      <c r="L1975" s="5" t="s">
        <v>1621</v>
      </c>
      <c r="M1975" s="8">
        <v>57.6</v>
      </c>
      <c r="N1975" s="5" t="s">
        <v>1529</v>
      </c>
      <c r="O1975" s="7">
        <v>46146</v>
      </c>
    </row>
    <row r="1976" spans="1:15" x14ac:dyDescent="0.25">
      <c r="A1976" s="5" t="s">
        <v>4</v>
      </c>
      <c r="B1976" s="5" t="s">
        <v>6583</v>
      </c>
      <c r="D1976" s="5" t="s">
        <v>984</v>
      </c>
      <c r="E1976" s="5" t="s">
        <v>6584</v>
      </c>
      <c r="F1976" s="5" t="s">
        <v>6585</v>
      </c>
      <c r="G1976" s="6">
        <v>46065.686805555553</v>
      </c>
      <c r="H1976" s="7">
        <v>46072</v>
      </c>
      <c r="I1976" s="5" t="s">
        <v>6586</v>
      </c>
      <c r="J1976" s="7">
        <v>46092</v>
      </c>
      <c r="K1976" s="5" t="s">
        <v>1527</v>
      </c>
      <c r="L1976" s="5" t="s">
        <v>1621</v>
      </c>
      <c r="M1976" s="8">
        <v>57.48</v>
      </c>
      <c r="N1976" s="5" t="s">
        <v>1536</v>
      </c>
      <c r="O1976" s="7">
        <v>46092</v>
      </c>
    </row>
    <row r="1977" spans="1:15" x14ac:dyDescent="0.25">
      <c r="A1977" s="5" t="s">
        <v>4</v>
      </c>
      <c r="B1977" s="5" t="s">
        <v>6587</v>
      </c>
      <c r="D1977" s="5" t="s">
        <v>903</v>
      </c>
      <c r="E1977" s="5" t="s">
        <v>6588</v>
      </c>
      <c r="F1977" s="5" t="s">
        <v>6589</v>
      </c>
      <c r="G1977" s="6">
        <v>46134.636111111111</v>
      </c>
      <c r="H1977" s="7">
        <v>46141</v>
      </c>
      <c r="I1977" s="6">
        <v>46141.345833333333</v>
      </c>
      <c r="J1977" s="7">
        <v>46140</v>
      </c>
      <c r="K1977" s="5" t="s">
        <v>1527</v>
      </c>
      <c r="L1977" s="5" t="s">
        <v>1621</v>
      </c>
      <c r="M1977" s="8">
        <v>57.22</v>
      </c>
      <c r="N1977" s="5" t="s">
        <v>1536</v>
      </c>
      <c r="O1977" s="7">
        <v>46140</v>
      </c>
    </row>
    <row r="1978" spans="1:15" x14ac:dyDescent="0.25">
      <c r="A1978" s="5" t="s">
        <v>4</v>
      </c>
      <c r="B1978" s="5" t="s">
        <v>6590</v>
      </c>
      <c r="D1978" s="5" t="s">
        <v>158</v>
      </c>
      <c r="E1978" s="5" t="s">
        <v>6591</v>
      </c>
      <c r="F1978" s="5" t="s">
        <v>6592</v>
      </c>
      <c r="G1978" s="6">
        <v>46150.624305555553</v>
      </c>
      <c r="H1978" s="7">
        <v>46157</v>
      </c>
      <c r="I1978" s="6">
        <v>46154.584722222222</v>
      </c>
      <c r="J1978" s="7">
        <v>46154</v>
      </c>
      <c r="K1978" s="5" t="s">
        <v>1527</v>
      </c>
      <c r="L1978" s="5" t="s">
        <v>1621</v>
      </c>
      <c r="M1978" s="8">
        <v>57.13</v>
      </c>
      <c r="N1978" s="5" t="s">
        <v>1536</v>
      </c>
      <c r="O1978" s="7">
        <v>46154</v>
      </c>
    </row>
    <row r="1979" spans="1:15" hidden="1" x14ac:dyDescent="0.25">
      <c r="A1979" s="5" t="s">
        <v>1522</v>
      </c>
      <c r="B1979" s="5" t="s">
        <v>6593</v>
      </c>
      <c r="D1979" s="5" t="s">
        <v>1510</v>
      </c>
      <c r="E1979" s="5" t="s">
        <v>2466</v>
      </c>
      <c r="F1979" s="5" t="s">
        <v>3651</v>
      </c>
      <c r="G1979" s="6">
        <v>46073.682638888888</v>
      </c>
      <c r="H1979" s="7">
        <v>46076</v>
      </c>
      <c r="I1979" s="6">
        <v>46076.631249999999</v>
      </c>
      <c r="J1979" s="7">
        <v>46076</v>
      </c>
      <c r="K1979" s="5" t="s">
        <v>1527</v>
      </c>
      <c r="L1979" s="5" t="s">
        <v>1621</v>
      </c>
      <c r="M1979" s="8">
        <v>57</v>
      </c>
      <c r="N1979" s="5" t="s">
        <v>1536</v>
      </c>
      <c r="O1979" s="7">
        <v>46076</v>
      </c>
    </row>
    <row r="1980" spans="1:15" hidden="1" x14ac:dyDescent="0.25">
      <c r="A1980" s="5" t="s">
        <v>1522</v>
      </c>
      <c r="B1980" s="5" t="s">
        <v>6594</v>
      </c>
      <c r="D1980" s="5" t="s">
        <v>1510</v>
      </c>
      <c r="E1980" s="5" t="s">
        <v>2466</v>
      </c>
      <c r="F1980" s="5" t="s">
        <v>6595</v>
      </c>
      <c r="G1980" s="6">
        <v>46125.672222222223</v>
      </c>
      <c r="H1980" s="7">
        <v>46129</v>
      </c>
      <c r="I1980" s="6">
        <v>46127.723611111112</v>
      </c>
      <c r="J1980" s="7">
        <v>46128</v>
      </c>
      <c r="K1980" s="5" t="s">
        <v>1527</v>
      </c>
      <c r="L1980" s="5" t="s">
        <v>1554</v>
      </c>
      <c r="M1980" s="8">
        <v>56.88</v>
      </c>
      <c r="N1980" s="5" t="s">
        <v>1536</v>
      </c>
      <c r="O1980" s="7">
        <v>46128</v>
      </c>
    </row>
    <row r="1981" spans="1:15" x14ac:dyDescent="0.25">
      <c r="A1981" s="5" t="s">
        <v>4</v>
      </c>
      <c r="B1981" s="5" t="s">
        <v>6596</v>
      </c>
      <c r="D1981" s="5" t="s">
        <v>1144</v>
      </c>
      <c r="E1981" s="5" t="s">
        <v>6597</v>
      </c>
      <c r="F1981" s="5" t="s">
        <v>6598</v>
      </c>
      <c r="G1981" s="6">
        <v>46083.755555555559</v>
      </c>
      <c r="H1981" s="7">
        <v>46090</v>
      </c>
      <c r="I1981" s="6">
        <v>46090.635416666664</v>
      </c>
      <c r="J1981" s="7">
        <v>46090</v>
      </c>
      <c r="K1981" s="5" t="s">
        <v>1527</v>
      </c>
      <c r="L1981" s="5" t="s">
        <v>1564</v>
      </c>
      <c r="M1981" s="8">
        <v>56.71</v>
      </c>
      <c r="N1981" s="5" t="s">
        <v>1536</v>
      </c>
      <c r="O1981" s="7">
        <v>46090</v>
      </c>
    </row>
    <row r="1982" spans="1:15" x14ac:dyDescent="0.25">
      <c r="A1982" s="5" t="s">
        <v>4</v>
      </c>
      <c r="B1982" s="5" t="s">
        <v>6599</v>
      </c>
      <c r="D1982" s="5" t="s">
        <v>926</v>
      </c>
      <c r="E1982" s="5" t="s">
        <v>6600</v>
      </c>
      <c r="F1982" s="5" t="s">
        <v>6601</v>
      </c>
      <c r="G1982" s="6">
        <v>46069.572916666664</v>
      </c>
      <c r="H1982" s="7">
        <v>46076</v>
      </c>
      <c r="I1982" s="5" t="s">
        <v>6602</v>
      </c>
      <c r="J1982" s="7">
        <v>46083</v>
      </c>
      <c r="K1982" s="5" t="s">
        <v>1527</v>
      </c>
      <c r="L1982" s="5" t="s">
        <v>1621</v>
      </c>
      <c r="M1982" s="8">
        <v>56.62</v>
      </c>
      <c r="N1982" s="5" t="s">
        <v>1536</v>
      </c>
      <c r="O1982" s="7">
        <v>46083</v>
      </c>
    </row>
    <row r="1983" spans="1:15" x14ac:dyDescent="0.25">
      <c r="A1983" s="5" t="s">
        <v>4</v>
      </c>
      <c r="B1983" s="5" t="s">
        <v>6603</v>
      </c>
      <c r="D1983" s="5" t="s">
        <v>866</v>
      </c>
      <c r="E1983" s="5" t="s">
        <v>6604</v>
      </c>
      <c r="F1983" s="5" t="s">
        <v>6605</v>
      </c>
      <c r="G1983" s="6">
        <v>46048.654861111114</v>
      </c>
      <c r="H1983" s="7">
        <v>46056</v>
      </c>
      <c r="I1983" s="6">
        <v>46051.48333333333</v>
      </c>
      <c r="J1983" s="7">
        <v>46051</v>
      </c>
      <c r="K1983" s="5" t="s">
        <v>1527</v>
      </c>
      <c r="L1983" s="5" t="s">
        <v>1621</v>
      </c>
      <c r="M1983" s="8">
        <v>56.43</v>
      </c>
      <c r="N1983" s="5" t="s">
        <v>1536</v>
      </c>
      <c r="O1983" s="7">
        <v>46051</v>
      </c>
    </row>
    <row r="1984" spans="1:15" hidden="1" x14ac:dyDescent="0.25">
      <c r="A1984" s="5" t="s">
        <v>1522</v>
      </c>
      <c r="B1984" s="5" t="s">
        <v>6606</v>
      </c>
      <c r="D1984" s="5" t="s">
        <v>1510</v>
      </c>
      <c r="E1984" s="5" t="s">
        <v>2466</v>
      </c>
      <c r="F1984" s="5" t="s">
        <v>6467</v>
      </c>
      <c r="G1984" s="6">
        <v>46146.643750000003</v>
      </c>
      <c r="H1984" s="7">
        <v>46149</v>
      </c>
      <c r="I1984" s="6">
        <v>46147.472222222219</v>
      </c>
      <c r="J1984" s="7">
        <v>46153</v>
      </c>
      <c r="K1984" s="5" t="s">
        <v>1527</v>
      </c>
      <c r="L1984" s="5" t="s">
        <v>1621</v>
      </c>
      <c r="M1984" s="8">
        <v>56.3</v>
      </c>
      <c r="N1984" s="5" t="s">
        <v>1529</v>
      </c>
      <c r="O1984" s="7">
        <v>46153</v>
      </c>
    </row>
    <row r="1985" spans="1:15" x14ac:dyDescent="0.25">
      <c r="A1985" s="5" t="s">
        <v>4</v>
      </c>
      <c r="B1985" s="5" t="s">
        <v>6607</v>
      </c>
      <c r="D1985" s="5" t="s">
        <v>674</v>
      </c>
      <c r="E1985" s="5" t="s">
        <v>6608</v>
      </c>
      <c r="F1985" s="5" t="s">
        <v>6609</v>
      </c>
      <c r="G1985" s="6">
        <v>46136.675000000003</v>
      </c>
      <c r="H1985" s="7">
        <v>46143</v>
      </c>
      <c r="I1985" s="6">
        <v>46141.612500000003</v>
      </c>
      <c r="J1985" s="7">
        <v>46141</v>
      </c>
      <c r="K1985" s="5" t="s">
        <v>1527</v>
      </c>
      <c r="L1985" s="5" t="s">
        <v>1621</v>
      </c>
      <c r="M1985" s="8">
        <v>56.16</v>
      </c>
      <c r="N1985" s="5" t="s">
        <v>1536</v>
      </c>
      <c r="O1985" s="7">
        <v>46141</v>
      </c>
    </row>
    <row r="1986" spans="1:15" x14ac:dyDescent="0.25">
      <c r="A1986" s="5" t="s">
        <v>4</v>
      </c>
      <c r="B1986" s="5" t="s">
        <v>6610</v>
      </c>
      <c r="D1986" s="5" t="s">
        <v>559</v>
      </c>
      <c r="E1986" s="5" t="s">
        <v>6611</v>
      </c>
      <c r="F1986" s="5" t="s">
        <v>6612</v>
      </c>
      <c r="G1986" s="6">
        <v>46146.679861111108</v>
      </c>
      <c r="H1986" s="7">
        <v>46154</v>
      </c>
      <c r="I1986" s="6">
        <v>46149.576388888891</v>
      </c>
      <c r="J1986" s="7">
        <v>46149</v>
      </c>
      <c r="K1986" s="5" t="s">
        <v>1527</v>
      </c>
      <c r="L1986" s="5" t="s">
        <v>1621</v>
      </c>
      <c r="M1986" s="8">
        <v>55.41</v>
      </c>
      <c r="N1986" s="5" t="s">
        <v>1536</v>
      </c>
      <c r="O1986" s="7">
        <v>46149</v>
      </c>
    </row>
    <row r="1987" spans="1:15" x14ac:dyDescent="0.25">
      <c r="A1987" s="5" t="s">
        <v>4</v>
      </c>
      <c r="B1987" s="5" t="s">
        <v>6613</v>
      </c>
      <c r="D1987" s="5" t="s">
        <v>1266</v>
      </c>
      <c r="E1987" s="5" t="s">
        <v>6119</v>
      </c>
      <c r="F1987" s="5" t="s">
        <v>1548</v>
      </c>
      <c r="G1987" s="6">
        <v>46029.492361111108</v>
      </c>
      <c r="H1987" s="7">
        <v>46041</v>
      </c>
      <c r="I1987" s="5" t="s">
        <v>6614</v>
      </c>
      <c r="J1987" s="7">
        <v>46044</v>
      </c>
      <c r="K1987" s="5" t="s">
        <v>1527</v>
      </c>
      <c r="L1987" s="5" t="s">
        <v>1564</v>
      </c>
      <c r="M1987" s="8">
        <v>55</v>
      </c>
      <c r="N1987" s="5" t="s">
        <v>1536</v>
      </c>
      <c r="O1987" s="7">
        <v>46044</v>
      </c>
    </row>
    <row r="1988" spans="1:15" x14ac:dyDescent="0.25">
      <c r="A1988" s="5" t="s">
        <v>4</v>
      </c>
      <c r="B1988" s="5" t="s">
        <v>6615</v>
      </c>
      <c r="D1988" s="5" t="s">
        <v>876</v>
      </c>
      <c r="E1988" s="5" t="s">
        <v>6616</v>
      </c>
      <c r="F1988" s="5" t="s">
        <v>6617</v>
      </c>
      <c r="G1988" s="6">
        <v>46099.655555555553</v>
      </c>
      <c r="H1988" s="7">
        <v>46106</v>
      </c>
      <c r="I1988" s="5" t="s">
        <v>2748</v>
      </c>
      <c r="J1988" s="7">
        <v>46107</v>
      </c>
      <c r="K1988" s="5" t="s">
        <v>1527</v>
      </c>
      <c r="L1988" s="5" t="s">
        <v>1621</v>
      </c>
      <c r="M1988" s="8">
        <v>54.42</v>
      </c>
      <c r="N1988" s="5" t="s">
        <v>1536</v>
      </c>
      <c r="O1988" s="7">
        <v>46107</v>
      </c>
    </row>
    <row r="1989" spans="1:15" x14ac:dyDescent="0.25">
      <c r="A1989" s="5" t="s">
        <v>4</v>
      </c>
      <c r="B1989" s="5" t="s">
        <v>6618</v>
      </c>
      <c r="D1989" s="5" t="s">
        <v>1083</v>
      </c>
      <c r="E1989" s="5" t="s">
        <v>6619</v>
      </c>
      <c r="F1989" s="5" t="s">
        <v>6620</v>
      </c>
      <c r="G1989" s="6">
        <v>46098.586111111108</v>
      </c>
      <c r="H1989" s="7">
        <v>46104</v>
      </c>
      <c r="I1989" s="6">
        <v>46100.627083333333</v>
      </c>
      <c r="J1989" s="7">
        <v>46100</v>
      </c>
      <c r="K1989" s="5" t="s">
        <v>1527</v>
      </c>
      <c r="L1989" s="5" t="s">
        <v>1621</v>
      </c>
      <c r="M1989" s="8">
        <v>54.04</v>
      </c>
      <c r="N1989" s="5" t="s">
        <v>1536</v>
      </c>
      <c r="O1989" s="7">
        <v>46100</v>
      </c>
    </row>
    <row r="1990" spans="1:15" hidden="1" x14ac:dyDescent="0.25">
      <c r="A1990" s="5" t="s">
        <v>1522</v>
      </c>
      <c r="B1990" s="5" t="s">
        <v>6621</v>
      </c>
      <c r="D1990" s="5" t="s">
        <v>1510</v>
      </c>
      <c r="E1990" s="5" t="s">
        <v>2466</v>
      </c>
      <c r="F1990" s="5" t="s">
        <v>6467</v>
      </c>
      <c r="G1990" s="6">
        <v>46057.69027777778</v>
      </c>
      <c r="H1990" s="7">
        <v>46059</v>
      </c>
      <c r="I1990" s="5" t="s">
        <v>6622</v>
      </c>
      <c r="J1990" s="7">
        <v>46063</v>
      </c>
      <c r="K1990" s="5" t="s">
        <v>1527</v>
      </c>
      <c r="L1990" s="5" t="s">
        <v>1621</v>
      </c>
      <c r="M1990" s="8">
        <v>54</v>
      </c>
      <c r="N1990" s="5" t="s">
        <v>1536</v>
      </c>
      <c r="O1990" s="7">
        <v>46063</v>
      </c>
    </row>
    <row r="1991" spans="1:15" x14ac:dyDescent="0.25">
      <c r="A1991" s="5" t="s">
        <v>4</v>
      </c>
      <c r="B1991" s="5" t="s">
        <v>6623</v>
      </c>
      <c r="D1991" s="5" t="s">
        <v>402</v>
      </c>
      <c r="E1991" s="5" t="s">
        <v>6624</v>
      </c>
      <c r="F1991" s="5" t="s">
        <v>6625</v>
      </c>
      <c r="G1991" s="6">
        <v>46027.714583333334</v>
      </c>
      <c r="H1991" s="7">
        <v>46034</v>
      </c>
      <c r="I1991" s="6">
        <v>46030.706250000003</v>
      </c>
      <c r="J1991" s="7">
        <v>46030</v>
      </c>
      <c r="K1991" s="5" t="s">
        <v>1527</v>
      </c>
      <c r="L1991" s="5" t="s">
        <v>1621</v>
      </c>
      <c r="M1991" s="8">
        <v>53.97</v>
      </c>
      <c r="N1991" s="5" t="s">
        <v>1536</v>
      </c>
      <c r="O1991" s="7">
        <v>46030</v>
      </c>
    </row>
    <row r="1992" spans="1:15" x14ac:dyDescent="0.25">
      <c r="A1992" s="5" t="s">
        <v>4</v>
      </c>
      <c r="B1992" s="5" t="s">
        <v>6626</v>
      </c>
      <c r="D1992" s="5" t="s">
        <v>1286</v>
      </c>
      <c r="E1992" s="5" t="s">
        <v>5336</v>
      </c>
      <c r="F1992" s="5" t="s">
        <v>6627</v>
      </c>
      <c r="G1992" s="6">
        <v>46076.64166666667</v>
      </c>
      <c r="H1992" s="7">
        <v>46085</v>
      </c>
      <c r="I1992" s="6">
        <v>46084.757638888892</v>
      </c>
      <c r="J1992" s="7">
        <v>46083</v>
      </c>
      <c r="K1992" s="5" t="s">
        <v>1527</v>
      </c>
      <c r="L1992" s="5" t="s">
        <v>1621</v>
      </c>
      <c r="M1992" s="8">
        <v>53.9</v>
      </c>
      <c r="N1992" s="5" t="s">
        <v>1536</v>
      </c>
      <c r="O1992" s="7">
        <v>46083</v>
      </c>
    </row>
    <row r="1993" spans="1:15" x14ac:dyDescent="0.25">
      <c r="A1993" s="5" t="s">
        <v>4</v>
      </c>
      <c r="B1993" s="5" t="s">
        <v>6628</v>
      </c>
      <c r="D1993" s="5" t="s">
        <v>420</v>
      </c>
      <c r="E1993" s="5" t="s">
        <v>6629</v>
      </c>
      <c r="F1993" s="5" t="s">
        <v>6630</v>
      </c>
      <c r="G1993" s="6">
        <v>46111.702777777777</v>
      </c>
      <c r="H1993" s="7">
        <v>46120</v>
      </c>
      <c r="I1993" s="6">
        <v>46120.760416666664</v>
      </c>
      <c r="J1993" s="7">
        <v>46119</v>
      </c>
      <c r="K1993" s="5" t="s">
        <v>1527</v>
      </c>
      <c r="L1993" s="5" t="s">
        <v>1621</v>
      </c>
      <c r="M1993" s="8">
        <v>53.9</v>
      </c>
      <c r="N1993" s="5" t="s">
        <v>1536</v>
      </c>
      <c r="O1993" s="7">
        <v>46119</v>
      </c>
    </row>
    <row r="1994" spans="1:15" x14ac:dyDescent="0.25">
      <c r="A1994" s="5" t="s">
        <v>4</v>
      </c>
      <c r="B1994" s="5" t="s">
        <v>6631</v>
      </c>
      <c r="D1994" s="5" t="s">
        <v>52</v>
      </c>
      <c r="E1994" s="5" t="s">
        <v>6632</v>
      </c>
      <c r="F1994" s="5" t="s">
        <v>6633</v>
      </c>
      <c r="G1994" s="6">
        <v>46161.692361111112</v>
      </c>
      <c r="H1994" s="7">
        <v>46168</v>
      </c>
      <c r="I1994" s="6">
        <v>46168.734027777777</v>
      </c>
      <c r="J1994" s="7">
        <v>46168</v>
      </c>
      <c r="K1994" s="5" t="s">
        <v>1527</v>
      </c>
      <c r="L1994" s="5" t="s">
        <v>1621</v>
      </c>
      <c r="M1994" s="9">
        <v>53.9</v>
      </c>
      <c r="N1994" s="5" t="s">
        <v>1536</v>
      </c>
      <c r="O1994" s="7">
        <v>46168</v>
      </c>
    </row>
    <row r="1995" spans="1:15" x14ac:dyDescent="0.25">
      <c r="A1995" s="5" t="s">
        <v>4</v>
      </c>
      <c r="B1995" s="5" t="s">
        <v>6634</v>
      </c>
      <c r="D1995" s="5" t="s">
        <v>327</v>
      </c>
      <c r="E1995" s="5" t="s">
        <v>6635</v>
      </c>
      <c r="F1995" s="5" t="s">
        <v>6636</v>
      </c>
      <c r="G1995" s="6">
        <v>46031.620833333334</v>
      </c>
      <c r="H1995" s="7">
        <v>46038</v>
      </c>
      <c r="I1995" s="6">
        <v>46035.731249999997</v>
      </c>
      <c r="J1995" s="7">
        <v>46035</v>
      </c>
      <c r="K1995" s="5" t="s">
        <v>1527</v>
      </c>
      <c r="L1995" s="5" t="s">
        <v>1621</v>
      </c>
      <c r="M1995" s="8">
        <v>53.89</v>
      </c>
      <c r="N1995" s="5" t="s">
        <v>1536</v>
      </c>
      <c r="O1995" s="7">
        <v>46035</v>
      </c>
    </row>
    <row r="1996" spans="1:15" x14ac:dyDescent="0.25">
      <c r="A1996" s="5" t="s">
        <v>4</v>
      </c>
      <c r="B1996" s="5" t="s">
        <v>6637</v>
      </c>
      <c r="D1996" s="5" t="s">
        <v>36</v>
      </c>
      <c r="E1996" s="5" t="s">
        <v>6638</v>
      </c>
      <c r="F1996" s="5" t="s">
        <v>6639</v>
      </c>
      <c r="G1996" s="6">
        <v>46161.709722222222</v>
      </c>
      <c r="H1996" s="7">
        <v>46168</v>
      </c>
      <c r="I1996" s="6">
        <v>46167.745138888888</v>
      </c>
      <c r="J1996" s="7">
        <v>46167</v>
      </c>
      <c r="K1996" s="5" t="s">
        <v>1527</v>
      </c>
      <c r="L1996" s="5" t="s">
        <v>1621</v>
      </c>
      <c r="M1996" s="8">
        <v>53.65</v>
      </c>
      <c r="N1996" s="5" t="s">
        <v>1536</v>
      </c>
      <c r="O1996" s="7">
        <v>46167</v>
      </c>
    </row>
    <row r="1997" spans="1:15" x14ac:dyDescent="0.25">
      <c r="A1997" s="5" t="s">
        <v>4</v>
      </c>
      <c r="B1997" s="5" t="s">
        <v>6640</v>
      </c>
      <c r="D1997" s="5" t="s">
        <v>1094</v>
      </c>
      <c r="E1997" s="5" t="s">
        <v>6641</v>
      </c>
      <c r="F1997" s="5" t="s">
        <v>6642</v>
      </c>
      <c r="G1997" s="6">
        <v>46125.702777777777</v>
      </c>
      <c r="H1997" s="7">
        <v>46132</v>
      </c>
      <c r="I1997" s="5" t="s">
        <v>5084</v>
      </c>
      <c r="J1997" s="7">
        <v>46135</v>
      </c>
      <c r="K1997" s="5" t="s">
        <v>1527</v>
      </c>
      <c r="L1997" s="5" t="s">
        <v>1564</v>
      </c>
      <c r="M1997" s="8">
        <v>53.62</v>
      </c>
      <c r="N1997" s="5" t="s">
        <v>1536</v>
      </c>
      <c r="O1997" s="7">
        <v>46135</v>
      </c>
    </row>
    <row r="1998" spans="1:15" x14ac:dyDescent="0.25">
      <c r="A1998" s="5" t="s">
        <v>4</v>
      </c>
      <c r="B1998" s="5" t="s">
        <v>6643</v>
      </c>
      <c r="D1998" s="5" t="s">
        <v>1138</v>
      </c>
      <c r="E1998" s="5" t="s">
        <v>6644</v>
      </c>
      <c r="F1998" s="5" t="s">
        <v>6645</v>
      </c>
      <c r="G1998" s="6">
        <v>46101.652083333334</v>
      </c>
      <c r="H1998" s="7">
        <v>46108</v>
      </c>
      <c r="I1998" s="6">
        <v>46107.697916666664</v>
      </c>
      <c r="J1998" s="7">
        <v>46107</v>
      </c>
      <c r="K1998" s="5" t="s">
        <v>1527</v>
      </c>
      <c r="L1998" s="5" t="s">
        <v>1621</v>
      </c>
      <c r="M1998" s="8">
        <v>53.24</v>
      </c>
      <c r="N1998" s="5" t="s">
        <v>1536</v>
      </c>
      <c r="O1998" s="7">
        <v>46107</v>
      </c>
    </row>
    <row r="1999" spans="1:15" x14ac:dyDescent="0.25">
      <c r="A1999" s="5" t="s">
        <v>4</v>
      </c>
      <c r="B1999" s="5" t="s">
        <v>6646</v>
      </c>
      <c r="D1999" s="5" t="s">
        <v>221</v>
      </c>
      <c r="E1999" s="5" t="s">
        <v>6647</v>
      </c>
      <c r="F1999" s="5" t="s">
        <v>6648</v>
      </c>
      <c r="G1999" s="6">
        <v>46071.710416666669</v>
      </c>
      <c r="H1999" s="7">
        <v>46078</v>
      </c>
      <c r="I1999" s="6">
        <v>46078.690972222219</v>
      </c>
      <c r="J1999" s="7">
        <v>46078</v>
      </c>
      <c r="K1999" s="5" t="s">
        <v>1527</v>
      </c>
      <c r="L1999" s="5" t="s">
        <v>1621</v>
      </c>
      <c r="M1999" s="8">
        <v>53.13</v>
      </c>
      <c r="N1999" s="5" t="s">
        <v>1536</v>
      </c>
      <c r="O1999" s="7">
        <v>46078</v>
      </c>
    </row>
    <row r="2000" spans="1:15" x14ac:dyDescent="0.25">
      <c r="A2000" s="5" t="s">
        <v>4</v>
      </c>
      <c r="B2000" s="5" t="s">
        <v>6649</v>
      </c>
      <c r="D2000" s="5" t="s">
        <v>1490</v>
      </c>
      <c r="E2000" s="5" t="s">
        <v>6650</v>
      </c>
      <c r="F2000" s="5" t="s">
        <v>6651</v>
      </c>
      <c r="G2000" s="6">
        <v>46098.6875</v>
      </c>
      <c r="H2000" s="7">
        <v>46104</v>
      </c>
      <c r="I2000" s="6">
        <v>46100.62777777778</v>
      </c>
      <c r="J2000" s="7">
        <v>46100</v>
      </c>
      <c r="K2000" s="5" t="s">
        <v>1527</v>
      </c>
      <c r="L2000" s="5" t="s">
        <v>1621</v>
      </c>
      <c r="M2000" s="8">
        <v>53.13</v>
      </c>
      <c r="N2000" s="5" t="s">
        <v>1536</v>
      </c>
      <c r="O2000" s="7">
        <v>46100</v>
      </c>
    </row>
    <row r="2001" spans="1:15" x14ac:dyDescent="0.25">
      <c r="A2001" s="5" t="s">
        <v>4</v>
      </c>
      <c r="B2001" s="5" t="s">
        <v>6652</v>
      </c>
      <c r="D2001" s="5" t="s">
        <v>864</v>
      </c>
      <c r="E2001" s="5" t="s">
        <v>6653</v>
      </c>
      <c r="F2001" s="5" t="s">
        <v>1548</v>
      </c>
      <c r="G2001" s="6">
        <v>46029.383333333331</v>
      </c>
      <c r="H2001" s="7">
        <v>46038</v>
      </c>
      <c r="I2001" s="5" t="s">
        <v>6654</v>
      </c>
      <c r="J2001" s="7">
        <v>46043</v>
      </c>
      <c r="K2001" s="5" t="s">
        <v>1527</v>
      </c>
      <c r="L2001" s="5" t="s">
        <v>1564</v>
      </c>
      <c r="M2001" s="8">
        <v>52.8</v>
      </c>
      <c r="N2001" s="5" t="s">
        <v>1536</v>
      </c>
      <c r="O2001" s="7">
        <v>46043</v>
      </c>
    </row>
    <row r="2002" spans="1:15" x14ac:dyDescent="0.25">
      <c r="A2002" s="5" t="s">
        <v>4</v>
      </c>
      <c r="B2002" s="5" t="s">
        <v>6655</v>
      </c>
      <c r="D2002" s="5" t="s">
        <v>629</v>
      </c>
      <c r="E2002" s="5" t="s">
        <v>6656</v>
      </c>
      <c r="F2002" s="5" t="s">
        <v>6657</v>
      </c>
      <c r="G2002" s="6">
        <v>46051.648611111108</v>
      </c>
      <c r="H2002" s="7">
        <v>46058</v>
      </c>
      <c r="I2002" s="5" t="s">
        <v>6658</v>
      </c>
      <c r="J2002" s="7">
        <v>46059</v>
      </c>
      <c r="K2002" s="5" t="s">
        <v>1527</v>
      </c>
      <c r="L2002" s="5" t="s">
        <v>1621</v>
      </c>
      <c r="M2002" s="8">
        <v>52.58</v>
      </c>
      <c r="N2002" s="5" t="s">
        <v>1536</v>
      </c>
      <c r="O2002" s="7">
        <v>46059</v>
      </c>
    </row>
    <row r="2003" spans="1:15" x14ac:dyDescent="0.25">
      <c r="A2003" s="5" t="s">
        <v>4</v>
      </c>
      <c r="B2003" s="5" t="s">
        <v>6659</v>
      </c>
      <c r="D2003" s="5" t="s">
        <v>861</v>
      </c>
      <c r="E2003" s="5" t="s">
        <v>6660</v>
      </c>
      <c r="F2003" s="5" t="s">
        <v>6661</v>
      </c>
      <c r="G2003" s="6">
        <v>46069.584722222222</v>
      </c>
      <c r="H2003" s="7">
        <v>46076</v>
      </c>
      <c r="I2003" s="6">
        <v>46076.634722222225</v>
      </c>
      <c r="J2003" s="7">
        <v>46076</v>
      </c>
      <c r="K2003" s="5" t="s">
        <v>1527</v>
      </c>
      <c r="L2003" s="5" t="s">
        <v>1621</v>
      </c>
      <c r="M2003" s="8">
        <v>52.58</v>
      </c>
      <c r="N2003" s="5" t="s">
        <v>1536</v>
      </c>
      <c r="O2003" s="7">
        <v>46076</v>
      </c>
    </row>
    <row r="2004" spans="1:15" x14ac:dyDescent="0.25">
      <c r="A2004" s="5" t="s">
        <v>4</v>
      </c>
      <c r="B2004" s="5" t="s">
        <v>6662</v>
      </c>
      <c r="D2004" s="5" t="s">
        <v>909</v>
      </c>
      <c r="E2004" s="5" t="s">
        <v>6663</v>
      </c>
      <c r="F2004" s="5" t="s">
        <v>6664</v>
      </c>
      <c r="G2004" s="6">
        <v>46071.643750000003</v>
      </c>
      <c r="H2004" s="7">
        <v>46078</v>
      </c>
      <c r="I2004" s="5" t="s">
        <v>6665</v>
      </c>
      <c r="J2004" s="7">
        <v>46080</v>
      </c>
      <c r="K2004" s="5" t="s">
        <v>1527</v>
      </c>
      <c r="L2004" s="5" t="s">
        <v>1621</v>
      </c>
      <c r="M2004" s="8">
        <v>52.58</v>
      </c>
      <c r="N2004" s="5" t="s">
        <v>1536</v>
      </c>
      <c r="O2004" s="7">
        <v>46080</v>
      </c>
    </row>
    <row r="2005" spans="1:15" x14ac:dyDescent="0.25">
      <c r="A2005" s="5" t="s">
        <v>4</v>
      </c>
      <c r="B2005" s="5" t="s">
        <v>6666</v>
      </c>
      <c r="D2005" s="5" t="s">
        <v>587</v>
      </c>
      <c r="E2005" s="5" t="s">
        <v>6667</v>
      </c>
      <c r="F2005" s="5" t="s">
        <v>6668</v>
      </c>
      <c r="G2005" s="6">
        <v>46101.691666666666</v>
      </c>
      <c r="H2005" s="7">
        <v>46112</v>
      </c>
      <c r="I2005" s="6">
        <v>46112.73333333333</v>
      </c>
      <c r="J2005" s="7">
        <v>46112</v>
      </c>
      <c r="K2005" s="5" t="s">
        <v>1527</v>
      </c>
      <c r="L2005" s="5" t="s">
        <v>1621</v>
      </c>
      <c r="M2005" s="8">
        <v>52.58</v>
      </c>
      <c r="N2005" s="5" t="s">
        <v>1536</v>
      </c>
      <c r="O2005" s="7">
        <v>46112</v>
      </c>
    </row>
    <row r="2006" spans="1:15" x14ac:dyDescent="0.25">
      <c r="A2006" s="5" t="s">
        <v>4</v>
      </c>
      <c r="B2006" s="5" t="s">
        <v>6669</v>
      </c>
      <c r="D2006" s="5" t="s">
        <v>155</v>
      </c>
      <c r="E2006" s="5" t="s">
        <v>6670</v>
      </c>
      <c r="F2006" s="5" t="s">
        <v>6671</v>
      </c>
      <c r="G2006" s="6">
        <v>46105.661111111112</v>
      </c>
      <c r="H2006" s="7">
        <v>46112</v>
      </c>
      <c r="I2006" s="5" t="s">
        <v>6672</v>
      </c>
      <c r="J2006" s="7">
        <v>46119</v>
      </c>
      <c r="K2006" s="5" t="s">
        <v>1527</v>
      </c>
      <c r="L2006" s="5" t="s">
        <v>1621</v>
      </c>
      <c r="M2006" s="8">
        <v>52.58</v>
      </c>
      <c r="N2006" s="5" t="s">
        <v>1536</v>
      </c>
      <c r="O2006" s="7">
        <v>46119</v>
      </c>
    </row>
    <row r="2007" spans="1:15" x14ac:dyDescent="0.25">
      <c r="A2007" s="5" t="s">
        <v>4</v>
      </c>
      <c r="B2007" s="5" t="s">
        <v>6673</v>
      </c>
      <c r="D2007" s="5" t="s">
        <v>1428</v>
      </c>
      <c r="E2007" s="5" t="s">
        <v>3553</v>
      </c>
      <c r="F2007" s="5" t="s">
        <v>6674</v>
      </c>
      <c r="G2007" s="6">
        <v>46119.649305555555</v>
      </c>
      <c r="H2007" s="7">
        <v>46126</v>
      </c>
      <c r="I2007" s="5" t="s">
        <v>6675</v>
      </c>
      <c r="J2007" s="7">
        <v>46126</v>
      </c>
      <c r="K2007" s="5" t="s">
        <v>1527</v>
      </c>
      <c r="L2007" s="5" t="s">
        <v>1564</v>
      </c>
      <c r="M2007" s="8">
        <v>52.58</v>
      </c>
      <c r="N2007" s="5" t="s">
        <v>1536</v>
      </c>
      <c r="O2007" s="7">
        <v>46126</v>
      </c>
    </row>
    <row r="2008" spans="1:15" x14ac:dyDescent="0.25">
      <c r="A2008" s="5" t="s">
        <v>4</v>
      </c>
      <c r="B2008" s="5" t="s">
        <v>6676</v>
      </c>
      <c r="D2008" s="5" t="s">
        <v>553</v>
      </c>
      <c r="E2008" s="5" t="s">
        <v>6677</v>
      </c>
      <c r="F2008" s="5" t="s">
        <v>6678</v>
      </c>
      <c r="G2008" s="6">
        <v>46049.606249999997</v>
      </c>
      <c r="H2008" s="7">
        <v>46057</v>
      </c>
      <c r="I2008" s="6">
        <v>46055.64166666667</v>
      </c>
      <c r="J2008" s="7">
        <v>46055</v>
      </c>
      <c r="K2008" s="5" t="s">
        <v>1527</v>
      </c>
      <c r="L2008" s="5" t="s">
        <v>1621</v>
      </c>
      <c r="M2008" s="8">
        <v>52.57</v>
      </c>
      <c r="N2008" s="5" t="s">
        <v>1536</v>
      </c>
      <c r="O2008" s="7">
        <v>46055</v>
      </c>
    </row>
    <row r="2009" spans="1:15" x14ac:dyDescent="0.25">
      <c r="A2009" s="5" t="s">
        <v>4</v>
      </c>
      <c r="B2009" s="5" t="s">
        <v>6679</v>
      </c>
      <c r="D2009" s="5" t="s">
        <v>877</v>
      </c>
      <c r="E2009" s="5" t="s">
        <v>6680</v>
      </c>
      <c r="F2009" s="5" t="s">
        <v>6681</v>
      </c>
      <c r="G2009" s="6">
        <v>46113.665277777778</v>
      </c>
      <c r="H2009" s="7">
        <v>46120</v>
      </c>
      <c r="I2009" s="5" t="s">
        <v>3249</v>
      </c>
      <c r="J2009" s="7">
        <v>46121</v>
      </c>
      <c r="K2009" s="5" t="s">
        <v>1527</v>
      </c>
      <c r="L2009" s="5" t="s">
        <v>1621</v>
      </c>
      <c r="M2009" s="8">
        <v>52.49</v>
      </c>
      <c r="N2009" s="5" t="s">
        <v>1536</v>
      </c>
      <c r="O2009" s="7">
        <v>46121</v>
      </c>
    </row>
    <row r="2010" spans="1:15" x14ac:dyDescent="0.25">
      <c r="A2010" s="5" t="s">
        <v>4</v>
      </c>
      <c r="B2010" s="5" t="s">
        <v>6682</v>
      </c>
      <c r="D2010" s="5" t="s">
        <v>1208</v>
      </c>
      <c r="E2010" s="5" t="s">
        <v>6683</v>
      </c>
      <c r="F2010" s="5" t="s">
        <v>6684</v>
      </c>
      <c r="G2010" s="6">
        <v>46153.628472222219</v>
      </c>
      <c r="H2010" s="7">
        <v>46169</v>
      </c>
      <c r="I2010" s="6">
        <v>46167.745138888888</v>
      </c>
      <c r="J2010" s="7">
        <v>46167</v>
      </c>
      <c r="K2010" s="5" t="s">
        <v>1527</v>
      </c>
      <c r="L2010" s="5" t="s">
        <v>1621</v>
      </c>
      <c r="M2010" s="8">
        <v>52.38</v>
      </c>
      <c r="N2010" s="5" t="s">
        <v>1536</v>
      </c>
      <c r="O2010" s="7">
        <v>46167</v>
      </c>
    </row>
    <row r="2011" spans="1:15" x14ac:dyDescent="0.25">
      <c r="A2011" s="5" t="s">
        <v>4</v>
      </c>
      <c r="B2011" s="5" t="s">
        <v>6685</v>
      </c>
      <c r="D2011" s="5" t="s">
        <v>896</v>
      </c>
      <c r="E2011" s="5" t="s">
        <v>6686</v>
      </c>
      <c r="F2011" s="5" t="s">
        <v>6687</v>
      </c>
      <c r="G2011" s="6">
        <v>46042.695833333331</v>
      </c>
      <c r="H2011" s="7">
        <v>46049</v>
      </c>
      <c r="I2011" s="6">
        <v>46045.695138888892</v>
      </c>
      <c r="J2011" s="7">
        <v>46045</v>
      </c>
      <c r="K2011" s="5" t="s">
        <v>1527</v>
      </c>
      <c r="L2011" s="5" t="s">
        <v>1621</v>
      </c>
      <c r="M2011" s="8">
        <v>52.07</v>
      </c>
      <c r="N2011" s="5" t="s">
        <v>1536</v>
      </c>
      <c r="O2011" s="7">
        <v>46045</v>
      </c>
    </row>
    <row r="2012" spans="1:15" x14ac:dyDescent="0.25">
      <c r="A2012" s="5" t="s">
        <v>4</v>
      </c>
      <c r="B2012" s="5" t="s">
        <v>6688</v>
      </c>
      <c r="D2012" s="5" t="s">
        <v>1116</v>
      </c>
      <c r="E2012" s="5" t="s">
        <v>6689</v>
      </c>
      <c r="F2012" s="5" t="s">
        <v>6690</v>
      </c>
      <c r="G2012" s="6">
        <v>46048.727083333331</v>
      </c>
      <c r="H2012" s="7">
        <v>46055</v>
      </c>
      <c r="I2012" s="5" t="s">
        <v>6691</v>
      </c>
      <c r="J2012" s="7">
        <v>46059</v>
      </c>
      <c r="K2012" s="5" t="s">
        <v>1527</v>
      </c>
      <c r="L2012" s="5" t="s">
        <v>1621</v>
      </c>
      <c r="M2012" s="8">
        <v>52.07</v>
      </c>
      <c r="N2012" s="5" t="s">
        <v>1536</v>
      </c>
      <c r="O2012" s="7">
        <v>46059</v>
      </c>
    </row>
    <row r="2013" spans="1:15" x14ac:dyDescent="0.25">
      <c r="A2013" s="5" t="s">
        <v>4</v>
      </c>
      <c r="B2013" s="5" t="s">
        <v>6692</v>
      </c>
      <c r="D2013" s="5" t="s">
        <v>1001</v>
      </c>
      <c r="E2013" s="5" t="s">
        <v>6693</v>
      </c>
      <c r="F2013" s="5" t="s">
        <v>6694</v>
      </c>
      <c r="G2013" s="6">
        <v>46059.729166666664</v>
      </c>
      <c r="H2013" s="7">
        <v>46066</v>
      </c>
      <c r="I2013" s="5" t="s">
        <v>6695</v>
      </c>
      <c r="J2013" s="7">
        <v>46069</v>
      </c>
      <c r="K2013" s="5" t="s">
        <v>1527</v>
      </c>
      <c r="L2013" s="5" t="s">
        <v>1621</v>
      </c>
      <c r="M2013" s="8">
        <v>52.07</v>
      </c>
      <c r="N2013" s="5" t="s">
        <v>1536</v>
      </c>
      <c r="O2013" s="7">
        <v>46069</v>
      </c>
    </row>
    <row r="2014" spans="1:15" x14ac:dyDescent="0.25">
      <c r="A2014" s="5" t="s">
        <v>4</v>
      </c>
      <c r="B2014" s="5" t="s">
        <v>6696</v>
      </c>
      <c r="D2014" s="5" t="s">
        <v>506</v>
      </c>
      <c r="E2014" s="5" t="s">
        <v>6697</v>
      </c>
      <c r="F2014" s="5" t="s">
        <v>6698</v>
      </c>
      <c r="G2014" s="6">
        <v>46077.675000000003</v>
      </c>
      <c r="H2014" s="7">
        <v>46084</v>
      </c>
      <c r="I2014" s="6">
        <v>46084.615277777775</v>
      </c>
      <c r="J2014" s="7">
        <v>46083</v>
      </c>
      <c r="K2014" s="5" t="s">
        <v>1527</v>
      </c>
      <c r="L2014" s="5" t="s">
        <v>1621</v>
      </c>
      <c r="M2014" s="8">
        <v>52.07</v>
      </c>
      <c r="N2014" s="5" t="s">
        <v>1536</v>
      </c>
      <c r="O2014" s="7">
        <v>46083</v>
      </c>
    </row>
    <row r="2015" spans="1:15" x14ac:dyDescent="0.25">
      <c r="A2015" s="5" t="s">
        <v>4</v>
      </c>
      <c r="B2015" s="5" t="s">
        <v>6699</v>
      </c>
      <c r="D2015" s="5" t="s">
        <v>1296</v>
      </c>
      <c r="E2015" s="5" t="s">
        <v>4693</v>
      </c>
      <c r="F2015" s="5" t="s">
        <v>6700</v>
      </c>
      <c r="G2015" s="6">
        <v>46086.648611111108</v>
      </c>
      <c r="H2015" s="7">
        <v>46092</v>
      </c>
      <c r="I2015" s="5" t="s">
        <v>6701</v>
      </c>
      <c r="J2015" s="7">
        <v>46099</v>
      </c>
      <c r="K2015" s="5" t="s">
        <v>1527</v>
      </c>
      <c r="L2015" s="5" t="s">
        <v>1621</v>
      </c>
      <c r="M2015" s="8">
        <v>52.07</v>
      </c>
      <c r="N2015" s="5" t="s">
        <v>1536</v>
      </c>
      <c r="O2015" s="7">
        <v>46099</v>
      </c>
    </row>
    <row r="2016" spans="1:15" hidden="1" x14ac:dyDescent="0.25">
      <c r="A2016" s="5" t="s">
        <v>1522</v>
      </c>
      <c r="B2016" s="5" t="s">
        <v>6702</v>
      </c>
      <c r="D2016" s="5" t="s">
        <v>1508</v>
      </c>
      <c r="E2016" s="5" t="s">
        <v>2606</v>
      </c>
      <c r="F2016" s="5" t="s">
        <v>3216</v>
      </c>
      <c r="G2016" s="6">
        <v>46161.423611111109</v>
      </c>
      <c r="H2016" s="7">
        <v>46162</v>
      </c>
      <c r="I2016" s="5" t="s">
        <v>6703</v>
      </c>
      <c r="J2016" s="7">
        <v>46163</v>
      </c>
      <c r="K2016" s="5" t="s">
        <v>1527</v>
      </c>
      <c r="L2016" s="5" t="s">
        <v>1528</v>
      </c>
      <c r="M2016" s="8">
        <v>52.05</v>
      </c>
      <c r="N2016" s="5" t="s">
        <v>1536</v>
      </c>
      <c r="O2016" s="7">
        <v>46163</v>
      </c>
    </row>
    <row r="2017" spans="1:15" x14ac:dyDescent="0.25">
      <c r="A2017" s="5" t="s">
        <v>4</v>
      </c>
      <c r="B2017" s="5" t="s">
        <v>6704</v>
      </c>
      <c r="D2017" s="5" t="s">
        <v>234</v>
      </c>
      <c r="E2017" s="5" t="s">
        <v>6705</v>
      </c>
      <c r="F2017" s="5" t="s">
        <v>6706</v>
      </c>
      <c r="G2017" s="6">
        <v>46028.622916666667</v>
      </c>
      <c r="H2017" s="7">
        <v>46035</v>
      </c>
      <c r="I2017" s="6">
        <v>46034.707638888889</v>
      </c>
      <c r="J2017" s="7">
        <v>46034</v>
      </c>
      <c r="K2017" s="5" t="s">
        <v>1527</v>
      </c>
      <c r="L2017" s="5" t="s">
        <v>1621</v>
      </c>
      <c r="M2017" s="8">
        <v>51.97</v>
      </c>
      <c r="N2017" s="5" t="s">
        <v>1536</v>
      </c>
      <c r="O2017" s="7">
        <v>46034</v>
      </c>
    </row>
    <row r="2018" spans="1:15" x14ac:dyDescent="0.25">
      <c r="A2018" s="5" t="s">
        <v>4</v>
      </c>
      <c r="B2018" s="5" t="s">
        <v>6707</v>
      </c>
      <c r="D2018" s="5" t="s">
        <v>608</v>
      </c>
      <c r="E2018" s="5" t="s">
        <v>6708</v>
      </c>
      <c r="F2018" s="5" t="s">
        <v>6709</v>
      </c>
      <c r="G2018" s="6">
        <v>46105.657638888886</v>
      </c>
      <c r="H2018" s="7">
        <v>46112</v>
      </c>
      <c r="I2018" s="5" t="s">
        <v>6710</v>
      </c>
      <c r="J2018" s="7">
        <v>46118</v>
      </c>
      <c r="K2018" s="5" t="s">
        <v>1527</v>
      </c>
      <c r="L2018" s="5" t="s">
        <v>1621</v>
      </c>
      <c r="M2018" s="8">
        <v>51.87</v>
      </c>
      <c r="N2018" s="5" t="s">
        <v>1536</v>
      </c>
      <c r="O2018" s="7">
        <v>46118</v>
      </c>
    </row>
    <row r="2019" spans="1:15" x14ac:dyDescent="0.25">
      <c r="A2019" s="5" t="s">
        <v>4</v>
      </c>
      <c r="B2019" s="5" t="s">
        <v>6711</v>
      </c>
      <c r="D2019" s="5" t="s">
        <v>1005</v>
      </c>
      <c r="E2019" s="5" t="s">
        <v>6712</v>
      </c>
      <c r="F2019" s="5" t="s">
        <v>6713</v>
      </c>
      <c r="G2019" s="6">
        <v>46171.64166666667</v>
      </c>
      <c r="H2019" s="7">
        <v>46178</v>
      </c>
      <c r="I2019" s="5" t="s">
        <v>1533</v>
      </c>
      <c r="J2019" s="7">
        <v>46183</v>
      </c>
      <c r="K2019" s="5" t="s">
        <v>1534</v>
      </c>
      <c r="L2019" s="5" t="s">
        <v>3243</v>
      </c>
      <c r="M2019" s="8">
        <v>51.81</v>
      </c>
      <c r="N2019" s="5" t="s">
        <v>1529</v>
      </c>
      <c r="O2019" s="7">
        <v>46183</v>
      </c>
    </row>
    <row r="2020" spans="1:15" hidden="1" x14ac:dyDescent="0.25">
      <c r="A2020" s="5" t="s">
        <v>1522</v>
      </c>
      <c r="B2020" s="5">
        <v>38121</v>
      </c>
      <c r="D2020" s="5" t="s">
        <v>927</v>
      </c>
      <c r="E2020" s="5" t="s">
        <v>6714</v>
      </c>
      <c r="F2020" s="5" t="s">
        <v>6715</v>
      </c>
      <c r="G2020" s="6">
        <v>46049.379861111112</v>
      </c>
      <c r="H2020" s="7">
        <v>46052</v>
      </c>
      <c r="I2020" s="6">
        <v>46050.749305555553</v>
      </c>
      <c r="J2020" s="7">
        <v>46050</v>
      </c>
      <c r="K2020" s="5" t="s">
        <v>1527</v>
      </c>
      <c r="L2020" s="5" t="s">
        <v>1528</v>
      </c>
      <c r="M2020" s="8">
        <v>51.51</v>
      </c>
      <c r="N2020" s="5" t="s">
        <v>1536</v>
      </c>
      <c r="O2020" s="7">
        <v>46050</v>
      </c>
    </row>
    <row r="2021" spans="1:15" hidden="1" x14ac:dyDescent="0.25">
      <c r="A2021" s="5" t="s">
        <v>1522</v>
      </c>
      <c r="B2021" s="5" t="s">
        <v>6716</v>
      </c>
      <c r="D2021" s="5" t="s">
        <v>1510</v>
      </c>
      <c r="E2021" s="5" t="s">
        <v>2466</v>
      </c>
      <c r="F2021" s="5" t="s">
        <v>3434</v>
      </c>
      <c r="G2021" s="6">
        <v>46101.647222222222</v>
      </c>
      <c r="H2021" s="7">
        <v>46104</v>
      </c>
      <c r="I2021" s="5" t="s">
        <v>6717</v>
      </c>
      <c r="J2021" s="7">
        <v>46113</v>
      </c>
      <c r="K2021" s="5" t="s">
        <v>1527</v>
      </c>
      <c r="L2021" s="5" t="s">
        <v>1621</v>
      </c>
      <c r="M2021" s="8">
        <v>51.36</v>
      </c>
      <c r="N2021" s="5" t="s">
        <v>1536</v>
      </c>
      <c r="O2021" s="7">
        <v>46113</v>
      </c>
    </row>
    <row r="2022" spans="1:15" x14ac:dyDescent="0.25">
      <c r="A2022" s="5" t="s">
        <v>4</v>
      </c>
      <c r="B2022" s="5" t="s">
        <v>6718</v>
      </c>
      <c r="D2022" s="5" t="s">
        <v>1255</v>
      </c>
      <c r="E2022" s="5" t="s">
        <v>6719</v>
      </c>
      <c r="F2022" s="5" t="s">
        <v>6720</v>
      </c>
      <c r="G2022" s="6">
        <v>46030.617361111108</v>
      </c>
      <c r="H2022" s="7">
        <v>46037</v>
      </c>
      <c r="I2022" s="6">
        <v>46035.730555555558</v>
      </c>
      <c r="J2022" s="7">
        <v>46035</v>
      </c>
      <c r="K2022" s="5" t="s">
        <v>1527</v>
      </c>
      <c r="L2022" s="5" t="s">
        <v>1621</v>
      </c>
      <c r="M2022" s="8">
        <v>51.36</v>
      </c>
      <c r="N2022" s="5" t="s">
        <v>1536</v>
      </c>
      <c r="O2022" s="7">
        <v>46035</v>
      </c>
    </row>
    <row r="2023" spans="1:15" x14ac:dyDescent="0.25">
      <c r="A2023" s="5" t="s">
        <v>4</v>
      </c>
      <c r="B2023" s="5" t="s">
        <v>6721</v>
      </c>
      <c r="D2023" s="5" t="s">
        <v>1483</v>
      </c>
      <c r="E2023" s="5" t="s">
        <v>1676</v>
      </c>
      <c r="F2023" s="5" t="s">
        <v>1677</v>
      </c>
      <c r="G2023" s="6">
        <v>46171.37222222222</v>
      </c>
      <c r="H2023" s="7">
        <v>46181</v>
      </c>
      <c r="I2023" s="6">
        <v>46181.774305555555</v>
      </c>
      <c r="J2023" s="7">
        <v>46181</v>
      </c>
      <c r="K2023" s="5" t="s">
        <v>1527</v>
      </c>
      <c r="L2023" s="5" t="s">
        <v>1535</v>
      </c>
      <c r="M2023" s="8">
        <v>50.7</v>
      </c>
      <c r="N2023" s="5" t="s">
        <v>1536</v>
      </c>
      <c r="O2023" s="7">
        <v>46181</v>
      </c>
    </row>
    <row r="2024" spans="1:15" hidden="1" x14ac:dyDescent="0.25">
      <c r="A2024" s="5" t="s">
        <v>1522</v>
      </c>
      <c r="B2024" s="5" t="s">
        <v>6722</v>
      </c>
      <c r="D2024" s="5" t="s">
        <v>1510</v>
      </c>
      <c r="E2024" s="5" t="s">
        <v>2466</v>
      </c>
      <c r="F2024" s="5" t="s">
        <v>5267</v>
      </c>
      <c r="G2024" s="6">
        <v>46099.615277777775</v>
      </c>
      <c r="H2024" s="7">
        <v>46101</v>
      </c>
      <c r="I2024" s="6">
        <v>46100.626388888886</v>
      </c>
      <c r="J2024" s="7">
        <v>46100</v>
      </c>
      <c r="K2024" s="5" t="s">
        <v>1527</v>
      </c>
      <c r="L2024" s="5" t="s">
        <v>1621</v>
      </c>
      <c r="M2024" s="8">
        <v>50.4</v>
      </c>
      <c r="N2024" s="5" t="s">
        <v>1536</v>
      </c>
      <c r="O2024" s="7">
        <v>46100</v>
      </c>
    </row>
    <row r="2025" spans="1:15" x14ac:dyDescent="0.25">
      <c r="A2025" s="5" t="s">
        <v>4</v>
      </c>
      <c r="B2025" s="5" t="s">
        <v>6723</v>
      </c>
      <c r="D2025" s="5" t="s">
        <v>1187</v>
      </c>
      <c r="E2025" s="5" t="s">
        <v>6724</v>
      </c>
      <c r="F2025" s="5" t="s">
        <v>6725</v>
      </c>
      <c r="G2025" s="6">
        <v>46153.655555555553</v>
      </c>
      <c r="H2025" s="7">
        <v>46162</v>
      </c>
      <c r="I2025" s="6">
        <v>46161.415972222225</v>
      </c>
      <c r="J2025" s="7">
        <v>46160</v>
      </c>
      <c r="K2025" s="5" t="s">
        <v>1527</v>
      </c>
      <c r="L2025" s="5" t="s">
        <v>1621</v>
      </c>
      <c r="M2025" s="8">
        <v>50.34</v>
      </c>
      <c r="N2025" s="5" t="s">
        <v>1536</v>
      </c>
      <c r="O2025" s="7">
        <v>46160</v>
      </c>
    </row>
    <row r="2026" spans="1:15" x14ac:dyDescent="0.25">
      <c r="A2026" s="5" t="s">
        <v>4</v>
      </c>
      <c r="B2026" s="5" t="s">
        <v>6726</v>
      </c>
      <c r="D2026" s="5" t="s">
        <v>111</v>
      </c>
      <c r="E2026" s="5" t="s">
        <v>6727</v>
      </c>
      <c r="F2026" s="5" t="s">
        <v>6728</v>
      </c>
      <c r="G2026" s="6">
        <v>46169.681944444441</v>
      </c>
      <c r="H2026" s="7">
        <v>46176</v>
      </c>
      <c r="I2026" s="5" t="s">
        <v>5457</v>
      </c>
      <c r="J2026" s="7">
        <v>46176</v>
      </c>
      <c r="K2026" s="5" t="s">
        <v>1527</v>
      </c>
      <c r="L2026" s="5" t="s">
        <v>3243</v>
      </c>
      <c r="M2026" s="8">
        <v>50.34</v>
      </c>
      <c r="N2026" s="5" t="s">
        <v>1536</v>
      </c>
      <c r="O2026" s="7">
        <v>46176</v>
      </c>
    </row>
    <row r="2027" spans="1:15" hidden="1" x14ac:dyDescent="0.25">
      <c r="A2027" s="5" t="s">
        <v>1522</v>
      </c>
      <c r="B2027" s="5" t="s">
        <v>6729</v>
      </c>
      <c r="D2027" s="5" t="s">
        <v>1506</v>
      </c>
      <c r="E2027" s="5" t="s">
        <v>1942</v>
      </c>
      <c r="F2027" s="5" t="s">
        <v>6730</v>
      </c>
      <c r="G2027" s="6">
        <v>46051.584722222222</v>
      </c>
      <c r="H2027" s="7">
        <v>46062</v>
      </c>
      <c r="I2027" s="6">
        <v>46062.654166666667</v>
      </c>
      <c r="J2027" s="7">
        <v>46062</v>
      </c>
      <c r="K2027" s="5" t="s">
        <v>1527</v>
      </c>
      <c r="L2027" s="5" t="s">
        <v>1528</v>
      </c>
      <c r="M2027" s="8">
        <v>50</v>
      </c>
      <c r="N2027" s="5" t="s">
        <v>1536</v>
      </c>
      <c r="O2027" s="7">
        <v>46062</v>
      </c>
    </row>
    <row r="2028" spans="1:15" hidden="1" x14ac:dyDescent="0.25">
      <c r="A2028" s="5" t="s">
        <v>1522</v>
      </c>
      <c r="B2028" s="5" t="s">
        <v>6731</v>
      </c>
      <c r="D2028" s="5" t="s">
        <v>1426</v>
      </c>
      <c r="E2028" s="5" t="s">
        <v>3737</v>
      </c>
      <c r="F2028" s="5" t="s">
        <v>6732</v>
      </c>
      <c r="G2028" s="6">
        <v>46141.661805555559</v>
      </c>
      <c r="H2028" s="7">
        <v>46150</v>
      </c>
      <c r="I2028" s="6">
        <v>46148.6</v>
      </c>
      <c r="J2028" s="7">
        <v>46148</v>
      </c>
      <c r="K2028" s="5" t="s">
        <v>1527</v>
      </c>
      <c r="L2028" s="5" t="s">
        <v>1528</v>
      </c>
      <c r="M2028" s="8">
        <v>50</v>
      </c>
      <c r="N2028" s="5" t="s">
        <v>1536</v>
      </c>
      <c r="O2028" s="7">
        <v>46148</v>
      </c>
    </row>
    <row r="2029" spans="1:15" x14ac:dyDescent="0.25">
      <c r="A2029" s="5" t="s">
        <v>4</v>
      </c>
      <c r="B2029" s="5" t="s">
        <v>6733</v>
      </c>
      <c r="D2029" s="5" t="s">
        <v>1169</v>
      </c>
      <c r="E2029" s="5" t="s">
        <v>6734</v>
      </c>
      <c r="F2029" s="5" t="s">
        <v>1738</v>
      </c>
      <c r="G2029" s="6">
        <v>46111.472222222219</v>
      </c>
      <c r="H2029" s="7">
        <v>46120</v>
      </c>
      <c r="I2029" s="6">
        <v>46119.689583333333</v>
      </c>
      <c r="J2029" s="7">
        <v>46118</v>
      </c>
      <c r="K2029" s="5" t="s">
        <v>1527</v>
      </c>
      <c r="L2029" s="5" t="s">
        <v>1564</v>
      </c>
      <c r="M2029" s="8">
        <v>50</v>
      </c>
      <c r="N2029" s="5" t="s">
        <v>1536</v>
      </c>
      <c r="O2029" s="7">
        <v>46118</v>
      </c>
    </row>
    <row r="2030" spans="1:15" x14ac:dyDescent="0.25">
      <c r="A2030" s="5" t="s">
        <v>4</v>
      </c>
      <c r="B2030" s="5" t="s">
        <v>6735</v>
      </c>
      <c r="D2030" s="5" t="s">
        <v>1073</v>
      </c>
      <c r="E2030" s="5" t="s">
        <v>6736</v>
      </c>
      <c r="F2030" s="5" t="s">
        <v>6737</v>
      </c>
      <c r="G2030" s="6">
        <v>46056.620833333334</v>
      </c>
      <c r="H2030" s="7">
        <v>46063</v>
      </c>
      <c r="I2030" s="5" t="s">
        <v>6738</v>
      </c>
      <c r="J2030" s="7">
        <v>46066</v>
      </c>
      <c r="K2030" s="5" t="s">
        <v>1527</v>
      </c>
      <c r="L2030" s="5" t="s">
        <v>1621</v>
      </c>
      <c r="M2030" s="8">
        <v>49.85</v>
      </c>
      <c r="N2030" s="5" t="s">
        <v>1536</v>
      </c>
      <c r="O2030" s="7">
        <v>46066</v>
      </c>
    </row>
    <row r="2031" spans="1:15" x14ac:dyDescent="0.25">
      <c r="A2031" s="5" t="s">
        <v>4</v>
      </c>
      <c r="B2031" s="5" t="s">
        <v>6739</v>
      </c>
      <c r="D2031" s="5" t="s">
        <v>1096</v>
      </c>
      <c r="E2031" s="5" t="s">
        <v>6740</v>
      </c>
      <c r="F2031" s="5" t="s">
        <v>6741</v>
      </c>
      <c r="G2031" s="6">
        <v>46114.618750000001</v>
      </c>
      <c r="H2031" s="7">
        <v>46121</v>
      </c>
      <c r="I2031" s="5" t="s">
        <v>6742</v>
      </c>
      <c r="J2031" s="7">
        <v>46121</v>
      </c>
      <c r="K2031" s="5" t="s">
        <v>1527</v>
      </c>
      <c r="L2031" s="5" t="s">
        <v>1621</v>
      </c>
      <c r="M2031" s="8">
        <v>49.85</v>
      </c>
      <c r="N2031" s="5" t="s">
        <v>1536</v>
      </c>
      <c r="O2031" s="7">
        <v>46121</v>
      </c>
    </row>
    <row r="2032" spans="1:15" hidden="1" x14ac:dyDescent="0.25">
      <c r="A2032" s="5" t="s">
        <v>1522</v>
      </c>
      <c r="B2032" s="5" t="s">
        <v>6743</v>
      </c>
      <c r="D2032" s="5" t="s">
        <v>1488</v>
      </c>
      <c r="E2032" s="5" t="s">
        <v>6744</v>
      </c>
      <c r="F2032" s="5" t="s">
        <v>6745</v>
      </c>
      <c r="G2032" s="6">
        <v>46083.489583333336</v>
      </c>
      <c r="H2032" s="7">
        <v>46091</v>
      </c>
      <c r="I2032" s="6">
        <v>46091.737500000003</v>
      </c>
      <c r="J2032" s="7">
        <v>46090</v>
      </c>
      <c r="K2032" s="5" t="s">
        <v>1527</v>
      </c>
      <c r="L2032" s="5" t="s">
        <v>1528</v>
      </c>
      <c r="M2032" s="8">
        <v>49.7</v>
      </c>
      <c r="N2032" s="5" t="s">
        <v>1536</v>
      </c>
      <c r="O2032" s="7">
        <v>46090</v>
      </c>
    </row>
    <row r="2033" spans="1:15" x14ac:dyDescent="0.25">
      <c r="A2033" s="5" t="s">
        <v>4</v>
      </c>
      <c r="B2033" s="5" t="s">
        <v>6746</v>
      </c>
      <c r="D2033" s="5" t="s">
        <v>129</v>
      </c>
      <c r="E2033" s="5" t="s">
        <v>6747</v>
      </c>
      <c r="F2033" s="5" t="s">
        <v>6748</v>
      </c>
      <c r="G2033" s="6">
        <v>46108.643055555556</v>
      </c>
      <c r="H2033" s="7">
        <v>46115</v>
      </c>
      <c r="I2033" s="5" t="s">
        <v>6749</v>
      </c>
      <c r="J2033" s="7">
        <v>46118</v>
      </c>
      <c r="K2033" s="5" t="s">
        <v>1527</v>
      </c>
      <c r="L2033" s="5" t="s">
        <v>1621</v>
      </c>
      <c r="M2033" s="8">
        <v>49.69</v>
      </c>
      <c r="N2033" s="5" t="s">
        <v>1536</v>
      </c>
      <c r="O2033" s="7">
        <v>46118</v>
      </c>
    </row>
    <row r="2034" spans="1:15" x14ac:dyDescent="0.25">
      <c r="A2034" s="5" t="s">
        <v>4</v>
      </c>
      <c r="B2034" s="5" t="s">
        <v>6750</v>
      </c>
      <c r="D2034" s="5" t="s">
        <v>360</v>
      </c>
      <c r="E2034" s="5" t="s">
        <v>6751</v>
      </c>
      <c r="F2034" s="5" t="s">
        <v>6752</v>
      </c>
      <c r="G2034" s="6">
        <v>46121.769444444442</v>
      </c>
      <c r="H2034" s="7">
        <v>46127</v>
      </c>
      <c r="I2034" s="5" t="s">
        <v>4888</v>
      </c>
      <c r="J2034" s="7">
        <v>46126</v>
      </c>
      <c r="K2034" s="5" t="s">
        <v>1527</v>
      </c>
      <c r="L2034" s="5" t="s">
        <v>1564</v>
      </c>
      <c r="M2034" s="8">
        <v>49.69</v>
      </c>
      <c r="N2034" s="5" t="s">
        <v>1536</v>
      </c>
      <c r="O2034" s="7">
        <v>46126</v>
      </c>
    </row>
    <row r="2035" spans="1:15" x14ac:dyDescent="0.25">
      <c r="A2035" s="5" t="s">
        <v>4</v>
      </c>
      <c r="B2035" s="5" t="s">
        <v>6753</v>
      </c>
      <c r="D2035" s="5" t="s">
        <v>614</v>
      </c>
      <c r="E2035" s="5" t="s">
        <v>6754</v>
      </c>
      <c r="F2035" s="5" t="s">
        <v>2875</v>
      </c>
      <c r="G2035" s="6">
        <v>46087.593055555553</v>
      </c>
      <c r="H2035" s="7">
        <v>46098</v>
      </c>
      <c r="I2035" s="5" t="s">
        <v>6755</v>
      </c>
      <c r="J2035" s="7">
        <v>46100</v>
      </c>
      <c r="K2035" s="5" t="s">
        <v>1527</v>
      </c>
      <c r="L2035" s="5" t="s">
        <v>1535</v>
      </c>
      <c r="M2035" s="8">
        <v>49.5</v>
      </c>
      <c r="N2035" s="5" t="s">
        <v>1536</v>
      </c>
      <c r="O2035" s="7">
        <v>46100</v>
      </c>
    </row>
    <row r="2036" spans="1:15" hidden="1" x14ac:dyDescent="0.25">
      <c r="A2036" s="5" t="s">
        <v>1522</v>
      </c>
      <c r="B2036" s="5" t="s">
        <v>6756</v>
      </c>
      <c r="D2036" s="5" t="s">
        <v>1507</v>
      </c>
      <c r="E2036" s="5" t="s">
        <v>2247</v>
      </c>
      <c r="F2036" s="5" t="s">
        <v>1548</v>
      </c>
      <c r="G2036" s="6">
        <v>46160.42291666667</v>
      </c>
      <c r="H2036" s="7">
        <v>46164</v>
      </c>
      <c r="I2036" s="5" t="s">
        <v>6757</v>
      </c>
      <c r="J2036" s="7">
        <v>46170</v>
      </c>
      <c r="K2036" s="5" t="s">
        <v>1527</v>
      </c>
      <c r="L2036" s="5" t="s">
        <v>1528</v>
      </c>
      <c r="M2036" s="8">
        <v>49.3</v>
      </c>
      <c r="N2036" s="5" t="s">
        <v>1536</v>
      </c>
      <c r="O2036" s="7">
        <v>46170</v>
      </c>
    </row>
    <row r="2037" spans="1:15" x14ac:dyDescent="0.25">
      <c r="A2037" s="5" t="s">
        <v>4</v>
      </c>
      <c r="B2037" s="5" t="s">
        <v>6758</v>
      </c>
      <c r="D2037" s="5" t="s">
        <v>444</v>
      </c>
      <c r="E2037" s="5" t="s">
        <v>6759</v>
      </c>
      <c r="F2037" s="5" t="s">
        <v>6760</v>
      </c>
      <c r="G2037" s="6">
        <v>46135.697916666664</v>
      </c>
      <c r="H2037" s="7">
        <v>46142</v>
      </c>
      <c r="I2037" s="6">
        <v>46141.613194444442</v>
      </c>
      <c r="J2037" s="7">
        <v>46141</v>
      </c>
      <c r="K2037" s="5" t="s">
        <v>1527</v>
      </c>
      <c r="L2037" s="5" t="s">
        <v>1621</v>
      </c>
      <c r="M2037" s="8">
        <v>48.79</v>
      </c>
      <c r="N2037" s="5" t="s">
        <v>1536</v>
      </c>
      <c r="O2037" s="7">
        <v>46141</v>
      </c>
    </row>
    <row r="2038" spans="1:15" hidden="1" x14ac:dyDescent="0.25">
      <c r="A2038" s="5" t="s">
        <v>1522</v>
      </c>
      <c r="B2038" s="5">
        <v>38682</v>
      </c>
      <c r="D2038" s="5" t="s">
        <v>1510</v>
      </c>
      <c r="E2038" s="5" t="s">
        <v>2466</v>
      </c>
      <c r="F2038" s="5" t="s">
        <v>2740</v>
      </c>
      <c r="G2038" s="6">
        <v>46083.640972222223</v>
      </c>
      <c r="H2038" s="7">
        <v>46086</v>
      </c>
      <c r="I2038" s="6">
        <v>46086.499305555553</v>
      </c>
      <c r="J2038" s="7">
        <v>46086</v>
      </c>
      <c r="K2038" s="5" t="s">
        <v>1527</v>
      </c>
      <c r="L2038" s="5" t="s">
        <v>1564</v>
      </c>
      <c r="M2038" s="8">
        <v>48.1</v>
      </c>
      <c r="N2038" s="5" t="s">
        <v>1536</v>
      </c>
      <c r="O2038" s="7">
        <v>46086</v>
      </c>
    </row>
    <row r="2039" spans="1:15" x14ac:dyDescent="0.25">
      <c r="A2039" s="5" t="s">
        <v>4</v>
      </c>
      <c r="B2039" s="5" t="s">
        <v>6761</v>
      </c>
      <c r="D2039" s="5" t="s">
        <v>123</v>
      </c>
      <c r="E2039" s="5" t="s">
        <v>6762</v>
      </c>
      <c r="F2039" s="5" t="s">
        <v>6763</v>
      </c>
      <c r="G2039" s="6">
        <v>46105.696527777778</v>
      </c>
      <c r="H2039" s="7">
        <v>46112</v>
      </c>
      <c r="I2039" s="6">
        <v>46107.698611111111</v>
      </c>
      <c r="J2039" s="7">
        <v>46107</v>
      </c>
      <c r="K2039" s="5" t="s">
        <v>1527</v>
      </c>
      <c r="L2039" s="5" t="s">
        <v>1621</v>
      </c>
      <c r="M2039" s="8">
        <v>48.05</v>
      </c>
      <c r="N2039" s="5" t="s">
        <v>1536</v>
      </c>
      <c r="O2039" s="7">
        <v>46107</v>
      </c>
    </row>
    <row r="2040" spans="1:15" hidden="1" x14ac:dyDescent="0.25">
      <c r="A2040" s="5" t="s">
        <v>1522</v>
      </c>
      <c r="B2040" s="5" t="s">
        <v>6764</v>
      </c>
      <c r="D2040" s="5" t="s">
        <v>1347</v>
      </c>
      <c r="E2040" s="5" t="s">
        <v>5495</v>
      </c>
      <c r="F2040" s="5" t="s">
        <v>6765</v>
      </c>
      <c r="G2040" s="6">
        <v>46127.665277777778</v>
      </c>
      <c r="H2040" s="7">
        <v>46168</v>
      </c>
      <c r="I2040" s="5" t="s">
        <v>1533</v>
      </c>
      <c r="J2040" s="5" t="s">
        <v>1533</v>
      </c>
      <c r="K2040" s="5" t="s">
        <v>1540</v>
      </c>
      <c r="L2040" s="5" t="s">
        <v>1528</v>
      </c>
      <c r="M2040" s="8">
        <v>48</v>
      </c>
      <c r="N2040" s="5" t="s">
        <v>1541</v>
      </c>
      <c r="O2040" s="5" t="s">
        <v>1533</v>
      </c>
    </row>
    <row r="2041" spans="1:15" x14ac:dyDescent="0.25">
      <c r="A2041" s="5" t="s">
        <v>4</v>
      </c>
      <c r="B2041" s="5">
        <v>38342</v>
      </c>
      <c r="D2041" s="5" t="s">
        <v>717</v>
      </c>
      <c r="E2041" s="5" t="s">
        <v>6766</v>
      </c>
      <c r="F2041" s="5" t="s">
        <v>6767</v>
      </c>
      <c r="G2041" s="6">
        <v>46059.761805555558</v>
      </c>
      <c r="H2041" s="7">
        <v>46066</v>
      </c>
      <c r="I2041" s="5" t="s">
        <v>6768</v>
      </c>
      <c r="J2041" s="7">
        <v>46069</v>
      </c>
      <c r="K2041" s="5" t="s">
        <v>1527</v>
      </c>
      <c r="L2041" s="5" t="s">
        <v>1564</v>
      </c>
      <c r="M2041" s="8">
        <v>47.86</v>
      </c>
      <c r="N2041" s="5" t="s">
        <v>1536</v>
      </c>
      <c r="O2041" s="7">
        <v>46069</v>
      </c>
    </row>
    <row r="2042" spans="1:15" x14ac:dyDescent="0.25">
      <c r="A2042" s="5" t="s">
        <v>4</v>
      </c>
      <c r="B2042" s="5" t="s">
        <v>6769</v>
      </c>
      <c r="D2042" s="5" t="s">
        <v>1361</v>
      </c>
      <c r="E2042" s="5" t="s">
        <v>5543</v>
      </c>
      <c r="F2042" s="5" t="s">
        <v>2306</v>
      </c>
      <c r="G2042" s="6">
        <v>46135.63958333333</v>
      </c>
      <c r="H2042" s="7">
        <v>46135</v>
      </c>
      <c r="I2042" s="6">
        <v>46135.313194444447</v>
      </c>
      <c r="J2042" s="7">
        <v>46135</v>
      </c>
      <c r="K2042" s="5" t="s">
        <v>1527</v>
      </c>
      <c r="L2042" s="5" t="s">
        <v>1564</v>
      </c>
      <c r="M2042" s="8">
        <v>47.6</v>
      </c>
      <c r="N2042" s="5" t="s">
        <v>1536</v>
      </c>
      <c r="O2042" s="7">
        <v>46135</v>
      </c>
    </row>
    <row r="2043" spans="1:15" x14ac:dyDescent="0.25">
      <c r="A2043" s="5" t="s">
        <v>4</v>
      </c>
      <c r="B2043" s="5" t="s">
        <v>6770</v>
      </c>
      <c r="D2043" s="5" t="s">
        <v>1449</v>
      </c>
      <c r="E2043" s="5" t="s">
        <v>6114</v>
      </c>
      <c r="F2043" s="5" t="s">
        <v>6771</v>
      </c>
      <c r="G2043" s="6">
        <v>46134.672222222223</v>
      </c>
      <c r="H2043" s="7">
        <v>46141</v>
      </c>
      <c r="I2043" s="6">
        <v>46141.345833333333</v>
      </c>
      <c r="J2043" s="7">
        <v>46140</v>
      </c>
      <c r="K2043" s="5" t="s">
        <v>1527</v>
      </c>
      <c r="L2043" s="5" t="s">
        <v>1621</v>
      </c>
      <c r="M2043" s="8">
        <v>46.34</v>
      </c>
      <c r="N2043" s="5" t="s">
        <v>1536</v>
      </c>
      <c r="O2043" s="7">
        <v>46140</v>
      </c>
    </row>
    <row r="2044" spans="1:15" x14ac:dyDescent="0.25">
      <c r="A2044" s="5" t="s">
        <v>4</v>
      </c>
      <c r="B2044" s="5" t="s">
        <v>6772</v>
      </c>
      <c r="D2044" s="5" t="s">
        <v>521</v>
      </c>
      <c r="E2044" s="5" t="s">
        <v>6773</v>
      </c>
      <c r="F2044" s="5" t="s">
        <v>6774</v>
      </c>
      <c r="G2044" s="6">
        <v>46051.65347222222</v>
      </c>
      <c r="H2044" s="7">
        <v>46058</v>
      </c>
      <c r="I2044" s="6">
        <v>46055.64166666667</v>
      </c>
      <c r="J2044" s="7">
        <v>46055</v>
      </c>
      <c r="K2044" s="5" t="s">
        <v>1527</v>
      </c>
      <c r="L2044" s="5" t="s">
        <v>1621</v>
      </c>
      <c r="M2044" s="8">
        <v>45.99</v>
      </c>
      <c r="N2044" s="5" t="s">
        <v>1536</v>
      </c>
      <c r="O2044" s="7">
        <v>46055</v>
      </c>
    </row>
    <row r="2045" spans="1:15" x14ac:dyDescent="0.25">
      <c r="A2045" s="5" t="s">
        <v>4</v>
      </c>
      <c r="B2045" s="5" t="s">
        <v>6775</v>
      </c>
      <c r="D2045" s="5" t="s">
        <v>1509</v>
      </c>
      <c r="E2045" s="5" t="s">
        <v>3024</v>
      </c>
      <c r="F2045" s="5" t="s">
        <v>6776</v>
      </c>
      <c r="G2045" s="6">
        <v>46043.447222222225</v>
      </c>
      <c r="H2045" s="7">
        <v>46052</v>
      </c>
      <c r="I2045" s="5" t="s">
        <v>6777</v>
      </c>
      <c r="J2045" s="7">
        <v>46058</v>
      </c>
      <c r="K2045" s="5" t="s">
        <v>1527</v>
      </c>
      <c r="L2045" s="5" t="s">
        <v>1535</v>
      </c>
      <c r="M2045" s="8">
        <v>45.6</v>
      </c>
      <c r="N2045" s="5" t="s">
        <v>1536</v>
      </c>
      <c r="O2045" s="7">
        <v>46058</v>
      </c>
    </row>
    <row r="2046" spans="1:15" x14ac:dyDescent="0.25">
      <c r="A2046" s="5" t="s">
        <v>4</v>
      </c>
      <c r="B2046" s="5" t="s">
        <v>6778</v>
      </c>
      <c r="D2046" s="5" t="s">
        <v>1420</v>
      </c>
      <c r="E2046" s="5" t="s">
        <v>6569</v>
      </c>
      <c r="F2046" s="5" t="s">
        <v>6779</v>
      </c>
      <c r="G2046" s="6">
        <v>46112.677777777775</v>
      </c>
      <c r="H2046" s="7">
        <v>46119</v>
      </c>
      <c r="I2046" s="6">
        <v>46114.597916666666</v>
      </c>
      <c r="J2046" s="7">
        <v>46114</v>
      </c>
      <c r="K2046" s="5" t="s">
        <v>1527</v>
      </c>
      <c r="L2046" s="5" t="s">
        <v>1621</v>
      </c>
      <c r="M2046" s="8">
        <v>45.51</v>
      </c>
      <c r="N2046" s="5" t="s">
        <v>1536</v>
      </c>
      <c r="O2046" s="7">
        <v>46114</v>
      </c>
    </row>
    <row r="2047" spans="1:15" hidden="1" x14ac:dyDescent="0.25">
      <c r="A2047" s="5" t="s">
        <v>1522</v>
      </c>
      <c r="B2047" s="5" t="s">
        <v>6780</v>
      </c>
      <c r="D2047" s="5" t="s">
        <v>1382</v>
      </c>
      <c r="E2047" s="5" t="s">
        <v>6781</v>
      </c>
      <c r="F2047" s="5" t="s">
        <v>2734</v>
      </c>
      <c r="G2047" s="6">
        <v>46128.705555555556</v>
      </c>
      <c r="H2047" s="7">
        <v>46135</v>
      </c>
      <c r="I2047" s="5" t="s">
        <v>1533</v>
      </c>
      <c r="J2047" s="7">
        <v>46135</v>
      </c>
      <c r="K2047" s="5" t="s">
        <v>1534</v>
      </c>
      <c r="L2047" s="5" t="s">
        <v>1528</v>
      </c>
      <c r="M2047" s="8">
        <v>45.5</v>
      </c>
      <c r="N2047" s="5" t="s">
        <v>1536</v>
      </c>
      <c r="O2047" s="7">
        <v>46135</v>
      </c>
    </row>
    <row r="2048" spans="1:15" x14ac:dyDescent="0.25">
      <c r="A2048" s="5" t="s">
        <v>4</v>
      </c>
      <c r="B2048" s="5" t="s">
        <v>6782</v>
      </c>
      <c r="D2048" s="5" t="s">
        <v>1227</v>
      </c>
      <c r="E2048" s="5" t="s">
        <v>6783</v>
      </c>
      <c r="F2048" s="5" t="s">
        <v>6784</v>
      </c>
      <c r="G2048" s="6">
        <v>46106.722222222219</v>
      </c>
      <c r="H2048" s="7">
        <v>46113</v>
      </c>
      <c r="I2048" s="6">
        <v>46113.615277777775</v>
      </c>
      <c r="J2048" s="7">
        <v>46113</v>
      </c>
      <c r="K2048" s="5" t="s">
        <v>1527</v>
      </c>
      <c r="L2048" s="5" t="s">
        <v>1621</v>
      </c>
      <c r="M2048" s="8">
        <v>45.36</v>
      </c>
      <c r="N2048" s="5" t="s">
        <v>1536</v>
      </c>
      <c r="O2048" s="7">
        <v>46113</v>
      </c>
    </row>
    <row r="2049" spans="1:15" hidden="1" x14ac:dyDescent="0.25">
      <c r="A2049" s="5" t="s">
        <v>1522</v>
      </c>
      <c r="B2049" s="5" t="s">
        <v>6785</v>
      </c>
      <c r="D2049" s="5" t="s">
        <v>1382</v>
      </c>
      <c r="E2049" s="5" t="s">
        <v>6781</v>
      </c>
      <c r="F2049" s="5" t="s">
        <v>6786</v>
      </c>
      <c r="G2049" s="6">
        <v>46055.606944444444</v>
      </c>
      <c r="H2049" s="7">
        <v>46059</v>
      </c>
      <c r="I2049" s="6">
        <v>46059.543749999997</v>
      </c>
      <c r="J2049" s="7">
        <v>46065</v>
      </c>
      <c r="K2049" s="5" t="s">
        <v>1527</v>
      </c>
      <c r="L2049" s="5" t="s">
        <v>1528</v>
      </c>
      <c r="M2049" s="8">
        <v>45</v>
      </c>
      <c r="N2049" s="5" t="s">
        <v>1536</v>
      </c>
      <c r="O2049" s="7">
        <v>46065</v>
      </c>
    </row>
    <row r="2050" spans="1:15" hidden="1" x14ac:dyDescent="0.25">
      <c r="A2050" s="5" t="s">
        <v>1522</v>
      </c>
      <c r="B2050" s="5" t="s">
        <v>6787</v>
      </c>
      <c r="D2050" s="5" t="s">
        <v>11</v>
      </c>
      <c r="E2050" s="5" t="s">
        <v>6788</v>
      </c>
      <c r="F2050" s="5" t="s">
        <v>6789</v>
      </c>
      <c r="G2050" s="6">
        <v>46077.431944444441</v>
      </c>
      <c r="H2050" s="7">
        <v>46079</v>
      </c>
      <c r="I2050" s="6">
        <v>46079.69027777778</v>
      </c>
      <c r="J2050" s="7">
        <v>46079</v>
      </c>
      <c r="K2050" s="5" t="s">
        <v>1527</v>
      </c>
      <c r="L2050" s="5" t="s">
        <v>1528</v>
      </c>
      <c r="M2050" s="8">
        <v>45</v>
      </c>
      <c r="N2050" s="5" t="s">
        <v>1536</v>
      </c>
      <c r="O2050" s="7">
        <v>46079</v>
      </c>
    </row>
    <row r="2051" spans="1:15" hidden="1" x14ac:dyDescent="0.25">
      <c r="A2051" s="5" t="s">
        <v>1522</v>
      </c>
      <c r="B2051" s="5" t="s">
        <v>6790</v>
      </c>
      <c r="D2051" s="5" t="s">
        <v>1505</v>
      </c>
      <c r="E2051" s="5" t="s">
        <v>6791</v>
      </c>
      <c r="F2051" s="5" t="s">
        <v>2890</v>
      </c>
      <c r="G2051" s="6">
        <v>46094.366666666669</v>
      </c>
      <c r="H2051" s="7">
        <v>46099</v>
      </c>
      <c r="I2051" s="5" t="s">
        <v>6792</v>
      </c>
      <c r="J2051" s="7">
        <v>46100</v>
      </c>
      <c r="K2051" s="5" t="s">
        <v>1527</v>
      </c>
      <c r="L2051" s="5" t="s">
        <v>1528</v>
      </c>
      <c r="M2051" s="8">
        <v>45</v>
      </c>
      <c r="N2051" s="5" t="s">
        <v>1536</v>
      </c>
      <c r="O2051" s="7">
        <v>46100</v>
      </c>
    </row>
    <row r="2052" spans="1:15" hidden="1" x14ac:dyDescent="0.25">
      <c r="A2052" s="5" t="s">
        <v>1522</v>
      </c>
      <c r="B2052" s="5">
        <v>39394</v>
      </c>
      <c r="D2052" s="5" t="s">
        <v>1507</v>
      </c>
      <c r="E2052" s="5" t="s">
        <v>2247</v>
      </c>
      <c r="F2052" s="5" t="s">
        <v>1548</v>
      </c>
      <c r="G2052" s="6">
        <v>46127.339583333334</v>
      </c>
      <c r="H2052" s="7">
        <v>46127</v>
      </c>
      <c r="I2052" s="6">
        <v>46127.740972222222</v>
      </c>
      <c r="J2052" s="7">
        <v>46127</v>
      </c>
      <c r="K2052" s="5" t="s">
        <v>1527</v>
      </c>
      <c r="L2052" s="5" t="s">
        <v>1528</v>
      </c>
      <c r="M2052" s="8">
        <v>44.8</v>
      </c>
      <c r="N2052" s="5" t="s">
        <v>1536</v>
      </c>
      <c r="O2052" s="7">
        <v>46127</v>
      </c>
    </row>
    <row r="2053" spans="1:15" x14ac:dyDescent="0.25">
      <c r="A2053" s="5" t="s">
        <v>4</v>
      </c>
      <c r="B2053" s="5" t="s">
        <v>6793</v>
      </c>
      <c r="D2053" s="5" t="s">
        <v>746</v>
      </c>
      <c r="E2053" s="5" t="s">
        <v>6794</v>
      </c>
      <c r="F2053" s="5" t="s">
        <v>6795</v>
      </c>
      <c r="G2053" s="6">
        <v>46044.695833333331</v>
      </c>
      <c r="H2053" s="7">
        <v>46051</v>
      </c>
      <c r="I2053" s="6">
        <v>46050.749305555553</v>
      </c>
      <c r="J2053" s="7">
        <v>46050</v>
      </c>
      <c r="K2053" s="5" t="s">
        <v>1527</v>
      </c>
      <c r="L2053" s="5" t="s">
        <v>1621</v>
      </c>
      <c r="M2053" s="8">
        <v>44.58</v>
      </c>
      <c r="N2053" s="5" t="s">
        <v>1536</v>
      </c>
      <c r="O2053" s="7">
        <v>46050</v>
      </c>
    </row>
    <row r="2054" spans="1:15" x14ac:dyDescent="0.25">
      <c r="A2054" s="5" t="s">
        <v>4</v>
      </c>
      <c r="B2054" s="5" t="s">
        <v>6796</v>
      </c>
      <c r="D2054" s="5" t="s">
        <v>117</v>
      </c>
      <c r="E2054" s="5" t="s">
        <v>6797</v>
      </c>
      <c r="F2054" s="5" t="s">
        <v>6798</v>
      </c>
      <c r="G2054" s="6">
        <v>46169.695833333331</v>
      </c>
      <c r="H2054" s="7">
        <v>46176</v>
      </c>
      <c r="I2054" s="6">
        <v>46175.753472222219</v>
      </c>
      <c r="J2054" s="7">
        <v>46171</v>
      </c>
      <c r="K2054" s="5" t="s">
        <v>1527</v>
      </c>
      <c r="L2054" s="5" t="s">
        <v>1621</v>
      </c>
      <c r="M2054" s="8">
        <v>44.46</v>
      </c>
      <c r="N2054" s="5" t="s">
        <v>1536</v>
      </c>
      <c r="O2054" s="7">
        <v>46171</v>
      </c>
    </row>
    <row r="2055" spans="1:15" x14ac:dyDescent="0.25">
      <c r="A2055" s="5" t="s">
        <v>4</v>
      </c>
      <c r="B2055" s="5" t="s">
        <v>6799</v>
      </c>
      <c r="D2055" s="5" t="s">
        <v>464</v>
      </c>
      <c r="E2055" s="5" t="s">
        <v>6800</v>
      </c>
      <c r="F2055" s="5" t="s">
        <v>6801</v>
      </c>
      <c r="G2055" s="6">
        <v>46132.65</v>
      </c>
      <c r="H2055" s="7">
        <v>46139</v>
      </c>
      <c r="I2055" s="5" t="s">
        <v>4927</v>
      </c>
      <c r="J2055" s="7">
        <v>46140</v>
      </c>
      <c r="K2055" s="5" t="s">
        <v>1527</v>
      </c>
      <c r="L2055" s="5" t="s">
        <v>1621</v>
      </c>
      <c r="M2055" s="8">
        <v>44.18</v>
      </c>
      <c r="N2055" s="5" t="s">
        <v>1536</v>
      </c>
      <c r="O2055" s="7">
        <v>46140</v>
      </c>
    </row>
    <row r="2056" spans="1:15" hidden="1" x14ac:dyDescent="0.25">
      <c r="A2056" s="5" t="s">
        <v>1522</v>
      </c>
      <c r="B2056" s="5" t="s">
        <v>6802</v>
      </c>
      <c r="D2056" s="5" t="s">
        <v>1510</v>
      </c>
      <c r="E2056" s="5" t="s">
        <v>2466</v>
      </c>
      <c r="F2056" s="5" t="s">
        <v>6467</v>
      </c>
      <c r="G2056" s="6">
        <v>46163.61041666667</v>
      </c>
      <c r="H2056" s="7">
        <v>46167</v>
      </c>
      <c r="I2056" s="6">
        <v>46167.739583333336</v>
      </c>
      <c r="J2056" s="7">
        <v>46167</v>
      </c>
      <c r="K2056" s="5" t="s">
        <v>1527</v>
      </c>
      <c r="L2056" s="5" t="s">
        <v>1621</v>
      </c>
      <c r="M2056" s="8">
        <v>44.1</v>
      </c>
      <c r="N2056" s="5" t="s">
        <v>1529</v>
      </c>
      <c r="O2056" s="7">
        <v>46167</v>
      </c>
    </row>
    <row r="2057" spans="1:15" x14ac:dyDescent="0.25">
      <c r="A2057" s="5" t="s">
        <v>4</v>
      </c>
      <c r="B2057" s="5" t="s">
        <v>6803</v>
      </c>
      <c r="D2057" s="5" t="s">
        <v>776</v>
      </c>
      <c r="E2057" s="5" t="s">
        <v>6804</v>
      </c>
      <c r="F2057" s="5" t="s">
        <v>6805</v>
      </c>
      <c r="G2057" s="6">
        <v>46027.761111111111</v>
      </c>
      <c r="H2057" s="7">
        <v>46034</v>
      </c>
      <c r="I2057" s="5" t="s">
        <v>6806</v>
      </c>
      <c r="J2057" s="7">
        <v>46043</v>
      </c>
      <c r="K2057" s="5" t="s">
        <v>1527</v>
      </c>
      <c r="L2057" s="5" t="s">
        <v>1621</v>
      </c>
      <c r="M2057" s="8">
        <v>43.69</v>
      </c>
      <c r="N2057" s="5" t="s">
        <v>1536</v>
      </c>
      <c r="O2057" s="7">
        <v>46043</v>
      </c>
    </row>
    <row r="2058" spans="1:15" x14ac:dyDescent="0.25">
      <c r="A2058" s="5" t="s">
        <v>4</v>
      </c>
      <c r="B2058" s="5" t="s">
        <v>6807</v>
      </c>
      <c r="D2058" s="5" t="s">
        <v>704</v>
      </c>
      <c r="E2058" s="5" t="s">
        <v>6808</v>
      </c>
      <c r="F2058" s="5" t="s">
        <v>6809</v>
      </c>
      <c r="G2058" s="6">
        <v>46030.642361111109</v>
      </c>
      <c r="H2058" s="7">
        <v>46037</v>
      </c>
      <c r="I2058" s="5" t="s">
        <v>6810</v>
      </c>
      <c r="J2058" s="7">
        <v>46042</v>
      </c>
      <c r="K2058" s="5" t="s">
        <v>1527</v>
      </c>
      <c r="L2058" s="5" t="s">
        <v>1621</v>
      </c>
      <c r="M2058" s="8">
        <v>43.69</v>
      </c>
      <c r="N2058" s="5" t="s">
        <v>1536</v>
      </c>
      <c r="O2058" s="7">
        <v>46042</v>
      </c>
    </row>
    <row r="2059" spans="1:15" x14ac:dyDescent="0.25">
      <c r="A2059" s="5" t="s">
        <v>4</v>
      </c>
      <c r="B2059" s="5" t="s">
        <v>6811</v>
      </c>
      <c r="D2059" s="5" t="s">
        <v>1401</v>
      </c>
      <c r="E2059" s="5" t="s">
        <v>6519</v>
      </c>
      <c r="F2059" s="5" t="s">
        <v>6812</v>
      </c>
      <c r="G2059" s="6">
        <v>46085.698611111111</v>
      </c>
      <c r="H2059" s="7">
        <v>46091</v>
      </c>
      <c r="I2059" s="6">
        <v>46090.636111111111</v>
      </c>
      <c r="J2059" s="7">
        <v>46090</v>
      </c>
      <c r="K2059" s="5" t="s">
        <v>1527</v>
      </c>
      <c r="L2059" s="5" t="s">
        <v>1621</v>
      </c>
      <c r="M2059" s="8">
        <v>43.69</v>
      </c>
      <c r="N2059" s="5" t="s">
        <v>1536</v>
      </c>
      <c r="O2059" s="7">
        <v>46090</v>
      </c>
    </row>
    <row r="2060" spans="1:15" x14ac:dyDescent="0.25">
      <c r="A2060" s="5" t="s">
        <v>4</v>
      </c>
      <c r="B2060" s="5" t="s">
        <v>6813</v>
      </c>
      <c r="D2060" s="5" t="s">
        <v>1467</v>
      </c>
      <c r="E2060" s="5" t="s">
        <v>6814</v>
      </c>
      <c r="F2060" s="5" t="s">
        <v>6815</v>
      </c>
      <c r="G2060" s="6">
        <v>46129.621527777781</v>
      </c>
      <c r="H2060" s="7">
        <v>46136</v>
      </c>
      <c r="I2060" s="6">
        <v>46132.618750000001</v>
      </c>
      <c r="J2060" s="7">
        <v>46132</v>
      </c>
      <c r="K2060" s="5" t="s">
        <v>1527</v>
      </c>
      <c r="L2060" s="5" t="s">
        <v>1621</v>
      </c>
      <c r="M2060" s="8">
        <v>43.59</v>
      </c>
      <c r="N2060" s="5" t="s">
        <v>1536</v>
      </c>
      <c r="O2060" s="7">
        <v>46132</v>
      </c>
    </row>
    <row r="2061" spans="1:15" x14ac:dyDescent="0.25">
      <c r="A2061" s="5" t="s">
        <v>4</v>
      </c>
      <c r="B2061" s="5" t="s">
        <v>6816</v>
      </c>
      <c r="D2061" s="5" t="s">
        <v>613</v>
      </c>
      <c r="E2061" s="5" t="s">
        <v>6817</v>
      </c>
      <c r="F2061" s="5" t="s">
        <v>6818</v>
      </c>
      <c r="G2061" s="6">
        <v>46128.679166666669</v>
      </c>
      <c r="H2061" s="7">
        <v>46135</v>
      </c>
      <c r="I2061" s="5" t="s">
        <v>3630</v>
      </c>
      <c r="J2061" s="7">
        <v>46136</v>
      </c>
      <c r="K2061" s="5" t="s">
        <v>1527</v>
      </c>
      <c r="L2061" s="5" t="s">
        <v>1621</v>
      </c>
      <c r="M2061" s="8">
        <v>43.37</v>
      </c>
      <c r="N2061" s="5" t="s">
        <v>1536</v>
      </c>
      <c r="O2061" s="7">
        <v>46136</v>
      </c>
    </row>
    <row r="2062" spans="1:15" x14ac:dyDescent="0.25">
      <c r="A2062" s="5" t="s">
        <v>4</v>
      </c>
      <c r="B2062" s="5" t="s">
        <v>6819</v>
      </c>
      <c r="D2062" s="5" t="s">
        <v>885</v>
      </c>
      <c r="E2062" s="5" t="s">
        <v>6820</v>
      </c>
      <c r="F2062" s="5" t="s">
        <v>6821</v>
      </c>
      <c r="G2062" s="6">
        <v>46132.65625</v>
      </c>
      <c r="H2062" s="7">
        <v>46139</v>
      </c>
      <c r="I2062" s="6">
        <v>46139.611111111109</v>
      </c>
      <c r="J2062" s="7">
        <v>46139</v>
      </c>
      <c r="K2062" s="5" t="s">
        <v>1527</v>
      </c>
      <c r="L2062" s="5" t="s">
        <v>1621</v>
      </c>
      <c r="M2062" s="8">
        <v>43.37</v>
      </c>
      <c r="N2062" s="5" t="s">
        <v>1536</v>
      </c>
      <c r="O2062" s="7">
        <v>46139</v>
      </c>
    </row>
    <row r="2063" spans="1:15" x14ac:dyDescent="0.25">
      <c r="A2063" s="5" t="s">
        <v>4</v>
      </c>
      <c r="B2063" s="5" t="s">
        <v>6822</v>
      </c>
      <c r="D2063" s="5" t="s">
        <v>584</v>
      </c>
      <c r="E2063" s="5" t="s">
        <v>6823</v>
      </c>
      <c r="F2063" s="5" t="s">
        <v>6824</v>
      </c>
      <c r="G2063" s="6">
        <v>46146.668055555558</v>
      </c>
      <c r="H2063" s="7">
        <v>46153</v>
      </c>
      <c r="I2063" s="6">
        <v>46153.594444444447</v>
      </c>
      <c r="J2063" s="7">
        <v>46153</v>
      </c>
      <c r="K2063" s="5" t="s">
        <v>1527</v>
      </c>
      <c r="L2063" s="5" t="s">
        <v>1621</v>
      </c>
      <c r="M2063" s="9">
        <v>43.37</v>
      </c>
      <c r="N2063" s="5" t="s">
        <v>1536</v>
      </c>
      <c r="O2063" s="7">
        <v>46153</v>
      </c>
    </row>
    <row r="2064" spans="1:15" x14ac:dyDescent="0.25">
      <c r="A2064" s="5" t="s">
        <v>4</v>
      </c>
      <c r="B2064" s="5" t="s">
        <v>6825</v>
      </c>
      <c r="D2064" s="5" t="s">
        <v>517</v>
      </c>
      <c r="E2064" s="5" t="s">
        <v>6826</v>
      </c>
      <c r="F2064" s="5" t="s">
        <v>6827</v>
      </c>
      <c r="G2064" s="6">
        <v>46157.640972222223</v>
      </c>
      <c r="H2064" s="7">
        <v>46164</v>
      </c>
      <c r="I2064" s="6">
        <v>46161.418749999997</v>
      </c>
      <c r="J2064" s="7">
        <v>46161</v>
      </c>
      <c r="K2064" s="5" t="s">
        <v>1527</v>
      </c>
      <c r="L2064" s="5" t="s">
        <v>1621</v>
      </c>
      <c r="M2064" s="8">
        <v>43.25</v>
      </c>
      <c r="N2064" s="5" t="s">
        <v>1536</v>
      </c>
      <c r="O2064" s="7">
        <v>46161</v>
      </c>
    </row>
    <row r="2065" spans="1:15" x14ac:dyDescent="0.25">
      <c r="A2065" s="5" t="s">
        <v>4</v>
      </c>
      <c r="B2065" s="5" t="s">
        <v>6828</v>
      </c>
      <c r="D2065" s="5" t="s">
        <v>594</v>
      </c>
      <c r="E2065" s="5" t="s">
        <v>6829</v>
      </c>
      <c r="F2065" s="5" t="s">
        <v>6830</v>
      </c>
      <c r="G2065" s="6">
        <v>46035.654166666667</v>
      </c>
      <c r="H2065" s="7">
        <v>46042</v>
      </c>
      <c r="I2065" s="5" t="s">
        <v>4556</v>
      </c>
      <c r="J2065" s="7">
        <v>46048</v>
      </c>
      <c r="K2065" s="5" t="s">
        <v>1527</v>
      </c>
      <c r="L2065" s="5" t="s">
        <v>1621</v>
      </c>
      <c r="M2065" s="8">
        <v>43.03</v>
      </c>
      <c r="N2065" s="5" t="s">
        <v>1536</v>
      </c>
      <c r="O2065" s="7">
        <v>46048</v>
      </c>
    </row>
    <row r="2066" spans="1:15" x14ac:dyDescent="0.25">
      <c r="A2066" s="5" t="s">
        <v>4</v>
      </c>
      <c r="B2066" s="5" t="s">
        <v>6831</v>
      </c>
      <c r="D2066" s="5" t="s">
        <v>236</v>
      </c>
      <c r="E2066" s="5" t="s">
        <v>6832</v>
      </c>
      <c r="F2066" s="5" t="s">
        <v>6833</v>
      </c>
      <c r="G2066" s="6">
        <v>46027.709027777775</v>
      </c>
      <c r="H2066" s="7">
        <v>46037</v>
      </c>
      <c r="I2066" s="6">
        <v>46036.582638888889</v>
      </c>
      <c r="J2066" s="7">
        <v>46036</v>
      </c>
      <c r="K2066" s="5" t="s">
        <v>1527</v>
      </c>
      <c r="L2066" s="5" t="s">
        <v>1621</v>
      </c>
      <c r="M2066" s="8">
        <v>42.88</v>
      </c>
      <c r="N2066" s="5" t="s">
        <v>1536</v>
      </c>
      <c r="O2066" s="7">
        <v>46036</v>
      </c>
    </row>
    <row r="2067" spans="1:15" x14ac:dyDescent="0.25">
      <c r="A2067" s="5" t="s">
        <v>4</v>
      </c>
      <c r="B2067" s="5" t="s">
        <v>6834</v>
      </c>
      <c r="D2067" s="5" t="s">
        <v>1203</v>
      </c>
      <c r="E2067" s="5" t="s">
        <v>6835</v>
      </c>
      <c r="F2067" s="5" t="s">
        <v>6836</v>
      </c>
      <c r="G2067" s="6">
        <v>46072.4375</v>
      </c>
      <c r="H2067" s="7">
        <v>46078</v>
      </c>
      <c r="I2067" s="5" t="s">
        <v>6837</v>
      </c>
      <c r="J2067" s="7">
        <v>46080</v>
      </c>
      <c r="K2067" s="5" t="s">
        <v>1527</v>
      </c>
      <c r="L2067" s="5" t="s">
        <v>1621</v>
      </c>
      <c r="M2067" s="8">
        <v>42.88</v>
      </c>
      <c r="N2067" s="5" t="s">
        <v>1536</v>
      </c>
      <c r="O2067" s="7">
        <v>46080</v>
      </c>
    </row>
    <row r="2068" spans="1:15" x14ac:dyDescent="0.25">
      <c r="A2068" s="5" t="s">
        <v>4</v>
      </c>
      <c r="B2068" s="5" t="s">
        <v>6838</v>
      </c>
      <c r="D2068" s="5" t="s">
        <v>383</v>
      </c>
      <c r="E2068" s="5" t="s">
        <v>6839</v>
      </c>
      <c r="F2068" s="5" t="s">
        <v>6840</v>
      </c>
      <c r="G2068" s="6">
        <v>46086.595833333333</v>
      </c>
      <c r="H2068" s="7">
        <v>46092</v>
      </c>
      <c r="I2068" s="5" t="s">
        <v>3114</v>
      </c>
      <c r="J2068" s="7">
        <v>46094</v>
      </c>
      <c r="K2068" s="5" t="s">
        <v>1527</v>
      </c>
      <c r="L2068" s="5" t="s">
        <v>1621</v>
      </c>
      <c r="M2068" s="8">
        <v>42.88</v>
      </c>
      <c r="N2068" s="5" t="s">
        <v>1536</v>
      </c>
      <c r="O2068" s="7">
        <v>46094</v>
      </c>
    </row>
    <row r="2069" spans="1:15" x14ac:dyDescent="0.25">
      <c r="A2069" s="5" t="s">
        <v>4</v>
      </c>
      <c r="B2069" s="5" t="s">
        <v>6841</v>
      </c>
      <c r="D2069" s="5" t="s">
        <v>438</v>
      </c>
      <c r="E2069" s="5" t="s">
        <v>6842</v>
      </c>
      <c r="F2069" s="5" t="s">
        <v>6843</v>
      </c>
      <c r="G2069" s="6">
        <v>46097.726388888892</v>
      </c>
      <c r="H2069" s="7">
        <v>46104</v>
      </c>
      <c r="I2069" s="5" t="s">
        <v>1533</v>
      </c>
      <c r="J2069" s="7">
        <v>46105</v>
      </c>
      <c r="K2069" s="5" t="s">
        <v>1534</v>
      </c>
      <c r="L2069" s="5" t="s">
        <v>1621</v>
      </c>
      <c r="M2069" s="8">
        <v>42.88</v>
      </c>
      <c r="N2069" s="5" t="s">
        <v>1536</v>
      </c>
      <c r="O2069" s="7">
        <v>46105</v>
      </c>
    </row>
    <row r="2070" spans="1:15" x14ac:dyDescent="0.25">
      <c r="A2070" s="5" t="s">
        <v>4</v>
      </c>
      <c r="B2070" s="5" t="s">
        <v>6844</v>
      </c>
      <c r="D2070" s="5" t="s">
        <v>624</v>
      </c>
      <c r="E2070" s="5" t="s">
        <v>6845</v>
      </c>
      <c r="F2070" s="5" t="s">
        <v>6846</v>
      </c>
      <c r="G2070" s="6">
        <v>46161.651388888888</v>
      </c>
      <c r="H2070" s="7">
        <v>46168</v>
      </c>
      <c r="I2070" s="5" t="s">
        <v>5039</v>
      </c>
      <c r="J2070" s="7">
        <v>46169</v>
      </c>
      <c r="K2070" s="5" t="s">
        <v>1527</v>
      </c>
      <c r="L2070" s="5" t="s">
        <v>1621</v>
      </c>
      <c r="M2070" s="8">
        <v>42.84</v>
      </c>
      <c r="N2070" s="5" t="s">
        <v>1536</v>
      </c>
      <c r="O2070" s="7">
        <v>46169</v>
      </c>
    </row>
    <row r="2071" spans="1:15" hidden="1" x14ac:dyDescent="0.25">
      <c r="A2071" s="5" t="s">
        <v>1522</v>
      </c>
      <c r="B2071" s="5" t="s">
        <v>6847</v>
      </c>
      <c r="D2071" s="5" t="s">
        <v>1488</v>
      </c>
      <c r="E2071" s="5" t="s">
        <v>1995</v>
      </c>
      <c r="F2071" s="5" t="s">
        <v>6848</v>
      </c>
      <c r="G2071" s="6">
        <v>46043.671527777777</v>
      </c>
      <c r="H2071" s="7">
        <v>46045</v>
      </c>
      <c r="I2071" s="5" t="s">
        <v>6849</v>
      </c>
      <c r="J2071" s="7">
        <v>46049</v>
      </c>
      <c r="K2071" s="5" t="s">
        <v>1527</v>
      </c>
      <c r="L2071" s="5" t="s">
        <v>1528</v>
      </c>
      <c r="M2071" s="8">
        <v>42.8</v>
      </c>
      <c r="N2071" s="5" t="s">
        <v>1536</v>
      </c>
      <c r="O2071" s="7">
        <v>46049</v>
      </c>
    </row>
    <row r="2072" spans="1:15" x14ac:dyDescent="0.25">
      <c r="A2072" s="5" t="s">
        <v>4</v>
      </c>
      <c r="B2072" s="5" t="s">
        <v>6850</v>
      </c>
      <c r="D2072" s="5" t="s">
        <v>69</v>
      </c>
      <c r="E2072" s="5" t="s">
        <v>6851</v>
      </c>
      <c r="F2072" s="5" t="s">
        <v>6852</v>
      </c>
      <c r="G2072" s="6">
        <v>46091.691666666666</v>
      </c>
      <c r="H2072" s="7">
        <v>46098</v>
      </c>
      <c r="I2072" s="6">
        <v>46097.600694444445</v>
      </c>
      <c r="J2072" s="7">
        <v>46097</v>
      </c>
      <c r="K2072" s="5" t="s">
        <v>1527</v>
      </c>
      <c r="L2072" s="5" t="s">
        <v>1621</v>
      </c>
      <c r="M2072" s="8">
        <v>42.69</v>
      </c>
      <c r="N2072" s="5" t="s">
        <v>1536</v>
      </c>
      <c r="O2072" s="7">
        <v>46097</v>
      </c>
    </row>
    <row r="2073" spans="1:15" x14ac:dyDescent="0.25">
      <c r="A2073" s="5" t="s">
        <v>4</v>
      </c>
      <c r="B2073" s="5" t="s">
        <v>6853</v>
      </c>
      <c r="D2073" s="5" t="s">
        <v>895</v>
      </c>
      <c r="E2073" s="5" t="s">
        <v>6854</v>
      </c>
      <c r="F2073" s="5" t="s">
        <v>6855</v>
      </c>
      <c r="G2073" s="6">
        <v>46153.634027777778</v>
      </c>
      <c r="H2073" s="7">
        <v>46162</v>
      </c>
      <c r="I2073" s="6">
        <v>46161.415972222225</v>
      </c>
      <c r="J2073" s="7">
        <v>46160</v>
      </c>
      <c r="K2073" s="5" t="s">
        <v>1527</v>
      </c>
      <c r="L2073" s="5" t="s">
        <v>1621</v>
      </c>
      <c r="M2073" s="8">
        <v>42.46</v>
      </c>
      <c r="N2073" s="5" t="s">
        <v>1536</v>
      </c>
      <c r="O2073" s="7">
        <v>46160</v>
      </c>
    </row>
    <row r="2074" spans="1:15" x14ac:dyDescent="0.25">
      <c r="A2074" s="5" t="s">
        <v>4</v>
      </c>
      <c r="B2074" s="5" t="s">
        <v>6856</v>
      </c>
      <c r="D2074" s="5" t="s">
        <v>416</v>
      </c>
      <c r="E2074" s="5" t="s">
        <v>6857</v>
      </c>
      <c r="F2074" s="5" t="s">
        <v>6858</v>
      </c>
      <c r="G2074" s="6">
        <v>46112.70208333333</v>
      </c>
      <c r="H2074" s="7">
        <v>46119</v>
      </c>
      <c r="I2074" s="6">
        <v>46114.597222222219</v>
      </c>
      <c r="J2074" s="7">
        <v>46114</v>
      </c>
      <c r="K2074" s="5" t="s">
        <v>1527</v>
      </c>
      <c r="L2074" s="5" t="s">
        <v>1621</v>
      </c>
      <c r="M2074" s="8">
        <v>42.29</v>
      </c>
      <c r="N2074" s="5" t="s">
        <v>1536</v>
      </c>
      <c r="O2074" s="7">
        <v>46114</v>
      </c>
    </row>
    <row r="2075" spans="1:15" x14ac:dyDescent="0.25">
      <c r="A2075" s="5" t="s">
        <v>4</v>
      </c>
      <c r="B2075" s="5" t="s">
        <v>6859</v>
      </c>
      <c r="D2075" s="5" t="s">
        <v>1381</v>
      </c>
      <c r="E2075" s="5" t="s">
        <v>5862</v>
      </c>
      <c r="F2075" s="5" t="s">
        <v>6860</v>
      </c>
      <c r="G2075" s="6">
        <v>46132.645138888889</v>
      </c>
      <c r="H2075" s="7">
        <v>46139</v>
      </c>
      <c r="I2075" s="6">
        <v>46136.606944444444</v>
      </c>
      <c r="J2075" s="7">
        <v>46136</v>
      </c>
      <c r="K2075" s="5" t="s">
        <v>1527</v>
      </c>
      <c r="L2075" s="5" t="s">
        <v>1621</v>
      </c>
      <c r="M2075" s="8">
        <v>42.19</v>
      </c>
      <c r="N2075" s="5" t="s">
        <v>1536</v>
      </c>
      <c r="O2075" s="7">
        <v>46136</v>
      </c>
    </row>
    <row r="2076" spans="1:15" x14ac:dyDescent="0.25">
      <c r="A2076" s="5" t="s">
        <v>4</v>
      </c>
      <c r="B2076" s="5" t="s">
        <v>6861</v>
      </c>
      <c r="D2076" s="5" t="s">
        <v>143</v>
      </c>
      <c r="E2076" s="5" t="s">
        <v>6862</v>
      </c>
      <c r="F2076" s="5" t="s">
        <v>6863</v>
      </c>
      <c r="G2076" s="6">
        <v>46076.662499999999</v>
      </c>
      <c r="H2076" s="7">
        <v>46083</v>
      </c>
      <c r="I2076" s="6">
        <v>46079.619444444441</v>
      </c>
      <c r="J2076" s="7">
        <v>46079</v>
      </c>
      <c r="K2076" s="5" t="s">
        <v>1527</v>
      </c>
      <c r="L2076" s="5" t="s">
        <v>1621</v>
      </c>
      <c r="M2076" s="8">
        <v>42.05</v>
      </c>
      <c r="N2076" s="5" t="s">
        <v>1536</v>
      </c>
      <c r="O2076" s="7">
        <v>46079</v>
      </c>
    </row>
    <row r="2077" spans="1:15" x14ac:dyDescent="0.25">
      <c r="A2077" s="5" t="s">
        <v>4</v>
      </c>
      <c r="B2077" s="5" t="s">
        <v>6864</v>
      </c>
      <c r="D2077" s="5" t="s">
        <v>862</v>
      </c>
      <c r="E2077" s="5" t="s">
        <v>6865</v>
      </c>
      <c r="F2077" s="5" t="s">
        <v>6866</v>
      </c>
      <c r="G2077" s="6">
        <v>46111.660416666666</v>
      </c>
      <c r="H2077" s="7">
        <v>46118</v>
      </c>
      <c r="I2077" s="6">
        <v>46114.597222222219</v>
      </c>
      <c r="J2077" s="7">
        <v>46114</v>
      </c>
      <c r="K2077" s="5" t="s">
        <v>1527</v>
      </c>
      <c r="L2077" s="5" t="s">
        <v>1621</v>
      </c>
      <c r="M2077" s="8">
        <v>42.05</v>
      </c>
      <c r="N2077" s="5" t="s">
        <v>1536</v>
      </c>
      <c r="O2077" s="7">
        <v>46114</v>
      </c>
    </row>
    <row r="2078" spans="1:15" hidden="1" x14ac:dyDescent="0.25">
      <c r="A2078" s="5" t="s">
        <v>1522</v>
      </c>
      <c r="B2078" s="5" t="s">
        <v>6867</v>
      </c>
      <c r="D2078" s="5" t="s">
        <v>1510</v>
      </c>
      <c r="E2078" s="5" t="s">
        <v>2466</v>
      </c>
      <c r="F2078" s="5" t="s">
        <v>5575</v>
      </c>
      <c r="G2078" s="6">
        <v>46036.447916666664</v>
      </c>
      <c r="H2078" s="7">
        <v>46038</v>
      </c>
      <c r="I2078" s="6">
        <v>46036.581944444442</v>
      </c>
      <c r="J2078" s="7">
        <v>46036</v>
      </c>
      <c r="K2078" s="5" t="s">
        <v>1527</v>
      </c>
      <c r="L2078" s="5" t="s">
        <v>1621</v>
      </c>
      <c r="M2078" s="8">
        <v>42</v>
      </c>
      <c r="N2078" s="5" t="s">
        <v>1536</v>
      </c>
      <c r="O2078" s="7">
        <v>46036</v>
      </c>
    </row>
    <row r="2079" spans="1:15" hidden="1" x14ac:dyDescent="0.25">
      <c r="A2079" s="5" t="s">
        <v>1522</v>
      </c>
      <c r="B2079" s="5" t="s">
        <v>6868</v>
      </c>
      <c r="D2079" s="5" t="s">
        <v>1498</v>
      </c>
      <c r="E2079" s="5" t="s">
        <v>2487</v>
      </c>
      <c r="F2079" s="5" t="s">
        <v>2488</v>
      </c>
      <c r="G2079" s="6">
        <v>46169.647916666669</v>
      </c>
      <c r="H2079" s="7">
        <v>46171</v>
      </c>
      <c r="I2079" s="5" t="s">
        <v>6869</v>
      </c>
      <c r="J2079" s="7">
        <v>46170</v>
      </c>
      <c r="K2079" s="5" t="s">
        <v>1527</v>
      </c>
      <c r="L2079" s="5" t="s">
        <v>1528</v>
      </c>
      <c r="M2079" s="8">
        <v>42</v>
      </c>
      <c r="N2079" s="5" t="s">
        <v>1529</v>
      </c>
      <c r="O2079" s="7">
        <v>46170</v>
      </c>
    </row>
    <row r="2080" spans="1:15" x14ac:dyDescent="0.25">
      <c r="A2080" s="5" t="s">
        <v>4</v>
      </c>
      <c r="B2080" s="5" t="s">
        <v>6870</v>
      </c>
      <c r="D2080" s="5" t="s">
        <v>1326</v>
      </c>
      <c r="E2080" s="5" t="s">
        <v>4056</v>
      </c>
      <c r="F2080" s="5" t="s">
        <v>1532</v>
      </c>
      <c r="G2080" s="6">
        <v>46161.559027777781</v>
      </c>
      <c r="H2080" s="7">
        <v>46170</v>
      </c>
      <c r="I2080" s="6">
        <v>46168.441666666666</v>
      </c>
      <c r="J2080" s="7">
        <v>46164</v>
      </c>
      <c r="K2080" s="5" t="s">
        <v>1527</v>
      </c>
      <c r="L2080" s="5" t="s">
        <v>1535</v>
      </c>
      <c r="M2080" s="8">
        <v>42</v>
      </c>
      <c r="N2080" s="5" t="s">
        <v>1536</v>
      </c>
      <c r="O2080" s="7">
        <v>46164</v>
      </c>
    </row>
    <row r="2081" spans="1:15" x14ac:dyDescent="0.25">
      <c r="A2081" s="5" t="s">
        <v>4</v>
      </c>
      <c r="B2081" s="5" t="s">
        <v>6871</v>
      </c>
      <c r="D2081" s="5" t="s">
        <v>191</v>
      </c>
      <c r="E2081" s="5" t="s">
        <v>6872</v>
      </c>
      <c r="F2081" s="5" t="s">
        <v>6873</v>
      </c>
      <c r="G2081" s="6">
        <v>46052.635416666664</v>
      </c>
      <c r="H2081" s="7">
        <v>46059</v>
      </c>
      <c r="I2081" s="6">
        <v>46055.64166666667</v>
      </c>
      <c r="J2081" s="7">
        <v>46055</v>
      </c>
      <c r="K2081" s="5" t="s">
        <v>1527</v>
      </c>
      <c r="L2081" s="5" t="s">
        <v>1621</v>
      </c>
      <c r="M2081" s="8">
        <v>41.54</v>
      </c>
      <c r="N2081" s="5" t="s">
        <v>1536</v>
      </c>
      <c r="O2081" s="7">
        <v>46055</v>
      </c>
    </row>
    <row r="2082" spans="1:15" x14ac:dyDescent="0.25">
      <c r="A2082" s="5" t="s">
        <v>4</v>
      </c>
      <c r="B2082" s="5">
        <v>38341</v>
      </c>
      <c r="D2082" s="5" t="s">
        <v>567</v>
      </c>
      <c r="E2082" s="5" t="s">
        <v>6874</v>
      </c>
      <c r="F2082" s="5" t="s">
        <v>6875</v>
      </c>
      <c r="G2082" s="6">
        <v>46059.758333333331</v>
      </c>
      <c r="H2082" s="7">
        <v>46066</v>
      </c>
      <c r="I2082" s="5" t="s">
        <v>3509</v>
      </c>
      <c r="J2082" s="7">
        <v>46069</v>
      </c>
      <c r="K2082" s="5" t="s">
        <v>1527</v>
      </c>
      <c r="L2082" s="5" t="s">
        <v>1564</v>
      </c>
      <c r="M2082" s="8">
        <v>41.28</v>
      </c>
      <c r="N2082" s="5" t="s">
        <v>1536</v>
      </c>
      <c r="O2082" s="7">
        <v>46069</v>
      </c>
    </row>
    <row r="2083" spans="1:15" x14ac:dyDescent="0.25">
      <c r="A2083" s="5" t="s">
        <v>4</v>
      </c>
      <c r="B2083" s="5" t="s">
        <v>6876</v>
      </c>
      <c r="D2083" s="5" t="s">
        <v>912</v>
      </c>
      <c r="E2083" s="5" t="s">
        <v>6877</v>
      </c>
      <c r="F2083" s="5" t="s">
        <v>6878</v>
      </c>
      <c r="G2083" s="6">
        <v>46073.688194444447</v>
      </c>
      <c r="H2083" s="7">
        <v>46080</v>
      </c>
      <c r="I2083" s="5" t="s">
        <v>3614</v>
      </c>
      <c r="J2083" s="7">
        <v>46083</v>
      </c>
      <c r="K2083" s="5" t="s">
        <v>1527</v>
      </c>
      <c r="L2083" s="5" t="s">
        <v>1621</v>
      </c>
      <c r="M2083" s="8">
        <v>40.96</v>
      </c>
      <c r="N2083" s="5" t="s">
        <v>1536</v>
      </c>
      <c r="O2083" s="7">
        <v>46083</v>
      </c>
    </row>
    <row r="2084" spans="1:15" x14ac:dyDescent="0.25">
      <c r="A2084" s="5" t="s">
        <v>4</v>
      </c>
      <c r="B2084" s="5" t="s">
        <v>6879</v>
      </c>
      <c r="D2084" s="5" t="s">
        <v>1510</v>
      </c>
      <c r="E2084" s="5" t="s">
        <v>2466</v>
      </c>
      <c r="F2084" s="5" t="s">
        <v>6880</v>
      </c>
      <c r="G2084" s="6">
        <v>46160.496527777781</v>
      </c>
      <c r="H2084" s="7">
        <v>46162</v>
      </c>
      <c r="I2084" s="5" t="s">
        <v>6881</v>
      </c>
      <c r="J2084" s="7">
        <v>46167</v>
      </c>
      <c r="K2084" s="5" t="s">
        <v>1527</v>
      </c>
      <c r="L2084" s="5" t="s">
        <v>1621</v>
      </c>
      <c r="M2084" s="8">
        <v>40.5</v>
      </c>
      <c r="N2084" s="5" t="s">
        <v>1529</v>
      </c>
      <c r="O2084" s="7">
        <v>46167</v>
      </c>
    </row>
    <row r="2085" spans="1:15" x14ac:dyDescent="0.25">
      <c r="A2085" s="5" t="s">
        <v>4</v>
      </c>
      <c r="B2085" s="5" t="s">
        <v>6882</v>
      </c>
      <c r="D2085" s="5" t="s">
        <v>1467</v>
      </c>
      <c r="E2085" s="5" t="s">
        <v>6814</v>
      </c>
      <c r="F2085" s="5" t="s">
        <v>6883</v>
      </c>
      <c r="G2085" s="6">
        <v>46136.62777777778</v>
      </c>
      <c r="H2085" s="7">
        <v>46143</v>
      </c>
      <c r="I2085" s="6">
        <v>46141.34652777778</v>
      </c>
      <c r="J2085" s="7">
        <v>46140</v>
      </c>
      <c r="K2085" s="5" t="s">
        <v>1527</v>
      </c>
      <c r="L2085" s="5" t="s">
        <v>1621</v>
      </c>
      <c r="M2085" s="8">
        <v>40.08</v>
      </c>
      <c r="N2085" s="5" t="s">
        <v>1536</v>
      </c>
      <c r="O2085" s="7">
        <v>46140</v>
      </c>
    </row>
    <row r="2086" spans="1:15" x14ac:dyDescent="0.25">
      <c r="A2086" s="5" t="s">
        <v>4</v>
      </c>
      <c r="B2086" s="5" t="s">
        <v>6884</v>
      </c>
      <c r="D2086" s="5" t="s">
        <v>75</v>
      </c>
      <c r="E2086" s="5" t="s">
        <v>6885</v>
      </c>
      <c r="F2086" s="5" t="s">
        <v>6886</v>
      </c>
      <c r="G2086" s="6">
        <v>46112.696527777778</v>
      </c>
      <c r="H2086" s="7">
        <v>46119</v>
      </c>
      <c r="I2086" s="5" t="s">
        <v>6887</v>
      </c>
      <c r="J2086" s="7">
        <v>46120</v>
      </c>
      <c r="K2086" s="5" t="s">
        <v>1527</v>
      </c>
      <c r="L2086" s="5" t="s">
        <v>1621</v>
      </c>
      <c r="M2086" s="8">
        <v>40.06</v>
      </c>
      <c r="N2086" s="5" t="s">
        <v>1536</v>
      </c>
      <c r="O2086" s="7">
        <v>46120</v>
      </c>
    </row>
    <row r="2087" spans="1:15" hidden="1" x14ac:dyDescent="0.25">
      <c r="A2087" s="5" t="s">
        <v>1522</v>
      </c>
      <c r="B2087" s="5" t="s">
        <v>6888</v>
      </c>
      <c r="D2087" s="5" t="s">
        <v>1422</v>
      </c>
      <c r="E2087" s="5" t="s">
        <v>3396</v>
      </c>
      <c r="F2087" s="5" t="s">
        <v>6889</v>
      </c>
      <c r="G2087" s="6">
        <v>46084.429166666669</v>
      </c>
      <c r="H2087" s="7">
        <v>46086</v>
      </c>
      <c r="I2087" s="6">
        <v>46085.71597222222</v>
      </c>
      <c r="J2087" s="7">
        <v>46085</v>
      </c>
      <c r="K2087" s="5" t="s">
        <v>1527</v>
      </c>
      <c r="L2087" s="5" t="s">
        <v>1528</v>
      </c>
      <c r="M2087" s="8">
        <v>40</v>
      </c>
      <c r="N2087" s="5" t="s">
        <v>1536</v>
      </c>
      <c r="O2087" s="7">
        <v>46085</v>
      </c>
    </row>
    <row r="2088" spans="1:15" hidden="1" x14ac:dyDescent="0.25">
      <c r="A2088" s="5" t="s">
        <v>1522</v>
      </c>
      <c r="B2088" s="5" t="s">
        <v>6890</v>
      </c>
      <c r="D2088" s="5" t="s">
        <v>1500</v>
      </c>
      <c r="E2088" s="5" t="s">
        <v>1559</v>
      </c>
      <c r="F2088" s="5" t="s">
        <v>1548</v>
      </c>
      <c r="G2088" s="6">
        <v>46142.417361111111</v>
      </c>
      <c r="H2088" s="7">
        <v>46149</v>
      </c>
      <c r="I2088" s="5" t="s">
        <v>1533</v>
      </c>
      <c r="J2088" s="7">
        <v>46147</v>
      </c>
      <c r="K2088" s="5" t="s">
        <v>1534</v>
      </c>
      <c r="L2088" s="5" t="s">
        <v>1528</v>
      </c>
      <c r="M2088" s="8">
        <v>40</v>
      </c>
      <c r="N2088" s="5" t="s">
        <v>1536</v>
      </c>
      <c r="O2088" s="7">
        <v>46147</v>
      </c>
    </row>
    <row r="2089" spans="1:15" hidden="1" x14ac:dyDescent="0.25">
      <c r="A2089" s="5" t="s">
        <v>1522</v>
      </c>
      <c r="B2089" s="5" t="s">
        <v>6891</v>
      </c>
      <c r="D2089" s="5" t="s">
        <v>1469</v>
      </c>
      <c r="E2089" s="5" t="s">
        <v>2537</v>
      </c>
      <c r="F2089" s="5" t="s">
        <v>6892</v>
      </c>
      <c r="G2089" s="6">
        <v>46146.48541666667</v>
      </c>
      <c r="H2089" s="7">
        <v>46150</v>
      </c>
      <c r="I2089" s="6">
        <v>46148.6</v>
      </c>
      <c r="J2089" s="7">
        <v>46148</v>
      </c>
      <c r="K2089" s="5" t="s">
        <v>1527</v>
      </c>
      <c r="L2089" s="5" t="s">
        <v>1528</v>
      </c>
      <c r="M2089" s="8">
        <v>40</v>
      </c>
      <c r="N2089" s="5" t="s">
        <v>1536</v>
      </c>
      <c r="O2089" s="7">
        <v>46148</v>
      </c>
    </row>
    <row r="2090" spans="1:15" hidden="1" x14ac:dyDescent="0.25">
      <c r="A2090" s="5" t="s">
        <v>1522</v>
      </c>
      <c r="B2090" s="5" t="s">
        <v>6893</v>
      </c>
      <c r="D2090" s="5" t="s">
        <v>1505</v>
      </c>
      <c r="E2090" s="5" t="s">
        <v>4115</v>
      </c>
      <c r="F2090" s="5" t="s">
        <v>6894</v>
      </c>
      <c r="G2090" s="6">
        <v>46148.615277777775</v>
      </c>
      <c r="H2090" s="7">
        <v>46150</v>
      </c>
      <c r="I2090" s="6">
        <v>46150.6</v>
      </c>
      <c r="J2090" s="7">
        <v>46150</v>
      </c>
      <c r="K2090" s="5" t="s">
        <v>1527</v>
      </c>
      <c r="L2090" s="5" t="s">
        <v>1554</v>
      </c>
      <c r="M2090" s="9">
        <v>40</v>
      </c>
      <c r="N2090" s="5" t="s">
        <v>1536</v>
      </c>
      <c r="O2090" s="7">
        <v>46150</v>
      </c>
    </row>
    <row r="2091" spans="1:15" x14ac:dyDescent="0.25">
      <c r="A2091" s="5" t="s">
        <v>4</v>
      </c>
      <c r="B2091" s="5" t="s">
        <v>6895</v>
      </c>
      <c r="D2091" s="5" t="s">
        <v>1509</v>
      </c>
      <c r="E2091" s="5" t="s">
        <v>1543</v>
      </c>
      <c r="F2091" s="5" t="s">
        <v>6896</v>
      </c>
      <c r="G2091" s="6">
        <v>46030.614583333336</v>
      </c>
      <c r="H2091" s="7">
        <v>46038</v>
      </c>
      <c r="I2091" s="5" t="s">
        <v>6897</v>
      </c>
      <c r="J2091" s="7">
        <v>46038</v>
      </c>
      <c r="K2091" s="5" t="s">
        <v>1527</v>
      </c>
      <c r="L2091" s="5" t="s">
        <v>1535</v>
      </c>
      <c r="M2091" s="8">
        <v>40</v>
      </c>
      <c r="N2091" s="5" t="s">
        <v>1536</v>
      </c>
      <c r="O2091" s="7">
        <v>46038</v>
      </c>
    </row>
    <row r="2092" spans="1:15" x14ac:dyDescent="0.25">
      <c r="A2092" s="5" t="s">
        <v>4</v>
      </c>
      <c r="B2092" s="5" t="s">
        <v>6898</v>
      </c>
      <c r="D2092" s="5" t="s">
        <v>284</v>
      </c>
      <c r="E2092" s="5" t="s">
        <v>6899</v>
      </c>
      <c r="F2092" s="5" t="s">
        <v>6900</v>
      </c>
      <c r="G2092" s="6">
        <v>46034.379861111112</v>
      </c>
      <c r="H2092" s="7">
        <v>46037</v>
      </c>
      <c r="I2092" s="5" t="s">
        <v>6901</v>
      </c>
      <c r="J2092" s="7">
        <v>46041</v>
      </c>
      <c r="K2092" s="5" t="s">
        <v>1527</v>
      </c>
      <c r="L2092" s="5" t="s">
        <v>1535</v>
      </c>
      <c r="M2092" s="8">
        <v>40</v>
      </c>
      <c r="N2092" s="5" t="s">
        <v>1536</v>
      </c>
      <c r="O2092" s="7">
        <v>46041</v>
      </c>
    </row>
    <row r="2093" spans="1:15" x14ac:dyDescent="0.25">
      <c r="A2093" s="5" t="s">
        <v>4</v>
      </c>
      <c r="B2093" s="5" t="s">
        <v>6902</v>
      </c>
      <c r="D2093" s="5" t="s">
        <v>1505</v>
      </c>
      <c r="E2093" s="5" t="s">
        <v>4115</v>
      </c>
      <c r="F2093" s="5" t="s">
        <v>6903</v>
      </c>
      <c r="G2093" s="6">
        <v>46090.654861111114</v>
      </c>
      <c r="H2093" s="7">
        <v>46090</v>
      </c>
      <c r="I2093" s="5" t="s">
        <v>3497</v>
      </c>
      <c r="J2093" s="7">
        <v>46090</v>
      </c>
      <c r="K2093" s="5" t="s">
        <v>1527</v>
      </c>
      <c r="L2093" s="5" t="s">
        <v>1535</v>
      </c>
      <c r="M2093" s="8">
        <v>40</v>
      </c>
      <c r="N2093" s="5" t="s">
        <v>1536</v>
      </c>
      <c r="O2093" s="7">
        <v>46090</v>
      </c>
    </row>
    <row r="2094" spans="1:15" x14ac:dyDescent="0.25">
      <c r="A2094" s="5" t="s">
        <v>4</v>
      </c>
      <c r="B2094" s="5" t="s">
        <v>6904</v>
      </c>
      <c r="D2094" s="5" t="s">
        <v>509</v>
      </c>
      <c r="E2094" s="5" t="s">
        <v>6905</v>
      </c>
      <c r="F2094" s="5" t="s">
        <v>6906</v>
      </c>
      <c r="G2094" s="6">
        <v>46077.7</v>
      </c>
      <c r="H2094" s="7">
        <v>46086</v>
      </c>
      <c r="I2094" s="5" t="s">
        <v>6907</v>
      </c>
      <c r="J2094" s="7">
        <v>46085</v>
      </c>
      <c r="K2094" s="5" t="s">
        <v>1527</v>
      </c>
      <c r="L2094" s="5" t="s">
        <v>1621</v>
      </c>
      <c r="M2094" s="8">
        <v>39.799999999999997</v>
      </c>
      <c r="N2094" s="5" t="s">
        <v>1536</v>
      </c>
      <c r="O2094" s="7">
        <v>46085</v>
      </c>
    </row>
    <row r="2095" spans="1:15" x14ac:dyDescent="0.25">
      <c r="A2095" s="5" t="s">
        <v>4</v>
      </c>
      <c r="B2095" s="5" t="s">
        <v>6908</v>
      </c>
      <c r="D2095" s="5" t="s">
        <v>256</v>
      </c>
      <c r="E2095" s="5" t="s">
        <v>6909</v>
      </c>
      <c r="F2095" s="5" t="s">
        <v>6910</v>
      </c>
      <c r="G2095" s="6">
        <v>46099.65</v>
      </c>
      <c r="H2095" s="7">
        <v>46106</v>
      </c>
      <c r="I2095" s="6">
        <v>46100.628472222219</v>
      </c>
      <c r="J2095" s="7">
        <v>46100</v>
      </c>
      <c r="K2095" s="5" t="s">
        <v>1527</v>
      </c>
      <c r="L2095" s="5" t="s">
        <v>1621</v>
      </c>
      <c r="M2095" s="8">
        <v>39.69</v>
      </c>
      <c r="N2095" s="5" t="s">
        <v>1536</v>
      </c>
      <c r="O2095" s="7">
        <v>46100</v>
      </c>
    </row>
    <row r="2096" spans="1:15" x14ac:dyDescent="0.25">
      <c r="A2096" s="5" t="s">
        <v>4</v>
      </c>
      <c r="B2096" s="5" t="s">
        <v>6911</v>
      </c>
      <c r="D2096" s="5" t="s">
        <v>1111</v>
      </c>
      <c r="E2096" s="5" t="s">
        <v>6912</v>
      </c>
      <c r="F2096" s="5" t="s">
        <v>6913</v>
      </c>
      <c r="G2096" s="6">
        <v>46162.393055555556</v>
      </c>
      <c r="H2096" s="7">
        <v>46169</v>
      </c>
      <c r="I2096" s="6">
        <v>46167.745833333334</v>
      </c>
      <c r="J2096" s="7">
        <v>46167</v>
      </c>
      <c r="K2096" s="5" t="s">
        <v>1527</v>
      </c>
      <c r="L2096" s="5" t="s">
        <v>1621</v>
      </c>
      <c r="M2096" s="8">
        <v>39.65</v>
      </c>
      <c r="N2096" s="5" t="s">
        <v>1536</v>
      </c>
      <c r="O2096" s="7">
        <v>46167</v>
      </c>
    </row>
    <row r="2097" spans="1:15" x14ac:dyDescent="0.25">
      <c r="A2097" s="5" t="s">
        <v>4</v>
      </c>
      <c r="B2097" s="5" t="s">
        <v>6914</v>
      </c>
      <c r="D2097" s="5" t="s">
        <v>1027</v>
      </c>
      <c r="E2097" s="5" t="s">
        <v>6915</v>
      </c>
      <c r="F2097" s="5" t="s">
        <v>6916</v>
      </c>
      <c r="G2097" s="6">
        <v>46072.720833333333</v>
      </c>
      <c r="H2097" s="7">
        <v>46083</v>
      </c>
      <c r="I2097" s="5" t="s">
        <v>6917</v>
      </c>
      <c r="J2097" s="7">
        <v>46080</v>
      </c>
      <c r="K2097" s="5" t="s">
        <v>1527</v>
      </c>
      <c r="L2097" s="5" t="s">
        <v>1621</v>
      </c>
      <c r="M2097" s="8">
        <v>39.6</v>
      </c>
      <c r="N2097" s="5" t="s">
        <v>1536</v>
      </c>
      <c r="O2097" s="7">
        <v>46080</v>
      </c>
    </row>
    <row r="2098" spans="1:15" x14ac:dyDescent="0.25">
      <c r="A2098" s="5" t="s">
        <v>4</v>
      </c>
      <c r="B2098" s="5" t="s">
        <v>6918</v>
      </c>
      <c r="D2098" s="5" t="s">
        <v>1467</v>
      </c>
      <c r="E2098" s="5" t="s">
        <v>6814</v>
      </c>
      <c r="F2098" s="5" t="s">
        <v>5119</v>
      </c>
      <c r="G2098" s="6">
        <v>46129.634027777778</v>
      </c>
      <c r="H2098" s="7">
        <v>46136</v>
      </c>
      <c r="I2098" s="5" t="s">
        <v>5370</v>
      </c>
      <c r="J2098" s="7">
        <v>46139</v>
      </c>
      <c r="K2098" s="5" t="s">
        <v>1527</v>
      </c>
      <c r="L2098" s="5" t="s">
        <v>1621</v>
      </c>
      <c r="M2098" s="8">
        <v>39.590000000000003</v>
      </c>
      <c r="N2098" s="5" t="s">
        <v>1536</v>
      </c>
      <c r="O2098" s="7">
        <v>46139</v>
      </c>
    </row>
    <row r="2099" spans="1:15" hidden="1" x14ac:dyDescent="0.25">
      <c r="A2099" s="5" t="s">
        <v>1522</v>
      </c>
      <c r="B2099" s="5" t="s">
        <v>6919</v>
      </c>
      <c r="D2099" s="5" t="s">
        <v>1396</v>
      </c>
      <c r="E2099" s="5" t="s">
        <v>6920</v>
      </c>
      <c r="F2099" s="5" t="s">
        <v>6921</v>
      </c>
      <c r="G2099" s="6">
        <v>46041.57708333333</v>
      </c>
      <c r="H2099" s="7">
        <v>46050</v>
      </c>
      <c r="I2099" s="5" t="s">
        <v>6922</v>
      </c>
      <c r="J2099" s="7">
        <v>46058</v>
      </c>
      <c r="K2099" s="5" t="s">
        <v>1527</v>
      </c>
      <c r="L2099" s="5" t="s">
        <v>1528</v>
      </c>
      <c r="M2099" s="8">
        <v>39.47</v>
      </c>
      <c r="N2099" s="5" t="s">
        <v>1536</v>
      </c>
      <c r="O2099" s="7">
        <v>46058</v>
      </c>
    </row>
    <row r="2100" spans="1:15" hidden="1" x14ac:dyDescent="0.25">
      <c r="A2100" s="5" t="s">
        <v>1522</v>
      </c>
      <c r="B2100" s="5">
        <v>38013</v>
      </c>
      <c r="D2100" s="5" t="s">
        <v>1507</v>
      </c>
      <c r="E2100" s="5" t="s">
        <v>2247</v>
      </c>
      <c r="F2100" s="5" t="s">
        <v>1759</v>
      </c>
      <c r="G2100" s="6">
        <v>46042.496527777781</v>
      </c>
      <c r="H2100" s="7">
        <v>46045</v>
      </c>
      <c r="I2100" s="5" t="s">
        <v>6923</v>
      </c>
      <c r="J2100" s="7">
        <v>46051</v>
      </c>
      <c r="K2100" s="5" t="s">
        <v>1527</v>
      </c>
      <c r="L2100" s="5" t="s">
        <v>1528</v>
      </c>
      <c r="M2100" s="8">
        <v>39.15</v>
      </c>
      <c r="N2100" s="5" t="s">
        <v>1536</v>
      </c>
      <c r="O2100" s="7">
        <v>46051</v>
      </c>
    </row>
    <row r="2101" spans="1:15" x14ac:dyDescent="0.25">
      <c r="A2101" s="5" t="s">
        <v>4</v>
      </c>
      <c r="B2101" s="5" t="s">
        <v>6924</v>
      </c>
      <c r="D2101" s="5" t="s">
        <v>1037</v>
      </c>
      <c r="E2101" s="5" t="s">
        <v>6925</v>
      </c>
      <c r="F2101" s="5" t="s">
        <v>6926</v>
      </c>
      <c r="G2101" s="6">
        <v>46155.488194444442</v>
      </c>
      <c r="H2101" s="7">
        <v>46162</v>
      </c>
      <c r="I2101" s="6">
        <v>46161.416666666664</v>
      </c>
      <c r="J2101" s="7">
        <v>46157</v>
      </c>
      <c r="K2101" s="5" t="s">
        <v>1527</v>
      </c>
      <c r="L2101" s="5" t="s">
        <v>1621</v>
      </c>
      <c r="M2101" s="8">
        <v>38.9</v>
      </c>
      <c r="N2101" s="5" t="s">
        <v>1536</v>
      </c>
      <c r="O2101" s="7">
        <v>46157</v>
      </c>
    </row>
    <row r="2102" spans="1:15" x14ac:dyDescent="0.25">
      <c r="A2102" s="5" t="s">
        <v>4</v>
      </c>
      <c r="B2102" s="5" t="s">
        <v>6927</v>
      </c>
      <c r="D2102" s="5" t="s">
        <v>1113</v>
      </c>
      <c r="E2102" s="5" t="s">
        <v>6928</v>
      </c>
      <c r="F2102" s="5" t="s">
        <v>6929</v>
      </c>
      <c r="G2102" s="6">
        <v>46114.680555555555</v>
      </c>
      <c r="H2102" s="7">
        <v>46121</v>
      </c>
      <c r="I2102" s="5" t="s">
        <v>6930</v>
      </c>
      <c r="J2102" s="7">
        <v>46120</v>
      </c>
      <c r="K2102" s="5" t="s">
        <v>1527</v>
      </c>
      <c r="L2102" s="5" t="s">
        <v>1621</v>
      </c>
      <c r="M2102" s="8">
        <v>38.619999999999997</v>
      </c>
      <c r="N2102" s="5" t="s">
        <v>1536</v>
      </c>
      <c r="O2102" s="7">
        <v>46120</v>
      </c>
    </row>
    <row r="2103" spans="1:15" x14ac:dyDescent="0.25">
      <c r="A2103" s="5" t="s">
        <v>4</v>
      </c>
      <c r="B2103" s="5" t="s">
        <v>6931</v>
      </c>
      <c r="D2103" s="5" t="s">
        <v>628</v>
      </c>
      <c r="E2103" s="5" t="s">
        <v>6932</v>
      </c>
      <c r="F2103" s="5" t="s">
        <v>6933</v>
      </c>
      <c r="G2103" s="6">
        <v>46101.663194444445</v>
      </c>
      <c r="H2103" s="7">
        <v>46112</v>
      </c>
      <c r="I2103" s="5" t="s">
        <v>1533</v>
      </c>
      <c r="J2103" s="7">
        <v>46113</v>
      </c>
      <c r="K2103" s="5" t="s">
        <v>1534</v>
      </c>
      <c r="L2103" s="5" t="s">
        <v>1621</v>
      </c>
      <c r="M2103" s="8">
        <v>38.5</v>
      </c>
      <c r="N2103" s="5" t="s">
        <v>1536</v>
      </c>
      <c r="O2103" s="7">
        <v>46113</v>
      </c>
    </row>
    <row r="2104" spans="1:15" x14ac:dyDescent="0.25">
      <c r="A2104" s="5" t="s">
        <v>4</v>
      </c>
      <c r="B2104" s="5" t="s">
        <v>6934</v>
      </c>
      <c r="D2104" s="5" t="s">
        <v>748</v>
      </c>
      <c r="E2104" s="5" t="s">
        <v>6935</v>
      </c>
      <c r="F2104" s="5" t="s">
        <v>6936</v>
      </c>
      <c r="G2104" s="6">
        <v>46162.646527777775</v>
      </c>
      <c r="H2104" s="7">
        <v>46169</v>
      </c>
      <c r="I2104" s="5" t="s">
        <v>6937</v>
      </c>
      <c r="J2104" s="7">
        <v>46171</v>
      </c>
      <c r="K2104" s="5" t="s">
        <v>1527</v>
      </c>
      <c r="L2104" s="5" t="s">
        <v>1621</v>
      </c>
      <c r="M2104" s="8">
        <v>38.5</v>
      </c>
      <c r="N2104" s="5" t="s">
        <v>1536</v>
      </c>
      <c r="O2104" s="7">
        <v>46171</v>
      </c>
    </row>
    <row r="2105" spans="1:15" x14ac:dyDescent="0.25">
      <c r="A2105" s="5" t="s">
        <v>4</v>
      </c>
      <c r="B2105" s="5" t="s">
        <v>6938</v>
      </c>
      <c r="D2105" s="5" t="s">
        <v>426</v>
      </c>
      <c r="E2105" s="5" t="s">
        <v>6939</v>
      </c>
      <c r="F2105" s="5" t="s">
        <v>6940</v>
      </c>
      <c r="G2105" s="6">
        <v>46139.738194444442</v>
      </c>
      <c r="H2105" s="7">
        <v>46146</v>
      </c>
      <c r="I2105" s="6">
        <v>46142.647222222222</v>
      </c>
      <c r="J2105" s="7">
        <v>46141</v>
      </c>
      <c r="K2105" s="5" t="s">
        <v>1527</v>
      </c>
      <c r="L2105" s="5" t="s">
        <v>1621</v>
      </c>
      <c r="M2105" s="8">
        <v>38.479999999999997</v>
      </c>
      <c r="N2105" s="5" t="s">
        <v>1536</v>
      </c>
      <c r="O2105" s="7">
        <v>46141</v>
      </c>
    </row>
    <row r="2106" spans="1:15" x14ac:dyDescent="0.25">
      <c r="A2106" s="5" t="s">
        <v>4</v>
      </c>
      <c r="B2106" s="5" t="s">
        <v>6941</v>
      </c>
      <c r="D2106" s="5" t="s">
        <v>298</v>
      </c>
      <c r="E2106" s="5" t="s">
        <v>6942</v>
      </c>
      <c r="F2106" s="5" t="s">
        <v>6943</v>
      </c>
      <c r="G2106" s="6">
        <v>46093.490972222222</v>
      </c>
      <c r="H2106" s="7">
        <v>46099</v>
      </c>
      <c r="I2106" s="5" t="s">
        <v>2323</v>
      </c>
      <c r="J2106" s="7">
        <v>46104</v>
      </c>
      <c r="K2106" s="5" t="s">
        <v>1527</v>
      </c>
      <c r="L2106" s="5" t="s">
        <v>1621</v>
      </c>
      <c r="M2106" s="8">
        <v>38.39</v>
      </c>
      <c r="N2106" s="5" t="s">
        <v>1536</v>
      </c>
      <c r="O2106" s="7">
        <v>46104</v>
      </c>
    </row>
    <row r="2107" spans="1:15" x14ac:dyDescent="0.25">
      <c r="A2107" s="5" t="s">
        <v>4</v>
      </c>
      <c r="B2107" s="5" t="s">
        <v>6944</v>
      </c>
      <c r="D2107" s="5" t="s">
        <v>291</v>
      </c>
      <c r="E2107" s="5" t="s">
        <v>6945</v>
      </c>
      <c r="F2107" s="5" t="s">
        <v>6946</v>
      </c>
      <c r="G2107" s="6">
        <v>46156.648611111108</v>
      </c>
      <c r="H2107" s="7">
        <v>46163</v>
      </c>
      <c r="I2107" s="6">
        <v>46161.418749999997</v>
      </c>
      <c r="J2107" s="7">
        <v>46161</v>
      </c>
      <c r="K2107" s="5" t="s">
        <v>1527</v>
      </c>
      <c r="L2107" s="5" t="s">
        <v>1621</v>
      </c>
      <c r="M2107" s="9">
        <v>38.299999999999997</v>
      </c>
      <c r="N2107" s="5" t="s">
        <v>1536</v>
      </c>
      <c r="O2107" s="7">
        <v>46161</v>
      </c>
    </row>
    <row r="2108" spans="1:15" x14ac:dyDescent="0.25">
      <c r="A2108" s="5" t="s">
        <v>4</v>
      </c>
      <c r="B2108" s="5" t="s">
        <v>6947</v>
      </c>
      <c r="D2108" s="5" t="s">
        <v>366</v>
      </c>
      <c r="E2108" s="5" t="s">
        <v>6948</v>
      </c>
      <c r="F2108" s="5" t="s">
        <v>6949</v>
      </c>
      <c r="G2108" s="6">
        <v>46149.661111111112</v>
      </c>
      <c r="H2108" s="7">
        <v>46157</v>
      </c>
      <c r="I2108" s="6">
        <v>46150.600694444445</v>
      </c>
      <c r="J2108" s="7">
        <v>46150</v>
      </c>
      <c r="K2108" s="5" t="s">
        <v>1527</v>
      </c>
      <c r="L2108" s="5" t="s">
        <v>1621</v>
      </c>
      <c r="M2108" s="8">
        <v>38.24</v>
      </c>
      <c r="N2108" s="5" t="s">
        <v>1536</v>
      </c>
      <c r="O2108" s="7">
        <v>46150</v>
      </c>
    </row>
    <row r="2109" spans="1:15" hidden="1" x14ac:dyDescent="0.25">
      <c r="A2109" s="5" t="s">
        <v>1522</v>
      </c>
      <c r="B2109" s="5" t="s">
        <v>6950</v>
      </c>
      <c r="D2109" s="5" t="s">
        <v>1510</v>
      </c>
      <c r="E2109" s="5" t="s">
        <v>2466</v>
      </c>
      <c r="F2109" s="5" t="s">
        <v>6467</v>
      </c>
      <c r="G2109" s="6">
        <v>46153.626388888886</v>
      </c>
      <c r="H2109" s="7">
        <v>46155</v>
      </c>
      <c r="I2109" s="5" t="s">
        <v>6951</v>
      </c>
      <c r="J2109" s="7">
        <v>46156</v>
      </c>
      <c r="K2109" s="5" t="s">
        <v>1527</v>
      </c>
      <c r="L2109" s="5" t="s">
        <v>1621</v>
      </c>
      <c r="M2109" s="8">
        <v>37.799999999999997</v>
      </c>
      <c r="N2109" s="5" t="s">
        <v>1529</v>
      </c>
      <c r="O2109" s="7">
        <v>46156</v>
      </c>
    </row>
    <row r="2110" spans="1:15" x14ac:dyDescent="0.25">
      <c r="A2110" s="5" t="s">
        <v>4</v>
      </c>
      <c r="B2110" s="5" t="s">
        <v>6952</v>
      </c>
      <c r="D2110" s="5" t="s">
        <v>16</v>
      </c>
      <c r="E2110" s="5" t="s">
        <v>6953</v>
      </c>
      <c r="F2110" s="5" t="s">
        <v>6954</v>
      </c>
      <c r="G2110" s="6">
        <v>46092.647916666669</v>
      </c>
      <c r="H2110" s="7">
        <v>46099</v>
      </c>
      <c r="I2110" s="5" t="s">
        <v>6955</v>
      </c>
      <c r="J2110" s="7">
        <v>46100</v>
      </c>
      <c r="K2110" s="5" t="s">
        <v>1527</v>
      </c>
      <c r="L2110" s="5" t="s">
        <v>1621</v>
      </c>
      <c r="M2110" s="8">
        <v>37.75</v>
      </c>
      <c r="N2110" s="5" t="s">
        <v>1536</v>
      </c>
      <c r="O2110" s="7">
        <v>46100</v>
      </c>
    </row>
    <row r="2111" spans="1:15" x14ac:dyDescent="0.25">
      <c r="A2111" s="5" t="s">
        <v>4</v>
      </c>
      <c r="B2111" s="5" t="s">
        <v>6956</v>
      </c>
      <c r="D2111" s="5" t="s">
        <v>891</v>
      </c>
      <c r="E2111" s="5" t="s">
        <v>6957</v>
      </c>
      <c r="F2111" s="5" t="s">
        <v>6958</v>
      </c>
      <c r="G2111" s="6">
        <v>46134.668055555558</v>
      </c>
      <c r="H2111" s="7">
        <v>46141</v>
      </c>
      <c r="I2111" s="6">
        <v>46141.345138888886</v>
      </c>
      <c r="J2111" s="7">
        <v>46140</v>
      </c>
      <c r="K2111" s="5" t="s">
        <v>1527</v>
      </c>
      <c r="L2111" s="5" t="s">
        <v>1621</v>
      </c>
      <c r="M2111" s="8">
        <v>37.25</v>
      </c>
      <c r="N2111" s="5" t="s">
        <v>1536</v>
      </c>
      <c r="O2111" s="7">
        <v>46140</v>
      </c>
    </row>
    <row r="2112" spans="1:15" hidden="1" x14ac:dyDescent="0.25">
      <c r="A2112" s="5" t="s">
        <v>1522</v>
      </c>
      <c r="B2112" s="5" t="s">
        <v>6959</v>
      </c>
      <c r="D2112" s="5" t="s">
        <v>1510</v>
      </c>
      <c r="E2112" s="5" t="s">
        <v>2466</v>
      </c>
      <c r="F2112" s="5" t="s">
        <v>5986</v>
      </c>
      <c r="G2112" s="6">
        <v>46134.731249999997</v>
      </c>
      <c r="H2112" s="7">
        <v>46141</v>
      </c>
      <c r="I2112" s="6">
        <v>46139.611111111109</v>
      </c>
      <c r="J2112" s="7">
        <v>46139</v>
      </c>
      <c r="K2112" s="5" t="s">
        <v>1527</v>
      </c>
      <c r="L2112" s="5" t="s">
        <v>1621</v>
      </c>
      <c r="M2112" s="8">
        <v>37</v>
      </c>
      <c r="N2112" s="5" t="s">
        <v>1529</v>
      </c>
      <c r="O2112" s="7">
        <v>46139</v>
      </c>
    </row>
    <row r="2113" spans="1:15" x14ac:dyDescent="0.25">
      <c r="A2113" s="5" t="s">
        <v>4</v>
      </c>
      <c r="B2113" s="5" t="s">
        <v>6960</v>
      </c>
      <c r="D2113" s="5" t="s">
        <v>1190</v>
      </c>
      <c r="E2113" s="5" t="s">
        <v>6961</v>
      </c>
      <c r="F2113" s="5" t="s">
        <v>6962</v>
      </c>
      <c r="G2113" s="6">
        <v>46057.734722222223</v>
      </c>
      <c r="H2113" s="7">
        <v>46064</v>
      </c>
      <c r="I2113" s="5" t="s">
        <v>6341</v>
      </c>
      <c r="J2113" s="7">
        <v>46065</v>
      </c>
      <c r="K2113" s="5" t="s">
        <v>1527</v>
      </c>
      <c r="L2113" s="5" t="s">
        <v>1621</v>
      </c>
      <c r="M2113" s="8">
        <v>36.99</v>
      </c>
      <c r="N2113" s="5" t="s">
        <v>1536</v>
      </c>
      <c r="O2113" s="7">
        <v>46065</v>
      </c>
    </row>
    <row r="2114" spans="1:15" hidden="1" x14ac:dyDescent="0.25">
      <c r="A2114" s="5" t="s">
        <v>1522</v>
      </c>
      <c r="B2114" s="5" t="s">
        <v>6963</v>
      </c>
      <c r="D2114" s="5" t="s">
        <v>1510</v>
      </c>
      <c r="E2114" s="5" t="s">
        <v>2466</v>
      </c>
      <c r="F2114" s="5" t="s">
        <v>6467</v>
      </c>
      <c r="G2114" s="6">
        <v>46069.472916666666</v>
      </c>
      <c r="H2114" s="7">
        <v>46072</v>
      </c>
      <c r="I2114" s="5" t="s">
        <v>6964</v>
      </c>
      <c r="J2114" s="7">
        <v>46073</v>
      </c>
      <c r="K2114" s="5" t="s">
        <v>1527</v>
      </c>
      <c r="L2114" s="5" t="s">
        <v>1621</v>
      </c>
      <c r="M2114" s="8">
        <v>36.9</v>
      </c>
      <c r="N2114" s="5" t="s">
        <v>1536</v>
      </c>
      <c r="O2114" s="7">
        <v>46073</v>
      </c>
    </row>
    <row r="2115" spans="1:15" x14ac:dyDescent="0.25">
      <c r="A2115" s="5" t="s">
        <v>4</v>
      </c>
      <c r="B2115" s="5" t="s">
        <v>6965</v>
      </c>
      <c r="D2115" s="5" t="s">
        <v>350</v>
      </c>
      <c r="E2115" s="5" t="s">
        <v>6966</v>
      </c>
      <c r="F2115" s="5" t="s">
        <v>6967</v>
      </c>
      <c r="G2115" s="6">
        <v>46070.597222222219</v>
      </c>
      <c r="H2115" s="7">
        <v>46077</v>
      </c>
      <c r="I2115" s="5" t="s">
        <v>6968</v>
      </c>
      <c r="J2115" s="7">
        <v>46078</v>
      </c>
      <c r="K2115" s="5" t="s">
        <v>1527</v>
      </c>
      <c r="L2115" s="5" t="s">
        <v>1621</v>
      </c>
      <c r="M2115" s="8">
        <v>36.700000000000003</v>
      </c>
      <c r="N2115" s="5" t="s">
        <v>1536</v>
      </c>
      <c r="O2115" s="7">
        <v>46078</v>
      </c>
    </row>
    <row r="2116" spans="1:15" x14ac:dyDescent="0.25">
      <c r="A2116" s="5" t="s">
        <v>4</v>
      </c>
      <c r="B2116" s="5" t="s">
        <v>6969</v>
      </c>
      <c r="D2116" s="5" t="s">
        <v>974</v>
      </c>
      <c r="E2116" s="5" t="s">
        <v>6970</v>
      </c>
      <c r="F2116" s="5" t="s">
        <v>6971</v>
      </c>
      <c r="G2116" s="6">
        <v>46127.535416666666</v>
      </c>
      <c r="H2116" s="7">
        <v>46135</v>
      </c>
      <c r="I2116" s="6">
        <v>46129.592361111114</v>
      </c>
      <c r="J2116" s="7">
        <v>46129</v>
      </c>
      <c r="K2116" s="5" t="s">
        <v>1527</v>
      </c>
      <c r="L2116" s="5" t="s">
        <v>1564</v>
      </c>
      <c r="M2116" s="8">
        <v>36.24</v>
      </c>
      <c r="N2116" s="5" t="s">
        <v>1536</v>
      </c>
      <c r="O2116" s="7">
        <v>46129</v>
      </c>
    </row>
    <row r="2117" spans="1:15" hidden="1" x14ac:dyDescent="0.25">
      <c r="A2117" s="5" t="s">
        <v>1522</v>
      </c>
      <c r="B2117" s="5" t="s">
        <v>6972</v>
      </c>
      <c r="D2117" s="5" t="s">
        <v>37</v>
      </c>
      <c r="E2117" s="5" t="s">
        <v>6973</v>
      </c>
      <c r="F2117" s="5" t="s">
        <v>6974</v>
      </c>
      <c r="G2117" s="6">
        <v>46059.615972222222</v>
      </c>
      <c r="H2117" s="7">
        <v>46066</v>
      </c>
      <c r="I2117" s="5" t="s">
        <v>6975</v>
      </c>
      <c r="J2117" s="7">
        <v>46066</v>
      </c>
      <c r="K2117" s="5" t="s">
        <v>1527</v>
      </c>
      <c r="L2117" s="5" t="s">
        <v>1528</v>
      </c>
      <c r="M2117" s="8">
        <v>36</v>
      </c>
      <c r="N2117" s="5" t="s">
        <v>1536</v>
      </c>
      <c r="O2117" s="7">
        <v>46066</v>
      </c>
    </row>
    <row r="2118" spans="1:15" hidden="1" x14ac:dyDescent="0.25">
      <c r="A2118" s="5" t="s">
        <v>1522</v>
      </c>
      <c r="B2118" s="5" t="s">
        <v>6976</v>
      </c>
      <c r="D2118" s="5" t="s">
        <v>1503</v>
      </c>
      <c r="E2118" s="5" t="s">
        <v>1651</v>
      </c>
      <c r="F2118" s="5" t="s">
        <v>6029</v>
      </c>
      <c r="G2118" s="6">
        <v>46121.366666666669</v>
      </c>
      <c r="H2118" s="7">
        <v>46128</v>
      </c>
      <c r="I2118" s="6">
        <v>46125.691666666666</v>
      </c>
      <c r="J2118" s="7">
        <v>46122</v>
      </c>
      <c r="K2118" s="5" t="s">
        <v>1527</v>
      </c>
      <c r="L2118" s="5" t="s">
        <v>1528</v>
      </c>
      <c r="M2118" s="8">
        <v>36</v>
      </c>
      <c r="N2118" s="5" t="s">
        <v>1536</v>
      </c>
      <c r="O2118" s="7">
        <v>46122</v>
      </c>
    </row>
    <row r="2119" spans="1:15" hidden="1" x14ac:dyDescent="0.25">
      <c r="A2119" s="5" t="s">
        <v>1522</v>
      </c>
      <c r="B2119" s="5" t="s">
        <v>6977</v>
      </c>
      <c r="D2119" s="5" t="s">
        <v>1269</v>
      </c>
      <c r="E2119" s="5" t="s">
        <v>6978</v>
      </c>
      <c r="F2119" s="5" t="s">
        <v>6979</v>
      </c>
      <c r="G2119" s="6">
        <v>46111.36041666667</v>
      </c>
      <c r="H2119" s="7">
        <v>46119</v>
      </c>
      <c r="I2119" s="5" t="s">
        <v>6980</v>
      </c>
      <c r="J2119" s="7">
        <v>46118</v>
      </c>
      <c r="K2119" s="5" t="s">
        <v>1527</v>
      </c>
      <c r="L2119" s="5" t="s">
        <v>1528</v>
      </c>
      <c r="M2119" s="8">
        <v>35.71</v>
      </c>
      <c r="N2119" s="5" t="s">
        <v>1536</v>
      </c>
      <c r="O2119" s="7">
        <v>46118</v>
      </c>
    </row>
    <row r="2120" spans="1:15" hidden="1" x14ac:dyDescent="0.25">
      <c r="A2120" s="5" t="s">
        <v>1522</v>
      </c>
      <c r="B2120" s="5" t="s">
        <v>6981</v>
      </c>
      <c r="D2120" s="5" t="s">
        <v>1269</v>
      </c>
      <c r="E2120" s="5" t="s">
        <v>6978</v>
      </c>
      <c r="F2120" s="5" t="s">
        <v>6982</v>
      </c>
      <c r="G2120" s="6">
        <v>46111.361805555556</v>
      </c>
      <c r="H2120" s="7">
        <v>46119</v>
      </c>
      <c r="I2120" s="5" t="s">
        <v>6983</v>
      </c>
      <c r="J2120" s="7">
        <v>46118</v>
      </c>
      <c r="K2120" s="5" t="s">
        <v>1527</v>
      </c>
      <c r="L2120" s="5" t="s">
        <v>1528</v>
      </c>
      <c r="M2120" s="8">
        <v>35.71</v>
      </c>
      <c r="N2120" s="5" t="s">
        <v>1536</v>
      </c>
      <c r="O2120" s="7">
        <v>46118</v>
      </c>
    </row>
    <row r="2121" spans="1:15" x14ac:dyDescent="0.25">
      <c r="A2121" s="5" t="s">
        <v>4</v>
      </c>
      <c r="B2121" s="5" t="s">
        <v>6984</v>
      </c>
      <c r="D2121" s="5" t="s">
        <v>686</v>
      </c>
      <c r="E2121" s="5" t="s">
        <v>6985</v>
      </c>
      <c r="F2121" s="5" t="s">
        <v>6986</v>
      </c>
      <c r="G2121" s="6">
        <v>46063.775000000001</v>
      </c>
      <c r="H2121" s="7">
        <v>46070</v>
      </c>
      <c r="I2121" s="6">
        <v>46069.477777777778</v>
      </c>
      <c r="J2121" s="7">
        <v>46069</v>
      </c>
      <c r="K2121" s="5" t="s">
        <v>1527</v>
      </c>
      <c r="L2121" s="5" t="s">
        <v>1564</v>
      </c>
      <c r="M2121" s="8">
        <v>35.35</v>
      </c>
      <c r="N2121" s="5" t="s">
        <v>1536</v>
      </c>
      <c r="O2121" s="7">
        <v>46069</v>
      </c>
    </row>
    <row r="2122" spans="1:15" x14ac:dyDescent="0.25">
      <c r="A2122" s="5" t="s">
        <v>4</v>
      </c>
      <c r="B2122" s="5" t="s">
        <v>6987</v>
      </c>
      <c r="D2122" s="5" t="s">
        <v>1152</v>
      </c>
      <c r="E2122" s="5" t="s">
        <v>6988</v>
      </c>
      <c r="F2122" s="5" t="s">
        <v>6989</v>
      </c>
      <c r="G2122" s="6">
        <v>46092.673611111109</v>
      </c>
      <c r="H2122" s="7">
        <v>46099</v>
      </c>
      <c r="I2122" s="5" t="s">
        <v>2323</v>
      </c>
      <c r="J2122" s="7">
        <v>46104</v>
      </c>
      <c r="K2122" s="5" t="s">
        <v>1527</v>
      </c>
      <c r="L2122" s="5" t="s">
        <v>1621</v>
      </c>
      <c r="M2122" s="8">
        <v>35.1</v>
      </c>
      <c r="N2122" s="5" t="s">
        <v>1536</v>
      </c>
      <c r="O2122" s="7">
        <v>46104</v>
      </c>
    </row>
    <row r="2123" spans="1:15" hidden="1" x14ac:dyDescent="0.25">
      <c r="A2123" s="5" t="s">
        <v>1522</v>
      </c>
      <c r="B2123" s="5" t="s">
        <v>6990</v>
      </c>
      <c r="D2123" s="5" t="s">
        <v>1510</v>
      </c>
      <c r="E2123" s="5" t="s">
        <v>2466</v>
      </c>
      <c r="F2123" s="5" t="s">
        <v>5575</v>
      </c>
      <c r="G2123" s="6">
        <v>46062.422222222223</v>
      </c>
      <c r="H2123" s="7">
        <v>46063</v>
      </c>
      <c r="I2123" s="6">
        <v>46063.664583333331</v>
      </c>
      <c r="J2123" s="7">
        <v>46063</v>
      </c>
      <c r="K2123" s="5" t="s">
        <v>1527</v>
      </c>
      <c r="L2123" s="5" t="s">
        <v>1621</v>
      </c>
      <c r="M2123" s="8">
        <v>35</v>
      </c>
      <c r="N2123" s="5" t="s">
        <v>1536</v>
      </c>
      <c r="O2123" s="7">
        <v>46063</v>
      </c>
    </row>
    <row r="2124" spans="1:15" hidden="1" x14ac:dyDescent="0.25">
      <c r="A2124" s="5" t="s">
        <v>1522</v>
      </c>
      <c r="B2124" s="5" t="s">
        <v>6991</v>
      </c>
      <c r="D2124" s="5" t="s">
        <v>1488</v>
      </c>
      <c r="E2124" s="5" t="s">
        <v>6744</v>
      </c>
      <c r="F2124" s="5" t="s">
        <v>6992</v>
      </c>
      <c r="G2124" s="6">
        <v>46063.618055555555</v>
      </c>
      <c r="H2124" s="7">
        <v>46066</v>
      </c>
      <c r="I2124" s="5" t="s">
        <v>1533</v>
      </c>
      <c r="J2124" s="5" t="s">
        <v>1533</v>
      </c>
      <c r="K2124" s="5" t="s">
        <v>1534</v>
      </c>
      <c r="L2124" s="5" t="s">
        <v>1528</v>
      </c>
      <c r="M2124" s="8">
        <v>35</v>
      </c>
      <c r="N2124" s="5" t="s">
        <v>1541</v>
      </c>
      <c r="O2124" s="5" t="s">
        <v>1533</v>
      </c>
    </row>
    <row r="2125" spans="1:15" hidden="1" x14ac:dyDescent="0.25">
      <c r="A2125" s="5" t="s">
        <v>1522</v>
      </c>
      <c r="B2125" s="5" t="s">
        <v>6993</v>
      </c>
      <c r="D2125" s="5" t="s">
        <v>1488</v>
      </c>
      <c r="E2125" s="5" t="s">
        <v>6744</v>
      </c>
      <c r="F2125" s="5" t="s">
        <v>6994</v>
      </c>
      <c r="G2125" s="6">
        <v>46063.619444444441</v>
      </c>
      <c r="H2125" s="7">
        <v>46066</v>
      </c>
      <c r="I2125" s="6">
        <v>46064.678472222222</v>
      </c>
      <c r="J2125" s="7">
        <v>46064</v>
      </c>
      <c r="K2125" s="5" t="s">
        <v>1527</v>
      </c>
      <c r="L2125" s="5" t="s">
        <v>1528</v>
      </c>
      <c r="M2125" s="8">
        <v>35</v>
      </c>
      <c r="N2125" s="5" t="s">
        <v>1536</v>
      </c>
      <c r="O2125" s="7">
        <v>46064</v>
      </c>
    </row>
    <row r="2126" spans="1:15" hidden="1" x14ac:dyDescent="0.25">
      <c r="A2126" s="5" t="s">
        <v>1522</v>
      </c>
      <c r="B2126" s="5" t="s">
        <v>6995</v>
      </c>
      <c r="D2126" s="5" t="s">
        <v>1164</v>
      </c>
      <c r="E2126" s="5" t="s">
        <v>6996</v>
      </c>
      <c r="F2126" s="5" t="s">
        <v>1548</v>
      </c>
      <c r="G2126" s="6">
        <v>46079.697916666664</v>
      </c>
      <c r="H2126" s="7">
        <v>46085</v>
      </c>
      <c r="I2126" s="5" t="s">
        <v>1533</v>
      </c>
      <c r="J2126" s="7">
        <v>46085</v>
      </c>
      <c r="K2126" s="5" t="s">
        <v>1534</v>
      </c>
      <c r="L2126" s="5" t="s">
        <v>1528</v>
      </c>
      <c r="M2126" s="8">
        <v>35</v>
      </c>
      <c r="N2126" s="5" t="s">
        <v>1536</v>
      </c>
      <c r="O2126" s="7">
        <v>46085</v>
      </c>
    </row>
    <row r="2127" spans="1:15" hidden="1" x14ac:dyDescent="0.25">
      <c r="A2127" s="5" t="s">
        <v>1522</v>
      </c>
      <c r="B2127" s="5" t="s">
        <v>6997</v>
      </c>
      <c r="D2127" s="5" t="s">
        <v>1510</v>
      </c>
      <c r="E2127" s="5" t="s">
        <v>2466</v>
      </c>
      <c r="F2127" s="5" t="s">
        <v>6467</v>
      </c>
      <c r="G2127" s="6">
        <v>46132.699305555558</v>
      </c>
      <c r="H2127" s="7">
        <v>46135</v>
      </c>
      <c r="I2127" s="5" t="s">
        <v>6998</v>
      </c>
      <c r="J2127" s="7">
        <v>46136</v>
      </c>
      <c r="K2127" s="5" t="s">
        <v>1527</v>
      </c>
      <c r="L2127" s="5" t="s">
        <v>1621</v>
      </c>
      <c r="M2127" s="8">
        <v>35</v>
      </c>
      <c r="N2127" s="5" t="s">
        <v>1529</v>
      </c>
      <c r="O2127" s="7">
        <v>46136</v>
      </c>
    </row>
    <row r="2128" spans="1:15" hidden="1" x14ac:dyDescent="0.25">
      <c r="A2128" s="5" t="s">
        <v>1522</v>
      </c>
      <c r="B2128" s="5" t="s">
        <v>6999</v>
      </c>
      <c r="D2128" s="5" t="s">
        <v>1436</v>
      </c>
      <c r="E2128" s="5" t="s">
        <v>5931</v>
      </c>
      <c r="F2128" s="5" t="s">
        <v>7000</v>
      </c>
      <c r="G2128" s="6">
        <v>46141.657638888886</v>
      </c>
      <c r="H2128" s="7">
        <v>46150</v>
      </c>
      <c r="I2128" s="6">
        <v>46150.479861111111</v>
      </c>
      <c r="J2128" s="7">
        <v>46149</v>
      </c>
      <c r="K2128" s="5" t="s">
        <v>1527</v>
      </c>
      <c r="L2128" s="5" t="s">
        <v>1528</v>
      </c>
      <c r="M2128" s="8">
        <v>35</v>
      </c>
      <c r="N2128" s="5" t="s">
        <v>1536</v>
      </c>
      <c r="O2128" s="7">
        <v>46149</v>
      </c>
    </row>
    <row r="2129" spans="1:15" x14ac:dyDescent="0.25">
      <c r="A2129" s="5" t="s">
        <v>4</v>
      </c>
      <c r="B2129" s="5" t="s">
        <v>7001</v>
      </c>
      <c r="D2129" s="5" t="s">
        <v>634</v>
      </c>
      <c r="E2129" s="5" t="s">
        <v>7002</v>
      </c>
      <c r="F2129" s="5" t="s">
        <v>5412</v>
      </c>
      <c r="G2129" s="6">
        <v>46106.606944444444</v>
      </c>
      <c r="H2129" s="7">
        <v>46106</v>
      </c>
      <c r="I2129" s="6">
        <v>46106.313194444447</v>
      </c>
      <c r="J2129" s="7">
        <v>46106</v>
      </c>
      <c r="K2129" s="5" t="s">
        <v>1527</v>
      </c>
      <c r="L2129" s="5" t="s">
        <v>1535</v>
      </c>
      <c r="M2129" s="8">
        <v>35</v>
      </c>
      <c r="N2129" s="5" t="s">
        <v>1536</v>
      </c>
      <c r="O2129" s="7">
        <v>46106</v>
      </c>
    </row>
    <row r="2130" spans="1:15" x14ac:dyDescent="0.25">
      <c r="A2130" s="5" t="s">
        <v>4</v>
      </c>
      <c r="B2130" s="5" t="s">
        <v>7003</v>
      </c>
      <c r="D2130" s="5" t="s">
        <v>804</v>
      </c>
      <c r="E2130" s="5" t="s">
        <v>7004</v>
      </c>
      <c r="F2130" s="5" t="s">
        <v>7005</v>
      </c>
      <c r="G2130" s="6">
        <v>46035.694444444445</v>
      </c>
      <c r="H2130" s="7">
        <v>46042</v>
      </c>
      <c r="I2130" s="6">
        <v>46037.633333333331</v>
      </c>
      <c r="J2130" s="7">
        <v>46037</v>
      </c>
      <c r="K2130" s="5" t="s">
        <v>1527</v>
      </c>
      <c r="L2130" s="5" t="s">
        <v>1621</v>
      </c>
      <c r="M2130" s="8">
        <v>34.72</v>
      </c>
      <c r="N2130" s="5" t="s">
        <v>1536</v>
      </c>
      <c r="O2130" s="7">
        <v>46037</v>
      </c>
    </row>
    <row r="2131" spans="1:15" x14ac:dyDescent="0.25">
      <c r="A2131" s="5" t="s">
        <v>4</v>
      </c>
      <c r="B2131" s="5" t="s">
        <v>7006</v>
      </c>
      <c r="D2131" s="5" t="s">
        <v>871</v>
      </c>
      <c r="E2131" s="5" t="s">
        <v>7007</v>
      </c>
      <c r="F2131" s="5" t="s">
        <v>7008</v>
      </c>
      <c r="G2131" s="6">
        <v>46049.500694444447</v>
      </c>
      <c r="H2131" s="7">
        <v>46056</v>
      </c>
      <c r="I2131" s="6">
        <v>46056.613888888889</v>
      </c>
      <c r="J2131" s="7">
        <v>46056</v>
      </c>
      <c r="K2131" s="5" t="s">
        <v>1527</v>
      </c>
      <c r="L2131" s="5" t="s">
        <v>1621</v>
      </c>
      <c r="M2131" s="8">
        <v>34</v>
      </c>
      <c r="N2131" s="5" t="s">
        <v>1536</v>
      </c>
      <c r="O2131" s="7">
        <v>46056</v>
      </c>
    </row>
    <row r="2132" spans="1:15" x14ac:dyDescent="0.25">
      <c r="A2132" s="5" t="s">
        <v>4</v>
      </c>
      <c r="B2132" s="5" t="s">
        <v>7009</v>
      </c>
      <c r="D2132" s="5" t="s">
        <v>1040</v>
      </c>
      <c r="E2132" s="5" t="s">
        <v>7010</v>
      </c>
      <c r="F2132" s="5" t="s">
        <v>7011</v>
      </c>
      <c r="G2132" s="6">
        <v>46098.605555555558</v>
      </c>
      <c r="H2132" s="7">
        <v>46104</v>
      </c>
      <c r="I2132" s="6">
        <v>46100.62777777778</v>
      </c>
      <c r="J2132" s="7">
        <v>46100</v>
      </c>
      <c r="K2132" s="5" t="s">
        <v>1527</v>
      </c>
      <c r="L2132" s="5" t="s">
        <v>1621</v>
      </c>
      <c r="M2132" s="8">
        <v>33.369999999999997</v>
      </c>
      <c r="N2132" s="5" t="s">
        <v>1536</v>
      </c>
      <c r="O2132" s="7">
        <v>46100</v>
      </c>
    </row>
    <row r="2133" spans="1:15" x14ac:dyDescent="0.25">
      <c r="A2133" s="5" t="s">
        <v>4</v>
      </c>
      <c r="B2133" s="5" t="s">
        <v>7012</v>
      </c>
      <c r="D2133" s="5" t="s">
        <v>1063</v>
      </c>
      <c r="E2133" s="5" t="s">
        <v>7013</v>
      </c>
      <c r="F2133" s="5" t="s">
        <v>7014</v>
      </c>
      <c r="G2133" s="6">
        <v>46051.63958333333</v>
      </c>
      <c r="H2133" s="7">
        <v>46058</v>
      </c>
      <c r="I2133" s="6">
        <v>46056.613888888889</v>
      </c>
      <c r="J2133" s="7">
        <v>46056</v>
      </c>
      <c r="K2133" s="5" t="s">
        <v>1527</v>
      </c>
      <c r="L2133" s="5" t="s">
        <v>1621</v>
      </c>
      <c r="M2133" s="8">
        <v>33.090000000000003</v>
      </c>
      <c r="N2133" s="5" t="s">
        <v>1536</v>
      </c>
      <c r="O2133" s="7">
        <v>46056</v>
      </c>
    </row>
    <row r="2134" spans="1:15" x14ac:dyDescent="0.25">
      <c r="A2134" s="5" t="s">
        <v>4</v>
      </c>
      <c r="B2134" s="5" t="s">
        <v>7015</v>
      </c>
      <c r="D2134" s="5" t="s">
        <v>1509</v>
      </c>
      <c r="E2134" s="5" t="s">
        <v>2249</v>
      </c>
      <c r="F2134" s="5" t="s">
        <v>7016</v>
      </c>
      <c r="G2134" s="6">
        <v>46127.663888888892</v>
      </c>
      <c r="H2134" s="7">
        <v>46136</v>
      </c>
      <c r="I2134" s="6">
        <v>46136.678472222222</v>
      </c>
      <c r="J2134" s="7">
        <v>46134</v>
      </c>
      <c r="K2134" s="5" t="s">
        <v>1527</v>
      </c>
      <c r="L2134" s="5" t="s">
        <v>1535</v>
      </c>
      <c r="M2134" s="8">
        <v>33</v>
      </c>
      <c r="N2134" s="5" t="s">
        <v>1536</v>
      </c>
      <c r="O2134" s="7">
        <v>46134</v>
      </c>
    </row>
    <row r="2135" spans="1:15" x14ac:dyDescent="0.25">
      <c r="A2135" s="5" t="s">
        <v>4</v>
      </c>
      <c r="B2135" s="5" t="s">
        <v>7017</v>
      </c>
      <c r="D2135" s="5" t="s">
        <v>216</v>
      </c>
      <c r="E2135" s="5" t="s">
        <v>7018</v>
      </c>
      <c r="F2135" s="5" t="s">
        <v>7019</v>
      </c>
      <c r="G2135" s="6">
        <v>46146.670138888891</v>
      </c>
      <c r="H2135" s="7">
        <v>46153</v>
      </c>
      <c r="I2135" s="6">
        <v>46150.601388888892</v>
      </c>
      <c r="J2135" s="7">
        <v>46150</v>
      </c>
      <c r="K2135" s="5" t="s">
        <v>1527</v>
      </c>
      <c r="L2135" s="5" t="s">
        <v>1621</v>
      </c>
      <c r="M2135" s="8">
        <v>32.9</v>
      </c>
      <c r="N2135" s="5" t="s">
        <v>1536</v>
      </c>
      <c r="O2135" s="7">
        <v>46150</v>
      </c>
    </row>
    <row r="2136" spans="1:15" x14ac:dyDescent="0.25">
      <c r="A2136" s="5" t="s">
        <v>4</v>
      </c>
      <c r="B2136" s="5" t="s">
        <v>7020</v>
      </c>
      <c r="D2136" s="5" t="s">
        <v>1299</v>
      </c>
      <c r="E2136" s="5" t="s">
        <v>7021</v>
      </c>
      <c r="F2136" s="5" t="s">
        <v>1532</v>
      </c>
      <c r="G2136" s="6">
        <v>46168.559027777781</v>
      </c>
      <c r="H2136" s="7">
        <v>46175</v>
      </c>
      <c r="I2136" s="6">
        <v>46171.629166666666</v>
      </c>
      <c r="J2136" s="7">
        <v>46171</v>
      </c>
      <c r="K2136" s="5" t="s">
        <v>1527</v>
      </c>
      <c r="L2136" s="5" t="s">
        <v>1535</v>
      </c>
      <c r="M2136" s="8">
        <v>32.9</v>
      </c>
      <c r="N2136" s="5" t="s">
        <v>1536</v>
      </c>
      <c r="O2136" s="7">
        <v>46171</v>
      </c>
    </row>
    <row r="2137" spans="1:15" x14ac:dyDescent="0.25">
      <c r="A2137" s="5" t="s">
        <v>4</v>
      </c>
      <c r="B2137" s="5" t="s">
        <v>7022</v>
      </c>
      <c r="D2137" s="5" t="s">
        <v>1244</v>
      </c>
      <c r="E2137" s="5" t="s">
        <v>7023</v>
      </c>
      <c r="F2137" s="5" t="s">
        <v>7024</v>
      </c>
      <c r="G2137" s="6">
        <v>46148.643055555556</v>
      </c>
      <c r="H2137" s="7">
        <v>46155</v>
      </c>
      <c r="I2137" s="6">
        <v>46153.594444444447</v>
      </c>
      <c r="J2137" s="7">
        <v>46153</v>
      </c>
      <c r="K2137" s="5" t="s">
        <v>1527</v>
      </c>
      <c r="L2137" s="5" t="s">
        <v>1621</v>
      </c>
      <c r="M2137" s="8">
        <v>32.799999999999997</v>
      </c>
      <c r="N2137" s="5" t="s">
        <v>1536</v>
      </c>
      <c r="O2137" s="7">
        <v>46153</v>
      </c>
    </row>
    <row r="2138" spans="1:15" x14ac:dyDescent="0.25">
      <c r="A2138" s="5" t="s">
        <v>4</v>
      </c>
      <c r="B2138" s="5" t="s">
        <v>7025</v>
      </c>
      <c r="D2138" s="5" t="s">
        <v>294</v>
      </c>
      <c r="E2138" s="5" t="s">
        <v>7026</v>
      </c>
      <c r="F2138" s="5" t="s">
        <v>7027</v>
      </c>
      <c r="G2138" s="6">
        <v>46084.734722222223</v>
      </c>
      <c r="H2138" s="7">
        <v>46090</v>
      </c>
      <c r="I2138" s="5" t="s">
        <v>5972</v>
      </c>
      <c r="J2138" s="7">
        <v>46091</v>
      </c>
      <c r="K2138" s="5" t="s">
        <v>1527</v>
      </c>
      <c r="L2138" s="5" t="s">
        <v>1621</v>
      </c>
      <c r="M2138" s="8">
        <v>32.44</v>
      </c>
      <c r="N2138" s="5" t="s">
        <v>1536</v>
      </c>
      <c r="O2138" s="7">
        <v>46091</v>
      </c>
    </row>
    <row r="2139" spans="1:15" x14ac:dyDescent="0.25">
      <c r="A2139" s="5" t="s">
        <v>4</v>
      </c>
      <c r="B2139" s="5" t="s">
        <v>7028</v>
      </c>
      <c r="D2139" s="5" t="s">
        <v>754</v>
      </c>
      <c r="E2139" s="5" t="s">
        <v>7029</v>
      </c>
      <c r="F2139" s="5" t="s">
        <v>7030</v>
      </c>
      <c r="G2139" s="6">
        <v>46122.338888888888</v>
      </c>
      <c r="H2139" s="7">
        <v>46129</v>
      </c>
      <c r="I2139" s="6">
        <v>46128.416666666664</v>
      </c>
      <c r="J2139" s="7">
        <v>46127</v>
      </c>
      <c r="K2139" s="5" t="s">
        <v>1527</v>
      </c>
      <c r="L2139" s="5" t="s">
        <v>1564</v>
      </c>
      <c r="M2139" s="8">
        <v>32.44</v>
      </c>
      <c r="N2139" s="5" t="s">
        <v>1536</v>
      </c>
      <c r="O2139" s="7">
        <v>46127</v>
      </c>
    </row>
    <row r="2140" spans="1:15" x14ac:dyDescent="0.25">
      <c r="A2140" s="5" t="s">
        <v>4</v>
      </c>
      <c r="B2140" s="5" t="s">
        <v>7031</v>
      </c>
      <c r="D2140" s="5" t="s">
        <v>961</v>
      </c>
      <c r="E2140" s="5" t="s">
        <v>7032</v>
      </c>
      <c r="F2140" s="5" t="s">
        <v>7033</v>
      </c>
      <c r="G2140" s="6">
        <v>46155.686805555553</v>
      </c>
      <c r="H2140" s="7">
        <v>46162</v>
      </c>
      <c r="I2140" s="6">
        <v>46161.418749999997</v>
      </c>
      <c r="J2140" s="7">
        <v>46161</v>
      </c>
      <c r="K2140" s="5" t="s">
        <v>1527</v>
      </c>
      <c r="L2140" s="5" t="s">
        <v>1621</v>
      </c>
      <c r="M2140" s="8">
        <v>32.43</v>
      </c>
      <c r="N2140" s="5" t="s">
        <v>1536</v>
      </c>
      <c r="O2140" s="7">
        <v>46161</v>
      </c>
    </row>
    <row r="2141" spans="1:15" x14ac:dyDescent="0.25">
      <c r="A2141" s="5" t="s">
        <v>4</v>
      </c>
      <c r="B2141" s="5" t="s">
        <v>7034</v>
      </c>
      <c r="D2141" s="5" t="s">
        <v>336</v>
      </c>
      <c r="E2141" s="5" t="s">
        <v>7035</v>
      </c>
      <c r="F2141" s="5" t="s">
        <v>7036</v>
      </c>
      <c r="G2141" s="6">
        <v>46126.746527777781</v>
      </c>
      <c r="H2141" s="7">
        <v>46134</v>
      </c>
      <c r="I2141" s="6">
        <v>46132.618055555555</v>
      </c>
      <c r="J2141" s="7">
        <v>46132</v>
      </c>
      <c r="K2141" s="5" t="s">
        <v>1527</v>
      </c>
      <c r="L2141" s="5" t="s">
        <v>1564</v>
      </c>
      <c r="M2141" s="8">
        <v>32.340000000000003</v>
      </c>
      <c r="N2141" s="5" t="s">
        <v>1536</v>
      </c>
      <c r="O2141" s="7">
        <v>46132</v>
      </c>
    </row>
    <row r="2142" spans="1:15" x14ac:dyDescent="0.25">
      <c r="A2142" s="5" t="s">
        <v>4</v>
      </c>
      <c r="B2142" s="5" t="s">
        <v>7037</v>
      </c>
      <c r="D2142" s="5" t="s">
        <v>842</v>
      </c>
      <c r="E2142" s="5" t="s">
        <v>7038</v>
      </c>
      <c r="F2142" s="5" t="s">
        <v>7039</v>
      </c>
      <c r="G2142" s="6">
        <v>46129.630555555559</v>
      </c>
      <c r="H2142" s="7">
        <v>46136</v>
      </c>
      <c r="I2142" s="5" t="s">
        <v>2852</v>
      </c>
      <c r="J2142" s="7">
        <v>46139</v>
      </c>
      <c r="K2142" s="5" t="s">
        <v>1527</v>
      </c>
      <c r="L2142" s="5" t="s">
        <v>1621</v>
      </c>
      <c r="M2142" s="8">
        <v>32.340000000000003</v>
      </c>
      <c r="N2142" s="5" t="s">
        <v>1536</v>
      </c>
      <c r="O2142" s="7">
        <v>46139</v>
      </c>
    </row>
    <row r="2143" spans="1:15" x14ac:dyDescent="0.25">
      <c r="A2143" s="5" t="s">
        <v>4</v>
      </c>
      <c r="B2143" s="5" t="s">
        <v>7040</v>
      </c>
      <c r="D2143" s="5" t="s">
        <v>1299</v>
      </c>
      <c r="E2143" s="5" t="s">
        <v>7021</v>
      </c>
      <c r="F2143" s="5" t="s">
        <v>7041</v>
      </c>
      <c r="G2143" s="6">
        <v>46149.586805555555</v>
      </c>
      <c r="H2143" s="7">
        <v>46157</v>
      </c>
      <c r="I2143" s="6">
        <v>46154.584027777775</v>
      </c>
      <c r="J2143" s="7">
        <v>46154</v>
      </c>
      <c r="K2143" s="5" t="s">
        <v>1527</v>
      </c>
      <c r="L2143" s="5" t="s">
        <v>1621</v>
      </c>
      <c r="M2143" s="8">
        <v>32.340000000000003</v>
      </c>
      <c r="N2143" s="5" t="s">
        <v>1536</v>
      </c>
      <c r="O2143" s="7">
        <v>46154</v>
      </c>
    </row>
    <row r="2144" spans="1:15" x14ac:dyDescent="0.25">
      <c r="A2144" s="5" t="s">
        <v>4</v>
      </c>
      <c r="B2144" s="5" t="s">
        <v>7042</v>
      </c>
      <c r="D2144" s="5" t="s">
        <v>1158</v>
      </c>
      <c r="E2144" s="5" t="s">
        <v>7043</v>
      </c>
      <c r="F2144" s="5" t="s">
        <v>7044</v>
      </c>
      <c r="G2144" s="6">
        <v>46027.692361111112</v>
      </c>
      <c r="H2144" s="7">
        <v>46034</v>
      </c>
      <c r="I2144" s="6">
        <v>46034.707638888889</v>
      </c>
      <c r="J2144" s="7">
        <v>46034</v>
      </c>
      <c r="K2144" s="5" t="s">
        <v>1527</v>
      </c>
      <c r="L2144" s="5" t="s">
        <v>1621</v>
      </c>
      <c r="M2144" s="8">
        <v>31.93</v>
      </c>
      <c r="N2144" s="5" t="s">
        <v>1536</v>
      </c>
      <c r="O2144" s="7">
        <v>46034</v>
      </c>
    </row>
    <row r="2145" spans="1:15" x14ac:dyDescent="0.25">
      <c r="A2145" s="5" t="s">
        <v>4</v>
      </c>
      <c r="B2145" s="5" t="s">
        <v>7045</v>
      </c>
      <c r="D2145" s="5" t="s">
        <v>659</v>
      </c>
      <c r="E2145" s="5" t="s">
        <v>7046</v>
      </c>
      <c r="F2145" s="5" t="s">
        <v>7047</v>
      </c>
      <c r="G2145" s="6">
        <v>46056.649305555555</v>
      </c>
      <c r="H2145" s="7">
        <v>46063</v>
      </c>
      <c r="I2145" s="6">
        <v>46062.654861111114</v>
      </c>
      <c r="J2145" s="7">
        <v>46062</v>
      </c>
      <c r="K2145" s="5" t="s">
        <v>1527</v>
      </c>
      <c r="L2145" s="5" t="s">
        <v>1621</v>
      </c>
      <c r="M2145" s="8">
        <v>31.93</v>
      </c>
      <c r="N2145" s="5" t="s">
        <v>1536</v>
      </c>
      <c r="O2145" s="7">
        <v>46062</v>
      </c>
    </row>
    <row r="2146" spans="1:15" x14ac:dyDescent="0.25">
      <c r="A2146" s="5" t="s">
        <v>4</v>
      </c>
      <c r="B2146" s="5" t="s">
        <v>7048</v>
      </c>
      <c r="D2146" s="5" t="s">
        <v>410</v>
      </c>
      <c r="E2146" s="5" t="s">
        <v>7049</v>
      </c>
      <c r="F2146" s="5" t="s">
        <v>7050</v>
      </c>
      <c r="G2146" s="6">
        <v>46147.599305555559</v>
      </c>
      <c r="H2146" s="7">
        <v>46155</v>
      </c>
      <c r="I2146" s="6">
        <v>46149.576388888891</v>
      </c>
      <c r="J2146" s="7">
        <v>46149</v>
      </c>
      <c r="K2146" s="5" t="s">
        <v>1527</v>
      </c>
      <c r="L2146" s="5" t="s">
        <v>1621</v>
      </c>
      <c r="M2146" s="8">
        <v>31.86</v>
      </c>
      <c r="N2146" s="5" t="s">
        <v>1536</v>
      </c>
      <c r="O2146" s="7">
        <v>46149</v>
      </c>
    </row>
    <row r="2147" spans="1:15" x14ac:dyDescent="0.25">
      <c r="A2147" s="5" t="s">
        <v>4</v>
      </c>
      <c r="B2147" s="5" t="s">
        <v>7051</v>
      </c>
      <c r="D2147" s="5" t="s">
        <v>340</v>
      </c>
      <c r="E2147" s="5" t="s">
        <v>7052</v>
      </c>
      <c r="F2147" s="5" t="s">
        <v>5412</v>
      </c>
      <c r="G2147" s="6">
        <v>46128.716666666667</v>
      </c>
      <c r="H2147" s="7">
        <v>46128</v>
      </c>
      <c r="I2147" s="6">
        <v>46128.313194444447</v>
      </c>
      <c r="J2147" s="7">
        <v>46128</v>
      </c>
      <c r="K2147" s="5" t="s">
        <v>1527</v>
      </c>
      <c r="L2147" s="5" t="s">
        <v>1535</v>
      </c>
      <c r="M2147" s="8">
        <v>31.6</v>
      </c>
      <c r="N2147" s="5" t="s">
        <v>1536</v>
      </c>
      <c r="O2147" s="7">
        <v>46128</v>
      </c>
    </row>
    <row r="2148" spans="1:15" hidden="1" x14ac:dyDescent="0.25">
      <c r="A2148" s="5" t="s">
        <v>1522</v>
      </c>
      <c r="B2148" s="5" t="s">
        <v>7053</v>
      </c>
      <c r="D2148" s="5" t="s">
        <v>1510</v>
      </c>
      <c r="E2148" s="5" t="s">
        <v>2466</v>
      </c>
      <c r="F2148" s="5" t="s">
        <v>6467</v>
      </c>
      <c r="G2148" s="6">
        <v>46049.419444444444</v>
      </c>
      <c r="H2148" s="7">
        <v>46051</v>
      </c>
      <c r="I2148" s="6">
        <v>46051.690972222219</v>
      </c>
      <c r="J2148" s="7">
        <v>46051</v>
      </c>
      <c r="K2148" s="5" t="s">
        <v>1527</v>
      </c>
      <c r="L2148" s="5" t="s">
        <v>1621</v>
      </c>
      <c r="M2148" s="8">
        <v>31.5</v>
      </c>
      <c r="N2148" s="5" t="s">
        <v>1536</v>
      </c>
      <c r="O2148" s="7">
        <v>46051</v>
      </c>
    </row>
    <row r="2149" spans="1:15" hidden="1" x14ac:dyDescent="0.25">
      <c r="A2149" s="5" t="s">
        <v>1522</v>
      </c>
      <c r="B2149" s="5" t="s">
        <v>7054</v>
      </c>
      <c r="D2149" s="5" t="s">
        <v>1510</v>
      </c>
      <c r="E2149" s="5" t="s">
        <v>2466</v>
      </c>
      <c r="F2149" s="5" t="s">
        <v>6467</v>
      </c>
      <c r="G2149" s="6">
        <v>46065.652777777781</v>
      </c>
      <c r="H2149" s="7">
        <v>46070</v>
      </c>
      <c r="I2149" s="6">
        <v>46066.65625</v>
      </c>
      <c r="J2149" s="7">
        <v>46066</v>
      </c>
      <c r="K2149" s="5" t="s">
        <v>1527</v>
      </c>
      <c r="L2149" s="5" t="s">
        <v>1621</v>
      </c>
      <c r="M2149" s="8">
        <v>31.5</v>
      </c>
      <c r="N2149" s="5" t="s">
        <v>1536</v>
      </c>
      <c r="O2149" s="7">
        <v>46066</v>
      </c>
    </row>
    <row r="2150" spans="1:15" x14ac:dyDescent="0.25">
      <c r="A2150" s="5" t="s">
        <v>4</v>
      </c>
      <c r="B2150" s="5" t="s">
        <v>7055</v>
      </c>
      <c r="D2150" s="5" t="s">
        <v>1330</v>
      </c>
      <c r="E2150" s="5" t="s">
        <v>4250</v>
      </c>
      <c r="F2150" s="5" t="s">
        <v>7056</v>
      </c>
      <c r="G2150" s="6">
        <v>46112.691666666666</v>
      </c>
      <c r="H2150" s="7">
        <v>46119</v>
      </c>
      <c r="I2150" s="5" t="s">
        <v>7057</v>
      </c>
      <c r="J2150" s="7">
        <v>46121</v>
      </c>
      <c r="K2150" s="5" t="s">
        <v>1527</v>
      </c>
      <c r="L2150" s="5" t="s">
        <v>1621</v>
      </c>
      <c r="M2150" s="8">
        <v>31.02</v>
      </c>
      <c r="N2150" s="5" t="s">
        <v>1536</v>
      </c>
      <c r="O2150" s="7">
        <v>46121</v>
      </c>
    </row>
    <row r="2151" spans="1:15" x14ac:dyDescent="0.25">
      <c r="A2151" s="5" t="s">
        <v>4</v>
      </c>
      <c r="B2151" s="5">
        <v>38767</v>
      </c>
      <c r="D2151" s="5" t="s">
        <v>1439</v>
      </c>
      <c r="E2151" s="5" t="s">
        <v>2729</v>
      </c>
      <c r="F2151" s="5" t="s">
        <v>7058</v>
      </c>
      <c r="G2151" s="6">
        <v>46086.737500000003</v>
      </c>
      <c r="H2151" s="7">
        <v>46093</v>
      </c>
      <c r="I2151" s="6">
        <v>46091.50277777778</v>
      </c>
      <c r="J2151" s="7">
        <v>46091</v>
      </c>
      <c r="K2151" s="5" t="s">
        <v>1527</v>
      </c>
      <c r="L2151" s="5" t="s">
        <v>1621</v>
      </c>
      <c r="M2151" s="8">
        <v>30.89</v>
      </c>
      <c r="N2151" s="5" t="s">
        <v>1536</v>
      </c>
      <c r="O2151" s="7">
        <v>46091</v>
      </c>
    </row>
    <row r="2152" spans="1:15" x14ac:dyDescent="0.25">
      <c r="A2152" s="5" t="s">
        <v>4</v>
      </c>
      <c r="B2152" s="5" t="s">
        <v>7059</v>
      </c>
      <c r="D2152" s="5" t="s">
        <v>1439</v>
      </c>
      <c r="E2152" s="5" t="s">
        <v>2729</v>
      </c>
      <c r="F2152" s="5" t="s">
        <v>7058</v>
      </c>
      <c r="G2152" s="6">
        <v>46086.688888888886</v>
      </c>
      <c r="H2152" s="7">
        <v>46093</v>
      </c>
      <c r="I2152" s="5" t="s">
        <v>7060</v>
      </c>
      <c r="J2152" s="7">
        <v>46099</v>
      </c>
      <c r="K2152" s="5" t="s">
        <v>1527</v>
      </c>
      <c r="L2152" s="5" t="s">
        <v>1621</v>
      </c>
      <c r="M2152" s="8">
        <v>30.89</v>
      </c>
      <c r="N2152" s="5" t="s">
        <v>1536</v>
      </c>
      <c r="O2152" s="7">
        <v>46099</v>
      </c>
    </row>
    <row r="2153" spans="1:15" x14ac:dyDescent="0.25">
      <c r="A2153" s="5" t="s">
        <v>4</v>
      </c>
      <c r="B2153" s="5" t="s">
        <v>7061</v>
      </c>
      <c r="D2153" s="5" t="s">
        <v>1348</v>
      </c>
      <c r="E2153" s="5" t="s">
        <v>3307</v>
      </c>
      <c r="F2153" s="5" t="s">
        <v>7062</v>
      </c>
      <c r="G2153" s="6">
        <v>46132.673611111109</v>
      </c>
      <c r="H2153" s="7">
        <v>46139</v>
      </c>
      <c r="I2153" s="5" t="s">
        <v>7063</v>
      </c>
      <c r="J2153" s="7">
        <v>46140</v>
      </c>
      <c r="K2153" s="5" t="s">
        <v>1527</v>
      </c>
      <c r="L2153" s="5" t="s">
        <v>1621</v>
      </c>
      <c r="M2153" s="8">
        <v>30.42</v>
      </c>
      <c r="N2153" s="5" t="s">
        <v>1536</v>
      </c>
      <c r="O2153" s="7">
        <v>46140</v>
      </c>
    </row>
    <row r="2154" spans="1:15" hidden="1" x14ac:dyDescent="0.25">
      <c r="A2154" s="5" t="s">
        <v>1522</v>
      </c>
      <c r="B2154" s="5" t="s">
        <v>7064</v>
      </c>
      <c r="D2154" s="5" t="s">
        <v>1510</v>
      </c>
      <c r="E2154" s="5" t="s">
        <v>2466</v>
      </c>
      <c r="F2154" s="5" t="s">
        <v>5811</v>
      </c>
      <c r="G2154" s="6">
        <v>46030.609722222223</v>
      </c>
      <c r="H2154" s="7">
        <v>46038</v>
      </c>
      <c r="I2154" s="6">
        <v>46034.706944444442</v>
      </c>
      <c r="J2154" s="7">
        <v>46034</v>
      </c>
      <c r="K2154" s="5" t="s">
        <v>1527</v>
      </c>
      <c r="L2154" s="5" t="s">
        <v>1621</v>
      </c>
      <c r="M2154" s="8">
        <v>30</v>
      </c>
      <c r="N2154" s="5" t="s">
        <v>1536</v>
      </c>
      <c r="O2154" s="7">
        <v>46034</v>
      </c>
    </row>
    <row r="2155" spans="1:15" hidden="1" x14ac:dyDescent="0.25">
      <c r="A2155" s="5" t="s">
        <v>1522</v>
      </c>
      <c r="B2155" s="5" t="s">
        <v>7065</v>
      </c>
      <c r="D2155" s="5" t="s">
        <v>1510</v>
      </c>
      <c r="E2155" s="5" t="s">
        <v>2466</v>
      </c>
      <c r="F2155" s="5" t="s">
        <v>5811</v>
      </c>
      <c r="G2155" s="6">
        <v>46041.670138888891</v>
      </c>
      <c r="H2155" s="7">
        <v>46043</v>
      </c>
      <c r="I2155" s="5" t="s">
        <v>7066</v>
      </c>
      <c r="J2155" s="7">
        <v>46050</v>
      </c>
      <c r="K2155" s="5" t="s">
        <v>1527</v>
      </c>
      <c r="L2155" s="5" t="s">
        <v>1554</v>
      </c>
      <c r="M2155" s="8">
        <v>30</v>
      </c>
      <c r="N2155" s="5" t="s">
        <v>1536</v>
      </c>
      <c r="O2155" s="7">
        <v>46050</v>
      </c>
    </row>
    <row r="2156" spans="1:15" hidden="1" x14ac:dyDescent="0.25">
      <c r="A2156" s="5" t="s">
        <v>1522</v>
      </c>
      <c r="B2156" s="5" t="s">
        <v>7067</v>
      </c>
      <c r="D2156" s="5" t="s">
        <v>1444</v>
      </c>
      <c r="E2156" s="5" t="s">
        <v>1865</v>
      </c>
      <c r="F2156" s="5" t="s">
        <v>7068</v>
      </c>
      <c r="G2156" s="6">
        <v>46044.34652777778</v>
      </c>
      <c r="H2156" s="7">
        <v>46044</v>
      </c>
      <c r="I2156" s="5" t="s">
        <v>7069</v>
      </c>
      <c r="J2156" s="7">
        <v>46045</v>
      </c>
      <c r="K2156" s="5" t="s">
        <v>1527</v>
      </c>
      <c r="L2156" s="5" t="s">
        <v>1528</v>
      </c>
      <c r="M2156" s="8">
        <v>30</v>
      </c>
      <c r="N2156" s="5" t="s">
        <v>1536</v>
      </c>
      <c r="O2156" s="7">
        <v>46045</v>
      </c>
    </row>
    <row r="2157" spans="1:15" hidden="1" x14ac:dyDescent="0.25">
      <c r="A2157" s="5" t="s">
        <v>1522</v>
      </c>
      <c r="B2157" s="5" t="s">
        <v>7070</v>
      </c>
      <c r="D2157" s="5" t="s">
        <v>1463</v>
      </c>
      <c r="E2157" s="5" t="s">
        <v>2544</v>
      </c>
      <c r="F2157" s="5" t="s">
        <v>7071</v>
      </c>
      <c r="G2157" s="6">
        <v>46050.34097222222</v>
      </c>
      <c r="H2157" s="7">
        <v>46058</v>
      </c>
      <c r="I2157" s="6">
        <v>46058.539583333331</v>
      </c>
      <c r="J2157" s="7">
        <v>46056</v>
      </c>
      <c r="K2157" s="5" t="s">
        <v>1527</v>
      </c>
      <c r="L2157" s="5" t="s">
        <v>1528</v>
      </c>
      <c r="M2157" s="8">
        <v>30</v>
      </c>
      <c r="N2157" s="5" t="s">
        <v>1536</v>
      </c>
      <c r="O2157" s="7">
        <v>46056</v>
      </c>
    </row>
    <row r="2158" spans="1:15" hidden="1" x14ac:dyDescent="0.25">
      <c r="A2158" s="5" t="s">
        <v>1522</v>
      </c>
      <c r="B2158" s="5" t="s">
        <v>7072</v>
      </c>
      <c r="D2158" s="5" t="s">
        <v>408</v>
      </c>
      <c r="E2158" s="5" t="s">
        <v>7073</v>
      </c>
      <c r="F2158" s="5" t="s">
        <v>7074</v>
      </c>
      <c r="G2158" s="6">
        <v>46058.459027777775</v>
      </c>
      <c r="H2158" s="7">
        <v>46065</v>
      </c>
      <c r="I2158" s="6">
        <v>46064.616666666669</v>
      </c>
      <c r="J2158" s="7">
        <v>46064</v>
      </c>
      <c r="K2158" s="5" t="s">
        <v>1527</v>
      </c>
      <c r="L2158" s="5" t="s">
        <v>1528</v>
      </c>
      <c r="M2158" s="8">
        <v>30</v>
      </c>
      <c r="N2158" s="5" t="s">
        <v>1536</v>
      </c>
      <c r="O2158" s="7">
        <v>46064</v>
      </c>
    </row>
    <row r="2159" spans="1:15" hidden="1" x14ac:dyDescent="0.25">
      <c r="A2159" s="5" t="s">
        <v>1522</v>
      </c>
      <c r="B2159" s="5" t="s">
        <v>7075</v>
      </c>
      <c r="D2159" s="5" t="s">
        <v>1510</v>
      </c>
      <c r="E2159" s="5" t="s">
        <v>2466</v>
      </c>
      <c r="F2159" s="5" t="s">
        <v>5575</v>
      </c>
      <c r="G2159" s="6">
        <v>46079.720138888886</v>
      </c>
      <c r="H2159" s="7">
        <v>46083</v>
      </c>
      <c r="I2159" s="5" t="s">
        <v>7076</v>
      </c>
      <c r="J2159" s="7">
        <v>46083</v>
      </c>
      <c r="K2159" s="5" t="s">
        <v>1527</v>
      </c>
      <c r="L2159" s="5" t="s">
        <v>1621</v>
      </c>
      <c r="M2159" s="8">
        <v>30</v>
      </c>
      <c r="N2159" s="5" t="s">
        <v>1536</v>
      </c>
      <c r="O2159" s="7">
        <v>46083</v>
      </c>
    </row>
    <row r="2160" spans="1:15" hidden="1" x14ac:dyDescent="0.25">
      <c r="A2160" s="5" t="s">
        <v>1522</v>
      </c>
      <c r="B2160" s="5" t="s">
        <v>7077</v>
      </c>
      <c r="D2160" s="5" t="s">
        <v>1445</v>
      </c>
      <c r="E2160" s="5" t="s">
        <v>3160</v>
      </c>
      <c r="F2160" s="5" t="s">
        <v>1548</v>
      </c>
      <c r="G2160" s="6">
        <v>46091.433333333334</v>
      </c>
      <c r="H2160" s="7">
        <v>46098</v>
      </c>
      <c r="I2160" s="5" t="s">
        <v>7078</v>
      </c>
      <c r="J2160" s="7">
        <v>46097</v>
      </c>
      <c r="K2160" s="5" t="s">
        <v>1527</v>
      </c>
      <c r="L2160" s="5" t="s">
        <v>1528</v>
      </c>
      <c r="M2160" s="8">
        <v>30</v>
      </c>
      <c r="N2160" s="5" t="s">
        <v>1536</v>
      </c>
      <c r="O2160" s="7">
        <v>46097</v>
      </c>
    </row>
    <row r="2161" spans="1:15" hidden="1" x14ac:dyDescent="0.25">
      <c r="A2161" s="5" t="s">
        <v>1522</v>
      </c>
      <c r="B2161" s="5" t="s">
        <v>7079</v>
      </c>
      <c r="D2161" s="5" t="s">
        <v>1510</v>
      </c>
      <c r="E2161" s="5" t="s">
        <v>2466</v>
      </c>
      <c r="F2161" s="5" t="s">
        <v>5811</v>
      </c>
      <c r="G2161" s="6">
        <v>46097.649305555555</v>
      </c>
      <c r="H2161" s="7">
        <v>46101</v>
      </c>
      <c r="I2161" s="6">
        <v>46101.632638888892</v>
      </c>
      <c r="J2161" s="7">
        <v>46127</v>
      </c>
      <c r="K2161" s="5" t="s">
        <v>1527</v>
      </c>
      <c r="L2161" s="5" t="s">
        <v>1621</v>
      </c>
      <c r="M2161" s="8">
        <v>30</v>
      </c>
      <c r="N2161" s="5" t="s">
        <v>1536</v>
      </c>
      <c r="O2161" s="7">
        <v>46127</v>
      </c>
    </row>
    <row r="2162" spans="1:15" hidden="1" x14ac:dyDescent="0.25">
      <c r="A2162" s="5" t="s">
        <v>1522</v>
      </c>
      <c r="B2162" s="5" t="s">
        <v>7080</v>
      </c>
      <c r="D2162" s="5" t="s">
        <v>238</v>
      </c>
      <c r="E2162" s="5" t="s">
        <v>7081</v>
      </c>
      <c r="F2162" s="5" t="s">
        <v>7082</v>
      </c>
      <c r="G2162" s="6">
        <v>46100.368055555555</v>
      </c>
      <c r="H2162" s="7">
        <v>46108</v>
      </c>
      <c r="I2162" s="5" t="s">
        <v>7083</v>
      </c>
      <c r="J2162" s="7">
        <v>46107</v>
      </c>
      <c r="K2162" s="5" t="s">
        <v>1527</v>
      </c>
      <c r="L2162" s="5" t="s">
        <v>1528</v>
      </c>
      <c r="M2162" s="8">
        <v>30</v>
      </c>
      <c r="N2162" s="5" t="s">
        <v>1536</v>
      </c>
      <c r="O2162" s="7">
        <v>46107</v>
      </c>
    </row>
    <row r="2163" spans="1:15" hidden="1" x14ac:dyDescent="0.25">
      <c r="A2163" s="5" t="s">
        <v>1522</v>
      </c>
      <c r="B2163" s="5" t="s">
        <v>7084</v>
      </c>
      <c r="D2163" s="5" t="s">
        <v>1510</v>
      </c>
      <c r="E2163" s="5" t="s">
        <v>2466</v>
      </c>
      <c r="F2163" s="5" t="s">
        <v>5811</v>
      </c>
      <c r="G2163" s="6">
        <v>46104.692361111112</v>
      </c>
      <c r="H2163" s="7">
        <v>46106</v>
      </c>
      <c r="I2163" s="6">
        <v>46106.674305555556</v>
      </c>
      <c r="J2163" s="7">
        <v>46106</v>
      </c>
      <c r="K2163" s="5" t="s">
        <v>1527</v>
      </c>
      <c r="L2163" s="5" t="s">
        <v>1621</v>
      </c>
      <c r="M2163" s="8">
        <v>30</v>
      </c>
      <c r="N2163" s="5" t="s">
        <v>1536</v>
      </c>
      <c r="O2163" s="7">
        <v>46106</v>
      </c>
    </row>
    <row r="2164" spans="1:15" hidden="1" x14ac:dyDescent="0.25">
      <c r="A2164" s="5" t="s">
        <v>1522</v>
      </c>
      <c r="B2164" s="5" t="s">
        <v>7085</v>
      </c>
      <c r="D2164" s="5" t="s">
        <v>1510</v>
      </c>
      <c r="E2164" s="5" t="s">
        <v>2466</v>
      </c>
      <c r="F2164" s="5" t="s">
        <v>5811</v>
      </c>
      <c r="G2164" s="6">
        <v>46112.707638888889</v>
      </c>
      <c r="H2164" s="7">
        <v>46114</v>
      </c>
      <c r="I2164" s="6">
        <v>46113.615277777775</v>
      </c>
      <c r="J2164" s="7">
        <v>46113</v>
      </c>
      <c r="K2164" s="5" t="s">
        <v>1527</v>
      </c>
      <c r="L2164" s="5" t="s">
        <v>1621</v>
      </c>
      <c r="M2164" s="8">
        <v>30</v>
      </c>
      <c r="N2164" s="5" t="s">
        <v>1536</v>
      </c>
      <c r="O2164" s="7">
        <v>46113</v>
      </c>
    </row>
    <row r="2165" spans="1:15" hidden="1" x14ac:dyDescent="0.25">
      <c r="A2165" s="5" t="s">
        <v>1522</v>
      </c>
      <c r="B2165" s="5" t="s">
        <v>7086</v>
      </c>
      <c r="D2165" s="5" t="s">
        <v>1510</v>
      </c>
      <c r="E2165" s="5" t="s">
        <v>2466</v>
      </c>
      <c r="F2165" s="5" t="s">
        <v>5811</v>
      </c>
      <c r="G2165" s="6">
        <v>46114.71597222222</v>
      </c>
      <c r="H2165" s="7">
        <v>46120</v>
      </c>
      <c r="I2165" s="5" t="s">
        <v>7087</v>
      </c>
      <c r="J2165" s="7">
        <v>46127</v>
      </c>
      <c r="K2165" s="5" t="s">
        <v>1527</v>
      </c>
      <c r="L2165" s="5" t="s">
        <v>1621</v>
      </c>
      <c r="M2165" s="8">
        <v>30</v>
      </c>
      <c r="N2165" s="5" t="s">
        <v>1536</v>
      </c>
      <c r="O2165" s="7">
        <v>46127</v>
      </c>
    </row>
    <row r="2166" spans="1:15" hidden="1" x14ac:dyDescent="0.25">
      <c r="A2166" s="5" t="s">
        <v>1522</v>
      </c>
      <c r="B2166" s="5" t="s">
        <v>7088</v>
      </c>
      <c r="D2166" s="5" t="s">
        <v>1502</v>
      </c>
      <c r="E2166" s="5" t="s">
        <v>3761</v>
      </c>
      <c r="F2166" s="5" t="s">
        <v>7089</v>
      </c>
      <c r="G2166" s="6">
        <v>46150.630555555559</v>
      </c>
      <c r="H2166" s="7">
        <v>46157</v>
      </c>
      <c r="I2166" s="5" t="s">
        <v>4275</v>
      </c>
      <c r="J2166" s="7">
        <v>46160</v>
      </c>
      <c r="K2166" s="5" t="s">
        <v>1527</v>
      </c>
      <c r="L2166" s="5" t="s">
        <v>1528</v>
      </c>
      <c r="M2166" s="8">
        <v>30</v>
      </c>
      <c r="N2166" s="5" t="s">
        <v>1536</v>
      </c>
      <c r="O2166" s="7">
        <v>46160</v>
      </c>
    </row>
    <row r="2167" spans="1:15" x14ac:dyDescent="0.25">
      <c r="A2167" s="5" t="s">
        <v>4</v>
      </c>
      <c r="B2167" s="5" t="s">
        <v>7090</v>
      </c>
      <c r="D2167" s="5" t="s">
        <v>49</v>
      </c>
      <c r="E2167" s="5" t="s">
        <v>7091</v>
      </c>
      <c r="F2167" s="5" t="s">
        <v>7092</v>
      </c>
      <c r="G2167" s="6">
        <v>46048.663888888892</v>
      </c>
      <c r="H2167" s="7">
        <v>46055</v>
      </c>
      <c r="I2167" s="5" t="s">
        <v>7093</v>
      </c>
      <c r="J2167" s="7">
        <v>46062</v>
      </c>
      <c r="K2167" s="5" t="s">
        <v>1527</v>
      </c>
      <c r="L2167" s="5" t="s">
        <v>1621</v>
      </c>
      <c r="M2167" s="8">
        <v>29.93</v>
      </c>
      <c r="N2167" s="5" t="s">
        <v>1536</v>
      </c>
      <c r="O2167" s="7">
        <v>46062</v>
      </c>
    </row>
    <row r="2168" spans="1:15" x14ac:dyDescent="0.25">
      <c r="A2168" s="5" t="s">
        <v>4</v>
      </c>
      <c r="B2168" s="5" t="s">
        <v>7094</v>
      </c>
      <c r="D2168" s="5" t="s">
        <v>1133</v>
      </c>
      <c r="E2168" s="5" t="s">
        <v>7095</v>
      </c>
      <c r="F2168" s="5" t="s">
        <v>7096</v>
      </c>
      <c r="G2168" s="6">
        <v>46051.671527777777</v>
      </c>
      <c r="H2168" s="7">
        <v>46058</v>
      </c>
      <c r="I2168" s="5" t="s">
        <v>3796</v>
      </c>
      <c r="J2168" s="7">
        <v>46063</v>
      </c>
      <c r="K2168" s="5" t="s">
        <v>1527</v>
      </c>
      <c r="L2168" s="5" t="s">
        <v>1621</v>
      </c>
      <c r="M2168" s="8">
        <v>29.93</v>
      </c>
      <c r="N2168" s="5" t="s">
        <v>1536</v>
      </c>
      <c r="O2168" s="7">
        <v>46063</v>
      </c>
    </row>
    <row r="2169" spans="1:15" x14ac:dyDescent="0.25">
      <c r="A2169" s="5" t="s">
        <v>4</v>
      </c>
      <c r="B2169" s="5" t="s">
        <v>7097</v>
      </c>
      <c r="D2169" s="5" t="s">
        <v>1355</v>
      </c>
      <c r="E2169" s="5" t="s">
        <v>4651</v>
      </c>
      <c r="F2169" s="5" t="s">
        <v>7098</v>
      </c>
      <c r="G2169" s="6">
        <v>46058.736111111109</v>
      </c>
      <c r="H2169" s="7">
        <v>46064</v>
      </c>
      <c r="I2169" s="5" t="s">
        <v>4825</v>
      </c>
      <c r="J2169" s="7">
        <v>46065</v>
      </c>
      <c r="K2169" s="5" t="s">
        <v>1527</v>
      </c>
      <c r="L2169" s="5" t="s">
        <v>1621</v>
      </c>
      <c r="M2169" s="8">
        <v>29.93</v>
      </c>
      <c r="N2169" s="5" t="s">
        <v>1536</v>
      </c>
      <c r="O2169" s="7">
        <v>46065</v>
      </c>
    </row>
    <row r="2170" spans="1:15" x14ac:dyDescent="0.25">
      <c r="A2170" s="5" t="s">
        <v>4</v>
      </c>
      <c r="B2170" s="5" t="s">
        <v>7099</v>
      </c>
      <c r="D2170" s="5" t="s">
        <v>461</v>
      </c>
      <c r="E2170" s="5" t="s">
        <v>7100</v>
      </c>
      <c r="F2170" s="5" t="s">
        <v>7101</v>
      </c>
      <c r="G2170" s="6">
        <v>46064.679861111108</v>
      </c>
      <c r="H2170" s="7">
        <v>46070</v>
      </c>
      <c r="I2170" s="6">
        <v>46070.486805555556</v>
      </c>
      <c r="J2170" s="7">
        <v>46070</v>
      </c>
      <c r="K2170" s="5" t="s">
        <v>1527</v>
      </c>
      <c r="L2170" s="5" t="s">
        <v>1621</v>
      </c>
      <c r="M2170" s="8">
        <v>29.93</v>
      </c>
      <c r="N2170" s="5" t="s">
        <v>1536</v>
      </c>
      <c r="O2170" s="7">
        <v>46070</v>
      </c>
    </row>
    <row r="2171" spans="1:15" x14ac:dyDescent="0.25">
      <c r="A2171" s="5" t="s">
        <v>4</v>
      </c>
      <c r="B2171" s="5" t="s">
        <v>7102</v>
      </c>
      <c r="D2171" s="5" t="s">
        <v>830</v>
      </c>
      <c r="E2171" s="5" t="s">
        <v>7103</v>
      </c>
      <c r="F2171" s="5" t="s">
        <v>7104</v>
      </c>
      <c r="G2171" s="6">
        <v>46027.741666666669</v>
      </c>
      <c r="H2171" s="7">
        <v>46034</v>
      </c>
      <c r="I2171" s="6">
        <v>46030.479166666664</v>
      </c>
      <c r="J2171" s="7">
        <v>46031</v>
      </c>
      <c r="K2171" s="5" t="s">
        <v>1527</v>
      </c>
      <c r="L2171" s="5" t="s">
        <v>1621</v>
      </c>
      <c r="M2171" s="8">
        <v>29.83</v>
      </c>
      <c r="N2171" s="5" t="s">
        <v>1536</v>
      </c>
      <c r="O2171" s="7">
        <v>46031</v>
      </c>
    </row>
    <row r="2172" spans="1:15" x14ac:dyDescent="0.25">
      <c r="A2172" s="5" t="s">
        <v>4</v>
      </c>
      <c r="B2172" s="5" t="s">
        <v>7105</v>
      </c>
      <c r="D2172" s="5" t="s">
        <v>1240</v>
      </c>
      <c r="E2172" s="5" t="s">
        <v>7106</v>
      </c>
      <c r="F2172" s="5" t="s">
        <v>7107</v>
      </c>
      <c r="G2172" s="6">
        <v>46030.684027777781</v>
      </c>
      <c r="H2172" s="7">
        <v>46037</v>
      </c>
      <c r="I2172" s="6">
        <v>46034.708333333336</v>
      </c>
      <c r="J2172" s="7">
        <v>46034</v>
      </c>
      <c r="K2172" s="5" t="s">
        <v>1527</v>
      </c>
      <c r="L2172" s="5" t="s">
        <v>1621</v>
      </c>
      <c r="M2172" s="8">
        <v>29.83</v>
      </c>
      <c r="N2172" s="5" t="s">
        <v>1536</v>
      </c>
      <c r="O2172" s="7">
        <v>46034</v>
      </c>
    </row>
    <row r="2173" spans="1:15" x14ac:dyDescent="0.25">
      <c r="A2173" s="5" t="s">
        <v>4</v>
      </c>
      <c r="B2173" s="5">
        <v>38339</v>
      </c>
      <c r="D2173" s="5" t="s">
        <v>928</v>
      </c>
      <c r="E2173" s="5" t="s">
        <v>7108</v>
      </c>
      <c r="F2173" s="5" t="s">
        <v>7109</v>
      </c>
      <c r="G2173" s="6">
        <v>46059.74722222222</v>
      </c>
      <c r="H2173" s="7">
        <v>46066</v>
      </c>
      <c r="I2173" s="5" t="s">
        <v>7110</v>
      </c>
      <c r="J2173" s="7">
        <v>46071</v>
      </c>
      <c r="K2173" s="5" t="s">
        <v>1527</v>
      </c>
      <c r="L2173" s="5" t="s">
        <v>1564</v>
      </c>
      <c r="M2173" s="8">
        <v>29.8</v>
      </c>
      <c r="N2173" s="5" t="s">
        <v>1536</v>
      </c>
      <c r="O2173" s="7">
        <v>46071</v>
      </c>
    </row>
    <row r="2174" spans="1:15" hidden="1" x14ac:dyDescent="0.25">
      <c r="A2174" s="5" t="s">
        <v>1522</v>
      </c>
      <c r="B2174" s="5" t="s">
        <v>7111</v>
      </c>
      <c r="D2174" s="5" t="s">
        <v>1510</v>
      </c>
      <c r="E2174" s="5" t="s">
        <v>2466</v>
      </c>
      <c r="F2174" s="5" t="s">
        <v>6467</v>
      </c>
      <c r="G2174" s="6">
        <v>46132.690972222219</v>
      </c>
      <c r="H2174" s="7">
        <v>46135</v>
      </c>
      <c r="I2174" s="5" t="s">
        <v>5584</v>
      </c>
      <c r="J2174" s="7">
        <v>46136</v>
      </c>
      <c r="K2174" s="5" t="s">
        <v>1527</v>
      </c>
      <c r="L2174" s="5" t="s">
        <v>1621</v>
      </c>
      <c r="M2174" s="8">
        <v>29.7</v>
      </c>
      <c r="N2174" s="5" t="s">
        <v>1529</v>
      </c>
      <c r="O2174" s="7">
        <v>46136</v>
      </c>
    </row>
    <row r="2175" spans="1:15" x14ac:dyDescent="0.25">
      <c r="A2175" s="5" t="s">
        <v>4</v>
      </c>
      <c r="B2175" s="5" t="s">
        <v>7112</v>
      </c>
      <c r="D2175" s="5" t="s">
        <v>1353</v>
      </c>
      <c r="E2175" s="5" t="s">
        <v>5153</v>
      </c>
      <c r="F2175" s="5" t="s">
        <v>7113</v>
      </c>
      <c r="G2175" s="6">
        <v>46168.727083333331</v>
      </c>
      <c r="H2175" s="7">
        <v>46175</v>
      </c>
      <c r="I2175" s="5" t="s">
        <v>7114</v>
      </c>
      <c r="J2175" s="7">
        <v>46176</v>
      </c>
      <c r="K2175" s="5" t="s">
        <v>1527</v>
      </c>
      <c r="L2175" s="5" t="s">
        <v>1621</v>
      </c>
      <c r="M2175" s="8">
        <v>29.7</v>
      </c>
      <c r="N2175" s="5" t="s">
        <v>1536</v>
      </c>
      <c r="O2175" s="7">
        <v>46176</v>
      </c>
    </row>
    <row r="2176" spans="1:15" hidden="1" x14ac:dyDescent="0.25">
      <c r="A2176" s="5" t="s">
        <v>1522</v>
      </c>
      <c r="B2176" s="5">
        <v>40124</v>
      </c>
      <c r="D2176" s="5" t="s">
        <v>474</v>
      </c>
      <c r="E2176" s="5" t="s">
        <v>7115</v>
      </c>
      <c r="F2176" s="5" t="s">
        <v>7116</v>
      </c>
      <c r="G2176" s="6">
        <v>46170.668749999997</v>
      </c>
      <c r="H2176" s="7">
        <v>46176</v>
      </c>
      <c r="I2176" s="5" t="s">
        <v>7117</v>
      </c>
      <c r="J2176" s="7">
        <v>46178</v>
      </c>
      <c r="K2176" s="5" t="s">
        <v>1527</v>
      </c>
      <c r="L2176" s="5" t="s">
        <v>1528</v>
      </c>
      <c r="M2176" s="8">
        <v>29.6</v>
      </c>
      <c r="N2176" s="5" t="s">
        <v>1536</v>
      </c>
      <c r="O2176" s="7">
        <v>46178</v>
      </c>
    </row>
    <row r="2177" spans="1:15" x14ac:dyDescent="0.25">
      <c r="A2177" s="5" t="s">
        <v>4</v>
      </c>
      <c r="B2177" s="5" t="s">
        <v>7118</v>
      </c>
      <c r="D2177" s="5" t="s">
        <v>872</v>
      </c>
      <c r="E2177" s="5" t="s">
        <v>7119</v>
      </c>
      <c r="F2177" s="5" t="s">
        <v>7120</v>
      </c>
      <c r="G2177" s="6">
        <v>46129.68472222222</v>
      </c>
      <c r="H2177" s="7">
        <v>46136</v>
      </c>
      <c r="I2177" s="6">
        <v>46136.605555555558</v>
      </c>
      <c r="J2177" s="7">
        <v>46136</v>
      </c>
      <c r="K2177" s="5" t="s">
        <v>1527</v>
      </c>
      <c r="L2177" s="5" t="s">
        <v>1621</v>
      </c>
      <c r="M2177" s="8">
        <v>29.4</v>
      </c>
      <c r="N2177" s="5" t="s">
        <v>1536</v>
      </c>
      <c r="O2177" s="7">
        <v>46136</v>
      </c>
    </row>
    <row r="2178" spans="1:15" x14ac:dyDescent="0.25">
      <c r="A2178" s="5" t="s">
        <v>4</v>
      </c>
      <c r="B2178" s="5" t="s">
        <v>7121</v>
      </c>
      <c r="D2178" s="5" t="s">
        <v>457</v>
      </c>
      <c r="E2178" s="5" t="s">
        <v>7122</v>
      </c>
      <c r="F2178" s="5" t="s">
        <v>7123</v>
      </c>
      <c r="G2178" s="6">
        <v>46126.523611111108</v>
      </c>
      <c r="H2178" s="7">
        <v>46134</v>
      </c>
      <c r="I2178" s="6">
        <v>46129.592361111114</v>
      </c>
      <c r="J2178" s="7">
        <v>46129</v>
      </c>
      <c r="K2178" s="5" t="s">
        <v>1527</v>
      </c>
      <c r="L2178" s="5" t="s">
        <v>1564</v>
      </c>
      <c r="M2178" s="8">
        <v>29.34</v>
      </c>
      <c r="N2178" s="5" t="s">
        <v>1536</v>
      </c>
      <c r="O2178" s="7">
        <v>46129</v>
      </c>
    </row>
    <row r="2179" spans="1:15" x14ac:dyDescent="0.25">
      <c r="A2179" s="5" t="s">
        <v>4</v>
      </c>
      <c r="B2179" s="5" t="s">
        <v>7124</v>
      </c>
      <c r="D2179" s="5" t="s">
        <v>751</v>
      </c>
      <c r="E2179" s="5" t="s">
        <v>7125</v>
      </c>
      <c r="F2179" s="5" t="s">
        <v>7126</v>
      </c>
      <c r="G2179" s="6">
        <v>46048.707638888889</v>
      </c>
      <c r="H2179" s="7">
        <v>46055</v>
      </c>
      <c r="I2179" s="6">
        <v>46050.749305555553</v>
      </c>
      <c r="J2179" s="7">
        <v>46050</v>
      </c>
      <c r="K2179" s="5" t="s">
        <v>1527</v>
      </c>
      <c r="L2179" s="5" t="s">
        <v>1621</v>
      </c>
      <c r="M2179" s="8">
        <v>29.16</v>
      </c>
      <c r="N2179" s="5" t="s">
        <v>1536</v>
      </c>
      <c r="O2179" s="7">
        <v>46050</v>
      </c>
    </row>
    <row r="2180" spans="1:15" x14ac:dyDescent="0.25">
      <c r="A2180" s="5" t="s">
        <v>4</v>
      </c>
      <c r="B2180" s="5" t="s">
        <v>7127</v>
      </c>
      <c r="D2180" s="5" t="s">
        <v>483</v>
      </c>
      <c r="E2180" s="5" t="s">
        <v>7128</v>
      </c>
      <c r="F2180" s="5" t="s">
        <v>7129</v>
      </c>
      <c r="G2180" s="6">
        <v>46127.695833333331</v>
      </c>
      <c r="H2180" s="7">
        <v>46135</v>
      </c>
      <c r="I2180" s="5" t="s">
        <v>3630</v>
      </c>
      <c r="J2180" s="7">
        <v>46134</v>
      </c>
      <c r="K2180" s="5" t="s">
        <v>1527</v>
      </c>
      <c r="L2180" s="5" t="s">
        <v>1564</v>
      </c>
      <c r="M2180" s="8">
        <v>28.9</v>
      </c>
      <c r="N2180" s="5" t="s">
        <v>1536</v>
      </c>
      <c r="O2180" s="7">
        <v>46134</v>
      </c>
    </row>
    <row r="2181" spans="1:15" x14ac:dyDescent="0.25">
      <c r="A2181" s="5" t="s">
        <v>4</v>
      </c>
      <c r="B2181" s="5" t="s">
        <v>7130</v>
      </c>
      <c r="D2181" s="5" t="s">
        <v>892</v>
      </c>
      <c r="E2181" s="5" t="s">
        <v>7131</v>
      </c>
      <c r="F2181" s="5" t="s">
        <v>7132</v>
      </c>
      <c r="G2181" s="6">
        <v>46146.729861111111</v>
      </c>
      <c r="H2181" s="7">
        <v>46155</v>
      </c>
      <c r="I2181" s="5" t="s">
        <v>7133</v>
      </c>
      <c r="J2181" s="7">
        <v>46154</v>
      </c>
      <c r="K2181" s="5" t="s">
        <v>1527</v>
      </c>
      <c r="L2181" s="5" t="s">
        <v>1621</v>
      </c>
      <c r="M2181" s="8">
        <v>28.9</v>
      </c>
      <c r="N2181" s="5" t="s">
        <v>1536</v>
      </c>
      <c r="O2181" s="7">
        <v>46154</v>
      </c>
    </row>
    <row r="2182" spans="1:15" hidden="1" x14ac:dyDescent="0.25">
      <c r="A2182" s="5" t="s">
        <v>1522</v>
      </c>
      <c r="B2182" s="5" t="s">
        <v>7134</v>
      </c>
      <c r="D2182" s="5" t="s">
        <v>1510</v>
      </c>
      <c r="E2182" s="5" t="s">
        <v>2466</v>
      </c>
      <c r="F2182" s="5" t="s">
        <v>3389</v>
      </c>
      <c r="G2182" s="6">
        <v>46048.635416666664</v>
      </c>
      <c r="H2182" s="7">
        <v>46051</v>
      </c>
      <c r="I2182" s="6">
        <v>46050.63958333333</v>
      </c>
      <c r="J2182" s="7">
        <v>46050</v>
      </c>
      <c r="K2182" s="5" t="s">
        <v>1527</v>
      </c>
      <c r="L2182" s="5" t="s">
        <v>1621</v>
      </c>
      <c r="M2182" s="8">
        <v>28.8</v>
      </c>
      <c r="N2182" s="5" t="s">
        <v>1536</v>
      </c>
      <c r="O2182" s="7">
        <v>46050</v>
      </c>
    </row>
    <row r="2183" spans="1:15" hidden="1" x14ac:dyDescent="0.25">
      <c r="A2183" s="5" t="s">
        <v>1522</v>
      </c>
      <c r="B2183" s="5" t="s">
        <v>7135</v>
      </c>
      <c r="D2183" s="5" t="s">
        <v>1510</v>
      </c>
      <c r="E2183" s="5" t="s">
        <v>2466</v>
      </c>
      <c r="F2183" s="5" t="s">
        <v>3389</v>
      </c>
      <c r="G2183" s="6">
        <v>46118.745138888888</v>
      </c>
      <c r="H2183" s="7">
        <v>46121</v>
      </c>
      <c r="I2183" s="5" t="s">
        <v>7136</v>
      </c>
      <c r="J2183" s="7">
        <v>46127</v>
      </c>
      <c r="K2183" s="5" t="s">
        <v>1527</v>
      </c>
      <c r="L2183" s="5" t="s">
        <v>1621</v>
      </c>
      <c r="M2183" s="8">
        <v>28.8</v>
      </c>
      <c r="N2183" s="5" t="s">
        <v>1536</v>
      </c>
      <c r="O2183" s="7">
        <v>46127</v>
      </c>
    </row>
    <row r="2184" spans="1:15" hidden="1" x14ac:dyDescent="0.25">
      <c r="A2184" s="5" t="s">
        <v>1522</v>
      </c>
      <c r="B2184" s="5" t="s">
        <v>7137</v>
      </c>
      <c r="D2184" s="5" t="s">
        <v>1510</v>
      </c>
      <c r="E2184" s="5" t="s">
        <v>2466</v>
      </c>
      <c r="F2184" s="5" t="s">
        <v>3389</v>
      </c>
      <c r="G2184" s="6">
        <v>46121.420138888891</v>
      </c>
      <c r="H2184" s="7">
        <v>46125</v>
      </c>
      <c r="I2184" s="6">
        <v>46125.692361111112</v>
      </c>
      <c r="J2184" s="7">
        <v>46125</v>
      </c>
      <c r="K2184" s="5" t="s">
        <v>1527</v>
      </c>
      <c r="L2184" s="5" t="s">
        <v>1621</v>
      </c>
      <c r="M2184" s="8">
        <v>28.8</v>
      </c>
      <c r="N2184" s="5" t="s">
        <v>1536</v>
      </c>
      <c r="O2184" s="7">
        <v>46125</v>
      </c>
    </row>
    <row r="2185" spans="1:15" hidden="1" x14ac:dyDescent="0.25">
      <c r="A2185" s="5" t="s">
        <v>1522</v>
      </c>
      <c r="B2185" s="5" t="s">
        <v>7138</v>
      </c>
      <c r="D2185" s="5" t="s">
        <v>1510</v>
      </c>
      <c r="E2185" s="5" t="s">
        <v>2466</v>
      </c>
      <c r="F2185" s="5" t="s">
        <v>3389</v>
      </c>
      <c r="G2185" s="6">
        <v>46128.723611111112</v>
      </c>
      <c r="H2185" s="7">
        <v>46132</v>
      </c>
      <c r="I2185" s="6">
        <v>46132.711111111108</v>
      </c>
      <c r="J2185" s="7">
        <v>46132</v>
      </c>
      <c r="K2185" s="5" t="s">
        <v>1527</v>
      </c>
      <c r="L2185" s="5" t="s">
        <v>1621</v>
      </c>
      <c r="M2185" s="8">
        <v>28.8</v>
      </c>
      <c r="N2185" s="5" t="s">
        <v>1529</v>
      </c>
      <c r="O2185" s="7">
        <v>46132</v>
      </c>
    </row>
    <row r="2186" spans="1:15" x14ac:dyDescent="0.25">
      <c r="A2186" s="5" t="s">
        <v>4</v>
      </c>
      <c r="B2186" s="5" t="s">
        <v>7139</v>
      </c>
      <c r="D2186" s="5" t="s">
        <v>228</v>
      </c>
      <c r="E2186" s="5" t="s">
        <v>7140</v>
      </c>
      <c r="F2186" s="5" t="s">
        <v>7141</v>
      </c>
      <c r="G2186" s="6">
        <v>46055.70416666667</v>
      </c>
      <c r="H2186" s="7">
        <v>46058</v>
      </c>
      <c r="I2186" s="6">
        <v>46057.663888888892</v>
      </c>
      <c r="J2186" s="7">
        <v>46057</v>
      </c>
      <c r="K2186" s="5" t="s">
        <v>1527</v>
      </c>
      <c r="L2186" s="5" t="s">
        <v>1621</v>
      </c>
      <c r="M2186" s="8">
        <v>28.19</v>
      </c>
      <c r="N2186" s="5" t="s">
        <v>1536</v>
      </c>
      <c r="O2186" s="7">
        <v>46057</v>
      </c>
    </row>
    <row r="2187" spans="1:15" hidden="1" x14ac:dyDescent="0.25">
      <c r="A2187" s="5" t="s">
        <v>1522</v>
      </c>
      <c r="B2187" s="5" t="s">
        <v>7142</v>
      </c>
      <c r="D2187" s="5" t="s">
        <v>1510</v>
      </c>
      <c r="E2187" s="5" t="s">
        <v>2466</v>
      </c>
      <c r="F2187" s="5" t="s">
        <v>6467</v>
      </c>
      <c r="G2187" s="6">
        <v>46125.667361111111</v>
      </c>
      <c r="H2187" s="7">
        <v>46127</v>
      </c>
      <c r="I2187" s="6">
        <v>46127.723611111112</v>
      </c>
      <c r="J2187" s="7">
        <v>46128</v>
      </c>
      <c r="K2187" s="5" t="s">
        <v>1527</v>
      </c>
      <c r="L2187" s="5" t="s">
        <v>1621</v>
      </c>
      <c r="M2187" s="8">
        <v>27.9</v>
      </c>
      <c r="N2187" s="5" t="s">
        <v>1536</v>
      </c>
      <c r="O2187" s="7">
        <v>46128</v>
      </c>
    </row>
    <row r="2188" spans="1:15" hidden="1" x14ac:dyDescent="0.25">
      <c r="A2188" s="5" t="s">
        <v>1522</v>
      </c>
      <c r="B2188" s="5">
        <v>38017</v>
      </c>
      <c r="D2188" s="5" t="s">
        <v>1508</v>
      </c>
      <c r="E2188" s="5" t="s">
        <v>2606</v>
      </c>
      <c r="F2188" s="5" t="s">
        <v>7143</v>
      </c>
      <c r="G2188" s="6">
        <v>46042.644444444442</v>
      </c>
      <c r="H2188" s="7">
        <v>46048</v>
      </c>
      <c r="I2188" s="5" t="s">
        <v>7144</v>
      </c>
      <c r="J2188" s="7">
        <v>46065</v>
      </c>
      <c r="K2188" s="5" t="s">
        <v>1527</v>
      </c>
      <c r="L2188" s="5" t="s">
        <v>1528</v>
      </c>
      <c r="M2188" s="8">
        <v>27.8</v>
      </c>
      <c r="N2188" s="5" t="s">
        <v>1536</v>
      </c>
      <c r="O2188" s="7">
        <v>46065</v>
      </c>
    </row>
    <row r="2189" spans="1:15" x14ac:dyDescent="0.25">
      <c r="A2189" s="5" t="s">
        <v>4</v>
      </c>
      <c r="B2189" s="5" t="s">
        <v>7145</v>
      </c>
      <c r="D2189" s="5" t="s">
        <v>138</v>
      </c>
      <c r="E2189" s="5" t="s">
        <v>7146</v>
      </c>
      <c r="F2189" s="5" t="s">
        <v>7147</v>
      </c>
      <c r="G2189" s="6">
        <v>46051.659722222219</v>
      </c>
      <c r="H2189" s="7">
        <v>46058</v>
      </c>
      <c r="I2189" s="5" t="s">
        <v>7148</v>
      </c>
      <c r="J2189" s="7">
        <v>46062</v>
      </c>
      <c r="K2189" s="5" t="s">
        <v>1527</v>
      </c>
      <c r="L2189" s="5" t="s">
        <v>1621</v>
      </c>
      <c r="M2189" s="8">
        <v>27.78</v>
      </c>
      <c r="N2189" s="5" t="s">
        <v>1536</v>
      </c>
      <c r="O2189" s="7">
        <v>46062</v>
      </c>
    </row>
    <row r="2190" spans="1:15" x14ac:dyDescent="0.25">
      <c r="A2190" s="5" t="s">
        <v>4</v>
      </c>
      <c r="B2190" s="5" t="s">
        <v>7149</v>
      </c>
      <c r="D2190" s="5" t="s">
        <v>931</v>
      </c>
      <c r="E2190" s="5" t="s">
        <v>7150</v>
      </c>
      <c r="F2190" s="5" t="s">
        <v>7151</v>
      </c>
      <c r="G2190" s="6">
        <v>46154.724999999999</v>
      </c>
      <c r="H2190" s="7">
        <v>46164</v>
      </c>
      <c r="I2190" s="6">
        <v>46163.720138888886</v>
      </c>
      <c r="J2190" s="7">
        <v>46163</v>
      </c>
      <c r="K2190" s="5" t="s">
        <v>1527</v>
      </c>
      <c r="L2190" s="5" t="s">
        <v>1621</v>
      </c>
      <c r="M2190" s="8">
        <v>27.65</v>
      </c>
      <c r="N2190" s="5" t="s">
        <v>1536</v>
      </c>
      <c r="O2190" s="7">
        <v>46163</v>
      </c>
    </row>
    <row r="2191" spans="1:15" hidden="1" x14ac:dyDescent="0.25">
      <c r="A2191" s="5" t="s">
        <v>1522</v>
      </c>
      <c r="B2191" s="5" t="s">
        <v>7152</v>
      </c>
      <c r="D2191" s="5" t="s">
        <v>1341</v>
      </c>
      <c r="E2191" s="5" t="s">
        <v>3259</v>
      </c>
      <c r="F2191" s="5" t="s">
        <v>1548</v>
      </c>
      <c r="G2191" s="6">
        <v>46157.43472222222</v>
      </c>
      <c r="H2191" s="7">
        <v>46163</v>
      </c>
      <c r="I2191" s="6">
        <v>46161.698611111111</v>
      </c>
      <c r="J2191" s="7">
        <v>46161</v>
      </c>
      <c r="K2191" s="5" t="s">
        <v>1527</v>
      </c>
      <c r="L2191" s="5" t="s">
        <v>1528</v>
      </c>
      <c r="M2191" s="8">
        <v>27.5</v>
      </c>
      <c r="N2191" s="5" t="s">
        <v>1536</v>
      </c>
      <c r="O2191" s="7">
        <v>46161</v>
      </c>
    </row>
    <row r="2192" spans="1:15" x14ac:dyDescent="0.25">
      <c r="A2192" s="5" t="s">
        <v>4</v>
      </c>
      <c r="B2192" s="5" t="s">
        <v>7153</v>
      </c>
      <c r="D2192" s="5" t="s">
        <v>969</v>
      </c>
      <c r="E2192" s="5" t="s">
        <v>7154</v>
      </c>
      <c r="F2192" s="5" t="s">
        <v>7155</v>
      </c>
      <c r="G2192" s="6">
        <v>46161.698611111111</v>
      </c>
      <c r="H2192" s="7">
        <v>46168</v>
      </c>
      <c r="I2192" s="5" t="s">
        <v>7156</v>
      </c>
      <c r="J2192" s="7">
        <v>46171</v>
      </c>
      <c r="K2192" s="5" t="s">
        <v>1527</v>
      </c>
      <c r="L2192" s="5" t="s">
        <v>1621</v>
      </c>
      <c r="M2192" s="8">
        <v>27.43</v>
      </c>
      <c r="N2192" s="5" t="s">
        <v>1536</v>
      </c>
      <c r="O2192" s="7">
        <v>46171</v>
      </c>
    </row>
    <row r="2193" spans="1:15" x14ac:dyDescent="0.25">
      <c r="A2193" s="5" t="s">
        <v>4</v>
      </c>
      <c r="B2193" s="5" t="s">
        <v>7157</v>
      </c>
      <c r="D2193" s="5" t="s">
        <v>1451</v>
      </c>
      <c r="E2193" s="5" t="s">
        <v>7158</v>
      </c>
      <c r="F2193" s="5" t="s">
        <v>7159</v>
      </c>
      <c r="G2193" s="6">
        <v>46167.702777777777</v>
      </c>
      <c r="H2193" s="7">
        <v>46174</v>
      </c>
      <c r="I2193" s="5" t="s">
        <v>7160</v>
      </c>
      <c r="J2193" s="7">
        <v>46171</v>
      </c>
      <c r="K2193" s="5" t="s">
        <v>1527</v>
      </c>
      <c r="L2193" s="5" t="s">
        <v>1621</v>
      </c>
      <c r="M2193" s="8">
        <v>27.43</v>
      </c>
      <c r="N2193" s="5" t="s">
        <v>1536</v>
      </c>
      <c r="O2193" s="7">
        <v>46171</v>
      </c>
    </row>
    <row r="2194" spans="1:15" x14ac:dyDescent="0.25">
      <c r="A2194" s="5" t="s">
        <v>4</v>
      </c>
      <c r="B2194" s="5" t="s">
        <v>7161</v>
      </c>
      <c r="D2194" s="5" t="s">
        <v>574</v>
      </c>
      <c r="E2194" s="5" t="s">
        <v>7162</v>
      </c>
      <c r="F2194" s="5" t="s">
        <v>7163</v>
      </c>
      <c r="G2194" s="6">
        <v>46161.37777777778</v>
      </c>
      <c r="H2194" s="7">
        <v>46168</v>
      </c>
      <c r="I2194" s="6">
        <v>46163.720138888886</v>
      </c>
      <c r="J2194" s="7">
        <v>46163</v>
      </c>
      <c r="K2194" s="5" t="s">
        <v>1527</v>
      </c>
      <c r="L2194" s="5" t="s">
        <v>1621</v>
      </c>
      <c r="M2194" s="9">
        <v>27.29</v>
      </c>
      <c r="N2194" s="5" t="s">
        <v>1536</v>
      </c>
      <c r="O2194" s="7">
        <v>46163</v>
      </c>
    </row>
    <row r="2195" spans="1:15" x14ac:dyDescent="0.25">
      <c r="A2195" s="5" t="s">
        <v>4</v>
      </c>
      <c r="B2195" s="5" t="s">
        <v>7164</v>
      </c>
      <c r="D2195" s="5" t="s">
        <v>1265</v>
      </c>
      <c r="E2195" s="5" t="s">
        <v>6317</v>
      </c>
      <c r="F2195" s="5" t="s">
        <v>7165</v>
      </c>
      <c r="G2195" s="6">
        <v>46091.648611111108</v>
      </c>
      <c r="H2195" s="7">
        <v>46097</v>
      </c>
      <c r="I2195" s="6">
        <v>46097.600694444445</v>
      </c>
      <c r="J2195" s="7">
        <v>46097</v>
      </c>
      <c r="K2195" s="5" t="s">
        <v>1527</v>
      </c>
      <c r="L2195" s="5" t="s">
        <v>1621</v>
      </c>
      <c r="M2195" s="8">
        <v>27.19</v>
      </c>
      <c r="N2195" s="5" t="s">
        <v>1536</v>
      </c>
      <c r="O2195" s="7">
        <v>46097</v>
      </c>
    </row>
    <row r="2196" spans="1:15" x14ac:dyDescent="0.25">
      <c r="A2196" s="5" t="s">
        <v>4</v>
      </c>
      <c r="B2196" s="5" t="s">
        <v>7166</v>
      </c>
      <c r="D2196" s="5" t="s">
        <v>1336</v>
      </c>
      <c r="E2196" s="5" t="s">
        <v>6199</v>
      </c>
      <c r="F2196" s="5" t="s">
        <v>7167</v>
      </c>
      <c r="G2196" s="6">
        <v>46107.731944444444</v>
      </c>
      <c r="H2196" s="7">
        <v>46113</v>
      </c>
      <c r="I2196" s="6">
        <v>46111.609027777777</v>
      </c>
      <c r="J2196" s="7">
        <v>46111</v>
      </c>
      <c r="K2196" s="5" t="s">
        <v>1527</v>
      </c>
      <c r="L2196" s="5" t="s">
        <v>1621</v>
      </c>
      <c r="M2196" s="8">
        <v>27.15</v>
      </c>
      <c r="N2196" s="5" t="s">
        <v>1536</v>
      </c>
      <c r="O2196" s="7">
        <v>46111</v>
      </c>
    </row>
    <row r="2197" spans="1:15" hidden="1" x14ac:dyDescent="0.25">
      <c r="A2197" s="5" t="s">
        <v>1522</v>
      </c>
      <c r="B2197" s="5" t="s">
        <v>7168</v>
      </c>
      <c r="D2197" s="5" t="s">
        <v>1510</v>
      </c>
      <c r="E2197" s="5" t="s">
        <v>2466</v>
      </c>
      <c r="F2197" s="5" t="s">
        <v>6467</v>
      </c>
      <c r="G2197" s="6">
        <v>46155.609027777777</v>
      </c>
      <c r="H2197" s="7">
        <v>46160</v>
      </c>
      <c r="I2197" s="5" t="s">
        <v>7169</v>
      </c>
      <c r="J2197" s="7">
        <v>46167</v>
      </c>
      <c r="K2197" s="5" t="s">
        <v>1527</v>
      </c>
      <c r="L2197" s="5" t="s">
        <v>1621</v>
      </c>
      <c r="M2197" s="8">
        <v>27</v>
      </c>
      <c r="N2197" s="5" t="s">
        <v>1529</v>
      </c>
      <c r="O2197" s="7">
        <v>46167</v>
      </c>
    </row>
    <row r="2198" spans="1:15" x14ac:dyDescent="0.25">
      <c r="A2198" s="5" t="s">
        <v>4</v>
      </c>
      <c r="B2198" s="5" t="s">
        <v>7170</v>
      </c>
      <c r="D2198" s="5" t="s">
        <v>202</v>
      </c>
      <c r="E2198" s="5" t="s">
        <v>7171</v>
      </c>
      <c r="F2198" s="5" t="s">
        <v>7172</v>
      </c>
      <c r="G2198" s="6">
        <v>46129.660416666666</v>
      </c>
      <c r="H2198" s="7">
        <v>46136</v>
      </c>
      <c r="I2198" s="5" t="s">
        <v>7173</v>
      </c>
      <c r="J2198" s="7">
        <v>46140</v>
      </c>
      <c r="K2198" s="5" t="s">
        <v>1527</v>
      </c>
      <c r="L2198" s="5" t="s">
        <v>1621</v>
      </c>
      <c r="M2198" s="8">
        <v>26.44</v>
      </c>
      <c r="N2198" s="5" t="s">
        <v>1536</v>
      </c>
      <c r="O2198" s="7">
        <v>46140</v>
      </c>
    </row>
    <row r="2199" spans="1:15" hidden="1" x14ac:dyDescent="0.25">
      <c r="A2199" s="5" t="s">
        <v>1522</v>
      </c>
      <c r="B2199" s="5" t="s">
        <v>7174</v>
      </c>
      <c r="D2199" s="5" t="s">
        <v>1510</v>
      </c>
      <c r="E2199" s="5" t="s">
        <v>2466</v>
      </c>
      <c r="F2199" s="5" t="s">
        <v>6467</v>
      </c>
      <c r="G2199" s="6">
        <v>46094.645833333336</v>
      </c>
      <c r="H2199" s="7">
        <v>46098</v>
      </c>
      <c r="I2199" s="5" t="s">
        <v>7175</v>
      </c>
      <c r="J2199" s="7">
        <v>46127</v>
      </c>
      <c r="K2199" s="5" t="s">
        <v>1527</v>
      </c>
      <c r="L2199" s="5" t="s">
        <v>1621</v>
      </c>
      <c r="M2199" s="8">
        <v>26.1</v>
      </c>
      <c r="N2199" s="5" t="s">
        <v>1536</v>
      </c>
      <c r="O2199" s="7">
        <v>46127</v>
      </c>
    </row>
    <row r="2200" spans="1:15" x14ac:dyDescent="0.25">
      <c r="A2200" s="5" t="s">
        <v>4</v>
      </c>
      <c r="B2200" s="5" t="s">
        <v>7176</v>
      </c>
      <c r="D2200" s="5" t="s">
        <v>523</v>
      </c>
      <c r="E2200" s="5" t="s">
        <v>7177</v>
      </c>
      <c r="F2200" s="5" t="s">
        <v>7178</v>
      </c>
      <c r="G2200" s="6">
        <v>46105.666666666664</v>
      </c>
      <c r="H2200" s="7">
        <v>46112</v>
      </c>
      <c r="I2200" s="6">
        <v>46107.697916666664</v>
      </c>
      <c r="J2200" s="7">
        <v>46107</v>
      </c>
      <c r="K2200" s="5" t="s">
        <v>1527</v>
      </c>
      <c r="L2200" s="5" t="s">
        <v>1621</v>
      </c>
      <c r="M2200" s="8">
        <v>26.03</v>
      </c>
      <c r="N2200" s="5" t="s">
        <v>1536</v>
      </c>
      <c r="O2200" s="7">
        <v>46107</v>
      </c>
    </row>
    <row r="2201" spans="1:15" hidden="1" x14ac:dyDescent="0.25">
      <c r="A2201" s="5" t="s">
        <v>1522</v>
      </c>
      <c r="B2201" s="5" t="s">
        <v>7179</v>
      </c>
      <c r="D2201" s="5" t="s">
        <v>1508</v>
      </c>
      <c r="E2201" s="5" t="s">
        <v>2606</v>
      </c>
      <c r="F2201" s="5" t="s">
        <v>3157</v>
      </c>
      <c r="G2201" s="6">
        <v>46154.470833333333</v>
      </c>
      <c r="H2201" s="7">
        <v>46155</v>
      </c>
      <c r="I2201" s="5" t="s">
        <v>5775</v>
      </c>
      <c r="J2201" s="7">
        <v>46157</v>
      </c>
      <c r="K2201" s="5" t="s">
        <v>1527</v>
      </c>
      <c r="L2201" s="5" t="s">
        <v>1528</v>
      </c>
      <c r="M2201" s="8">
        <v>26</v>
      </c>
      <c r="N2201" s="5" t="s">
        <v>1536</v>
      </c>
      <c r="O2201" s="7">
        <v>46157</v>
      </c>
    </row>
    <row r="2202" spans="1:15" hidden="1" x14ac:dyDescent="0.25">
      <c r="A2202" s="5" t="s">
        <v>1522</v>
      </c>
      <c r="B2202" s="5" t="s">
        <v>7180</v>
      </c>
      <c r="D2202" s="5" t="s">
        <v>1504</v>
      </c>
      <c r="E2202" s="5" t="s">
        <v>1888</v>
      </c>
      <c r="F2202" s="5" t="s">
        <v>7181</v>
      </c>
      <c r="G2202" s="6">
        <v>46169.711805555555</v>
      </c>
      <c r="H2202" s="7">
        <v>46174</v>
      </c>
      <c r="I2202" s="5" t="s">
        <v>7182</v>
      </c>
      <c r="J2202" s="7">
        <v>46171</v>
      </c>
      <c r="K2202" s="5" t="s">
        <v>1527</v>
      </c>
      <c r="L2202" s="5" t="s">
        <v>1528</v>
      </c>
      <c r="M2202" s="8">
        <v>26</v>
      </c>
      <c r="N2202" s="5" t="s">
        <v>1529</v>
      </c>
      <c r="O2202" s="7">
        <v>46171</v>
      </c>
    </row>
    <row r="2203" spans="1:15" x14ac:dyDescent="0.25">
      <c r="A2203" s="5" t="s">
        <v>4</v>
      </c>
      <c r="B2203" s="5" t="s">
        <v>7183</v>
      </c>
      <c r="D2203" s="5" t="s">
        <v>731</v>
      </c>
      <c r="E2203" s="5" t="s">
        <v>7184</v>
      </c>
      <c r="F2203" s="5" t="s">
        <v>7185</v>
      </c>
      <c r="G2203" s="6">
        <v>46118.660416666666</v>
      </c>
      <c r="H2203" s="7">
        <v>46125</v>
      </c>
      <c r="I2203" s="6">
        <v>46125.47152777778</v>
      </c>
      <c r="J2203" s="7">
        <v>46121</v>
      </c>
      <c r="K2203" s="5" t="s">
        <v>1527</v>
      </c>
      <c r="L2203" s="5" t="s">
        <v>1564</v>
      </c>
      <c r="M2203" s="8">
        <v>25.79</v>
      </c>
      <c r="N2203" s="5" t="s">
        <v>1536</v>
      </c>
      <c r="O2203" s="7">
        <v>46121</v>
      </c>
    </row>
    <row r="2204" spans="1:15" hidden="1" x14ac:dyDescent="0.25">
      <c r="A2204" s="5" t="s">
        <v>1522</v>
      </c>
      <c r="B2204" s="5" t="s">
        <v>7186</v>
      </c>
      <c r="D2204" s="5" t="s">
        <v>1510</v>
      </c>
      <c r="E2204" s="5" t="s">
        <v>2466</v>
      </c>
      <c r="F2204" s="5" t="s">
        <v>5575</v>
      </c>
      <c r="G2204" s="6">
        <v>46094.663194444445</v>
      </c>
      <c r="H2204" s="7">
        <v>46090</v>
      </c>
      <c r="I2204" s="5" t="s">
        <v>7187</v>
      </c>
      <c r="J2204" s="7">
        <v>46097</v>
      </c>
      <c r="K2204" s="5" t="s">
        <v>1527</v>
      </c>
      <c r="L2204" s="5" t="s">
        <v>1621</v>
      </c>
      <c r="M2204" s="8">
        <v>25.2</v>
      </c>
      <c r="N2204" s="5" t="s">
        <v>1536</v>
      </c>
      <c r="O2204" s="7">
        <v>46097</v>
      </c>
    </row>
    <row r="2205" spans="1:15" hidden="1" x14ac:dyDescent="0.25">
      <c r="A2205" s="5" t="s">
        <v>1522</v>
      </c>
      <c r="B2205" s="5">
        <v>38469</v>
      </c>
      <c r="D2205" s="5" t="s">
        <v>875</v>
      </c>
      <c r="E2205" s="5" t="s">
        <v>7188</v>
      </c>
      <c r="F2205" s="5" t="s">
        <v>7189</v>
      </c>
      <c r="G2205" s="6">
        <v>46071.384027777778</v>
      </c>
      <c r="H2205" s="7">
        <v>46080</v>
      </c>
      <c r="I2205" s="5" t="s">
        <v>7190</v>
      </c>
      <c r="J2205" s="7">
        <v>46077</v>
      </c>
      <c r="K2205" s="5" t="s">
        <v>1527</v>
      </c>
      <c r="L2205" s="5" t="s">
        <v>1528</v>
      </c>
      <c r="M2205" s="8">
        <v>25</v>
      </c>
      <c r="N2205" s="5" t="s">
        <v>1536</v>
      </c>
      <c r="O2205" s="7">
        <v>46077</v>
      </c>
    </row>
    <row r="2206" spans="1:15" hidden="1" x14ac:dyDescent="0.25">
      <c r="A2206" s="5" t="s">
        <v>1522</v>
      </c>
      <c r="B2206" s="5" t="s">
        <v>7191</v>
      </c>
      <c r="D2206" s="5" t="s">
        <v>1498</v>
      </c>
      <c r="E2206" s="5" t="s">
        <v>2487</v>
      </c>
      <c r="F2206" s="5" t="s">
        <v>7192</v>
      </c>
      <c r="G2206" s="6">
        <v>46084.350694444445</v>
      </c>
      <c r="H2206" s="7">
        <v>46085</v>
      </c>
      <c r="I2206" s="6">
        <v>46085.71597222222</v>
      </c>
      <c r="J2206" s="7">
        <v>46085</v>
      </c>
      <c r="K2206" s="5" t="s">
        <v>1527</v>
      </c>
      <c r="L2206" s="5" t="s">
        <v>1528</v>
      </c>
      <c r="M2206" s="8">
        <v>25</v>
      </c>
      <c r="N2206" s="5" t="s">
        <v>1536</v>
      </c>
      <c r="O2206" s="7">
        <v>46085</v>
      </c>
    </row>
    <row r="2207" spans="1:15" hidden="1" x14ac:dyDescent="0.25">
      <c r="A2207" s="5" t="s">
        <v>1522</v>
      </c>
      <c r="B2207" s="5" t="s">
        <v>7193</v>
      </c>
      <c r="D2207" s="5" t="s">
        <v>1496</v>
      </c>
      <c r="E2207" s="5" t="s">
        <v>1885</v>
      </c>
      <c r="F2207" s="5" t="s">
        <v>1886</v>
      </c>
      <c r="G2207" s="6">
        <v>46094.416666666664</v>
      </c>
      <c r="H2207" s="7">
        <v>46100</v>
      </c>
      <c r="I2207" s="5" t="s">
        <v>7194</v>
      </c>
      <c r="J2207" s="7">
        <v>46100</v>
      </c>
      <c r="K2207" s="5" t="s">
        <v>1527</v>
      </c>
      <c r="L2207" s="5" t="s">
        <v>1528</v>
      </c>
      <c r="M2207" s="8">
        <v>25</v>
      </c>
      <c r="N2207" s="5" t="s">
        <v>1536</v>
      </c>
      <c r="O2207" s="7">
        <v>46100</v>
      </c>
    </row>
    <row r="2208" spans="1:15" hidden="1" x14ac:dyDescent="0.25">
      <c r="A2208" s="5" t="s">
        <v>1522</v>
      </c>
      <c r="B2208" s="5" t="s">
        <v>7195</v>
      </c>
      <c r="D2208" s="5" t="s">
        <v>1498</v>
      </c>
      <c r="E2208" s="5" t="s">
        <v>2487</v>
      </c>
      <c r="F2208" s="5" t="s">
        <v>7192</v>
      </c>
      <c r="G2208" s="6">
        <v>46099.61041666667</v>
      </c>
      <c r="H2208" s="7">
        <v>46105</v>
      </c>
      <c r="I2208" s="6">
        <v>46104.683333333334</v>
      </c>
      <c r="J2208" s="7">
        <v>46104</v>
      </c>
      <c r="K2208" s="5" t="s">
        <v>1527</v>
      </c>
      <c r="L2208" s="5" t="s">
        <v>1528</v>
      </c>
      <c r="M2208" s="8">
        <v>25</v>
      </c>
      <c r="N2208" s="5" t="s">
        <v>1529</v>
      </c>
      <c r="O2208" s="7">
        <v>46104</v>
      </c>
    </row>
    <row r="2209" spans="1:15" hidden="1" x14ac:dyDescent="0.25">
      <c r="A2209" s="5" t="s">
        <v>1522</v>
      </c>
      <c r="B2209" s="5" t="s">
        <v>7196</v>
      </c>
      <c r="D2209" s="5" t="s">
        <v>853</v>
      </c>
      <c r="E2209" s="5" t="s">
        <v>2500</v>
      </c>
      <c r="F2209" s="5" t="s">
        <v>7197</v>
      </c>
      <c r="G2209" s="6">
        <v>46125.645833333336</v>
      </c>
      <c r="H2209" s="7">
        <v>46129</v>
      </c>
      <c r="I2209" s="6">
        <v>46128.763888888891</v>
      </c>
      <c r="J2209" s="7">
        <v>46128</v>
      </c>
      <c r="K2209" s="5" t="s">
        <v>1527</v>
      </c>
      <c r="L2209" s="5" t="s">
        <v>1528</v>
      </c>
      <c r="M2209" s="8">
        <v>25</v>
      </c>
      <c r="N2209" s="5" t="s">
        <v>1536</v>
      </c>
      <c r="O2209" s="7">
        <v>46128</v>
      </c>
    </row>
    <row r="2210" spans="1:15" x14ac:dyDescent="0.25">
      <c r="A2210" s="5" t="s">
        <v>4</v>
      </c>
      <c r="B2210" s="5" t="s">
        <v>7198</v>
      </c>
      <c r="D2210" s="5" t="s">
        <v>539</v>
      </c>
      <c r="E2210" s="5" t="s">
        <v>7199</v>
      </c>
      <c r="F2210" s="5" t="s">
        <v>7200</v>
      </c>
      <c r="G2210" s="6">
        <v>46097.660416666666</v>
      </c>
      <c r="H2210" s="7">
        <v>46104</v>
      </c>
      <c r="I2210" s="6">
        <v>46100.627083333333</v>
      </c>
      <c r="J2210" s="7">
        <v>46100</v>
      </c>
      <c r="K2210" s="5" t="s">
        <v>1527</v>
      </c>
      <c r="L2210" s="5" t="s">
        <v>1621</v>
      </c>
      <c r="M2210" s="8">
        <v>24.99</v>
      </c>
      <c r="N2210" s="5" t="s">
        <v>1536</v>
      </c>
      <c r="O2210" s="7">
        <v>46100</v>
      </c>
    </row>
    <row r="2211" spans="1:15" hidden="1" x14ac:dyDescent="0.25">
      <c r="A2211" s="5" t="s">
        <v>1522</v>
      </c>
      <c r="B2211" s="5" t="s">
        <v>7201</v>
      </c>
      <c r="D2211" s="5" t="s">
        <v>1082</v>
      </c>
      <c r="E2211" s="5" t="s">
        <v>7202</v>
      </c>
      <c r="F2211" s="5" t="s">
        <v>7203</v>
      </c>
      <c r="G2211" s="6">
        <v>46090.436111111114</v>
      </c>
      <c r="H2211" s="7">
        <v>46094</v>
      </c>
      <c r="I2211" s="5" t="s">
        <v>3472</v>
      </c>
      <c r="J2211" s="7">
        <v>46097</v>
      </c>
      <c r="K2211" s="5" t="s">
        <v>1527</v>
      </c>
      <c r="L2211" s="5" t="s">
        <v>1528</v>
      </c>
      <c r="M2211" s="8">
        <v>24.93</v>
      </c>
      <c r="N2211" s="5" t="s">
        <v>1536</v>
      </c>
      <c r="O2211" s="7">
        <v>46097</v>
      </c>
    </row>
    <row r="2212" spans="1:15" x14ac:dyDescent="0.25">
      <c r="A2212" s="5" t="s">
        <v>4</v>
      </c>
      <c r="B2212" s="5" t="s">
        <v>7204</v>
      </c>
      <c r="D2212" s="5" t="s">
        <v>1490</v>
      </c>
      <c r="E2212" s="5" t="s">
        <v>7205</v>
      </c>
      <c r="F2212" s="5" t="s">
        <v>7206</v>
      </c>
      <c r="G2212" s="6">
        <v>46098.624305555553</v>
      </c>
      <c r="H2212" s="7">
        <v>46104</v>
      </c>
      <c r="I2212" s="6">
        <v>46100.62777777778</v>
      </c>
      <c r="J2212" s="7">
        <v>46100</v>
      </c>
      <c r="K2212" s="5" t="s">
        <v>1527</v>
      </c>
      <c r="L2212" s="5" t="s">
        <v>1621</v>
      </c>
      <c r="M2212" s="8">
        <v>24.93</v>
      </c>
      <c r="N2212" s="5" t="s">
        <v>1536</v>
      </c>
      <c r="O2212" s="7">
        <v>46100</v>
      </c>
    </row>
    <row r="2213" spans="1:15" x14ac:dyDescent="0.25">
      <c r="A2213" s="5" t="s">
        <v>4</v>
      </c>
      <c r="B2213" s="5" t="s">
        <v>7207</v>
      </c>
      <c r="D2213" s="5" t="s">
        <v>643</v>
      </c>
      <c r="E2213" s="5" t="s">
        <v>7208</v>
      </c>
      <c r="F2213" s="5" t="s">
        <v>7209</v>
      </c>
      <c r="G2213" s="6">
        <v>46043.692361111112</v>
      </c>
      <c r="H2213" s="7">
        <v>46050</v>
      </c>
      <c r="I2213" s="6">
        <v>46044.670138888891</v>
      </c>
      <c r="J2213" s="7">
        <v>46044</v>
      </c>
      <c r="K2213" s="5" t="s">
        <v>1527</v>
      </c>
      <c r="L2213" s="5" t="s">
        <v>1621</v>
      </c>
      <c r="M2213" s="8">
        <v>24.83</v>
      </c>
      <c r="N2213" s="5" t="s">
        <v>1536</v>
      </c>
      <c r="O2213" s="7">
        <v>46044</v>
      </c>
    </row>
    <row r="2214" spans="1:15" hidden="1" x14ac:dyDescent="0.25">
      <c r="A2214" s="5" t="s">
        <v>1522</v>
      </c>
      <c r="B2214" s="5" t="s">
        <v>7210</v>
      </c>
      <c r="D2214" s="5" t="s">
        <v>1510</v>
      </c>
      <c r="E2214" s="5" t="s">
        <v>2466</v>
      </c>
      <c r="F2214" s="5" t="s">
        <v>6467</v>
      </c>
      <c r="G2214" s="6">
        <v>46113.668055555558</v>
      </c>
      <c r="H2214" s="7">
        <v>46118</v>
      </c>
      <c r="I2214" s="5" t="s">
        <v>7211</v>
      </c>
      <c r="J2214" s="7">
        <v>46127</v>
      </c>
      <c r="K2214" s="5" t="s">
        <v>1527</v>
      </c>
      <c r="L2214" s="5" t="s">
        <v>1621</v>
      </c>
      <c r="M2214" s="8">
        <v>24.5</v>
      </c>
      <c r="N2214" s="5" t="s">
        <v>1536</v>
      </c>
      <c r="O2214" s="7">
        <v>46127</v>
      </c>
    </row>
    <row r="2215" spans="1:15" x14ac:dyDescent="0.25">
      <c r="A2215" s="5" t="s">
        <v>4</v>
      </c>
      <c r="B2215" s="5" t="s">
        <v>7212</v>
      </c>
      <c r="D2215" s="5" t="s">
        <v>762</v>
      </c>
      <c r="E2215" s="5" t="s">
        <v>7213</v>
      </c>
      <c r="F2215" s="5" t="s">
        <v>7214</v>
      </c>
      <c r="G2215" s="6">
        <v>46149.675694444442</v>
      </c>
      <c r="H2215" s="7">
        <v>46157</v>
      </c>
      <c r="I2215" s="6">
        <v>46155.447222222225</v>
      </c>
      <c r="J2215" s="7">
        <v>46155</v>
      </c>
      <c r="K2215" s="5" t="s">
        <v>1527</v>
      </c>
      <c r="L2215" s="5" t="s">
        <v>1621</v>
      </c>
      <c r="M2215" s="8">
        <v>24.34</v>
      </c>
      <c r="N2215" s="5" t="s">
        <v>1536</v>
      </c>
      <c r="O2215" s="7">
        <v>46155</v>
      </c>
    </row>
    <row r="2216" spans="1:15" x14ac:dyDescent="0.25">
      <c r="A2216" s="5" t="s">
        <v>4</v>
      </c>
      <c r="B2216" s="5" t="s">
        <v>7215</v>
      </c>
      <c r="D2216" s="5" t="s">
        <v>905</v>
      </c>
      <c r="E2216" s="5" t="s">
        <v>7216</v>
      </c>
      <c r="F2216" s="5" t="s">
        <v>7217</v>
      </c>
      <c r="G2216" s="6">
        <v>46154.607638888891</v>
      </c>
      <c r="H2216" s="7">
        <v>46163</v>
      </c>
      <c r="I2216" s="6">
        <v>46155.446527777778</v>
      </c>
      <c r="J2216" s="7">
        <v>46155</v>
      </c>
      <c r="K2216" s="5" t="s">
        <v>1527</v>
      </c>
      <c r="L2216" s="5" t="s">
        <v>1621</v>
      </c>
      <c r="M2216" s="8">
        <v>24.34</v>
      </c>
      <c r="N2216" s="5" t="s">
        <v>1536</v>
      </c>
      <c r="O2216" s="7">
        <v>46155</v>
      </c>
    </row>
    <row r="2217" spans="1:15" x14ac:dyDescent="0.25">
      <c r="A2217" s="5" t="s">
        <v>4</v>
      </c>
      <c r="B2217" s="5" t="s">
        <v>7218</v>
      </c>
      <c r="D2217" s="5" t="s">
        <v>822</v>
      </c>
      <c r="E2217" s="5" t="s">
        <v>7219</v>
      </c>
      <c r="F2217" s="5" t="s">
        <v>7220</v>
      </c>
      <c r="G2217" s="6">
        <v>46034.654166666667</v>
      </c>
      <c r="H2217" s="7">
        <v>46043</v>
      </c>
      <c r="I2217" s="5" t="s">
        <v>1533</v>
      </c>
      <c r="J2217" s="7">
        <v>46035</v>
      </c>
      <c r="K2217" s="5" t="s">
        <v>1534</v>
      </c>
      <c r="L2217" s="5" t="s">
        <v>1621</v>
      </c>
      <c r="M2217" s="8">
        <v>24.02</v>
      </c>
      <c r="N2217" s="5" t="s">
        <v>1536</v>
      </c>
      <c r="O2217" s="7">
        <v>46035</v>
      </c>
    </row>
    <row r="2218" spans="1:15" hidden="1" x14ac:dyDescent="0.25">
      <c r="A2218" s="5" t="s">
        <v>1522</v>
      </c>
      <c r="B2218" s="5" t="s">
        <v>7221</v>
      </c>
      <c r="D2218" s="5" t="s">
        <v>1503</v>
      </c>
      <c r="E2218" s="5" t="s">
        <v>1651</v>
      </c>
      <c r="F2218" s="5" t="s">
        <v>7222</v>
      </c>
      <c r="G2218" s="6">
        <v>46106.404166666667</v>
      </c>
      <c r="H2218" s="7">
        <v>46114</v>
      </c>
      <c r="I2218" s="6">
        <v>46112.44027777778</v>
      </c>
      <c r="J2218" s="7">
        <v>46111</v>
      </c>
      <c r="K2218" s="5" t="s">
        <v>1527</v>
      </c>
      <c r="L2218" s="5" t="s">
        <v>1528</v>
      </c>
      <c r="M2218" s="8">
        <v>24</v>
      </c>
      <c r="N2218" s="5" t="s">
        <v>1536</v>
      </c>
      <c r="O2218" s="7">
        <v>46111</v>
      </c>
    </row>
    <row r="2219" spans="1:15" x14ac:dyDescent="0.25">
      <c r="A2219" s="5" t="s">
        <v>4</v>
      </c>
      <c r="B2219" s="5" t="s">
        <v>7223</v>
      </c>
      <c r="D2219" s="5" t="s">
        <v>374</v>
      </c>
      <c r="E2219" s="5" t="s">
        <v>7224</v>
      </c>
      <c r="F2219" s="5" t="s">
        <v>7225</v>
      </c>
      <c r="G2219" s="6">
        <v>46072.695138888892</v>
      </c>
      <c r="H2219" s="7">
        <v>46079</v>
      </c>
      <c r="I2219" s="6">
        <v>46077.640972222223</v>
      </c>
      <c r="J2219" s="7">
        <v>46077</v>
      </c>
      <c r="K2219" s="5" t="s">
        <v>1527</v>
      </c>
      <c r="L2219" s="5" t="s">
        <v>1621</v>
      </c>
      <c r="M2219" s="8">
        <v>23.98</v>
      </c>
      <c r="N2219" s="5" t="s">
        <v>1536</v>
      </c>
      <c r="O2219" s="7">
        <v>46077</v>
      </c>
    </row>
    <row r="2220" spans="1:15" hidden="1" x14ac:dyDescent="0.25">
      <c r="A2220" s="5" t="s">
        <v>1522</v>
      </c>
      <c r="B2220" s="5" t="s">
        <v>7226</v>
      </c>
      <c r="D2220" s="5" t="s">
        <v>1510</v>
      </c>
      <c r="E2220" s="5" t="s">
        <v>2466</v>
      </c>
      <c r="F2220" s="5" t="s">
        <v>6467</v>
      </c>
      <c r="G2220" s="6">
        <v>46055.417361111111</v>
      </c>
      <c r="H2220" s="7">
        <v>46057</v>
      </c>
      <c r="I2220" s="6">
        <v>46055.640277777777</v>
      </c>
      <c r="J2220" s="7">
        <v>46055</v>
      </c>
      <c r="K2220" s="5" t="s">
        <v>1527</v>
      </c>
      <c r="L2220" s="5" t="s">
        <v>1621</v>
      </c>
      <c r="M2220" s="8">
        <v>23.4</v>
      </c>
      <c r="N2220" s="5" t="s">
        <v>1536</v>
      </c>
      <c r="O2220" s="7">
        <v>46055</v>
      </c>
    </row>
    <row r="2221" spans="1:15" hidden="1" x14ac:dyDescent="0.25">
      <c r="A2221" s="5" t="s">
        <v>1522</v>
      </c>
      <c r="B2221" s="5" t="s">
        <v>7227</v>
      </c>
      <c r="D2221" s="5" t="s">
        <v>1510</v>
      </c>
      <c r="E2221" s="5" t="s">
        <v>2466</v>
      </c>
      <c r="F2221" s="5" t="s">
        <v>6467</v>
      </c>
      <c r="G2221" s="6">
        <v>46128.712500000001</v>
      </c>
      <c r="H2221" s="7">
        <v>46135</v>
      </c>
      <c r="I2221" s="6">
        <v>46132.711111111108</v>
      </c>
      <c r="J2221" s="7">
        <v>46132</v>
      </c>
      <c r="K2221" s="5" t="s">
        <v>1527</v>
      </c>
      <c r="L2221" s="5" t="s">
        <v>1621</v>
      </c>
      <c r="M2221" s="8">
        <v>23.4</v>
      </c>
      <c r="N2221" s="5" t="s">
        <v>1529</v>
      </c>
      <c r="O2221" s="7">
        <v>46132</v>
      </c>
    </row>
    <row r="2222" spans="1:15" x14ac:dyDescent="0.25">
      <c r="A2222" s="5" t="s">
        <v>4</v>
      </c>
      <c r="B2222" s="5" t="s">
        <v>7228</v>
      </c>
      <c r="D2222" s="5" t="s">
        <v>1509</v>
      </c>
      <c r="E2222" s="5" t="s">
        <v>3024</v>
      </c>
      <c r="F2222" s="5" t="s">
        <v>7229</v>
      </c>
      <c r="G2222" s="6">
        <v>46121.65902777778</v>
      </c>
      <c r="H2222" s="7">
        <v>46134</v>
      </c>
      <c r="I2222" s="6">
        <v>46130.371527777781</v>
      </c>
      <c r="J2222" s="7">
        <v>46128</v>
      </c>
      <c r="K2222" s="5" t="s">
        <v>1527</v>
      </c>
      <c r="L2222" s="5" t="s">
        <v>1535</v>
      </c>
      <c r="M2222" s="8">
        <v>22.8</v>
      </c>
      <c r="N2222" s="5" t="s">
        <v>1536</v>
      </c>
      <c r="O2222" s="7">
        <v>46128</v>
      </c>
    </row>
    <row r="2223" spans="1:15" hidden="1" x14ac:dyDescent="0.25">
      <c r="A2223" s="5" t="s">
        <v>1522</v>
      </c>
      <c r="B2223" s="5" t="s">
        <v>7230</v>
      </c>
      <c r="D2223" s="5" t="s">
        <v>1510</v>
      </c>
      <c r="E2223" s="5" t="s">
        <v>2466</v>
      </c>
      <c r="F2223" s="5" t="s">
        <v>6467</v>
      </c>
      <c r="G2223" s="6">
        <v>46073.680555555555</v>
      </c>
      <c r="H2223" s="7">
        <v>46078</v>
      </c>
      <c r="I2223" s="6">
        <v>46076.630555555559</v>
      </c>
      <c r="J2223" s="7">
        <v>46076</v>
      </c>
      <c r="K2223" s="5" t="s">
        <v>1527</v>
      </c>
      <c r="L2223" s="5" t="s">
        <v>1621</v>
      </c>
      <c r="M2223" s="8">
        <v>22.5</v>
      </c>
      <c r="N2223" s="5" t="s">
        <v>1536</v>
      </c>
      <c r="O2223" s="7">
        <v>46076</v>
      </c>
    </row>
    <row r="2224" spans="1:15" x14ac:dyDescent="0.25">
      <c r="A2224" s="5" t="s">
        <v>4</v>
      </c>
      <c r="B2224" s="5" t="s">
        <v>7231</v>
      </c>
      <c r="D2224" s="5" t="s">
        <v>472</v>
      </c>
      <c r="E2224" s="5" t="s">
        <v>7232</v>
      </c>
      <c r="F2224" s="5" t="s">
        <v>7233</v>
      </c>
      <c r="G2224" s="6">
        <v>46157.61041666667</v>
      </c>
      <c r="H2224" s="7">
        <v>46164</v>
      </c>
      <c r="I2224" s="6">
        <v>46163.720138888886</v>
      </c>
      <c r="J2224" s="7">
        <v>46163</v>
      </c>
      <c r="K2224" s="5" t="s">
        <v>1527</v>
      </c>
      <c r="L2224" s="5" t="s">
        <v>1621</v>
      </c>
      <c r="M2224" s="8">
        <v>22.25</v>
      </c>
      <c r="N2224" s="5" t="s">
        <v>1536</v>
      </c>
      <c r="O2224" s="7">
        <v>46163</v>
      </c>
    </row>
    <row r="2225" spans="1:15" hidden="1" x14ac:dyDescent="0.25">
      <c r="A2225" s="5" t="s">
        <v>1522</v>
      </c>
      <c r="B2225" s="5" t="s">
        <v>7234</v>
      </c>
      <c r="D2225" s="5" t="s">
        <v>1498</v>
      </c>
      <c r="E2225" s="5" t="s">
        <v>2487</v>
      </c>
      <c r="F2225" s="5" t="s">
        <v>7235</v>
      </c>
      <c r="G2225" s="6">
        <v>46113.597222222219</v>
      </c>
      <c r="H2225" s="7">
        <v>46119</v>
      </c>
      <c r="I2225" s="5" t="s">
        <v>1533</v>
      </c>
      <c r="J2225" s="7">
        <v>46119</v>
      </c>
      <c r="K2225" s="5" t="s">
        <v>1534</v>
      </c>
      <c r="L2225" s="5" t="s">
        <v>1528</v>
      </c>
      <c r="M2225" s="8">
        <v>22</v>
      </c>
      <c r="N2225" s="5" t="s">
        <v>1536</v>
      </c>
      <c r="O2225" s="7">
        <v>46119</v>
      </c>
    </row>
    <row r="2226" spans="1:15" x14ac:dyDescent="0.25">
      <c r="A2226" s="5" t="s">
        <v>4</v>
      </c>
      <c r="B2226" s="5" t="s">
        <v>7236</v>
      </c>
      <c r="D2226" s="5" t="s">
        <v>923</v>
      </c>
      <c r="E2226" s="5" t="s">
        <v>7237</v>
      </c>
      <c r="F2226" s="5" t="s">
        <v>7238</v>
      </c>
      <c r="G2226" s="6">
        <v>46076.711805555555</v>
      </c>
      <c r="H2226" s="7">
        <v>46083</v>
      </c>
      <c r="I2226" s="6">
        <v>46079.619444444441</v>
      </c>
      <c r="J2226" s="7">
        <v>46079</v>
      </c>
      <c r="K2226" s="5" t="s">
        <v>1527</v>
      </c>
      <c r="L2226" s="5" t="s">
        <v>1621</v>
      </c>
      <c r="M2226" s="8">
        <v>21.93</v>
      </c>
      <c r="N2226" s="5" t="s">
        <v>1536</v>
      </c>
      <c r="O2226" s="7">
        <v>46079</v>
      </c>
    </row>
    <row r="2227" spans="1:15" x14ac:dyDescent="0.25">
      <c r="A2227" s="5" t="s">
        <v>4</v>
      </c>
      <c r="B2227" s="5" t="s">
        <v>7239</v>
      </c>
      <c r="D2227" s="5" t="s">
        <v>475</v>
      </c>
      <c r="E2227" s="5" t="s">
        <v>7240</v>
      </c>
      <c r="F2227" s="5" t="s">
        <v>7241</v>
      </c>
      <c r="G2227" s="6">
        <v>46078.724999999999</v>
      </c>
      <c r="H2227" s="7">
        <v>46085</v>
      </c>
      <c r="I2227" s="6">
        <v>46080.67291666667</v>
      </c>
      <c r="J2227" s="7">
        <v>46080</v>
      </c>
      <c r="K2227" s="5" t="s">
        <v>1527</v>
      </c>
      <c r="L2227" s="5" t="s">
        <v>1621</v>
      </c>
      <c r="M2227" s="8">
        <v>21.93</v>
      </c>
      <c r="N2227" s="5" t="s">
        <v>1536</v>
      </c>
      <c r="O2227" s="7">
        <v>46080</v>
      </c>
    </row>
    <row r="2228" spans="1:15" x14ac:dyDescent="0.25">
      <c r="A2228" s="5" t="s">
        <v>4</v>
      </c>
      <c r="B2228" s="5" t="s">
        <v>7242</v>
      </c>
      <c r="D2228" s="5" t="s">
        <v>948</v>
      </c>
      <c r="E2228" s="5" t="s">
        <v>7243</v>
      </c>
      <c r="F2228" s="5" t="s">
        <v>7244</v>
      </c>
      <c r="G2228" s="6">
        <v>46086.606944444444</v>
      </c>
      <c r="H2228" s="7">
        <v>46092</v>
      </c>
      <c r="I2228" s="6">
        <v>46091.50277777778</v>
      </c>
      <c r="J2228" s="7">
        <v>46091</v>
      </c>
      <c r="K2228" s="5" t="s">
        <v>1527</v>
      </c>
      <c r="L2228" s="5" t="s">
        <v>1621</v>
      </c>
      <c r="M2228" s="9">
        <v>21.93</v>
      </c>
      <c r="N2228" s="5" t="s">
        <v>1536</v>
      </c>
      <c r="O2228" s="7">
        <v>46091</v>
      </c>
    </row>
    <row r="2229" spans="1:15" x14ac:dyDescent="0.25">
      <c r="A2229" s="5" t="s">
        <v>4</v>
      </c>
      <c r="B2229" s="5" t="s">
        <v>7245</v>
      </c>
      <c r="D2229" s="5" t="s">
        <v>1229</v>
      </c>
      <c r="E2229" s="5" t="s">
        <v>7246</v>
      </c>
      <c r="F2229" s="5" t="s">
        <v>7247</v>
      </c>
      <c r="G2229" s="6">
        <v>46065.69027777778</v>
      </c>
      <c r="H2229" s="7">
        <v>46072</v>
      </c>
      <c r="I2229" s="6">
        <v>46069.477777777778</v>
      </c>
      <c r="J2229" s="7">
        <v>46069</v>
      </c>
      <c r="K2229" s="5" t="s">
        <v>1527</v>
      </c>
      <c r="L2229" s="5" t="s">
        <v>1621</v>
      </c>
      <c r="M2229" s="8">
        <v>21.79</v>
      </c>
      <c r="N2229" s="5" t="s">
        <v>1536</v>
      </c>
      <c r="O2229" s="7">
        <v>46069</v>
      </c>
    </row>
    <row r="2230" spans="1:15" hidden="1" x14ac:dyDescent="0.25">
      <c r="A2230" s="5" t="s">
        <v>1522</v>
      </c>
      <c r="B2230" s="5" t="s">
        <v>7248</v>
      </c>
      <c r="D2230" s="5" t="s">
        <v>1510</v>
      </c>
      <c r="E2230" s="5" t="s">
        <v>2466</v>
      </c>
      <c r="F2230" s="5" t="s">
        <v>6467</v>
      </c>
      <c r="G2230" s="6">
        <v>46169.643750000003</v>
      </c>
      <c r="H2230" s="7">
        <v>46174</v>
      </c>
      <c r="I2230" s="6">
        <v>46174.788888888892</v>
      </c>
      <c r="J2230" s="7">
        <v>46174</v>
      </c>
      <c r="K2230" s="5" t="s">
        <v>1527</v>
      </c>
      <c r="L2230" s="5" t="s">
        <v>3243</v>
      </c>
      <c r="M2230" s="8">
        <v>21.6</v>
      </c>
      <c r="N2230" s="5" t="s">
        <v>1529</v>
      </c>
      <c r="O2230" s="7">
        <v>46174</v>
      </c>
    </row>
    <row r="2231" spans="1:15" x14ac:dyDescent="0.25">
      <c r="A2231" s="5" t="s">
        <v>4</v>
      </c>
      <c r="B2231" s="5" t="s">
        <v>7249</v>
      </c>
      <c r="D2231" s="5" t="s">
        <v>640</v>
      </c>
      <c r="E2231" s="5" t="s">
        <v>7250</v>
      </c>
      <c r="F2231" s="5" t="s">
        <v>7251</v>
      </c>
      <c r="G2231" s="6">
        <v>46027.746527777781</v>
      </c>
      <c r="H2231" s="7">
        <v>46036</v>
      </c>
      <c r="I2231" s="5" t="s">
        <v>7252</v>
      </c>
      <c r="J2231" s="7">
        <v>46035</v>
      </c>
      <c r="K2231" s="5" t="s">
        <v>1527</v>
      </c>
      <c r="L2231" s="5" t="s">
        <v>1621</v>
      </c>
      <c r="M2231" s="8">
        <v>21.5</v>
      </c>
      <c r="N2231" s="5" t="s">
        <v>1536</v>
      </c>
      <c r="O2231" s="7">
        <v>46035</v>
      </c>
    </row>
    <row r="2232" spans="1:15" hidden="1" x14ac:dyDescent="0.25">
      <c r="A2232" s="5" t="s">
        <v>1522</v>
      </c>
      <c r="B2232" s="5" t="s">
        <v>7253</v>
      </c>
      <c r="D2232" s="5" t="s">
        <v>1510</v>
      </c>
      <c r="E2232" s="5" t="s">
        <v>2466</v>
      </c>
      <c r="F2232" s="5" t="s">
        <v>6467</v>
      </c>
      <c r="G2232" s="6">
        <v>46062.729166666664</v>
      </c>
      <c r="H2232" s="7">
        <v>46065</v>
      </c>
      <c r="I2232" s="6">
        <v>46064.678472222222</v>
      </c>
      <c r="J2232" s="7">
        <v>46064</v>
      </c>
      <c r="K2232" s="5" t="s">
        <v>1527</v>
      </c>
      <c r="L2232" s="5" t="s">
        <v>1621</v>
      </c>
      <c r="M2232" s="8">
        <v>21</v>
      </c>
      <c r="N2232" s="5" t="s">
        <v>1536</v>
      </c>
      <c r="O2232" s="7">
        <v>46064</v>
      </c>
    </row>
    <row r="2233" spans="1:15" hidden="1" x14ac:dyDescent="0.25">
      <c r="A2233" s="5" t="s">
        <v>1522</v>
      </c>
      <c r="B2233" s="5" t="s">
        <v>7254</v>
      </c>
      <c r="D2233" s="5" t="s">
        <v>1491</v>
      </c>
      <c r="E2233" s="5" t="s">
        <v>1594</v>
      </c>
      <c r="F2233" s="5" t="s">
        <v>7255</v>
      </c>
      <c r="G2233" s="6">
        <v>46031.690972222219</v>
      </c>
      <c r="H2233" s="7">
        <v>46041</v>
      </c>
      <c r="I2233" s="5" t="s">
        <v>7256</v>
      </c>
      <c r="J2233" s="7">
        <v>46057</v>
      </c>
      <c r="K2233" s="5" t="s">
        <v>1527</v>
      </c>
      <c r="L2233" s="5" t="s">
        <v>1528</v>
      </c>
      <c r="M2233" s="8">
        <v>20</v>
      </c>
      <c r="N2233" s="5" t="s">
        <v>1536</v>
      </c>
      <c r="O2233" s="7">
        <v>46057</v>
      </c>
    </row>
    <row r="2234" spans="1:15" hidden="1" x14ac:dyDescent="0.25">
      <c r="A2234" s="5" t="s">
        <v>1522</v>
      </c>
      <c r="B2234" s="5" t="s">
        <v>7257</v>
      </c>
      <c r="D2234" s="5" t="s">
        <v>1510</v>
      </c>
      <c r="E2234" s="5" t="s">
        <v>2466</v>
      </c>
      <c r="F2234" s="5" t="s">
        <v>5986</v>
      </c>
      <c r="G2234" s="6">
        <v>46106.73333333333</v>
      </c>
      <c r="H2234" s="7">
        <v>46108</v>
      </c>
      <c r="I2234" s="5" t="s">
        <v>7258</v>
      </c>
      <c r="J2234" s="7">
        <v>46125</v>
      </c>
      <c r="K2234" s="5" t="s">
        <v>1527</v>
      </c>
      <c r="L2234" s="5" t="s">
        <v>1621</v>
      </c>
      <c r="M2234" s="8">
        <v>20</v>
      </c>
      <c r="N2234" s="5" t="s">
        <v>1536</v>
      </c>
      <c r="O2234" s="7">
        <v>46125</v>
      </c>
    </row>
    <row r="2235" spans="1:15" x14ac:dyDescent="0.25">
      <c r="A2235" s="5" t="s">
        <v>4</v>
      </c>
      <c r="B2235" s="5" t="s">
        <v>7259</v>
      </c>
      <c r="D2235" s="5" t="s">
        <v>585</v>
      </c>
      <c r="E2235" s="5" t="s">
        <v>7260</v>
      </c>
      <c r="F2235" s="5" t="s">
        <v>7261</v>
      </c>
      <c r="G2235" s="6">
        <v>46077.661805555559</v>
      </c>
      <c r="H2235" s="7">
        <v>46086</v>
      </c>
      <c r="I2235" s="5" t="s">
        <v>1533</v>
      </c>
      <c r="J2235" s="7">
        <v>46080</v>
      </c>
      <c r="K2235" s="5" t="s">
        <v>1534</v>
      </c>
      <c r="L2235" s="5" t="s">
        <v>1621</v>
      </c>
      <c r="M2235" s="8">
        <v>19.899999999999999</v>
      </c>
      <c r="N2235" s="5" t="s">
        <v>1536</v>
      </c>
      <c r="O2235" s="7">
        <v>46080</v>
      </c>
    </row>
    <row r="2236" spans="1:15" x14ac:dyDescent="0.25">
      <c r="A2236" s="5" t="s">
        <v>4</v>
      </c>
      <c r="B2236" s="5" t="s">
        <v>7262</v>
      </c>
      <c r="D2236" s="5" t="s">
        <v>460</v>
      </c>
      <c r="E2236" s="5" t="s">
        <v>7263</v>
      </c>
      <c r="F2236" s="5" t="s">
        <v>7264</v>
      </c>
      <c r="G2236" s="6">
        <v>46091.652777777781</v>
      </c>
      <c r="H2236" s="7">
        <v>46099</v>
      </c>
      <c r="I2236" s="5" t="s">
        <v>7265</v>
      </c>
      <c r="J2236" s="7">
        <v>46104</v>
      </c>
      <c r="K2236" s="5" t="s">
        <v>1527</v>
      </c>
      <c r="L2236" s="5" t="s">
        <v>1621</v>
      </c>
      <c r="M2236" s="8">
        <v>19.899999999999999</v>
      </c>
      <c r="N2236" s="5" t="s">
        <v>1536</v>
      </c>
      <c r="O2236" s="7">
        <v>46104</v>
      </c>
    </row>
    <row r="2237" spans="1:15" x14ac:dyDescent="0.25">
      <c r="A2237" s="5" t="s">
        <v>4</v>
      </c>
      <c r="B2237" s="5" t="s">
        <v>7266</v>
      </c>
      <c r="D2237" s="5" t="s">
        <v>54</v>
      </c>
      <c r="E2237" s="5" t="s">
        <v>7267</v>
      </c>
      <c r="F2237" s="5" t="s">
        <v>7268</v>
      </c>
      <c r="G2237" s="6">
        <v>46139.677083333336</v>
      </c>
      <c r="H2237" s="7">
        <v>46148</v>
      </c>
      <c r="I2237" s="6">
        <v>46142.741666666669</v>
      </c>
      <c r="J2237" s="7">
        <v>46142</v>
      </c>
      <c r="K2237" s="5" t="s">
        <v>1527</v>
      </c>
      <c r="L2237" s="5" t="s">
        <v>1621</v>
      </c>
      <c r="M2237" s="8">
        <v>19.899999999999999</v>
      </c>
      <c r="N2237" s="5" t="s">
        <v>1536</v>
      </c>
      <c r="O2237" s="7">
        <v>46142</v>
      </c>
    </row>
    <row r="2238" spans="1:15" x14ac:dyDescent="0.25">
      <c r="A2238" s="5" t="s">
        <v>4</v>
      </c>
      <c r="B2238" s="5" t="s">
        <v>7269</v>
      </c>
      <c r="D2238" s="5" t="s">
        <v>669</v>
      </c>
      <c r="E2238" s="5" t="s">
        <v>7270</v>
      </c>
      <c r="F2238" s="5" t="s">
        <v>7271</v>
      </c>
      <c r="G2238" s="6">
        <v>46156.661111111112</v>
      </c>
      <c r="H2238" s="7">
        <v>46163</v>
      </c>
      <c r="I2238" s="5" t="s">
        <v>1533</v>
      </c>
      <c r="J2238" s="7">
        <v>46168</v>
      </c>
      <c r="K2238" s="5" t="s">
        <v>1534</v>
      </c>
      <c r="L2238" s="5" t="s">
        <v>1621</v>
      </c>
      <c r="M2238" s="9">
        <v>19.899999999999999</v>
      </c>
      <c r="N2238" s="5" t="s">
        <v>1536</v>
      </c>
      <c r="O2238" s="7">
        <v>46168</v>
      </c>
    </row>
    <row r="2239" spans="1:15" x14ac:dyDescent="0.25">
      <c r="A2239" s="5" t="s">
        <v>4</v>
      </c>
      <c r="B2239" s="5" t="s">
        <v>7272</v>
      </c>
      <c r="D2239" s="5" t="s">
        <v>1487</v>
      </c>
      <c r="E2239" s="5" t="s">
        <v>3491</v>
      </c>
      <c r="F2239" s="5" t="s">
        <v>2306</v>
      </c>
      <c r="G2239" s="6">
        <v>46071.748611111114</v>
      </c>
      <c r="H2239" s="7">
        <v>46071</v>
      </c>
      <c r="I2239" s="5" t="s">
        <v>7273</v>
      </c>
      <c r="J2239" s="7">
        <v>46073</v>
      </c>
      <c r="K2239" s="5" t="s">
        <v>1527</v>
      </c>
      <c r="L2239" s="5" t="s">
        <v>1564</v>
      </c>
      <c r="M2239" s="8">
        <v>19.8</v>
      </c>
      <c r="N2239" s="5" t="s">
        <v>1536</v>
      </c>
      <c r="O2239" s="7">
        <v>46073</v>
      </c>
    </row>
    <row r="2240" spans="1:15" x14ac:dyDescent="0.25">
      <c r="A2240" s="5" t="s">
        <v>4</v>
      </c>
      <c r="B2240" s="5" t="s">
        <v>7274</v>
      </c>
      <c r="D2240" s="5" t="s">
        <v>329</v>
      </c>
      <c r="E2240" s="5" t="s">
        <v>7275</v>
      </c>
      <c r="F2240" s="5" t="s">
        <v>7276</v>
      </c>
      <c r="G2240" s="6">
        <v>46149.683333333334</v>
      </c>
      <c r="H2240" s="7">
        <v>46157</v>
      </c>
      <c r="I2240" s="6">
        <v>46157.709722222222</v>
      </c>
      <c r="J2240" s="7">
        <v>46150</v>
      </c>
      <c r="K2240" s="5" t="s">
        <v>1527</v>
      </c>
      <c r="L2240" s="5" t="s">
        <v>1621</v>
      </c>
      <c r="M2240" s="8">
        <v>19.8</v>
      </c>
      <c r="N2240" s="5" t="s">
        <v>1536</v>
      </c>
      <c r="O2240" s="7">
        <v>46150</v>
      </c>
    </row>
    <row r="2241" spans="1:15" x14ac:dyDescent="0.25">
      <c r="A2241" s="5" t="s">
        <v>4</v>
      </c>
      <c r="B2241" s="5" t="s">
        <v>7277</v>
      </c>
      <c r="D2241" s="5" t="s">
        <v>89</v>
      </c>
      <c r="E2241" s="5" t="s">
        <v>7278</v>
      </c>
      <c r="F2241" s="5" t="s">
        <v>7279</v>
      </c>
      <c r="G2241" s="6">
        <v>46027.765277777777</v>
      </c>
      <c r="H2241" s="7">
        <v>46034</v>
      </c>
      <c r="I2241" s="5" t="s">
        <v>7280</v>
      </c>
      <c r="J2241" s="7">
        <v>46037</v>
      </c>
      <c r="K2241" s="5" t="s">
        <v>1527</v>
      </c>
      <c r="L2241" s="5" t="s">
        <v>1621</v>
      </c>
      <c r="M2241" s="8">
        <v>19.79</v>
      </c>
      <c r="N2241" s="5" t="s">
        <v>1536</v>
      </c>
      <c r="O2241" s="7">
        <v>46037</v>
      </c>
    </row>
    <row r="2242" spans="1:15" x14ac:dyDescent="0.25">
      <c r="A2242" s="5" t="s">
        <v>4</v>
      </c>
      <c r="B2242" s="5" t="s">
        <v>7281</v>
      </c>
      <c r="D2242" s="5" t="s">
        <v>1123</v>
      </c>
      <c r="E2242" s="5" t="s">
        <v>7282</v>
      </c>
      <c r="F2242" s="5" t="s">
        <v>7283</v>
      </c>
      <c r="G2242" s="6">
        <v>46114.657638888886</v>
      </c>
      <c r="H2242" s="7">
        <v>46121</v>
      </c>
      <c r="I2242" s="5" t="s">
        <v>4756</v>
      </c>
      <c r="J2242" s="7">
        <v>46118</v>
      </c>
      <c r="K2242" s="5" t="s">
        <v>1527</v>
      </c>
      <c r="L2242" s="5" t="s">
        <v>1621</v>
      </c>
      <c r="M2242" s="8">
        <v>19.14</v>
      </c>
      <c r="N2242" s="5" t="s">
        <v>1536</v>
      </c>
      <c r="O2242" s="7">
        <v>46118</v>
      </c>
    </row>
    <row r="2243" spans="1:15" x14ac:dyDescent="0.25">
      <c r="A2243" s="5" t="s">
        <v>4</v>
      </c>
      <c r="B2243" s="5" t="s">
        <v>7284</v>
      </c>
      <c r="D2243" s="5" t="s">
        <v>32</v>
      </c>
      <c r="E2243" s="5" t="s">
        <v>7285</v>
      </c>
      <c r="F2243" s="5" t="s">
        <v>7286</v>
      </c>
      <c r="G2243" s="6">
        <v>46135.679166666669</v>
      </c>
      <c r="H2243" s="7">
        <v>46142</v>
      </c>
      <c r="I2243" s="6">
        <v>46141.34652777778</v>
      </c>
      <c r="J2243" s="7">
        <v>46140</v>
      </c>
      <c r="K2243" s="5" t="s">
        <v>1527</v>
      </c>
      <c r="L2243" s="5" t="s">
        <v>1621</v>
      </c>
      <c r="M2243" s="8">
        <v>19.04</v>
      </c>
      <c r="N2243" s="5" t="s">
        <v>1536</v>
      </c>
      <c r="O2243" s="7">
        <v>46140</v>
      </c>
    </row>
    <row r="2244" spans="1:15" hidden="1" x14ac:dyDescent="0.25">
      <c r="A2244" s="5" t="s">
        <v>1522</v>
      </c>
      <c r="B2244" s="5" t="s">
        <v>7287</v>
      </c>
      <c r="D2244" s="5" t="s">
        <v>1510</v>
      </c>
      <c r="E2244" s="5" t="s">
        <v>2466</v>
      </c>
      <c r="F2244" s="5" t="s">
        <v>6467</v>
      </c>
      <c r="G2244" s="6">
        <v>46038.654861111114</v>
      </c>
      <c r="H2244" s="7">
        <v>46042</v>
      </c>
      <c r="I2244" s="6">
        <v>46042.629166666666</v>
      </c>
      <c r="J2244" s="7">
        <v>46042</v>
      </c>
      <c r="K2244" s="5" t="s">
        <v>1527</v>
      </c>
      <c r="L2244" s="5" t="s">
        <v>1621</v>
      </c>
      <c r="M2244" s="8">
        <v>18.899999999999999</v>
      </c>
      <c r="N2244" s="5" t="s">
        <v>1536</v>
      </c>
      <c r="O2244" s="7">
        <v>46042</v>
      </c>
    </row>
    <row r="2245" spans="1:15" hidden="1" x14ac:dyDescent="0.25">
      <c r="A2245" s="5" t="s">
        <v>1522</v>
      </c>
      <c r="B2245" s="5" t="s">
        <v>7288</v>
      </c>
      <c r="D2245" s="5" t="s">
        <v>1510</v>
      </c>
      <c r="E2245" s="5" t="s">
        <v>2466</v>
      </c>
      <c r="F2245" s="5" t="s">
        <v>5267</v>
      </c>
      <c r="G2245" s="6">
        <v>46136.611805555556</v>
      </c>
      <c r="H2245" s="7">
        <v>46142</v>
      </c>
      <c r="I2245" s="6">
        <v>46139.611111111109</v>
      </c>
      <c r="J2245" s="7">
        <v>46139</v>
      </c>
      <c r="K2245" s="5" t="s">
        <v>1527</v>
      </c>
      <c r="L2245" s="5" t="s">
        <v>1621</v>
      </c>
      <c r="M2245" s="9">
        <v>18.39</v>
      </c>
      <c r="N2245" s="5" t="s">
        <v>1529</v>
      </c>
      <c r="O2245" s="7">
        <v>46139</v>
      </c>
    </row>
    <row r="2246" spans="1:15" x14ac:dyDescent="0.25">
      <c r="A2246" s="5" t="s">
        <v>4</v>
      </c>
      <c r="B2246" s="5" t="s">
        <v>7289</v>
      </c>
      <c r="D2246" s="5" t="s">
        <v>563</v>
      </c>
      <c r="E2246" s="5" t="s">
        <v>7290</v>
      </c>
      <c r="F2246" s="5" t="s">
        <v>7291</v>
      </c>
      <c r="G2246" s="6">
        <v>46127.618055555555</v>
      </c>
      <c r="H2246" s="7">
        <v>46135</v>
      </c>
      <c r="I2246" s="6">
        <v>46129.592361111114</v>
      </c>
      <c r="J2246" s="7">
        <v>46129</v>
      </c>
      <c r="K2246" s="5" t="s">
        <v>1527</v>
      </c>
      <c r="L2246" s="5" t="s">
        <v>1564</v>
      </c>
      <c r="M2246" s="8">
        <v>18.34</v>
      </c>
      <c r="N2246" s="5" t="s">
        <v>1536</v>
      </c>
      <c r="O2246" s="7">
        <v>46129</v>
      </c>
    </row>
    <row r="2247" spans="1:15" x14ac:dyDescent="0.25">
      <c r="A2247" s="5" t="s">
        <v>4</v>
      </c>
      <c r="B2247" s="5" t="s">
        <v>7292</v>
      </c>
      <c r="D2247" s="5" t="s">
        <v>965</v>
      </c>
      <c r="E2247" s="5" t="s">
        <v>7293</v>
      </c>
      <c r="F2247" s="5" t="s">
        <v>7294</v>
      </c>
      <c r="G2247" s="6">
        <v>46155.595833333333</v>
      </c>
      <c r="H2247" s="7">
        <v>46162</v>
      </c>
      <c r="I2247" s="6">
        <v>46161.415972222225</v>
      </c>
      <c r="J2247" s="7">
        <v>46160</v>
      </c>
      <c r="K2247" s="5" t="s">
        <v>1527</v>
      </c>
      <c r="L2247" s="5" t="s">
        <v>1621</v>
      </c>
      <c r="M2247" s="8">
        <v>18.34</v>
      </c>
      <c r="N2247" s="5" t="s">
        <v>1536</v>
      </c>
      <c r="O2247" s="7">
        <v>46160</v>
      </c>
    </row>
    <row r="2248" spans="1:15" hidden="1" x14ac:dyDescent="0.25">
      <c r="A2248" s="5" t="s">
        <v>1522</v>
      </c>
      <c r="B2248" s="5" t="s">
        <v>7295</v>
      </c>
      <c r="D2248" s="5" t="s">
        <v>1510</v>
      </c>
      <c r="E2248" s="5" t="s">
        <v>2466</v>
      </c>
      <c r="F2248" s="5" t="s">
        <v>6467</v>
      </c>
      <c r="G2248" s="6">
        <v>46112.710416666669</v>
      </c>
      <c r="H2248" s="7">
        <v>46114</v>
      </c>
      <c r="I2248" s="6">
        <v>46114.595833333333</v>
      </c>
      <c r="J2248" s="7">
        <v>46114</v>
      </c>
      <c r="K2248" s="5" t="s">
        <v>1527</v>
      </c>
      <c r="L2248" s="5" t="s">
        <v>1621</v>
      </c>
      <c r="M2248" s="8">
        <v>18</v>
      </c>
      <c r="N2248" s="5" t="s">
        <v>1536</v>
      </c>
      <c r="O2248" s="7">
        <v>46114</v>
      </c>
    </row>
    <row r="2249" spans="1:15" x14ac:dyDescent="0.25">
      <c r="A2249" s="5" t="s">
        <v>4</v>
      </c>
      <c r="B2249" s="5" t="s">
        <v>7296</v>
      </c>
      <c r="D2249" s="5" t="s">
        <v>1384</v>
      </c>
      <c r="E2249" s="5" t="s">
        <v>7297</v>
      </c>
      <c r="F2249" s="5" t="s">
        <v>7298</v>
      </c>
      <c r="G2249" s="6">
        <v>46154.731944444444</v>
      </c>
      <c r="H2249" s="7">
        <v>46168</v>
      </c>
      <c r="I2249" s="6">
        <v>46161.416666666664</v>
      </c>
      <c r="J2249" s="7">
        <v>46160</v>
      </c>
      <c r="K2249" s="5" t="s">
        <v>1527</v>
      </c>
      <c r="L2249" s="5" t="s">
        <v>1621</v>
      </c>
      <c r="M2249" s="8">
        <v>17.940000000000001</v>
      </c>
      <c r="N2249" s="5" t="s">
        <v>1536</v>
      </c>
      <c r="O2249" s="7">
        <v>46160</v>
      </c>
    </row>
    <row r="2250" spans="1:15" x14ac:dyDescent="0.25">
      <c r="A2250" s="5" t="s">
        <v>4</v>
      </c>
      <c r="B2250" s="5" t="s">
        <v>7299</v>
      </c>
      <c r="D2250" s="5" t="s">
        <v>1384</v>
      </c>
      <c r="E2250" s="5" t="s">
        <v>7297</v>
      </c>
      <c r="F2250" s="5" t="s">
        <v>7300</v>
      </c>
      <c r="G2250" s="6">
        <v>46167.624305555553</v>
      </c>
      <c r="H2250" s="7">
        <v>46174</v>
      </c>
      <c r="I2250" s="5" t="s">
        <v>6337</v>
      </c>
      <c r="J2250" s="7">
        <v>46176</v>
      </c>
      <c r="K2250" s="5" t="s">
        <v>1527</v>
      </c>
      <c r="L2250" s="5" t="s">
        <v>1621</v>
      </c>
      <c r="M2250" s="8">
        <v>17.940000000000001</v>
      </c>
      <c r="N2250" s="5" t="s">
        <v>1536</v>
      </c>
      <c r="O2250" s="7">
        <v>46176</v>
      </c>
    </row>
    <row r="2251" spans="1:15" x14ac:dyDescent="0.25">
      <c r="A2251" s="5" t="s">
        <v>4</v>
      </c>
      <c r="B2251" s="5" t="s">
        <v>7301</v>
      </c>
      <c r="D2251" s="5" t="s">
        <v>821</v>
      </c>
      <c r="E2251" s="5" t="s">
        <v>7302</v>
      </c>
      <c r="F2251" s="5" t="s">
        <v>7303</v>
      </c>
      <c r="G2251" s="6">
        <v>46051.628472222219</v>
      </c>
      <c r="H2251" s="7">
        <v>46058</v>
      </c>
      <c r="I2251" s="6">
        <v>46056.613888888889</v>
      </c>
      <c r="J2251" s="7">
        <v>46056</v>
      </c>
      <c r="K2251" s="5" t="s">
        <v>1527</v>
      </c>
      <c r="L2251" s="5" t="s">
        <v>1621</v>
      </c>
      <c r="M2251" s="8">
        <v>17.93</v>
      </c>
      <c r="N2251" s="5" t="s">
        <v>1536</v>
      </c>
      <c r="O2251" s="7">
        <v>46056</v>
      </c>
    </row>
    <row r="2252" spans="1:15" hidden="1" x14ac:dyDescent="0.25">
      <c r="A2252" s="5" t="s">
        <v>1522</v>
      </c>
      <c r="B2252" s="5" t="s">
        <v>7304</v>
      </c>
      <c r="D2252" s="5" t="s">
        <v>1510</v>
      </c>
      <c r="E2252" s="5" t="s">
        <v>2466</v>
      </c>
      <c r="F2252" s="5" t="s">
        <v>5267</v>
      </c>
      <c r="G2252" s="6">
        <v>46134.731944444444</v>
      </c>
      <c r="H2252" s="7">
        <v>46140</v>
      </c>
      <c r="I2252" s="6">
        <v>46136.604166666664</v>
      </c>
      <c r="J2252" s="7">
        <v>46136</v>
      </c>
      <c r="K2252" s="5" t="s">
        <v>1527</v>
      </c>
      <c r="L2252" s="5" t="s">
        <v>1621</v>
      </c>
      <c r="M2252" s="8">
        <v>17.5</v>
      </c>
      <c r="N2252" s="5" t="s">
        <v>1529</v>
      </c>
      <c r="O2252" s="7">
        <v>46136</v>
      </c>
    </row>
    <row r="2253" spans="1:15" x14ac:dyDescent="0.25">
      <c r="A2253" s="5" t="s">
        <v>4</v>
      </c>
      <c r="B2253" s="5" t="s">
        <v>7305</v>
      </c>
      <c r="D2253" s="5" t="s">
        <v>442</v>
      </c>
      <c r="E2253" s="5" t="s">
        <v>7306</v>
      </c>
      <c r="F2253" s="5" t="s">
        <v>7307</v>
      </c>
      <c r="G2253" s="6">
        <v>46055.712500000001</v>
      </c>
      <c r="H2253" s="7">
        <v>46062</v>
      </c>
      <c r="I2253" s="5" t="s">
        <v>4980</v>
      </c>
      <c r="J2253" s="7">
        <v>46064</v>
      </c>
      <c r="K2253" s="5" t="s">
        <v>1527</v>
      </c>
      <c r="L2253" s="5" t="s">
        <v>1621</v>
      </c>
      <c r="M2253" s="8">
        <v>17.23</v>
      </c>
      <c r="N2253" s="5" t="s">
        <v>1536</v>
      </c>
      <c r="O2253" s="7">
        <v>46064</v>
      </c>
    </row>
    <row r="2254" spans="1:15" hidden="1" x14ac:dyDescent="0.25">
      <c r="A2254" s="5" t="s">
        <v>1522</v>
      </c>
      <c r="B2254" s="5" t="s">
        <v>7308</v>
      </c>
      <c r="D2254" s="5" t="s">
        <v>1510</v>
      </c>
      <c r="E2254" s="5" t="s">
        <v>2466</v>
      </c>
      <c r="F2254" s="5" t="s">
        <v>6467</v>
      </c>
      <c r="G2254" s="6">
        <v>46041.669444444444</v>
      </c>
      <c r="H2254" s="7">
        <v>46044</v>
      </c>
      <c r="I2254" s="6">
        <v>46042.629166666666</v>
      </c>
      <c r="J2254" s="7">
        <v>46042</v>
      </c>
      <c r="K2254" s="5" t="s">
        <v>1527</v>
      </c>
      <c r="L2254" s="5" t="s">
        <v>1621</v>
      </c>
      <c r="M2254" s="8">
        <v>17.100000000000001</v>
      </c>
      <c r="N2254" s="5" t="s">
        <v>1536</v>
      </c>
      <c r="O2254" s="7">
        <v>46042</v>
      </c>
    </row>
    <row r="2255" spans="1:15" x14ac:dyDescent="0.25">
      <c r="A2255" s="5" t="s">
        <v>4</v>
      </c>
      <c r="B2255" s="5" t="s">
        <v>7309</v>
      </c>
      <c r="D2255" s="5" t="s">
        <v>1487</v>
      </c>
      <c r="E2255" s="5" t="s">
        <v>3491</v>
      </c>
      <c r="F2255" s="5" t="s">
        <v>1770</v>
      </c>
      <c r="G2255" s="6">
        <v>46120.499305555553</v>
      </c>
      <c r="H2255" s="7">
        <v>46120</v>
      </c>
      <c r="I2255" s="5" t="s">
        <v>7310</v>
      </c>
      <c r="J2255" s="7">
        <v>46121</v>
      </c>
      <c r="K2255" s="5" t="s">
        <v>1527</v>
      </c>
      <c r="L2255" s="5" t="s">
        <v>1564</v>
      </c>
      <c r="M2255" s="8">
        <v>16.899999999999999</v>
      </c>
      <c r="N2255" s="5" t="s">
        <v>1536</v>
      </c>
      <c r="O2255" s="7">
        <v>46121</v>
      </c>
    </row>
    <row r="2256" spans="1:15" x14ac:dyDescent="0.25">
      <c r="A2256" s="5" t="s">
        <v>4</v>
      </c>
      <c r="B2256" s="5" t="s">
        <v>7311</v>
      </c>
      <c r="D2256" s="5" t="s">
        <v>729</v>
      </c>
      <c r="E2256" s="5" t="s">
        <v>7312</v>
      </c>
      <c r="F2256" s="5" t="s">
        <v>7313</v>
      </c>
      <c r="G2256" s="6">
        <v>46091.684027777781</v>
      </c>
      <c r="H2256" s="7">
        <v>46097</v>
      </c>
      <c r="I2256" s="6">
        <v>46092.607638888891</v>
      </c>
      <c r="J2256" s="7">
        <v>46092</v>
      </c>
      <c r="K2256" s="5" t="s">
        <v>1527</v>
      </c>
      <c r="L2256" s="5" t="s">
        <v>1621</v>
      </c>
      <c r="M2256" s="8">
        <v>16.53</v>
      </c>
      <c r="N2256" s="5" t="s">
        <v>1536</v>
      </c>
      <c r="O2256" s="7">
        <v>46092</v>
      </c>
    </row>
    <row r="2257" spans="1:15" x14ac:dyDescent="0.25">
      <c r="A2257" s="5" t="s">
        <v>4</v>
      </c>
      <c r="B2257" s="5" t="s">
        <v>7314</v>
      </c>
      <c r="D2257" s="5" t="s">
        <v>978</v>
      </c>
      <c r="E2257" s="5" t="s">
        <v>7315</v>
      </c>
      <c r="F2257" s="5" t="s">
        <v>7316</v>
      </c>
      <c r="G2257" s="6">
        <v>46127.540972222225</v>
      </c>
      <c r="H2257" s="7">
        <v>46135</v>
      </c>
      <c r="I2257" s="5" t="s">
        <v>7317</v>
      </c>
      <c r="J2257" s="7">
        <v>46128</v>
      </c>
      <c r="K2257" s="5" t="s">
        <v>1527</v>
      </c>
      <c r="L2257" s="5" t="s">
        <v>1564</v>
      </c>
      <c r="M2257" s="9">
        <v>16.5</v>
      </c>
      <c r="N2257" s="5" t="s">
        <v>1536</v>
      </c>
      <c r="O2257" s="7">
        <v>46128</v>
      </c>
    </row>
    <row r="2258" spans="1:15" x14ac:dyDescent="0.25">
      <c r="A2258" s="5" t="s">
        <v>4</v>
      </c>
      <c r="B2258" s="5" t="s">
        <v>7318</v>
      </c>
      <c r="D2258" s="5" t="s">
        <v>1346</v>
      </c>
      <c r="E2258" s="5" t="s">
        <v>3591</v>
      </c>
      <c r="F2258" s="5" t="s">
        <v>7319</v>
      </c>
      <c r="G2258" s="6">
        <v>46036.613194444442</v>
      </c>
      <c r="H2258" s="7">
        <v>46045</v>
      </c>
      <c r="I2258" s="5" t="s">
        <v>1533</v>
      </c>
      <c r="J2258" s="7">
        <v>46051</v>
      </c>
      <c r="K2258" s="5" t="s">
        <v>1534</v>
      </c>
      <c r="L2258" s="5" t="s">
        <v>1621</v>
      </c>
      <c r="M2258" s="8">
        <v>15.98</v>
      </c>
      <c r="N2258" s="5" t="s">
        <v>1536</v>
      </c>
      <c r="O2258" s="7">
        <v>46051</v>
      </c>
    </row>
    <row r="2259" spans="1:15" x14ac:dyDescent="0.25">
      <c r="A2259" s="5" t="s">
        <v>4</v>
      </c>
      <c r="B2259" s="5" t="s">
        <v>7320</v>
      </c>
      <c r="D2259" s="5" t="s">
        <v>1154</v>
      </c>
      <c r="E2259" s="5" t="s">
        <v>7321</v>
      </c>
      <c r="F2259" s="5" t="s">
        <v>7322</v>
      </c>
      <c r="G2259" s="6">
        <v>46035.669444444444</v>
      </c>
      <c r="H2259" s="7">
        <v>46042</v>
      </c>
      <c r="I2259" s="6">
        <v>46037.633333333331</v>
      </c>
      <c r="J2259" s="7">
        <v>46037</v>
      </c>
      <c r="K2259" s="5" t="s">
        <v>1527</v>
      </c>
      <c r="L2259" s="5" t="s">
        <v>1621</v>
      </c>
      <c r="M2259" s="8">
        <v>15.92</v>
      </c>
      <c r="N2259" s="5" t="s">
        <v>1536</v>
      </c>
      <c r="O2259" s="7">
        <v>46037</v>
      </c>
    </row>
    <row r="2260" spans="1:15" hidden="1" x14ac:dyDescent="0.25">
      <c r="A2260" s="5" t="s">
        <v>1522</v>
      </c>
      <c r="B2260" s="5" t="s">
        <v>7323</v>
      </c>
      <c r="D2260" s="5" t="s">
        <v>1502</v>
      </c>
      <c r="E2260" s="5" t="s">
        <v>3761</v>
      </c>
      <c r="F2260" s="5" t="s">
        <v>7324</v>
      </c>
      <c r="G2260" s="6">
        <v>46125.704861111109</v>
      </c>
      <c r="H2260" s="7">
        <v>46132</v>
      </c>
      <c r="I2260" s="5" t="s">
        <v>7325</v>
      </c>
      <c r="J2260" s="7">
        <v>46136</v>
      </c>
      <c r="K2260" s="5" t="s">
        <v>1527</v>
      </c>
      <c r="L2260" s="5" t="s">
        <v>1528</v>
      </c>
      <c r="M2260" s="8">
        <v>15.5</v>
      </c>
      <c r="N2260" s="5" t="s">
        <v>1536</v>
      </c>
      <c r="O2260" s="7">
        <v>46136</v>
      </c>
    </row>
    <row r="2261" spans="1:15" hidden="1" x14ac:dyDescent="0.25">
      <c r="A2261" s="5" t="s">
        <v>1522</v>
      </c>
      <c r="B2261" s="5">
        <v>38527</v>
      </c>
      <c r="D2261" s="5" t="s">
        <v>1507</v>
      </c>
      <c r="E2261" s="5" t="s">
        <v>2247</v>
      </c>
      <c r="F2261" s="5" t="s">
        <v>7326</v>
      </c>
      <c r="G2261" s="6">
        <v>46073.432638888888</v>
      </c>
      <c r="H2261" s="7">
        <v>46076</v>
      </c>
      <c r="I2261" s="5" t="s">
        <v>7327</v>
      </c>
      <c r="J2261" s="7">
        <v>46077</v>
      </c>
      <c r="K2261" s="5" t="s">
        <v>1527</v>
      </c>
      <c r="L2261" s="5" t="s">
        <v>1528</v>
      </c>
      <c r="M2261" s="8">
        <v>15</v>
      </c>
      <c r="N2261" s="5" t="s">
        <v>1536</v>
      </c>
      <c r="O2261" s="7">
        <v>46077</v>
      </c>
    </row>
    <row r="2262" spans="1:15" x14ac:dyDescent="0.25">
      <c r="A2262" s="5" t="s">
        <v>4</v>
      </c>
      <c r="B2262" s="5" t="s">
        <v>7328</v>
      </c>
      <c r="D2262" s="5" t="s">
        <v>244</v>
      </c>
      <c r="E2262" s="5" t="s">
        <v>7329</v>
      </c>
      <c r="F2262" s="5" t="s">
        <v>7330</v>
      </c>
      <c r="G2262" s="6">
        <v>46056.575694444444</v>
      </c>
      <c r="H2262" s="7">
        <v>46056</v>
      </c>
      <c r="I2262" s="5" t="s">
        <v>7331</v>
      </c>
      <c r="J2262" s="7">
        <v>46057</v>
      </c>
      <c r="K2262" s="5" t="s">
        <v>1527</v>
      </c>
      <c r="L2262" s="5" t="s">
        <v>1535</v>
      </c>
      <c r="M2262" s="8">
        <v>15</v>
      </c>
      <c r="N2262" s="5" t="s">
        <v>1536</v>
      </c>
      <c r="O2262" s="7">
        <v>46057</v>
      </c>
    </row>
    <row r="2263" spans="1:15" x14ac:dyDescent="0.25">
      <c r="A2263" s="5" t="s">
        <v>4</v>
      </c>
      <c r="B2263" s="5" t="s">
        <v>7332</v>
      </c>
      <c r="D2263" s="5" t="s">
        <v>915</v>
      </c>
      <c r="E2263" s="5" t="s">
        <v>7333</v>
      </c>
      <c r="F2263" s="5" t="s">
        <v>7334</v>
      </c>
      <c r="G2263" s="6">
        <v>46083.777083333334</v>
      </c>
      <c r="H2263" s="7">
        <v>46086</v>
      </c>
      <c r="I2263" s="6">
        <v>46085.711111111108</v>
      </c>
      <c r="J2263" s="7">
        <v>46085</v>
      </c>
      <c r="K2263" s="5" t="s">
        <v>1527</v>
      </c>
      <c r="L2263" s="5" t="s">
        <v>1564</v>
      </c>
      <c r="M2263" s="8">
        <v>15</v>
      </c>
      <c r="N2263" s="5" t="s">
        <v>1536</v>
      </c>
      <c r="O2263" s="7">
        <v>46085</v>
      </c>
    </row>
    <row r="2264" spans="1:15" x14ac:dyDescent="0.25">
      <c r="A2264" s="5" t="s">
        <v>4</v>
      </c>
      <c r="B2264" s="5" t="s">
        <v>7335</v>
      </c>
      <c r="D2264" s="5" t="s">
        <v>20</v>
      </c>
      <c r="E2264" s="5" t="s">
        <v>7336</v>
      </c>
      <c r="F2264" s="5" t="s">
        <v>7337</v>
      </c>
      <c r="G2264" s="6">
        <v>46149.594444444447</v>
      </c>
      <c r="H2264" s="7">
        <v>46157</v>
      </c>
      <c r="I2264" s="5" t="s">
        <v>7338</v>
      </c>
      <c r="J2264" s="7">
        <v>46155</v>
      </c>
      <c r="K2264" s="5" t="s">
        <v>1527</v>
      </c>
      <c r="L2264" s="5" t="s">
        <v>1621</v>
      </c>
      <c r="M2264" s="8">
        <v>14.99</v>
      </c>
      <c r="N2264" s="5" t="s">
        <v>1536</v>
      </c>
      <c r="O2264" s="7">
        <v>46155</v>
      </c>
    </row>
    <row r="2265" spans="1:15" hidden="1" x14ac:dyDescent="0.25">
      <c r="A2265" s="5" t="s">
        <v>1522</v>
      </c>
      <c r="B2265" s="5" t="s">
        <v>7339</v>
      </c>
      <c r="D2265" s="5" t="s">
        <v>1510</v>
      </c>
      <c r="E2265" s="5" t="s">
        <v>2466</v>
      </c>
      <c r="F2265" s="5" t="s">
        <v>3389</v>
      </c>
      <c r="G2265" s="6">
        <v>46162.604166666664</v>
      </c>
      <c r="H2265" s="7">
        <v>46164</v>
      </c>
      <c r="I2265" s="5" t="s">
        <v>4702</v>
      </c>
      <c r="J2265" s="7">
        <v>46167</v>
      </c>
      <c r="K2265" s="5" t="s">
        <v>1527</v>
      </c>
      <c r="L2265" s="5" t="s">
        <v>1621</v>
      </c>
      <c r="M2265" s="8">
        <v>14.89</v>
      </c>
      <c r="N2265" s="5" t="s">
        <v>1529</v>
      </c>
      <c r="O2265" s="7">
        <v>46167</v>
      </c>
    </row>
    <row r="2266" spans="1:15" hidden="1" x14ac:dyDescent="0.25">
      <c r="A2266" s="5" t="s">
        <v>1522</v>
      </c>
      <c r="B2266" s="5" t="s">
        <v>7340</v>
      </c>
      <c r="D2266" s="5" t="s">
        <v>1510</v>
      </c>
      <c r="E2266" s="5" t="s">
        <v>2466</v>
      </c>
      <c r="F2266" s="5" t="s">
        <v>3389</v>
      </c>
      <c r="G2266" s="6">
        <v>46170.602083333331</v>
      </c>
      <c r="H2266" s="7">
        <v>46174</v>
      </c>
      <c r="I2266" s="5" t="s">
        <v>7341</v>
      </c>
      <c r="J2266" s="7">
        <v>46175</v>
      </c>
      <c r="K2266" s="5" t="s">
        <v>1527</v>
      </c>
      <c r="L2266" s="5" t="s">
        <v>1554</v>
      </c>
      <c r="M2266" s="8">
        <v>14.89</v>
      </c>
      <c r="N2266" s="5" t="s">
        <v>1529</v>
      </c>
      <c r="O2266" s="7">
        <v>46175</v>
      </c>
    </row>
    <row r="2267" spans="1:15" hidden="1" x14ac:dyDescent="0.25">
      <c r="A2267" s="5" t="s">
        <v>1522</v>
      </c>
      <c r="B2267" s="5" t="s">
        <v>7342</v>
      </c>
      <c r="D2267" s="5" t="s">
        <v>1510</v>
      </c>
      <c r="E2267" s="5" t="s">
        <v>2466</v>
      </c>
      <c r="F2267" s="5" t="s">
        <v>6467</v>
      </c>
      <c r="G2267" s="6">
        <v>46080.4375</v>
      </c>
      <c r="H2267" s="7">
        <v>46080</v>
      </c>
      <c r="I2267" s="5" t="s">
        <v>5674</v>
      </c>
      <c r="J2267" s="7">
        <v>46083</v>
      </c>
      <c r="K2267" s="5" t="s">
        <v>1527</v>
      </c>
      <c r="L2267" s="5" t="s">
        <v>1621</v>
      </c>
      <c r="M2267" s="8">
        <v>14.4</v>
      </c>
      <c r="N2267" s="5" t="s">
        <v>1536</v>
      </c>
      <c r="O2267" s="7">
        <v>46083</v>
      </c>
    </row>
    <row r="2268" spans="1:15" hidden="1" x14ac:dyDescent="0.25">
      <c r="A2268" s="5" t="s">
        <v>1522</v>
      </c>
      <c r="B2268" s="5">
        <v>38996</v>
      </c>
      <c r="D2268" s="5" t="s">
        <v>1510</v>
      </c>
      <c r="E2268" s="5" t="s">
        <v>2466</v>
      </c>
      <c r="F2268" s="5" t="s">
        <v>2740</v>
      </c>
      <c r="G2268" s="6">
        <v>46101.379166666666</v>
      </c>
      <c r="H2268" s="7">
        <v>46108</v>
      </c>
      <c r="I2268" s="6">
        <v>46106.674305555556</v>
      </c>
      <c r="J2268" s="7">
        <v>46106</v>
      </c>
      <c r="K2268" s="5" t="s">
        <v>1527</v>
      </c>
      <c r="L2268" s="5" t="s">
        <v>1564</v>
      </c>
      <c r="M2268" s="8">
        <v>14.2</v>
      </c>
      <c r="N2268" s="5" t="s">
        <v>1536</v>
      </c>
      <c r="O2268" s="7">
        <v>46106</v>
      </c>
    </row>
    <row r="2269" spans="1:15" hidden="1" x14ac:dyDescent="0.25">
      <c r="A2269" s="5" t="s">
        <v>1522</v>
      </c>
      <c r="B2269" s="5" t="s">
        <v>7343</v>
      </c>
      <c r="D2269" s="5" t="s">
        <v>1510</v>
      </c>
      <c r="E2269" s="5" t="s">
        <v>2466</v>
      </c>
      <c r="F2269" s="5" t="s">
        <v>6467</v>
      </c>
      <c r="G2269" s="6">
        <v>46069.473611111112</v>
      </c>
      <c r="H2269" s="7">
        <v>46072</v>
      </c>
      <c r="I2269" s="5" t="s">
        <v>6964</v>
      </c>
      <c r="J2269" s="7">
        <v>46073</v>
      </c>
      <c r="K2269" s="5" t="s">
        <v>1527</v>
      </c>
      <c r="L2269" s="5" t="s">
        <v>1621</v>
      </c>
      <c r="M2269" s="9">
        <v>14</v>
      </c>
      <c r="N2269" s="5" t="s">
        <v>1536</v>
      </c>
      <c r="O2269" s="7">
        <v>46073</v>
      </c>
    </row>
    <row r="2270" spans="1:15" hidden="1" x14ac:dyDescent="0.25">
      <c r="A2270" s="5" t="s">
        <v>1522</v>
      </c>
      <c r="B2270" s="5" t="s">
        <v>7344</v>
      </c>
      <c r="D2270" s="5" t="s">
        <v>1510</v>
      </c>
      <c r="E2270" s="5" t="s">
        <v>2466</v>
      </c>
      <c r="F2270" s="5" t="s">
        <v>5267</v>
      </c>
      <c r="G2270" s="6">
        <v>46099.618055555555</v>
      </c>
      <c r="H2270" s="7">
        <v>46101</v>
      </c>
      <c r="I2270" s="6">
        <v>46100.626388888886</v>
      </c>
      <c r="J2270" s="7">
        <v>46100</v>
      </c>
      <c r="K2270" s="5" t="s">
        <v>1527</v>
      </c>
      <c r="L2270" s="5" t="s">
        <v>1621</v>
      </c>
      <c r="M2270" s="8">
        <v>14</v>
      </c>
      <c r="N2270" s="5" t="s">
        <v>1536</v>
      </c>
      <c r="O2270" s="7">
        <v>46100</v>
      </c>
    </row>
    <row r="2271" spans="1:15" hidden="1" x14ac:dyDescent="0.25">
      <c r="A2271" s="5" t="s">
        <v>1522</v>
      </c>
      <c r="B2271" s="5" t="s">
        <v>7345</v>
      </c>
      <c r="D2271" s="5" t="s">
        <v>1495</v>
      </c>
      <c r="E2271" s="5" t="s">
        <v>1935</v>
      </c>
      <c r="F2271" s="5" t="s">
        <v>7346</v>
      </c>
      <c r="G2271" s="6">
        <v>46072.636111111111</v>
      </c>
      <c r="H2271" s="7">
        <v>46080</v>
      </c>
      <c r="I2271" s="5" t="s">
        <v>1533</v>
      </c>
      <c r="J2271" s="7">
        <v>46098</v>
      </c>
      <c r="K2271" s="5" t="s">
        <v>1534</v>
      </c>
      <c r="L2271" s="5" t="s">
        <v>1528</v>
      </c>
      <c r="M2271" s="8">
        <v>13.5</v>
      </c>
      <c r="N2271" s="5" t="s">
        <v>1536</v>
      </c>
      <c r="O2271" s="7">
        <v>46098</v>
      </c>
    </row>
    <row r="2272" spans="1:15" hidden="1" x14ac:dyDescent="0.25">
      <c r="A2272" s="5" t="s">
        <v>1522</v>
      </c>
      <c r="B2272" s="5" t="s">
        <v>7347</v>
      </c>
      <c r="D2272" s="5" t="s">
        <v>1510</v>
      </c>
      <c r="E2272" s="5" t="s">
        <v>2466</v>
      </c>
      <c r="F2272" s="5" t="s">
        <v>6467</v>
      </c>
      <c r="G2272" s="6">
        <v>46106.738194444442</v>
      </c>
      <c r="H2272" s="7">
        <v>46112</v>
      </c>
      <c r="I2272" s="6">
        <v>46111.696527777778</v>
      </c>
      <c r="J2272" s="7">
        <v>46111</v>
      </c>
      <c r="K2272" s="5" t="s">
        <v>1527</v>
      </c>
      <c r="L2272" s="5" t="s">
        <v>1621</v>
      </c>
      <c r="M2272" s="8">
        <v>13.5</v>
      </c>
      <c r="N2272" s="5" t="s">
        <v>1536</v>
      </c>
      <c r="O2272" s="7">
        <v>46111</v>
      </c>
    </row>
    <row r="2273" spans="1:15" hidden="1" x14ac:dyDescent="0.25">
      <c r="A2273" s="5" t="s">
        <v>1522</v>
      </c>
      <c r="B2273" s="5" t="s">
        <v>7348</v>
      </c>
      <c r="D2273" s="5" t="s">
        <v>1510</v>
      </c>
      <c r="E2273" s="5" t="s">
        <v>2466</v>
      </c>
      <c r="F2273" s="5" t="s">
        <v>5986</v>
      </c>
      <c r="G2273" s="6">
        <v>46050.688888888886</v>
      </c>
      <c r="H2273" s="7">
        <v>46058</v>
      </c>
      <c r="I2273" s="6">
        <v>46051.690972222219</v>
      </c>
      <c r="J2273" s="7">
        <v>46051</v>
      </c>
      <c r="K2273" s="5" t="s">
        <v>1527</v>
      </c>
      <c r="L2273" s="5" t="s">
        <v>1621</v>
      </c>
      <c r="M2273" s="8">
        <v>13</v>
      </c>
      <c r="N2273" s="5" t="s">
        <v>1536</v>
      </c>
      <c r="O2273" s="7">
        <v>46051</v>
      </c>
    </row>
    <row r="2274" spans="1:15" hidden="1" x14ac:dyDescent="0.25">
      <c r="A2274" s="5" t="s">
        <v>1522</v>
      </c>
      <c r="B2274" s="5" t="s">
        <v>7349</v>
      </c>
      <c r="D2274" s="5" t="s">
        <v>1504</v>
      </c>
      <c r="E2274" s="5" t="s">
        <v>1888</v>
      </c>
      <c r="F2274" s="5" t="s">
        <v>7350</v>
      </c>
      <c r="G2274" s="6">
        <v>46083.365972222222</v>
      </c>
      <c r="H2274" s="7">
        <v>46094</v>
      </c>
      <c r="I2274" s="6">
        <v>46094.556250000001</v>
      </c>
      <c r="J2274" s="7">
        <v>46090</v>
      </c>
      <c r="K2274" s="5" t="s">
        <v>1527</v>
      </c>
      <c r="L2274" s="5" t="s">
        <v>1528</v>
      </c>
      <c r="M2274" s="8">
        <v>13</v>
      </c>
      <c r="N2274" s="5" t="s">
        <v>1536</v>
      </c>
      <c r="O2274" s="7">
        <v>46090</v>
      </c>
    </row>
    <row r="2275" spans="1:15" hidden="1" x14ac:dyDescent="0.25">
      <c r="A2275" s="5" t="s">
        <v>1522</v>
      </c>
      <c r="B2275" s="5" t="s">
        <v>7351</v>
      </c>
      <c r="D2275" s="5" t="s">
        <v>1504</v>
      </c>
      <c r="E2275" s="5" t="s">
        <v>1888</v>
      </c>
      <c r="F2275" s="5" t="s">
        <v>7352</v>
      </c>
      <c r="G2275" s="6">
        <v>46091.643055555556</v>
      </c>
      <c r="H2275" s="7">
        <v>46094</v>
      </c>
      <c r="I2275" s="5" t="s">
        <v>7353</v>
      </c>
      <c r="J2275" s="7">
        <v>46098</v>
      </c>
      <c r="K2275" s="5" t="s">
        <v>1527</v>
      </c>
      <c r="L2275" s="5" t="s">
        <v>1528</v>
      </c>
      <c r="M2275" s="8">
        <v>13</v>
      </c>
      <c r="N2275" s="5" t="s">
        <v>1536</v>
      </c>
      <c r="O2275" s="7">
        <v>46098</v>
      </c>
    </row>
    <row r="2276" spans="1:15" x14ac:dyDescent="0.25">
      <c r="A2276" s="5" t="s">
        <v>4</v>
      </c>
      <c r="B2276" s="5" t="s">
        <v>7354</v>
      </c>
      <c r="D2276" s="5" t="s">
        <v>1406</v>
      </c>
      <c r="E2276" s="5" t="s">
        <v>2521</v>
      </c>
      <c r="F2276" s="5" t="s">
        <v>1548</v>
      </c>
      <c r="G2276" s="6">
        <v>46066.408333333333</v>
      </c>
      <c r="H2276" s="7">
        <v>46073</v>
      </c>
      <c r="I2276" s="6">
        <v>46070.622916666667</v>
      </c>
      <c r="J2276" s="7">
        <v>46070</v>
      </c>
      <c r="K2276" s="5" t="s">
        <v>1527</v>
      </c>
      <c r="L2276" s="5" t="s">
        <v>1535</v>
      </c>
      <c r="M2276" s="8">
        <v>13</v>
      </c>
      <c r="N2276" s="5" t="s">
        <v>1536</v>
      </c>
      <c r="O2276" s="7">
        <v>46070</v>
      </c>
    </row>
    <row r="2277" spans="1:15" hidden="1" x14ac:dyDescent="0.25">
      <c r="A2277" s="5" t="s">
        <v>1522</v>
      </c>
      <c r="B2277" s="5" t="s">
        <v>7355</v>
      </c>
      <c r="D2277" s="5" t="s">
        <v>1510</v>
      </c>
      <c r="E2277" s="5" t="s">
        <v>2466</v>
      </c>
      <c r="F2277" s="5" t="s">
        <v>7356</v>
      </c>
      <c r="G2277" s="6">
        <v>46087.65</v>
      </c>
      <c r="H2277" s="7">
        <v>46091</v>
      </c>
      <c r="I2277" s="6">
        <v>46090.634722222225</v>
      </c>
      <c r="J2277" s="7">
        <v>46090</v>
      </c>
      <c r="K2277" s="5" t="s">
        <v>1527</v>
      </c>
      <c r="L2277" s="5" t="s">
        <v>1621</v>
      </c>
      <c r="M2277" s="8">
        <v>12.6</v>
      </c>
      <c r="N2277" s="5" t="s">
        <v>1536</v>
      </c>
      <c r="O2277" s="7">
        <v>46090</v>
      </c>
    </row>
    <row r="2278" spans="1:15" hidden="1" x14ac:dyDescent="0.25">
      <c r="A2278" s="5" t="s">
        <v>1522</v>
      </c>
      <c r="B2278" s="5" t="s">
        <v>7357</v>
      </c>
      <c r="D2278" s="5" t="s">
        <v>1510</v>
      </c>
      <c r="E2278" s="5" t="s">
        <v>2466</v>
      </c>
      <c r="F2278" s="5" t="s">
        <v>5986</v>
      </c>
      <c r="G2278" s="6">
        <v>46057.693055555559</v>
      </c>
      <c r="H2278" s="7">
        <v>46059</v>
      </c>
      <c r="I2278" s="5" t="s">
        <v>6622</v>
      </c>
      <c r="J2278" s="7">
        <v>46063</v>
      </c>
      <c r="K2278" s="5" t="s">
        <v>1527</v>
      </c>
      <c r="L2278" s="5" t="s">
        <v>1621</v>
      </c>
      <c r="M2278" s="8">
        <v>12</v>
      </c>
      <c r="N2278" s="5" t="s">
        <v>1536</v>
      </c>
      <c r="O2278" s="7">
        <v>46063</v>
      </c>
    </row>
    <row r="2279" spans="1:15" hidden="1" x14ac:dyDescent="0.25">
      <c r="A2279" s="5" t="s">
        <v>1522</v>
      </c>
      <c r="B2279" s="5" t="s">
        <v>7358</v>
      </c>
      <c r="D2279" s="5" t="s">
        <v>1510</v>
      </c>
      <c r="E2279" s="5" t="s">
        <v>2466</v>
      </c>
      <c r="F2279" s="5" t="s">
        <v>3389</v>
      </c>
      <c r="G2279" s="6">
        <v>46056.671527777777</v>
      </c>
      <c r="H2279" s="7">
        <v>46059</v>
      </c>
      <c r="I2279" s="6">
        <v>46059.689583333333</v>
      </c>
      <c r="J2279" s="7">
        <v>46059</v>
      </c>
      <c r="K2279" s="5" t="s">
        <v>1527</v>
      </c>
      <c r="L2279" s="5" t="s">
        <v>1621</v>
      </c>
      <c r="M2279" s="8">
        <v>11.52</v>
      </c>
      <c r="N2279" s="5" t="s">
        <v>1536</v>
      </c>
      <c r="O2279" s="7">
        <v>46059</v>
      </c>
    </row>
    <row r="2280" spans="1:15" hidden="1" x14ac:dyDescent="0.25">
      <c r="A2280" s="5" t="s">
        <v>1522</v>
      </c>
      <c r="B2280" s="5" t="s">
        <v>7359</v>
      </c>
      <c r="D2280" s="5" t="s">
        <v>1510</v>
      </c>
      <c r="E2280" s="5" t="s">
        <v>2466</v>
      </c>
      <c r="F2280" s="5" t="s">
        <v>3389</v>
      </c>
      <c r="G2280" s="6">
        <v>46062.425000000003</v>
      </c>
      <c r="H2280" s="7">
        <v>46063</v>
      </c>
      <c r="I2280" s="5" t="s">
        <v>7360</v>
      </c>
      <c r="J2280" s="7">
        <v>46064</v>
      </c>
      <c r="K2280" s="5" t="s">
        <v>1527</v>
      </c>
      <c r="L2280" s="5" t="s">
        <v>1621</v>
      </c>
      <c r="M2280" s="9">
        <v>11.52</v>
      </c>
      <c r="N2280" s="5" t="s">
        <v>1536</v>
      </c>
      <c r="O2280" s="7">
        <v>46064</v>
      </c>
    </row>
    <row r="2281" spans="1:15" hidden="1" x14ac:dyDescent="0.25">
      <c r="A2281" s="5" t="s">
        <v>1522</v>
      </c>
      <c r="B2281" s="5" t="s">
        <v>7361</v>
      </c>
      <c r="D2281" s="5" t="s">
        <v>1510</v>
      </c>
      <c r="E2281" s="5" t="s">
        <v>2466</v>
      </c>
      <c r="F2281" s="5" t="s">
        <v>3389</v>
      </c>
      <c r="G2281" s="6">
        <v>46062.727083333331</v>
      </c>
      <c r="H2281" s="7">
        <v>46065</v>
      </c>
      <c r="I2281" s="6">
        <v>46064.678472222222</v>
      </c>
      <c r="J2281" s="7">
        <v>46064</v>
      </c>
      <c r="K2281" s="5" t="s">
        <v>1527</v>
      </c>
      <c r="L2281" s="5" t="s">
        <v>1621</v>
      </c>
      <c r="M2281" s="8">
        <v>11.52</v>
      </c>
      <c r="N2281" s="5" t="s">
        <v>1536</v>
      </c>
      <c r="O2281" s="7">
        <v>46064</v>
      </c>
    </row>
    <row r="2282" spans="1:15" hidden="1" x14ac:dyDescent="0.25">
      <c r="A2282" s="5" t="s">
        <v>1522</v>
      </c>
      <c r="B2282" s="5" t="s">
        <v>7362</v>
      </c>
      <c r="D2282" s="5" t="s">
        <v>1510</v>
      </c>
      <c r="E2282" s="5" t="s">
        <v>2466</v>
      </c>
      <c r="F2282" s="5" t="s">
        <v>3389</v>
      </c>
      <c r="G2282" s="6">
        <v>46069.462500000001</v>
      </c>
      <c r="H2282" s="7">
        <v>46071</v>
      </c>
      <c r="I2282" s="6">
        <v>46071.614583333336</v>
      </c>
      <c r="J2282" s="7">
        <v>46071</v>
      </c>
      <c r="K2282" s="5" t="s">
        <v>1527</v>
      </c>
      <c r="L2282" s="5" t="s">
        <v>1621</v>
      </c>
      <c r="M2282" s="8">
        <v>11.52</v>
      </c>
      <c r="N2282" s="5" t="s">
        <v>1536</v>
      </c>
      <c r="O2282" s="7">
        <v>46071</v>
      </c>
    </row>
    <row r="2283" spans="1:15" hidden="1" x14ac:dyDescent="0.25">
      <c r="A2283" s="5" t="s">
        <v>1522</v>
      </c>
      <c r="B2283" s="5" t="s">
        <v>7363</v>
      </c>
      <c r="D2283" s="5" t="s">
        <v>1510</v>
      </c>
      <c r="E2283" s="5" t="s">
        <v>2466</v>
      </c>
      <c r="F2283" s="5" t="s">
        <v>5254</v>
      </c>
      <c r="G2283" s="6">
        <v>46087.640277777777</v>
      </c>
      <c r="H2283" s="7">
        <v>46090</v>
      </c>
      <c r="I2283" s="5" t="s">
        <v>5972</v>
      </c>
      <c r="J2283" s="7">
        <v>46091</v>
      </c>
      <c r="K2283" s="5" t="s">
        <v>1527</v>
      </c>
      <c r="L2283" s="5" t="s">
        <v>1621</v>
      </c>
      <c r="M2283" s="8">
        <v>11.52</v>
      </c>
      <c r="N2283" s="5" t="s">
        <v>1536</v>
      </c>
      <c r="O2283" s="7">
        <v>46091</v>
      </c>
    </row>
    <row r="2284" spans="1:15" hidden="1" x14ac:dyDescent="0.25">
      <c r="A2284" s="5" t="s">
        <v>1522</v>
      </c>
      <c r="B2284" s="5" t="s">
        <v>7364</v>
      </c>
      <c r="D2284" s="5" t="s">
        <v>1510</v>
      </c>
      <c r="E2284" s="5" t="s">
        <v>2466</v>
      </c>
      <c r="F2284" s="5" t="s">
        <v>5986</v>
      </c>
      <c r="G2284" s="6">
        <v>46041.668749999997</v>
      </c>
      <c r="H2284" s="7">
        <v>46048</v>
      </c>
      <c r="I2284" s="6">
        <v>46042.629166666666</v>
      </c>
      <c r="J2284" s="7">
        <v>46042</v>
      </c>
      <c r="K2284" s="5" t="s">
        <v>1527</v>
      </c>
      <c r="L2284" s="5" t="s">
        <v>1621</v>
      </c>
      <c r="M2284" s="8">
        <v>11</v>
      </c>
      <c r="N2284" s="5" t="s">
        <v>1536</v>
      </c>
      <c r="O2284" s="7">
        <v>46042</v>
      </c>
    </row>
    <row r="2285" spans="1:15" hidden="1" x14ac:dyDescent="0.25">
      <c r="A2285" s="5" t="s">
        <v>1522</v>
      </c>
      <c r="B2285" s="5" t="s">
        <v>7365</v>
      </c>
      <c r="D2285" s="5" t="s">
        <v>1510</v>
      </c>
      <c r="E2285" s="5" t="s">
        <v>2466</v>
      </c>
      <c r="F2285" s="5" t="s">
        <v>6467</v>
      </c>
      <c r="G2285" s="6">
        <v>46079.658333333333</v>
      </c>
      <c r="H2285" s="7">
        <v>46086</v>
      </c>
      <c r="I2285" s="6">
        <v>46084.614583333336</v>
      </c>
      <c r="J2285" s="7">
        <v>46083</v>
      </c>
      <c r="K2285" s="5" t="s">
        <v>1527</v>
      </c>
      <c r="L2285" s="5" t="s">
        <v>1621</v>
      </c>
      <c r="M2285" s="8">
        <v>10.8</v>
      </c>
      <c r="N2285" s="5" t="s">
        <v>1536</v>
      </c>
      <c r="O2285" s="7">
        <v>46083</v>
      </c>
    </row>
    <row r="2286" spans="1:15" hidden="1" x14ac:dyDescent="0.25">
      <c r="A2286" s="5" t="s">
        <v>1522</v>
      </c>
      <c r="B2286" s="5" t="s">
        <v>7366</v>
      </c>
      <c r="D2286" s="5" t="s">
        <v>1510</v>
      </c>
      <c r="E2286" s="5" t="s">
        <v>2466</v>
      </c>
      <c r="F2286" s="5" t="s">
        <v>6467</v>
      </c>
      <c r="G2286" s="6">
        <v>46139.629166666666</v>
      </c>
      <c r="H2286" s="7">
        <v>46141</v>
      </c>
      <c r="I2286" s="6">
        <v>46141.730555555558</v>
      </c>
      <c r="J2286" s="7">
        <v>46162</v>
      </c>
      <c r="K2286" s="5" t="s">
        <v>1527</v>
      </c>
      <c r="L2286" s="5" t="s">
        <v>1621</v>
      </c>
      <c r="M2286" s="8">
        <v>10.8</v>
      </c>
      <c r="N2286" s="5" t="s">
        <v>1529</v>
      </c>
      <c r="O2286" s="7">
        <v>46162</v>
      </c>
    </row>
    <row r="2287" spans="1:15" hidden="1" x14ac:dyDescent="0.25">
      <c r="A2287" s="5" t="s">
        <v>1522</v>
      </c>
      <c r="B2287" s="5" t="s">
        <v>7367</v>
      </c>
      <c r="D2287" s="5" t="s">
        <v>1445</v>
      </c>
      <c r="E2287" s="5" t="s">
        <v>3160</v>
      </c>
      <c r="F2287" s="5" t="s">
        <v>1548</v>
      </c>
      <c r="G2287" s="6">
        <v>46146.725694444445</v>
      </c>
      <c r="H2287" s="7">
        <v>46147</v>
      </c>
      <c r="I2287" s="6">
        <v>46147.427777777775</v>
      </c>
      <c r="J2287" s="7">
        <v>46147</v>
      </c>
      <c r="K2287" s="5" t="s">
        <v>1527</v>
      </c>
      <c r="L2287" s="5" t="s">
        <v>1528</v>
      </c>
      <c r="M2287" s="8">
        <v>10</v>
      </c>
      <c r="N2287" s="5" t="s">
        <v>1536</v>
      </c>
      <c r="O2287" s="7">
        <v>46147</v>
      </c>
    </row>
    <row r="2288" spans="1:15" x14ac:dyDescent="0.25">
      <c r="A2288" s="5" t="s">
        <v>4</v>
      </c>
      <c r="B2288" s="5" t="s">
        <v>7368</v>
      </c>
      <c r="D2288" s="5" t="s">
        <v>1497</v>
      </c>
      <c r="E2288" s="5" t="s">
        <v>1600</v>
      </c>
      <c r="F2288" s="5" t="s">
        <v>1778</v>
      </c>
      <c r="G2288" s="6">
        <v>46072.558333333334</v>
      </c>
      <c r="H2288" s="7">
        <v>46080</v>
      </c>
      <c r="I2288" s="5" t="s">
        <v>1533</v>
      </c>
      <c r="J2288" s="7">
        <v>46077</v>
      </c>
      <c r="K2288" s="5" t="s">
        <v>1534</v>
      </c>
      <c r="L2288" s="5" t="s">
        <v>1535</v>
      </c>
      <c r="M2288" s="8">
        <v>10</v>
      </c>
      <c r="N2288" s="5" t="s">
        <v>1536</v>
      </c>
      <c r="O2288" s="7">
        <v>46077</v>
      </c>
    </row>
    <row r="2289" spans="1:15" x14ac:dyDescent="0.25">
      <c r="A2289" s="5" t="s">
        <v>4</v>
      </c>
      <c r="B2289" s="5" t="s">
        <v>7369</v>
      </c>
      <c r="D2289" s="5" t="s">
        <v>1497</v>
      </c>
      <c r="E2289" s="5" t="s">
        <v>1600</v>
      </c>
      <c r="F2289" s="5" t="s">
        <v>1532</v>
      </c>
      <c r="G2289" s="6">
        <v>46126.600694444445</v>
      </c>
      <c r="H2289" s="7">
        <v>46129</v>
      </c>
      <c r="I2289" s="5" t="s">
        <v>7370</v>
      </c>
      <c r="J2289" s="7">
        <v>46134</v>
      </c>
      <c r="K2289" s="5" t="s">
        <v>1527</v>
      </c>
      <c r="L2289" s="5" t="s">
        <v>1535</v>
      </c>
      <c r="M2289" s="8">
        <v>10</v>
      </c>
      <c r="N2289" s="5" t="s">
        <v>1536</v>
      </c>
      <c r="O2289" s="7">
        <v>46134</v>
      </c>
    </row>
    <row r="2290" spans="1:15" x14ac:dyDescent="0.25">
      <c r="A2290" s="5" t="s">
        <v>4</v>
      </c>
      <c r="B2290" s="5" t="s">
        <v>7371</v>
      </c>
      <c r="D2290" s="5" t="s">
        <v>162</v>
      </c>
      <c r="E2290" s="5" t="s">
        <v>7372</v>
      </c>
      <c r="F2290" s="5" t="s">
        <v>7373</v>
      </c>
      <c r="G2290" s="6">
        <v>46051.617361111108</v>
      </c>
      <c r="H2290" s="7">
        <v>46057</v>
      </c>
      <c r="I2290" s="5" t="s">
        <v>1533</v>
      </c>
      <c r="J2290" s="7">
        <v>46058</v>
      </c>
      <c r="K2290" s="5" t="s">
        <v>1534</v>
      </c>
      <c r="L2290" s="5" t="s">
        <v>1621</v>
      </c>
      <c r="M2290" s="8">
        <v>9.9</v>
      </c>
      <c r="N2290" s="5" t="s">
        <v>1536</v>
      </c>
      <c r="O2290" s="7">
        <v>46058</v>
      </c>
    </row>
    <row r="2291" spans="1:15" x14ac:dyDescent="0.25">
      <c r="A2291" s="5" t="s">
        <v>4</v>
      </c>
      <c r="B2291" s="5" t="s">
        <v>7374</v>
      </c>
      <c r="D2291" s="5" t="s">
        <v>745</v>
      </c>
      <c r="E2291" s="5" t="s">
        <v>7375</v>
      </c>
      <c r="F2291" s="5" t="s">
        <v>7376</v>
      </c>
      <c r="G2291" s="6">
        <v>46059.73333333333</v>
      </c>
      <c r="H2291" s="7">
        <v>46070</v>
      </c>
      <c r="I2291" s="5" t="s">
        <v>7377</v>
      </c>
      <c r="J2291" s="7">
        <v>46066</v>
      </c>
      <c r="K2291" s="5" t="s">
        <v>1527</v>
      </c>
      <c r="L2291" s="5" t="s">
        <v>1621</v>
      </c>
      <c r="M2291" s="8">
        <v>9.9</v>
      </c>
      <c r="N2291" s="5" t="s">
        <v>1536</v>
      </c>
      <c r="O2291" s="7">
        <v>46066</v>
      </c>
    </row>
    <row r="2292" spans="1:15" hidden="1" x14ac:dyDescent="0.25">
      <c r="A2292" s="5" t="s">
        <v>1522</v>
      </c>
      <c r="B2292" s="5" t="s">
        <v>7378</v>
      </c>
      <c r="D2292" s="5" t="s">
        <v>1510</v>
      </c>
      <c r="E2292" s="5" t="s">
        <v>2466</v>
      </c>
      <c r="F2292" s="5" t="s">
        <v>6467</v>
      </c>
      <c r="G2292" s="6">
        <v>46030.445138888892</v>
      </c>
      <c r="H2292" s="7">
        <v>46030</v>
      </c>
      <c r="I2292" s="5" t="s">
        <v>7379</v>
      </c>
      <c r="J2292" s="7">
        <v>46045</v>
      </c>
      <c r="K2292" s="5" t="s">
        <v>1527</v>
      </c>
      <c r="L2292" s="5" t="s">
        <v>1621</v>
      </c>
      <c r="M2292" s="8">
        <v>9</v>
      </c>
      <c r="N2292" s="5" t="s">
        <v>1536</v>
      </c>
      <c r="O2292" s="7">
        <v>46045</v>
      </c>
    </row>
    <row r="2293" spans="1:15" hidden="1" x14ac:dyDescent="0.25">
      <c r="A2293" s="5" t="s">
        <v>1522</v>
      </c>
      <c r="B2293" s="5" t="s">
        <v>7380</v>
      </c>
      <c r="D2293" s="5" t="s">
        <v>1510</v>
      </c>
      <c r="E2293" s="5" t="s">
        <v>2466</v>
      </c>
      <c r="F2293" s="5" t="s">
        <v>6467</v>
      </c>
      <c r="G2293" s="6">
        <v>46048.745833333334</v>
      </c>
      <c r="H2293" s="7">
        <v>46049</v>
      </c>
      <c r="I2293" s="5" t="s">
        <v>7381</v>
      </c>
      <c r="J2293" s="7">
        <v>46050</v>
      </c>
      <c r="K2293" s="5" t="s">
        <v>1527</v>
      </c>
      <c r="L2293" s="5" t="s">
        <v>1621</v>
      </c>
      <c r="M2293" s="8">
        <v>9</v>
      </c>
      <c r="N2293" s="5" t="s">
        <v>1536</v>
      </c>
      <c r="O2293" s="7">
        <v>46050</v>
      </c>
    </row>
    <row r="2294" spans="1:15" hidden="1" x14ac:dyDescent="0.25">
      <c r="A2294" s="5" t="s">
        <v>1522</v>
      </c>
      <c r="B2294" s="5" t="s">
        <v>7382</v>
      </c>
      <c r="D2294" s="5" t="s">
        <v>1510</v>
      </c>
      <c r="E2294" s="5" t="s">
        <v>2466</v>
      </c>
      <c r="F2294" s="5" t="s">
        <v>6467</v>
      </c>
      <c r="G2294" s="6">
        <v>46050.46597222222</v>
      </c>
      <c r="H2294" s="7">
        <v>46051</v>
      </c>
      <c r="I2294" s="6">
        <v>46050.63958333333</v>
      </c>
      <c r="J2294" s="7">
        <v>46050</v>
      </c>
      <c r="K2294" s="5" t="s">
        <v>1527</v>
      </c>
      <c r="L2294" s="5" t="s">
        <v>1621</v>
      </c>
      <c r="M2294" s="8">
        <v>9</v>
      </c>
      <c r="N2294" s="5" t="s">
        <v>1536</v>
      </c>
      <c r="O2294" s="7">
        <v>46050</v>
      </c>
    </row>
    <row r="2295" spans="1:15" hidden="1" x14ac:dyDescent="0.25">
      <c r="A2295" s="5" t="s">
        <v>1522</v>
      </c>
      <c r="B2295" s="5" t="s">
        <v>7383</v>
      </c>
      <c r="D2295" s="5" t="s">
        <v>1510</v>
      </c>
      <c r="E2295" s="5" t="s">
        <v>2466</v>
      </c>
      <c r="F2295" s="5" t="s">
        <v>6467</v>
      </c>
      <c r="G2295" s="6">
        <v>46065.648611111108</v>
      </c>
      <c r="H2295" s="7">
        <v>46066</v>
      </c>
      <c r="I2295" s="6">
        <v>46066.655555555553</v>
      </c>
      <c r="J2295" s="7">
        <v>46066</v>
      </c>
      <c r="K2295" s="5" t="s">
        <v>1527</v>
      </c>
      <c r="L2295" s="5" t="s">
        <v>1621</v>
      </c>
      <c r="M2295" s="8">
        <v>9</v>
      </c>
      <c r="N2295" s="5" t="s">
        <v>1536</v>
      </c>
      <c r="O2295" s="7">
        <v>46066</v>
      </c>
    </row>
    <row r="2296" spans="1:15" hidden="1" x14ac:dyDescent="0.25">
      <c r="A2296" s="5" t="s">
        <v>1522</v>
      </c>
      <c r="B2296" s="5" t="s">
        <v>7384</v>
      </c>
      <c r="D2296" s="5" t="s">
        <v>1510</v>
      </c>
      <c r="E2296" s="5" t="s">
        <v>2466</v>
      </c>
      <c r="F2296" s="5" t="s">
        <v>6467</v>
      </c>
      <c r="G2296" s="6">
        <v>46101.628472222219</v>
      </c>
      <c r="H2296" s="7">
        <v>46104</v>
      </c>
      <c r="I2296" s="5" t="s">
        <v>7385</v>
      </c>
      <c r="J2296" s="7">
        <v>46111</v>
      </c>
      <c r="K2296" s="5" t="s">
        <v>1527</v>
      </c>
      <c r="L2296" s="5" t="s">
        <v>1621</v>
      </c>
      <c r="M2296" s="8">
        <v>9</v>
      </c>
      <c r="N2296" s="5" t="s">
        <v>1536</v>
      </c>
      <c r="O2296" s="7">
        <v>46111</v>
      </c>
    </row>
    <row r="2297" spans="1:15" hidden="1" x14ac:dyDescent="0.25">
      <c r="A2297" s="5" t="s">
        <v>1522</v>
      </c>
      <c r="B2297" s="5">
        <v>39722</v>
      </c>
      <c r="D2297" s="5" t="s">
        <v>1503</v>
      </c>
      <c r="E2297" s="5" t="s">
        <v>1651</v>
      </c>
      <c r="F2297" s="5" t="s">
        <v>3979</v>
      </c>
      <c r="G2297" s="6">
        <v>46147.588194444441</v>
      </c>
      <c r="H2297" s="7">
        <v>46147</v>
      </c>
      <c r="I2297" s="5" t="s">
        <v>7386</v>
      </c>
      <c r="J2297" s="7">
        <v>46150</v>
      </c>
      <c r="K2297" s="5" t="s">
        <v>1527</v>
      </c>
      <c r="L2297" s="5" t="s">
        <v>1528</v>
      </c>
      <c r="M2297" s="8">
        <v>7.5</v>
      </c>
      <c r="N2297" s="5" t="s">
        <v>1536</v>
      </c>
      <c r="O2297" s="7">
        <v>46150</v>
      </c>
    </row>
    <row r="2298" spans="1:15" hidden="1" x14ac:dyDescent="0.25">
      <c r="A2298" s="5" t="s">
        <v>1522</v>
      </c>
      <c r="B2298" s="5" t="s">
        <v>7387</v>
      </c>
      <c r="D2298" s="5" t="s">
        <v>1510</v>
      </c>
      <c r="E2298" s="5" t="s">
        <v>2466</v>
      </c>
      <c r="F2298" s="5" t="s">
        <v>6467</v>
      </c>
      <c r="G2298" s="6">
        <v>46101.59097222222</v>
      </c>
      <c r="H2298" s="7">
        <v>46101</v>
      </c>
      <c r="I2298" s="6">
        <v>46101.632638888892</v>
      </c>
      <c r="J2298" s="7">
        <v>46127</v>
      </c>
      <c r="K2298" s="5" t="s">
        <v>1527</v>
      </c>
      <c r="L2298" s="5" t="s">
        <v>1621</v>
      </c>
      <c r="M2298" s="8">
        <v>7.2</v>
      </c>
      <c r="N2298" s="5" t="s">
        <v>1536</v>
      </c>
      <c r="O2298" s="7">
        <v>46127</v>
      </c>
    </row>
    <row r="2299" spans="1:15" hidden="1" x14ac:dyDescent="0.25">
      <c r="A2299" s="5" t="s">
        <v>1522</v>
      </c>
      <c r="B2299" s="5" t="s">
        <v>7388</v>
      </c>
      <c r="D2299" s="5" t="s">
        <v>1510</v>
      </c>
      <c r="E2299" s="5" t="s">
        <v>2466</v>
      </c>
      <c r="F2299" s="5" t="s">
        <v>5986</v>
      </c>
      <c r="G2299" s="6">
        <v>46092.629861111112</v>
      </c>
      <c r="H2299" s="7">
        <v>46099</v>
      </c>
      <c r="I2299" s="6">
        <v>46094.629861111112</v>
      </c>
      <c r="J2299" s="7">
        <v>46094</v>
      </c>
      <c r="K2299" s="5" t="s">
        <v>1527</v>
      </c>
      <c r="L2299" s="5" t="s">
        <v>1621</v>
      </c>
      <c r="M2299" s="8">
        <v>7</v>
      </c>
      <c r="N2299" s="5" t="s">
        <v>1536</v>
      </c>
      <c r="O2299" s="7">
        <v>46094</v>
      </c>
    </row>
    <row r="2300" spans="1:15" x14ac:dyDescent="0.25">
      <c r="A2300" s="5" t="s">
        <v>4</v>
      </c>
      <c r="B2300" s="5" t="s">
        <v>7389</v>
      </c>
      <c r="D2300" s="5" t="s">
        <v>1459</v>
      </c>
      <c r="E2300" s="5" t="s">
        <v>3344</v>
      </c>
      <c r="F2300" s="5" t="s">
        <v>7390</v>
      </c>
      <c r="G2300" s="6">
        <v>46077.705555555556</v>
      </c>
      <c r="H2300" s="7">
        <v>46086</v>
      </c>
      <c r="I2300" s="5" t="s">
        <v>7391</v>
      </c>
      <c r="J2300" s="7">
        <v>46083</v>
      </c>
      <c r="K2300" s="5" t="s">
        <v>1527</v>
      </c>
      <c r="L2300" s="5" t="s">
        <v>1621</v>
      </c>
      <c r="M2300" s="8">
        <v>6.9</v>
      </c>
      <c r="N2300" s="5" t="s">
        <v>1536</v>
      </c>
      <c r="O2300" s="7">
        <v>46083</v>
      </c>
    </row>
    <row r="2301" spans="1:15" hidden="1" x14ac:dyDescent="0.25">
      <c r="A2301" s="5" t="s">
        <v>1522</v>
      </c>
      <c r="B2301" s="5" t="s">
        <v>7392</v>
      </c>
      <c r="D2301" s="5" t="s">
        <v>1510</v>
      </c>
      <c r="E2301" s="5" t="s">
        <v>2466</v>
      </c>
      <c r="F2301" s="5" t="s">
        <v>6467</v>
      </c>
      <c r="G2301" s="6">
        <v>46050.677083333336</v>
      </c>
      <c r="H2301" s="7">
        <v>46055</v>
      </c>
      <c r="I2301" s="6">
        <v>46055.640277777777</v>
      </c>
      <c r="J2301" s="7">
        <v>46055</v>
      </c>
      <c r="K2301" s="5" t="s">
        <v>1527</v>
      </c>
      <c r="L2301" s="5" t="s">
        <v>1621</v>
      </c>
      <c r="M2301" s="8">
        <v>6.3</v>
      </c>
      <c r="N2301" s="5" t="s">
        <v>1536</v>
      </c>
      <c r="O2301" s="7">
        <v>46055</v>
      </c>
    </row>
    <row r="2302" spans="1:15" hidden="1" x14ac:dyDescent="0.25">
      <c r="A2302" s="5" t="s">
        <v>1522</v>
      </c>
      <c r="B2302" s="5" t="s">
        <v>7393</v>
      </c>
      <c r="D2302" s="5" t="s">
        <v>1510</v>
      </c>
      <c r="E2302" s="5" t="s">
        <v>2466</v>
      </c>
      <c r="F2302" s="5" t="s">
        <v>5986</v>
      </c>
      <c r="G2302" s="6">
        <v>46066.661805555559</v>
      </c>
      <c r="H2302" s="7">
        <v>46069</v>
      </c>
      <c r="I2302" s="5" t="s">
        <v>7394</v>
      </c>
      <c r="J2302" s="7">
        <v>46073</v>
      </c>
      <c r="K2302" s="5" t="s">
        <v>1527</v>
      </c>
      <c r="L2302" s="5" t="s">
        <v>1621</v>
      </c>
      <c r="M2302" s="8">
        <v>6</v>
      </c>
      <c r="N2302" s="5" t="s">
        <v>1536</v>
      </c>
      <c r="O2302" s="7">
        <v>46073</v>
      </c>
    </row>
    <row r="2303" spans="1:15" hidden="1" x14ac:dyDescent="0.25">
      <c r="A2303" s="5" t="s">
        <v>1522</v>
      </c>
      <c r="B2303" s="5" t="s">
        <v>7395</v>
      </c>
      <c r="D2303" s="5" t="s">
        <v>1510</v>
      </c>
      <c r="E2303" s="5" t="s">
        <v>2466</v>
      </c>
      <c r="F2303" s="5" t="s">
        <v>5986</v>
      </c>
      <c r="G2303" s="6">
        <v>46079.654861111114</v>
      </c>
      <c r="H2303" s="7">
        <v>46084</v>
      </c>
      <c r="I2303" s="5" t="s">
        <v>7396</v>
      </c>
      <c r="J2303" s="7">
        <v>46086</v>
      </c>
      <c r="K2303" s="5" t="s">
        <v>1527</v>
      </c>
      <c r="L2303" s="5" t="s">
        <v>1621</v>
      </c>
      <c r="M2303" s="8">
        <v>6</v>
      </c>
      <c r="N2303" s="5" t="s">
        <v>1536</v>
      </c>
      <c r="O2303" s="7">
        <v>46086</v>
      </c>
    </row>
    <row r="2304" spans="1:15" x14ac:dyDescent="0.25">
      <c r="A2304" s="5" t="s">
        <v>4</v>
      </c>
      <c r="B2304" s="5" t="s">
        <v>7397</v>
      </c>
      <c r="D2304" s="5" t="s">
        <v>1459</v>
      </c>
      <c r="E2304" s="5" t="s">
        <v>3344</v>
      </c>
      <c r="F2304" s="5" t="s">
        <v>7398</v>
      </c>
      <c r="G2304" s="6">
        <v>46077.713888888888</v>
      </c>
      <c r="H2304" s="7">
        <v>46086</v>
      </c>
      <c r="I2304" s="5" t="s">
        <v>7399</v>
      </c>
      <c r="J2304" s="7">
        <v>46087</v>
      </c>
      <c r="K2304" s="5" t="s">
        <v>1527</v>
      </c>
      <c r="L2304" s="5" t="s">
        <v>1621</v>
      </c>
      <c r="M2304" s="8">
        <v>5.9</v>
      </c>
      <c r="N2304" s="5" t="s">
        <v>1536</v>
      </c>
      <c r="O2304" s="7">
        <v>46087</v>
      </c>
    </row>
    <row r="2305" spans="1:15" hidden="1" x14ac:dyDescent="0.25">
      <c r="A2305" s="5" t="s">
        <v>1522</v>
      </c>
      <c r="B2305" s="5" t="s">
        <v>7400</v>
      </c>
      <c r="D2305" s="5" t="s">
        <v>1510</v>
      </c>
      <c r="E2305" s="5" t="s">
        <v>2466</v>
      </c>
      <c r="F2305" s="5" t="s">
        <v>3389</v>
      </c>
      <c r="G2305" s="6">
        <v>46043.640277777777</v>
      </c>
      <c r="H2305" s="7">
        <v>46048</v>
      </c>
      <c r="I2305" s="6">
        <v>46045.697222222225</v>
      </c>
      <c r="J2305" s="7">
        <v>46045</v>
      </c>
      <c r="K2305" s="5" t="s">
        <v>1527</v>
      </c>
      <c r="L2305" s="5" t="s">
        <v>1621</v>
      </c>
      <c r="M2305" s="9">
        <v>5.76</v>
      </c>
      <c r="N2305" s="5" t="s">
        <v>1536</v>
      </c>
      <c r="O2305" s="7">
        <v>46045</v>
      </c>
    </row>
    <row r="2306" spans="1:15" hidden="1" x14ac:dyDescent="0.25">
      <c r="A2306" s="5" t="s">
        <v>1522</v>
      </c>
      <c r="B2306" s="5" t="s">
        <v>7401</v>
      </c>
      <c r="D2306" s="5" t="s">
        <v>1510</v>
      </c>
      <c r="E2306" s="5" t="s">
        <v>2466</v>
      </c>
      <c r="F2306" s="5" t="s">
        <v>3389</v>
      </c>
      <c r="G2306" s="6">
        <v>46127.461805555555</v>
      </c>
      <c r="H2306" s="7">
        <v>46129</v>
      </c>
      <c r="I2306" s="6">
        <v>46129.591666666667</v>
      </c>
      <c r="J2306" s="7">
        <v>46129</v>
      </c>
      <c r="K2306" s="5" t="s">
        <v>1527</v>
      </c>
      <c r="L2306" s="5" t="s">
        <v>1621</v>
      </c>
      <c r="M2306" s="8">
        <v>5.76</v>
      </c>
      <c r="N2306" s="5" t="s">
        <v>1529</v>
      </c>
      <c r="O2306" s="7">
        <v>46129</v>
      </c>
    </row>
    <row r="2307" spans="1:15" hidden="1" x14ac:dyDescent="0.25">
      <c r="A2307" s="5" t="s">
        <v>1522</v>
      </c>
      <c r="B2307" s="5" t="s">
        <v>7402</v>
      </c>
      <c r="D2307" s="5" t="s">
        <v>1510</v>
      </c>
      <c r="E2307" s="5" t="s">
        <v>2466</v>
      </c>
      <c r="F2307" s="5" t="s">
        <v>6467</v>
      </c>
      <c r="G2307" s="6">
        <v>46092.631944444445</v>
      </c>
      <c r="H2307" s="7">
        <v>46099</v>
      </c>
      <c r="I2307" s="6">
        <v>46094.629166666666</v>
      </c>
      <c r="J2307" s="7">
        <v>46094</v>
      </c>
      <c r="K2307" s="5" t="s">
        <v>1527</v>
      </c>
      <c r="L2307" s="5" t="s">
        <v>1621</v>
      </c>
      <c r="M2307" s="8">
        <v>5.4</v>
      </c>
      <c r="N2307" s="5" t="s">
        <v>1536</v>
      </c>
      <c r="O2307" s="7">
        <v>46094</v>
      </c>
    </row>
    <row r="2308" spans="1:15" hidden="1" x14ac:dyDescent="0.25">
      <c r="A2308" s="5" t="s">
        <v>1522</v>
      </c>
      <c r="B2308" s="5" t="s">
        <v>7403</v>
      </c>
      <c r="D2308" s="5" t="s">
        <v>1510</v>
      </c>
      <c r="E2308" s="5" t="s">
        <v>2466</v>
      </c>
      <c r="F2308" s="5" t="s">
        <v>5575</v>
      </c>
      <c r="G2308" s="6">
        <v>46078.436111111114</v>
      </c>
      <c r="H2308" s="7">
        <v>46078</v>
      </c>
      <c r="I2308" s="6">
        <v>46078.686111111114</v>
      </c>
      <c r="J2308" s="7">
        <v>46078</v>
      </c>
      <c r="K2308" s="5" t="s">
        <v>1527</v>
      </c>
      <c r="L2308" s="5" t="s">
        <v>1621</v>
      </c>
      <c r="M2308" s="8">
        <v>4.2</v>
      </c>
      <c r="N2308" s="5" t="s">
        <v>1536</v>
      </c>
      <c r="O2308" s="7">
        <v>46078</v>
      </c>
    </row>
    <row r="2309" spans="1:15" x14ac:dyDescent="0.25">
      <c r="A2309" s="5" t="s">
        <v>4</v>
      </c>
      <c r="B2309" s="5" t="s">
        <v>7404</v>
      </c>
      <c r="D2309" s="5" t="s">
        <v>462</v>
      </c>
      <c r="E2309" s="5" t="s">
        <v>7405</v>
      </c>
      <c r="F2309" s="5" t="s">
        <v>7406</v>
      </c>
      <c r="G2309" s="6">
        <v>46136.679166666669</v>
      </c>
      <c r="H2309" s="7">
        <v>46139</v>
      </c>
      <c r="I2309" s="5" t="s">
        <v>7407</v>
      </c>
      <c r="J2309" s="7">
        <v>46139</v>
      </c>
      <c r="K2309" s="5" t="s">
        <v>1527</v>
      </c>
      <c r="L2309" s="5" t="s">
        <v>1621</v>
      </c>
      <c r="M2309" s="8">
        <v>3.3</v>
      </c>
      <c r="N2309" s="5" t="s">
        <v>1536</v>
      </c>
      <c r="O2309" s="7">
        <v>46139</v>
      </c>
    </row>
    <row r="2310" spans="1:15" hidden="1" x14ac:dyDescent="0.25">
      <c r="A2310" s="5" t="s">
        <v>1522</v>
      </c>
      <c r="B2310" s="5" t="s">
        <v>7408</v>
      </c>
      <c r="D2310" s="5" t="s">
        <v>1498</v>
      </c>
      <c r="E2310" s="5" t="s">
        <v>2487</v>
      </c>
      <c r="F2310" s="5" t="s">
        <v>7409</v>
      </c>
      <c r="G2310" s="6">
        <v>46028.712500000001</v>
      </c>
      <c r="H2310" s="7">
        <v>46029</v>
      </c>
      <c r="I2310" s="5" t="s">
        <v>7410</v>
      </c>
      <c r="J2310" s="7">
        <v>46034</v>
      </c>
      <c r="K2310" s="5" t="s">
        <v>1527</v>
      </c>
      <c r="L2310" s="5" t="s">
        <v>1528</v>
      </c>
      <c r="M2310" s="8">
        <v>0</v>
      </c>
      <c r="N2310" s="5" t="s">
        <v>1536</v>
      </c>
      <c r="O2310" s="7">
        <v>46034</v>
      </c>
    </row>
  </sheetData>
  <autoFilter ref="A1:O2310" xr:uid="{DE7A58C7-AE60-4D89-922E-A09984DD0556}">
    <filterColumn colId="0">
      <filters>
        <filter val="Iplacas"/>
      </filters>
    </filterColumn>
    <sortState xmlns:xlrd2="http://schemas.microsoft.com/office/spreadsheetml/2017/richdata2" ref="A2:O2310">
      <sortCondition descending="1" ref="M1:M2310"/>
    </sortState>
  </autoFilter>
  <sortState xmlns:xlrd2="http://schemas.microsoft.com/office/spreadsheetml/2017/richdata2" ref="B2:O709">
    <sortCondition ref="B2:B709"/>
  </sortState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B9536-F822-4CA0-99F6-780E2B8E30D0}">
  <dimension ref="A3:N16"/>
  <sheetViews>
    <sheetView tabSelected="1" workbookViewId="0">
      <selection activeCell="L15" sqref="L15"/>
    </sheetView>
  </sheetViews>
  <sheetFormatPr defaultRowHeight="15" x14ac:dyDescent="0.25"/>
  <cols>
    <col min="1" max="1" width="21.140625" bestFit="1" customWidth="1"/>
    <col min="2" max="6" width="9.5703125" bestFit="1" customWidth="1"/>
    <col min="14" max="14" width="10.5703125" bestFit="1" customWidth="1"/>
    <col min="15" max="15" width="9" customWidth="1"/>
  </cols>
  <sheetData>
    <row r="3" spans="1:14" x14ac:dyDescent="0.25">
      <c r="A3" s="11" t="s">
        <v>7414</v>
      </c>
    </row>
    <row r="4" spans="1:14" x14ac:dyDescent="0.25">
      <c r="A4" s="17" t="s">
        <v>7415</v>
      </c>
      <c r="B4" s="11" t="s">
        <v>7416</v>
      </c>
      <c r="C4" s="11" t="s">
        <v>7417</v>
      </c>
      <c r="D4" s="11" t="s">
        <v>7418</v>
      </c>
      <c r="E4" s="11" t="s">
        <v>7419</v>
      </c>
      <c r="F4" s="11" t="s">
        <v>7420</v>
      </c>
      <c r="G4" s="11" t="s">
        <v>7421</v>
      </c>
      <c r="H4" s="11" t="s">
        <v>7422</v>
      </c>
      <c r="I4" s="11" t="s">
        <v>7423</v>
      </c>
      <c r="J4" s="11" t="s">
        <v>7424</v>
      </c>
      <c r="K4" s="11" t="s">
        <v>7425</v>
      </c>
      <c r="L4" s="11" t="s">
        <v>7426</v>
      </c>
      <c r="M4" s="11" t="s">
        <v>7427</v>
      </c>
      <c r="N4" s="11" t="s">
        <v>7428</v>
      </c>
    </row>
    <row r="5" spans="1:14" x14ac:dyDescent="0.25">
      <c r="A5" s="11" t="s">
        <v>1522</v>
      </c>
      <c r="B5" s="19">
        <v>2000</v>
      </c>
      <c r="C5" s="19">
        <v>1000</v>
      </c>
      <c r="D5" s="19">
        <v>1000</v>
      </c>
      <c r="E5" s="19">
        <v>1500</v>
      </c>
      <c r="F5" s="19">
        <v>1000</v>
      </c>
      <c r="G5" s="19"/>
      <c r="H5" s="19"/>
      <c r="I5" s="19"/>
      <c r="J5" s="19"/>
      <c r="K5" s="19"/>
      <c r="L5" s="19"/>
      <c r="M5" s="19"/>
      <c r="N5" s="14">
        <f>SUM(B5:M5)</f>
        <v>6500</v>
      </c>
    </row>
    <row r="6" spans="1:14" x14ac:dyDescent="0.25">
      <c r="A6" s="11" t="s">
        <v>4</v>
      </c>
      <c r="B6" s="19">
        <v>7589</v>
      </c>
      <c r="C6" s="19">
        <v>6329</v>
      </c>
      <c r="D6" s="19">
        <v>7438</v>
      </c>
      <c r="E6" s="19">
        <v>6643</v>
      </c>
      <c r="F6" s="19">
        <v>7271</v>
      </c>
      <c r="G6" s="19"/>
      <c r="H6" s="19"/>
      <c r="I6" s="19"/>
      <c r="J6" s="19"/>
      <c r="K6" s="19"/>
      <c r="L6" s="19"/>
      <c r="M6" s="19"/>
      <c r="N6" s="14">
        <f>SUM(B6:M6)</f>
        <v>35270</v>
      </c>
    </row>
    <row r="7" spans="1:14" x14ac:dyDescent="0.25">
      <c r="A7" s="11" t="s">
        <v>7411</v>
      </c>
      <c r="B7" s="19">
        <v>418</v>
      </c>
      <c r="C7" s="19">
        <v>6001.73</v>
      </c>
      <c r="D7" s="19">
        <v>4965</v>
      </c>
      <c r="E7" s="19">
        <v>3435</v>
      </c>
      <c r="F7" s="19">
        <v>7682</v>
      </c>
      <c r="N7" s="14">
        <f t="shared" ref="N7:N9" si="0">SUM(B7:M7)</f>
        <v>22501.73</v>
      </c>
    </row>
    <row r="8" spans="1:14" x14ac:dyDescent="0.25">
      <c r="A8" s="11" t="s">
        <v>7412</v>
      </c>
      <c r="B8" s="19">
        <v>171</v>
      </c>
      <c r="C8" s="19">
        <v>2087.61</v>
      </c>
      <c r="D8" s="19">
        <v>1857</v>
      </c>
      <c r="E8" s="19">
        <v>2018</v>
      </c>
      <c r="F8" s="19">
        <v>3586.95</v>
      </c>
      <c r="N8" s="14">
        <f t="shared" si="0"/>
        <v>9720.5600000000013</v>
      </c>
    </row>
    <row r="9" spans="1:14" x14ac:dyDescent="0.25">
      <c r="A9" s="11" t="s">
        <v>7413</v>
      </c>
      <c r="B9" s="19">
        <v>11200</v>
      </c>
      <c r="C9" s="19">
        <v>10100</v>
      </c>
      <c r="D9" s="19">
        <v>9400</v>
      </c>
      <c r="E9" s="19">
        <v>8300</v>
      </c>
      <c r="F9" s="19">
        <v>8000</v>
      </c>
      <c r="N9" s="14">
        <f t="shared" si="0"/>
        <v>47000</v>
      </c>
    </row>
    <row r="10" spans="1:14" x14ac:dyDescent="0.25">
      <c r="B10" s="12"/>
      <c r="M10" s="11"/>
      <c r="N10" s="15"/>
    </row>
    <row r="11" spans="1:14" x14ac:dyDescent="0.25">
      <c r="B11" s="12"/>
    </row>
    <row r="12" spans="1:14" x14ac:dyDescent="0.25">
      <c r="B12" s="12"/>
    </row>
    <row r="13" spans="1:14" x14ac:dyDescent="0.25">
      <c r="B13" s="12"/>
    </row>
    <row r="14" spans="1:14" x14ac:dyDescent="0.25">
      <c r="B14" s="12"/>
    </row>
    <row r="15" spans="1:14" x14ac:dyDescent="0.25">
      <c r="B15" s="12"/>
    </row>
    <row r="16" spans="1:14" x14ac:dyDescent="0.25">
      <c r="B16" s="12"/>
    </row>
  </sheetData>
  <phoneticPr fontId="20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AC2F-0214-40C6-B135-E3EA079F6673}">
  <dimension ref="A1:J9"/>
  <sheetViews>
    <sheetView workbookViewId="0">
      <selection activeCell="E3" sqref="E3"/>
    </sheetView>
  </sheetViews>
  <sheetFormatPr defaultRowHeight="15" x14ac:dyDescent="0.25"/>
  <cols>
    <col min="3" max="3" width="24.140625" bestFit="1" customWidth="1"/>
    <col min="4" max="4" width="16.85546875" bestFit="1" customWidth="1"/>
    <col min="10" max="10" width="22.5703125" bestFit="1" customWidth="1"/>
  </cols>
  <sheetData>
    <row r="1" spans="1:10" x14ac:dyDescent="0.25">
      <c r="A1" s="13" t="s">
        <v>7429</v>
      </c>
      <c r="B1" s="13" t="s">
        <v>7430</v>
      </c>
      <c r="C1" s="13" t="s">
        <v>7431</v>
      </c>
      <c r="D1" s="13" t="s">
        <v>7432</v>
      </c>
      <c r="E1" s="13" t="s">
        <v>7433</v>
      </c>
      <c r="F1" s="13" t="s">
        <v>7434</v>
      </c>
    </row>
    <row r="2" spans="1:10" x14ac:dyDescent="0.25">
      <c r="A2">
        <v>25123</v>
      </c>
      <c r="B2" s="21">
        <v>2</v>
      </c>
      <c r="C2" t="s">
        <v>7435</v>
      </c>
      <c r="D2" s="22">
        <v>15</v>
      </c>
      <c r="E2" s="21">
        <v>6</v>
      </c>
      <c r="F2" s="21">
        <v>2026</v>
      </c>
      <c r="J2" s="11" t="s">
        <v>7436</v>
      </c>
    </row>
    <row r="3" spans="1:10" x14ac:dyDescent="0.25">
      <c r="A3">
        <v>25124</v>
      </c>
      <c r="B3" s="21">
        <v>1</v>
      </c>
      <c r="C3" t="s">
        <v>7437</v>
      </c>
      <c r="D3" s="22">
        <v>15</v>
      </c>
      <c r="E3" s="21">
        <v>6</v>
      </c>
      <c r="F3" s="21">
        <v>2026</v>
      </c>
      <c r="J3" t="s">
        <v>7438</v>
      </c>
    </row>
    <row r="4" spans="1:10" x14ac:dyDescent="0.25">
      <c r="A4" t="s">
        <v>1523</v>
      </c>
      <c r="B4">
        <v>2</v>
      </c>
      <c r="C4" t="s">
        <v>7439</v>
      </c>
      <c r="D4" s="22">
        <v>1</v>
      </c>
      <c r="E4" s="21">
        <v>5</v>
      </c>
      <c r="F4" s="21">
        <v>2026</v>
      </c>
      <c r="J4" t="s">
        <v>7440</v>
      </c>
    </row>
    <row r="5" spans="1:10" x14ac:dyDescent="0.25">
      <c r="J5" t="s">
        <v>7439</v>
      </c>
    </row>
    <row r="6" spans="1:10" x14ac:dyDescent="0.25">
      <c r="J6" t="s">
        <v>7441</v>
      </c>
    </row>
    <row r="7" spans="1:10" x14ac:dyDescent="0.25">
      <c r="J7" t="s">
        <v>7442</v>
      </c>
    </row>
    <row r="8" spans="1:10" x14ac:dyDescent="0.25">
      <c r="J8" t="s">
        <v>7443</v>
      </c>
    </row>
    <row r="9" spans="1:10" x14ac:dyDescent="0.25">
      <c r="J9" t="s">
        <v>7444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CEF33-2F8F-4F2C-BBD5-1D9018176C81}">
  <dimension ref="A1:O8"/>
  <sheetViews>
    <sheetView workbookViewId="0">
      <selection activeCell="H16" sqref="H16"/>
    </sheetView>
  </sheetViews>
  <sheetFormatPr defaultRowHeight="15" x14ac:dyDescent="0.25"/>
  <cols>
    <col min="1" max="1" width="20.5703125" bestFit="1" customWidth="1"/>
    <col min="2" max="13" width="11.5703125" bestFit="1" customWidth="1"/>
    <col min="14" max="14" width="13.28515625" bestFit="1" customWidth="1"/>
    <col min="15" max="15" width="14.140625" bestFit="1" customWidth="1"/>
  </cols>
  <sheetData>
    <row r="1" spans="1:15" x14ac:dyDescent="0.25">
      <c r="A1" s="20" t="s">
        <v>7445</v>
      </c>
    </row>
    <row r="2" spans="1:15" s="18" customFormat="1" x14ac:dyDescent="0.25">
      <c r="A2" s="17" t="s">
        <v>7415</v>
      </c>
      <c r="B2" s="17" t="s">
        <v>7416</v>
      </c>
      <c r="C2" s="17" t="s">
        <v>7417</v>
      </c>
      <c r="D2" s="17" t="s">
        <v>7418</v>
      </c>
      <c r="E2" s="17" t="s">
        <v>7419</v>
      </c>
      <c r="F2" s="17" t="s">
        <v>7420</v>
      </c>
      <c r="G2" s="17" t="s">
        <v>7421</v>
      </c>
      <c r="H2" s="17" t="s">
        <v>7422</v>
      </c>
      <c r="I2" s="17" t="s">
        <v>7423</v>
      </c>
      <c r="J2" s="17" t="s">
        <v>7424</v>
      </c>
      <c r="K2" s="17" t="s">
        <v>7425</v>
      </c>
      <c r="L2" s="17" t="s">
        <v>7426</v>
      </c>
      <c r="M2" s="17" t="s">
        <v>7427</v>
      </c>
      <c r="N2" s="17" t="s">
        <v>7428</v>
      </c>
      <c r="O2" s="17" t="s">
        <v>7446</v>
      </c>
    </row>
    <row r="3" spans="1:15" x14ac:dyDescent="0.25">
      <c r="A3" s="11" t="s">
        <v>1522</v>
      </c>
      <c r="B3" s="12">
        <v>50000</v>
      </c>
      <c r="C3" s="12">
        <v>50000</v>
      </c>
      <c r="D3" s="12">
        <v>50000</v>
      </c>
      <c r="E3" s="12">
        <v>50000</v>
      </c>
      <c r="F3" s="12">
        <v>50000</v>
      </c>
      <c r="G3" s="12">
        <v>50000</v>
      </c>
      <c r="H3" s="12">
        <v>70000</v>
      </c>
      <c r="I3" s="12">
        <v>70000</v>
      </c>
      <c r="J3" s="12">
        <v>70000</v>
      </c>
      <c r="K3" s="12">
        <v>70000</v>
      </c>
      <c r="L3" s="12">
        <v>60000</v>
      </c>
      <c r="M3" s="12">
        <v>50000</v>
      </c>
      <c r="N3" s="14">
        <f>SUM(B3:M3)</f>
        <v>690000</v>
      </c>
      <c r="O3" s="16">
        <f>N3/$N$8</f>
        <v>0.12376681614349776</v>
      </c>
    </row>
    <row r="4" spans="1:15" x14ac:dyDescent="0.25">
      <c r="A4" s="11" t="s">
        <v>7447</v>
      </c>
      <c r="B4" s="12">
        <v>25000</v>
      </c>
      <c r="C4" s="12">
        <v>25000</v>
      </c>
      <c r="D4" s="12">
        <v>25000</v>
      </c>
      <c r="E4" s="12">
        <v>25000</v>
      </c>
      <c r="F4" s="12">
        <v>25000</v>
      </c>
      <c r="G4" s="12">
        <v>30000</v>
      </c>
      <c r="H4" s="12">
        <v>30000</v>
      </c>
      <c r="I4" s="12">
        <v>30000</v>
      </c>
      <c r="J4" s="12">
        <v>35000</v>
      </c>
      <c r="K4" s="12">
        <v>35000</v>
      </c>
      <c r="L4" s="12">
        <v>35000</v>
      </c>
      <c r="M4" s="12">
        <v>35000</v>
      </c>
      <c r="N4" s="14">
        <f>SUM(B4:M4)</f>
        <v>355000</v>
      </c>
      <c r="O4" s="16">
        <f>N4/$N$8</f>
        <v>6.3677130044843044E-2</v>
      </c>
    </row>
    <row r="5" spans="1:15" x14ac:dyDescent="0.25">
      <c r="A5" s="11" t="s">
        <v>4</v>
      </c>
      <c r="B5" s="12">
        <v>160000</v>
      </c>
      <c r="C5" s="12">
        <v>160000</v>
      </c>
      <c r="D5" s="12">
        <v>160000</v>
      </c>
      <c r="E5" s="12">
        <v>160000</v>
      </c>
      <c r="F5" s="12">
        <v>160000</v>
      </c>
      <c r="G5" s="12">
        <v>160000</v>
      </c>
      <c r="H5" s="12">
        <v>170000</v>
      </c>
      <c r="I5" s="12">
        <v>180000</v>
      </c>
      <c r="J5" s="12">
        <v>180000</v>
      </c>
      <c r="K5" s="12">
        <v>180000</v>
      </c>
      <c r="L5" s="12">
        <v>150000</v>
      </c>
      <c r="M5" s="12">
        <v>130000</v>
      </c>
      <c r="N5" s="14">
        <f>SUM(B5:M5)</f>
        <v>1950000</v>
      </c>
      <c r="O5" s="16">
        <f>N5/$N$8</f>
        <v>0.34977578475336324</v>
      </c>
    </row>
    <row r="6" spans="1:15" x14ac:dyDescent="0.25">
      <c r="A6" s="11" t="s">
        <v>7448</v>
      </c>
      <c r="B6" s="12">
        <v>140000</v>
      </c>
      <c r="C6" s="12">
        <v>140000</v>
      </c>
      <c r="D6" s="12">
        <v>140000</v>
      </c>
      <c r="E6" s="12">
        <v>140000</v>
      </c>
      <c r="F6" s="12">
        <v>140000</v>
      </c>
      <c r="G6" s="12">
        <v>140000</v>
      </c>
      <c r="H6" s="12">
        <v>140000</v>
      </c>
      <c r="I6" s="12">
        <v>140000</v>
      </c>
      <c r="J6" s="12">
        <v>140000</v>
      </c>
      <c r="K6" s="12">
        <v>140000</v>
      </c>
      <c r="L6" s="12">
        <v>140000</v>
      </c>
      <c r="M6" s="12">
        <v>140000</v>
      </c>
      <c r="N6" s="14">
        <f>SUM(B6:M6)</f>
        <v>1680000</v>
      </c>
      <c r="O6" s="16">
        <f>N6/$N$8</f>
        <v>0.30134529147982064</v>
      </c>
    </row>
    <row r="7" spans="1:15" x14ac:dyDescent="0.25">
      <c r="A7" s="11" t="s">
        <v>7413</v>
      </c>
      <c r="B7" s="12">
        <v>75000</v>
      </c>
      <c r="C7" s="12">
        <v>75000</v>
      </c>
      <c r="D7" s="12">
        <v>75000</v>
      </c>
      <c r="E7" s="12">
        <v>75000</v>
      </c>
      <c r="F7" s="12">
        <v>75000</v>
      </c>
      <c r="G7" s="12">
        <v>75000</v>
      </c>
      <c r="H7" s="12">
        <v>75000</v>
      </c>
      <c r="I7" s="12">
        <v>75000</v>
      </c>
      <c r="J7" s="12">
        <v>75000</v>
      </c>
      <c r="K7" s="12">
        <v>75000</v>
      </c>
      <c r="L7" s="12">
        <v>75000</v>
      </c>
      <c r="M7" s="12">
        <v>75000</v>
      </c>
      <c r="N7" s="14">
        <f>SUM(B7:M7)</f>
        <v>900000</v>
      </c>
      <c r="O7" s="16">
        <f>N7/$N$8</f>
        <v>0.16143497757847533</v>
      </c>
    </row>
    <row r="8" spans="1:15" x14ac:dyDescent="0.25">
      <c r="M8" s="11" t="s">
        <v>7428</v>
      </c>
      <c r="N8" s="15">
        <f>SUM(N3:N7)</f>
        <v>5575000</v>
      </c>
    </row>
  </sheetData>
  <phoneticPr fontId="20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FC09-624F-4262-B5DF-2622ABE975AA}">
  <sheetPr filterMode="1"/>
  <dimension ref="A1:L3029"/>
  <sheetViews>
    <sheetView zoomScale="70" zoomScaleNormal="70" workbookViewId="0">
      <selection activeCell="N747" sqref="N747"/>
    </sheetView>
  </sheetViews>
  <sheetFormatPr defaultRowHeight="15" x14ac:dyDescent="0.25"/>
  <cols>
    <col min="1" max="12" width="24.42578125" customWidth="1"/>
  </cols>
  <sheetData>
    <row r="1" spans="1:12" x14ac:dyDescent="0.25">
      <c r="A1" s="4" t="s">
        <v>7449</v>
      </c>
      <c r="B1" s="4" t="s">
        <v>3</v>
      </c>
      <c r="C1" s="4" t="s">
        <v>1511</v>
      </c>
      <c r="D1" s="4" t="s">
        <v>7450</v>
      </c>
      <c r="E1" s="4" t="s">
        <v>1512</v>
      </c>
      <c r="F1" s="4" t="s">
        <v>7451</v>
      </c>
      <c r="G1" s="4" t="s">
        <v>7452</v>
      </c>
      <c r="H1" s="4" t="s">
        <v>1517</v>
      </c>
      <c r="I1" s="4" t="s">
        <v>1518</v>
      </c>
      <c r="J1" s="4" t="s">
        <v>1519</v>
      </c>
      <c r="K1" s="4" t="s">
        <v>0</v>
      </c>
      <c r="L1" s="4" t="s">
        <v>7433</v>
      </c>
    </row>
    <row r="2" spans="1:12" hidden="1" x14ac:dyDescent="0.25">
      <c r="A2" s="5">
        <v>45783</v>
      </c>
      <c r="B2" t="s">
        <v>7453</v>
      </c>
      <c r="C2" s="5" t="s">
        <v>7454</v>
      </c>
      <c r="D2" t="s">
        <v>7455</v>
      </c>
      <c r="E2" s="5" t="s">
        <v>1548</v>
      </c>
      <c r="F2" s="6">
        <v>46027.352777777778</v>
      </c>
      <c r="G2" s="5" t="s">
        <v>7456</v>
      </c>
      <c r="H2" s="5" t="s">
        <v>7457</v>
      </c>
      <c r="I2" s="5" t="s">
        <v>1528</v>
      </c>
      <c r="J2" s="8">
        <v>198</v>
      </c>
      <c r="K2" s="5" t="s">
        <v>1522</v>
      </c>
      <c r="L2">
        <f>MONTH(F2)</f>
        <v>1</v>
      </c>
    </row>
    <row r="3" spans="1:12" hidden="1" x14ac:dyDescent="0.25">
      <c r="A3" s="5">
        <v>45784</v>
      </c>
      <c r="B3" t="s">
        <v>7458</v>
      </c>
      <c r="C3" s="5" t="s">
        <v>177</v>
      </c>
      <c r="D3" t="s">
        <v>7459</v>
      </c>
      <c r="E3" s="5" t="s">
        <v>4297</v>
      </c>
      <c r="F3" s="6">
        <v>46027.361111111109</v>
      </c>
      <c r="G3" s="5" t="s">
        <v>7456</v>
      </c>
      <c r="H3" s="5" t="s">
        <v>7460</v>
      </c>
      <c r="I3" s="5" t="s">
        <v>1528</v>
      </c>
      <c r="J3" s="8">
        <v>220</v>
      </c>
      <c r="K3" s="5" t="s">
        <v>1522</v>
      </c>
      <c r="L3">
        <f t="shared" ref="L3:L66" si="0">MONTH(F3)</f>
        <v>1</v>
      </c>
    </row>
    <row r="4" spans="1:12" hidden="1" x14ac:dyDescent="0.25">
      <c r="A4" s="5">
        <v>45785</v>
      </c>
      <c r="B4" t="s">
        <v>7461</v>
      </c>
      <c r="C4" s="5" t="s">
        <v>7462</v>
      </c>
      <c r="D4" t="s">
        <v>7463</v>
      </c>
      <c r="E4" s="5" t="s">
        <v>2488</v>
      </c>
      <c r="F4" s="6">
        <v>46027.40625</v>
      </c>
      <c r="G4" s="5" t="s">
        <v>7456</v>
      </c>
      <c r="H4" s="5" t="s">
        <v>7464</v>
      </c>
      <c r="I4" s="5" t="s">
        <v>1528</v>
      </c>
      <c r="J4" s="8">
        <v>616</v>
      </c>
      <c r="K4" s="5" t="s">
        <v>1522</v>
      </c>
      <c r="L4">
        <f t="shared" si="0"/>
        <v>1</v>
      </c>
    </row>
    <row r="5" spans="1:12" hidden="1" x14ac:dyDescent="0.25">
      <c r="A5" s="5">
        <v>45791</v>
      </c>
      <c r="B5" t="s">
        <v>7465</v>
      </c>
      <c r="C5" s="5" t="s">
        <v>7466</v>
      </c>
      <c r="D5" t="s">
        <v>7467</v>
      </c>
      <c r="E5" s="5" t="s">
        <v>1548</v>
      </c>
      <c r="F5" s="6">
        <v>46027.463194444441</v>
      </c>
      <c r="G5" s="5" t="s">
        <v>7456</v>
      </c>
      <c r="H5" s="5" t="s">
        <v>7468</v>
      </c>
      <c r="I5" s="5" t="s">
        <v>1528</v>
      </c>
      <c r="J5" s="8">
        <v>69</v>
      </c>
      <c r="K5" s="5" t="s">
        <v>1522</v>
      </c>
      <c r="L5">
        <f t="shared" si="0"/>
        <v>1</v>
      </c>
    </row>
    <row r="6" spans="1:12" hidden="1" x14ac:dyDescent="0.25">
      <c r="A6" s="5">
        <v>45802</v>
      </c>
      <c r="B6" t="s">
        <v>7469</v>
      </c>
      <c r="C6" s="5" t="s">
        <v>7470</v>
      </c>
      <c r="D6" t="s">
        <v>7471</v>
      </c>
      <c r="E6" s="5" t="s">
        <v>3389</v>
      </c>
      <c r="F6" s="6">
        <v>46027.67083333333</v>
      </c>
      <c r="G6" s="5" t="s">
        <v>7456</v>
      </c>
      <c r="H6" s="5" t="s">
        <v>7472</v>
      </c>
      <c r="I6" s="5" t="s">
        <v>1621</v>
      </c>
      <c r="J6" s="8">
        <v>137.04</v>
      </c>
      <c r="K6" s="5" t="s">
        <v>1522</v>
      </c>
      <c r="L6">
        <f t="shared" si="0"/>
        <v>1</v>
      </c>
    </row>
    <row r="7" spans="1:12" hidden="1" x14ac:dyDescent="0.25">
      <c r="A7" s="5">
        <v>45805</v>
      </c>
      <c r="B7" t="s">
        <v>7473</v>
      </c>
      <c r="C7" s="5" t="s">
        <v>7474</v>
      </c>
      <c r="D7" t="s">
        <v>7475</v>
      </c>
      <c r="E7" s="5" t="s">
        <v>2872</v>
      </c>
      <c r="F7" s="6">
        <v>46027.708333333336</v>
      </c>
      <c r="G7" s="5" t="s">
        <v>7456</v>
      </c>
      <c r="H7" s="5" t="s">
        <v>7476</v>
      </c>
      <c r="I7" s="5" t="s">
        <v>1528</v>
      </c>
      <c r="J7" s="8">
        <v>498</v>
      </c>
      <c r="K7" s="5" t="s">
        <v>1522</v>
      </c>
      <c r="L7">
        <f t="shared" si="0"/>
        <v>1</v>
      </c>
    </row>
    <row r="8" spans="1:12" hidden="1" x14ac:dyDescent="0.25">
      <c r="A8" s="5">
        <v>45809</v>
      </c>
      <c r="B8" t="s">
        <v>7469</v>
      </c>
      <c r="C8" s="5" t="s">
        <v>7470</v>
      </c>
      <c r="D8" t="s">
        <v>7471</v>
      </c>
      <c r="E8" s="5" t="s">
        <v>2467</v>
      </c>
      <c r="F8" s="6">
        <v>46027.731249999997</v>
      </c>
      <c r="G8" s="5" t="s">
        <v>7456</v>
      </c>
      <c r="H8" s="5" t="s">
        <v>7477</v>
      </c>
      <c r="I8" s="5" t="s">
        <v>1621</v>
      </c>
      <c r="J8" s="8">
        <v>174.8</v>
      </c>
      <c r="K8" s="5" t="s">
        <v>1522</v>
      </c>
      <c r="L8">
        <f t="shared" si="0"/>
        <v>1</v>
      </c>
    </row>
    <row r="9" spans="1:12" hidden="1" x14ac:dyDescent="0.25">
      <c r="A9" s="5">
        <v>45825</v>
      </c>
      <c r="B9" t="s">
        <v>7478</v>
      </c>
      <c r="C9" s="5" t="s">
        <v>7479</v>
      </c>
      <c r="D9" t="s">
        <v>7480</v>
      </c>
      <c r="E9" s="5" t="s">
        <v>7481</v>
      </c>
      <c r="F9" s="6">
        <v>46028.493055555555</v>
      </c>
      <c r="G9" s="5" t="s">
        <v>7456</v>
      </c>
      <c r="H9" t="s">
        <v>7482</v>
      </c>
      <c r="I9" s="5" t="s">
        <v>1528</v>
      </c>
      <c r="J9" s="8">
        <v>560</v>
      </c>
      <c r="K9" s="5" t="s">
        <v>1522</v>
      </c>
      <c r="L9">
        <f t="shared" si="0"/>
        <v>1</v>
      </c>
    </row>
    <row r="10" spans="1:12" hidden="1" x14ac:dyDescent="0.25">
      <c r="A10" s="5">
        <v>45826</v>
      </c>
      <c r="B10" t="s">
        <v>7483</v>
      </c>
      <c r="C10" s="5" t="s">
        <v>7484</v>
      </c>
      <c r="D10" t="s">
        <v>7485</v>
      </c>
      <c r="E10" s="5" t="s">
        <v>1548</v>
      </c>
      <c r="F10" s="6">
        <v>46028.517361111109</v>
      </c>
      <c r="G10" s="5" t="s">
        <v>7456</v>
      </c>
      <c r="H10" s="5" t="s">
        <v>7486</v>
      </c>
      <c r="I10" s="5" t="s">
        <v>1528</v>
      </c>
      <c r="J10" s="8">
        <v>1156</v>
      </c>
      <c r="K10" s="5" t="s">
        <v>1522</v>
      </c>
      <c r="L10">
        <f t="shared" si="0"/>
        <v>1</v>
      </c>
    </row>
    <row r="11" spans="1:12" hidden="1" x14ac:dyDescent="0.25">
      <c r="A11" s="5">
        <v>45838</v>
      </c>
      <c r="B11" t="s">
        <v>7487</v>
      </c>
      <c r="C11" s="5" t="s">
        <v>7488</v>
      </c>
      <c r="D11" t="s">
        <v>7489</v>
      </c>
      <c r="E11" s="5" t="s">
        <v>1548</v>
      </c>
      <c r="F11" s="6">
        <v>46028.645138888889</v>
      </c>
      <c r="G11" s="5" t="s">
        <v>7456</v>
      </c>
      <c r="H11" t="s">
        <v>7482</v>
      </c>
      <c r="I11" s="5" t="s">
        <v>1528</v>
      </c>
      <c r="J11" s="8">
        <v>1620</v>
      </c>
      <c r="K11" s="5" t="s">
        <v>1522</v>
      </c>
      <c r="L11">
        <f t="shared" si="0"/>
        <v>1</v>
      </c>
    </row>
    <row r="12" spans="1:12" hidden="1" x14ac:dyDescent="0.25">
      <c r="A12" s="5">
        <v>45844</v>
      </c>
      <c r="B12" t="s">
        <v>7490</v>
      </c>
      <c r="C12" s="5" t="s">
        <v>7491</v>
      </c>
      <c r="D12" t="s">
        <v>7492</v>
      </c>
      <c r="E12" s="5" t="s">
        <v>2818</v>
      </c>
      <c r="F12" s="6">
        <v>46028.684027777781</v>
      </c>
      <c r="G12" s="5" t="s">
        <v>7456</v>
      </c>
      <c r="H12" s="5" t="s">
        <v>7493</v>
      </c>
      <c r="I12" s="5" t="s">
        <v>1528</v>
      </c>
      <c r="J12" s="8">
        <v>515</v>
      </c>
      <c r="K12" s="5" t="s">
        <v>1522</v>
      </c>
      <c r="L12">
        <f t="shared" si="0"/>
        <v>1</v>
      </c>
    </row>
    <row r="13" spans="1:12" hidden="1" x14ac:dyDescent="0.25">
      <c r="A13" s="5">
        <v>45845</v>
      </c>
      <c r="B13" t="s">
        <v>7461</v>
      </c>
      <c r="C13" s="5" t="s">
        <v>7462</v>
      </c>
      <c r="D13" t="s">
        <v>7463</v>
      </c>
      <c r="E13" s="5" t="s">
        <v>7409</v>
      </c>
      <c r="F13" s="6">
        <v>46028.70208333333</v>
      </c>
      <c r="G13" s="5" t="s">
        <v>7456</v>
      </c>
      <c r="H13" s="5" t="s">
        <v>7494</v>
      </c>
      <c r="I13" s="5" t="s">
        <v>1528</v>
      </c>
      <c r="J13" s="8">
        <v>0</v>
      </c>
      <c r="K13" s="5" t="s">
        <v>1522</v>
      </c>
      <c r="L13">
        <f t="shared" si="0"/>
        <v>1</v>
      </c>
    </row>
    <row r="14" spans="1:12" hidden="1" x14ac:dyDescent="0.25">
      <c r="A14" s="5">
        <v>45861</v>
      </c>
      <c r="B14" t="s">
        <v>7495</v>
      </c>
      <c r="C14" s="5" t="s">
        <v>7496</v>
      </c>
      <c r="D14" t="s">
        <v>7497</v>
      </c>
      <c r="E14" s="5" t="s">
        <v>1926</v>
      </c>
      <c r="F14" s="6">
        <v>46029.640277777777</v>
      </c>
      <c r="G14" s="5" t="s">
        <v>7456</v>
      </c>
      <c r="H14" s="5" t="s">
        <v>7498</v>
      </c>
      <c r="I14" s="5" t="s">
        <v>1528</v>
      </c>
      <c r="J14" s="8">
        <v>1497.95</v>
      </c>
      <c r="K14" s="5" t="s">
        <v>1522</v>
      </c>
      <c r="L14">
        <f t="shared" si="0"/>
        <v>1</v>
      </c>
    </row>
    <row r="15" spans="1:12" hidden="1" x14ac:dyDescent="0.25">
      <c r="A15" s="5">
        <v>45865</v>
      </c>
      <c r="B15" t="s">
        <v>7453</v>
      </c>
      <c r="C15" s="5" t="s">
        <v>7454</v>
      </c>
      <c r="D15" t="s">
        <v>7455</v>
      </c>
      <c r="E15" s="5" t="s">
        <v>1548</v>
      </c>
      <c r="F15" s="6">
        <v>46029.656944444447</v>
      </c>
      <c r="G15" s="5" t="s">
        <v>7456</v>
      </c>
      <c r="H15" s="5" t="s">
        <v>7499</v>
      </c>
      <c r="I15" s="5" t="s">
        <v>1528</v>
      </c>
      <c r="J15" s="8">
        <v>282.5</v>
      </c>
      <c r="K15" s="5" t="s">
        <v>1522</v>
      </c>
      <c r="L15">
        <f t="shared" si="0"/>
        <v>1</v>
      </c>
    </row>
    <row r="16" spans="1:12" hidden="1" x14ac:dyDescent="0.25">
      <c r="A16" s="5">
        <v>45871</v>
      </c>
      <c r="B16" t="s">
        <v>7469</v>
      </c>
      <c r="C16" s="5" t="s">
        <v>7470</v>
      </c>
      <c r="D16" t="s">
        <v>7471</v>
      </c>
      <c r="E16" s="5" t="s">
        <v>3389</v>
      </c>
      <c r="F16" s="6">
        <v>46029.711805555555</v>
      </c>
      <c r="G16" s="5" t="s">
        <v>7456</v>
      </c>
      <c r="H16" s="5" t="s">
        <v>7500</v>
      </c>
      <c r="I16" s="5" t="s">
        <v>1621</v>
      </c>
      <c r="J16" s="8">
        <v>57.6</v>
      </c>
      <c r="K16" s="5" t="s">
        <v>1522</v>
      </c>
      <c r="L16">
        <f t="shared" si="0"/>
        <v>1</v>
      </c>
    </row>
    <row r="17" spans="1:12" hidden="1" x14ac:dyDescent="0.25">
      <c r="A17" s="5">
        <v>45873</v>
      </c>
      <c r="B17" t="s">
        <v>7469</v>
      </c>
      <c r="C17" s="5" t="s">
        <v>7470</v>
      </c>
      <c r="D17" t="s">
        <v>7471</v>
      </c>
      <c r="E17" s="5" t="s">
        <v>3389</v>
      </c>
      <c r="F17" s="6">
        <v>46029.724999999999</v>
      </c>
      <c r="G17" s="5" t="s">
        <v>7456</v>
      </c>
      <c r="H17" s="5" t="s">
        <v>7501</v>
      </c>
      <c r="I17" s="5" t="s">
        <v>1621</v>
      </c>
      <c r="J17" s="8">
        <v>230.4</v>
      </c>
      <c r="K17" s="5" t="s">
        <v>1522</v>
      </c>
      <c r="L17">
        <f t="shared" si="0"/>
        <v>1</v>
      </c>
    </row>
    <row r="18" spans="1:12" hidden="1" x14ac:dyDescent="0.25">
      <c r="A18" s="5">
        <v>45875</v>
      </c>
      <c r="B18" t="s">
        <v>7502</v>
      </c>
      <c r="C18" s="5" t="s">
        <v>7503</v>
      </c>
      <c r="D18" t="s">
        <v>7504</v>
      </c>
      <c r="E18" s="5" t="s">
        <v>6039</v>
      </c>
      <c r="F18" s="6">
        <v>46030.359722222223</v>
      </c>
      <c r="G18" s="5" t="s">
        <v>7456</v>
      </c>
      <c r="H18" s="5" t="s">
        <v>7505</v>
      </c>
      <c r="I18" s="5" t="s">
        <v>1528</v>
      </c>
      <c r="J18" s="8">
        <v>92</v>
      </c>
      <c r="K18" s="5" t="s">
        <v>1522</v>
      </c>
      <c r="L18">
        <f t="shared" si="0"/>
        <v>1</v>
      </c>
    </row>
    <row r="19" spans="1:12" hidden="1" x14ac:dyDescent="0.25">
      <c r="A19" s="5">
        <v>45879</v>
      </c>
      <c r="B19" t="s">
        <v>7506</v>
      </c>
      <c r="C19" s="5" t="s">
        <v>7507</v>
      </c>
      <c r="D19" t="s">
        <v>7508</v>
      </c>
      <c r="E19" s="5" t="s">
        <v>7255</v>
      </c>
      <c r="F19" s="6">
        <v>46030.420138888891</v>
      </c>
      <c r="G19" s="5" t="s">
        <v>7456</v>
      </c>
      <c r="H19" s="5" t="s">
        <v>7509</v>
      </c>
      <c r="I19" s="5" t="s">
        <v>1528</v>
      </c>
      <c r="J19" s="8">
        <v>20</v>
      </c>
      <c r="K19" s="5" t="s">
        <v>1522</v>
      </c>
      <c r="L19">
        <f t="shared" si="0"/>
        <v>1</v>
      </c>
    </row>
    <row r="20" spans="1:12" hidden="1" x14ac:dyDescent="0.25">
      <c r="A20" s="5">
        <v>45880</v>
      </c>
      <c r="B20" t="s">
        <v>7510</v>
      </c>
      <c r="C20" s="5" t="s">
        <v>7511</v>
      </c>
      <c r="D20" t="s">
        <v>7512</v>
      </c>
      <c r="E20" s="5" t="s">
        <v>2399</v>
      </c>
      <c r="F20" s="6">
        <v>46030.44027777778</v>
      </c>
      <c r="G20" s="5" t="s">
        <v>7456</v>
      </c>
      <c r="H20" s="5" t="s">
        <v>7513</v>
      </c>
      <c r="I20" s="5" t="s">
        <v>1528</v>
      </c>
      <c r="J20" s="8">
        <v>742.2</v>
      </c>
      <c r="K20" s="5" t="s">
        <v>1522</v>
      </c>
      <c r="L20">
        <f t="shared" si="0"/>
        <v>1</v>
      </c>
    </row>
    <row r="21" spans="1:12" hidden="1" x14ac:dyDescent="0.25">
      <c r="A21" s="5">
        <v>45882</v>
      </c>
      <c r="B21" t="s">
        <v>7469</v>
      </c>
      <c r="C21" s="5" t="s">
        <v>7470</v>
      </c>
      <c r="D21" t="s">
        <v>7471</v>
      </c>
      <c r="E21" s="5" t="s">
        <v>6467</v>
      </c>
      <c r="F21" s="6">
        <v>46030.444444444445</v>
      </c>
      <c r="G21" s="5" t="s">
        <v>7456</v>
      </c>
      <c r="H21" s="5" t="s">
        <v>7514</v>
      </c>
      <c r="I21" s="5" t="s">
        <v>1621</v>
      </c>
      <c r="J21" s="8">
        <v>9</v>
      </c>
      <c r="K21" s="5" t="s">
        <v>1522</v>
      </c>
      <c r="L21">
        <f t="shared" si="0"/>
        <v>1</v>
      </c>
    </row>
    <row r="22" spans="1:12" hidden="1" x14ac:dyDescent="0.25">
      <c r="A22" s="5">
        <v>45883</v>
      </c>
      <c r="B22" t="s">
        <v>7515</v>
      </c>
      <c r="C22" s="5" t="s">
        <v>7516</v>
      </c>
      <c r="D22" t="s">
        <v>7517</v>
      </c>
      <c r="E22" s="5" t="s">
        <v>7518</v>
      </c>
      <c r="F22" s="6">
        <v>46030.465277777781</v>
      </c>
      <c r="G22" s="5" t="s">
        <v>7456</v>
      </c>
      <c r="H22" t="s">
        <v>7482</v>
      </c>
      <c r="I22" s="5" t="s">
        <v>1528</v>
      </c>
      <c r="J22" s="8">
        <v>607.6</v>
      </c>
      <c r="K22" s="5" t="s">
        <v>1522</v>
      </c>
      <c r="L22">
        <f t="shared" si="0"/>
        <v>1</v>
      </c>
    </row>
    <row r="23" spans="1:12" hidden="1" x14ac:dyDescent="0.25">
      <c r="A23" s="5">
        <v>45887</v>
      </c>
      <c r="B23" t="s">
        <v>7469</v>
      </c>
      <c r="C23" s="5" t="s">
        <v>7470</v>
      </c>
      <c r="D23" t="s">
        <v>7471</v>
      </c>
      <c r="E23" s="5" t="s">
        <v>5575</v>
      </c>
      <c r="F23" s="6">
        <v>46030.602083333331</v>
      </c>
      <c r="G23" s="5" t="s">
        <v>7456</v>
      </c>
      <c r="H23" s="5" t="s">
        <v>7519</v>
      </c>
      <c r="I23" s="5" t="s">
        <v>1621</v>
      </c>
      <c r="J23" s="8">
        <v>113.4</v>
      </c>
      <c r="K23" s="5" t="s">
        <v>1522</v>
      </c>
      <c r="L23">
        <f t="shared" si="0"/>
        <v>1</v>
      </c>
    </row>
    <row r="24" spans="1:12" hidden="1" x14ac:dyDescent="0.25">
      <c r="A24" s="5">
        <v>45888</v>
      </c>
      <c r="B24" t="s">
        <v>7469</v>
      </c>
      <c r="C24" s="5" t="s">
        <v>7470</v>
      </c>
      <c r="D24" t="s">
        <v>7471</v>
      </c>
      <c r="E24" s="5" t="s">
        <v>3651</v>
      </c>
      <c r="F24" s="6">
        <v>46030.606944444444</v>
      </c>
      <c r="G24" s="5" t="s">
        <v>7456</v>
      </c>
      <c r="H24" s="5" t="s">
        <v>7520</v>
      </c>
      <c r="I24" s="5" t="s">
        <v>1621</v>
      </c>
      <c r="J24" s="8">
        <v>266</v>
      </c>
      <c r="K24" s="5" t="s">
        <v>1522</v>
      </c>
      <c r="L24">
        <f t="shared" si="0"/>
        <v>1</v>
      </c>
    </row>
    <row r="25" spans="1:12" hidden="1" x14ac:dyDescent="0.25">
      <c r="A25" s="5">
        <v>45889</v>
      </c>
      <c r="B25" t="s">
        <v>7469</v>
      </c>
      <c r="C25" s="5" t="s">
        <v>7470</v>
      </c>
      <c r="D25" t="s">
        <v>7471</v>
      </c>
      <c r="E25" s="5" t="s">
        <v>5811</v>
      </c>
      <c r="F25" s="6">
        <v>46030.60833333333</v>
      </c>
      <c r="G25" s="5" t="s">
        <v>7456</v>
      </c>
      <c r="H25" s="5" t="s">
        <v>7521</v>
      </c>
      <c r="I25" s="5" t="s">
        <v>1621</v>
      </c>
      <c r="J25" s="8">
        <v>30</v>
      </c>
      <c r="K25" s="5" t="s">
        <v>1522</v>
      </c>
      <c r="L25">
        <f t="shared" si="0"/>
        <v>1</v>
      </c>
    </row>
    <row r="26" spans="1:12" hidden="1" x14ac:dyDescent="0.25">
      <c r="A26" s="5">
        <v>45890</v>
      </c>
      <c r="B26" t="s">
        <v>7469</v>
      </c>
      <c r="C26" s="5" t="s">
        <v>7470</v>
      </c>
      <c r="D26" t="s">
        <v>7471</v>
      </c>
      <c r="E26" s="5" t="s">
        <v>5575</v>
      </c>
      <c r="F26" s="6">
        <v>46030.61041666667</v>
      </c>
      <c r="G26" s="5" t="s">
        <v>7456</v>
      </c>
      <c r="H26" s="5" t="s">
        <v>7522</v>
      </c>
      <c r="I26" s="5" t="s">
        <v>1554</v>
      </c>
      <c r="J26" s="8">
        <v>113.4</v>
      </c>
      <c r="K26" s="5" t="s">
        <v>1522</v>
      </c>
      <c r="L26">
        <f t="shared" si="0"/>
        <v>1</v>
      </c>
    </row>
    <row r="27" spans="1:12" hidden="1" x14ac:dyDescent="0.25">
      <c r="A27" s="5">
        <v>45910</v>
      </c>
      <c r="B27" t="s">
        <v>7523</v>
      </c>
      <c r="C27" s="5" t="s">
        <v>7524</v>
      </c>
      <c r="D27" t="s">
        <v>7525</v>
      </c>
      <c r="E27" s="5" t="s">
        <v>4297</v>
      </c>
      <c r="F27" s="6">
        <v>46031.451388888891</v>
      </c>
      <c r="G27" s="5" t="s">
        <v>7456</v>
      </c>
      <c r="H27" t="s">
        <v>7482</v>
      </c>
      <c r="I27" s="5" t="s">
        <v>1528</v>
      </c>
      <c r="J27" s="8">
        <v>3120</v>
      </c>
      <c r="K27" s="5" t="s">
        <v>1522</v>
      </c>
      <c r="L27">
        <f t="shared" si="0"/>
        <v>1</v>
      </c>
    </row>
    <row r="28" spans="1:12" hidden="1" x14ac:dyDescent="0.25">
      <c r="A28" s="5">
        <v>45919</v>
      </c>
      <c r="B28" t="s">
        <v>7469</v>
      </c>
      <c r="C28" s="5" t="s">
        <v>7470</v>
      </c>
      <c r="D28" t="s">
        <v>7471</v>
      </c>
      <c r="E28" s="5" t="s">
        <v>3651</v>
      </c>
      <c r="F28" s="6">
        <v>46031.648611111108</v>
      </c>
      <c r="G28" s="5" t="s">
        <v>7456</v>
      </c>
      <c r="H28" s="5" t="s">
        <v>7526</v>
      </c>
      <c r="I28" s="5" t="s">
        <v>1554</v>
      </c>
      <c r="J28" s="8">
        <v>266</v>
      </c>
      <c r="K28" s="5" t="s">
        <v>1522</v>
      </c>
      <c r="L28">
        <f t="shared" si="0"/>
        <v>1</v>
      </c>
    </row>
    <row r="29" spans="1:12" hidden="1" x14ac:dyDescent="0.25">
      <c r="A29" s="5">
        <v>45920</v>
      </c>
      <c r="B29" t="s">
        <v>7527</v>
      </c>
      <c r="C29" s="5" t="s">
        <v>7528</v>
      </c>
      <c r="D29" t="s">
        <v>7529</v>
      </c>
      <c r="E29" s="5" t="s">
        <v>7530</v>
      </c>
      <c r="F29" s="6">
        <v>46031.652777777781</v>
      </c>
      <c r="G29" s="5" t="s">
        <v>7456</v>
      </c>
      <c r="H29" t="s">
        <v>7482</v>
      </c>
      <c r="I29" s="5" t="s">
        <v>1528</v>
      </c>
      <c r="J29" s="8">
        <v>400.9</v>
      </c>
      <c r="K29" s="5" t="s">
        <v>1522</v>
      </c>
      <c r="L29">
        <f t="shared" si="0"/>
        <v>1</v>
      </c>
    </row>
    <row r="30" spans="1:12" hidden="1" x14ac:dyDescent="0.25">
      <c r="A30" s="5">
        <v>45921</v>
      </c>
      <c r="B30" t="s">
        <v>7469</v>
      </c>
      <c r="C30" s="5" t="s">
        <v>7470</v>
      </c>
      <c r="D30" t="s">
        <v>7471</v>
      </c>
      <c r="E30" s="5" t="s">
        <v>6467</v>
      </c>
      <c r="F30" s="6">
        <v>46031.65</v>
      </c>
      <c r="G30" s="5" t="s">
        <v>7456</v>
      </c>
      <c r="H30" s="5" t="s">
        <v>7531</v>
      </c>
      <c r="I30" s="5" t="s">
        <v>1554</v>
      </c>
      <c r="J30" s="8">
        <v>63</v>
      </c>
      <c r="K30" s="5" t="s">
        <v>1522</v>
      </c>
      <c r="L30">
        <f t="shared" si="0"/>
        <v>1</v>
      </c>
    </row>
    <row r="31" spans="1:12" hidden="1" x14ac:dyDescent="0.25">
      <c r="A31" s="5">
        <v>45922</v>
      </c>
      <c r="B31" t="s">
        <v>7469</v>
      </c>
      <c r="C31" s="5" t="s">
        <v>7470</v>
      </c>
      <c r="D31" t="s">
        <v>7471</v>
      </c>
      <c r="E31" s="5" t="s">
        <v>5575</v>
      </c>
      <c r="F31" s="6">
        <v>46031.65625</v>
      </c>
      <c r="G31" s="5" t="s">
        <v>7456</v>
      </c>
      <c r="H31" s="5" t="s">
        <v>7532</v>
      </c>
      <c r="I31" s="5" t="s">
        <v>1621</v>
      </c>
      <c r="J31" s="8">
        <v>113.4</v>
      </c>
      <c r="K31" s="5" t="s">
        <v>1522</v>
      </c>
      <c r="L31">
        <f t="shared" si="0"/>
        <v>1</v>
      </c>
    </row>
    <row r="32" spans="1:12" hidden="1" x14ac:dyDescent="0.25">
      <c r="A32" s="5">
        <v>45924</v>
      </c>
      <c r="B32" t="s">
        <v>7469</v>
      </c>
      <c r="C32" s="5" t="s">
        <v>7470</v>
      </c>
      <c r="D32" t="s">
        <v>7471</v>
      </c>
      <c r="E32" s="5" t="s">
        <v>5575</v>
      </c>
      <c r="F32" s="6">
        <v>46031.672222222223</v>
      </c>
      <c r="G32" s="5" t="s">
        <v>7456</v>
      </c>
      <c r="H32" s="5" t="s">
        <v>7533</v>
      </c>
      <c r="I32" s="5" t="s">
        <v>1621</v>
      </c>
      <c r="J32" s="8">
        <v>116.47</v>
      </c>
      <c r="K32" s="5" t="s">
        <v>1522</v>
      </c>
      <c r="L32">
        <f t="shared" si="0"/>
        <v>1</v>
      </c>
    </row>
    <row r="33" spans="1:12" hidden="1" x14ac:dyDescent="0.25">
      <c r="A33" s="5">
        <v>45925</v>
      </c>
      <c r="B33" t="s">
        <v>7469</v>
      </c>
      <c r="C33" s="5" t="s">
        <v>7470</v>
      </c>
      <c r="D33" t="s">
        <v>7471</v>
      </c>
      <c r="E33" s="5" t="s">
        <v>5575</v>
      </c>
      <c r="F33" s="6">
        <v>46031.674305555556</v>
      </c>
      <c r="G33" s="5" t="s">
        <v>7456</v>
      </c>
      <c r="H33" s="5" t="s">
        <v>7534</v>
      </c>
      <c r="I33" s="5" t="s">
        <v>1621</v>
      </c>
      <c r="J33" s="8">
        <v>116.47</v>
      </c>
      <c r="K33" s="5" t="s">
        <v>1522</v>
      </c>
      <c r="L33">
        <f t="shared" si="0"/>
        <v>1</v>
      </c>
    </row>
    <row r="34" spans="1:12" hidden="1" x14ac:dyDescent="0.25">
      <c r="A34" s="5">
        <v>45929</v>
      </c>
      <c r="B34" t="s">
        <v>7469</v>
      </c>
      <c r="C34" s="5" t="s">
        <v>7470</v>
      </c>
      <c r="D34" t="s">
        <v>7471</v>
      </c>
      <c r="E34" s="5" t="s">
        <v>5811</v>
      </c>
      <c r="F34" s="6">
        <v>46031.708333333336</v>
      </c>
      <c r="G34" s="5" t="s">
        <v>7456</v>
      </c>
      <c r="H34" s="5" t="s">
        <v>7535</v>
      </c>
      <c r="I34" s="5" t="s">
        <v>1621</v>
      </c>
      <c r="J34" s="8">
        <v>60</v>
      </c>
      <c r="K34" s="5" t="s">
        <v>1522</v>
      </c>
      <c r="L34">
        <f t="shared" si="0"/>
        <v>1</v>
      </c>
    </row>
    <row r="35" spans="1:12" hidden="1" x14ac:dyDescent="0.25">
      <c r="A35" s="5">
        <v>45931</v>
      </c>
      <c r="B35" t="s">
        <v>7536</v>
      </c>
      <c r="C35" s="5" t="s">
        <v>7537</v>
      </c>
      <c r="D35" t="s">
        <v>7538</v>
      </c>
      <c r="E35" s="5" t="s">
        <v>1548</v>
      </c>
      <c r="F35" s="6">
        <v>46034.398611111108</v>
      </c>
      <c r="G35" s="5" t="s">
        <v>7456</v>
      </c>
      <c r="H35" s="5" t="s">
        <v>7539</v>
      </c>
      <c r="I35" s="5" t="s">
        <v>1528</v>
      </c>
      <c r="J35" s="8">
        <v>691</v>
      </c>
      <c r="K35" s="5" t="s">
        <v>1522</v>
      </c>
      <c r="L35">
        <f t="shared" si="0"/>
        <v>1</v>
      </c>
    </row>
    <row r="36" spans="1:12" hidden="1" x14ac:dyDescent="0.25">
      <c r="A36" s="5">
        <v>45934</v>
      </c>
      <c r="B36" t="s">
        <v>7502</v>
      </c>
      <c r="C36" s="5" t="s">
        <v>7503</v>
      </c>
      <c r="D36" t="s">
        <v>7504</v>
      </c>
      <c r="E36" s="5" t="s">
        <v>2501</v>
      </c>
      <c r="F36" s="6">
        <v>46034.42291666667</v>
      </c>
      <c r="G36" s="5" t="s">
        <v>7456</v>
      </c>
      <c r="H36" s="5" t="s">
        <v>7540</v>
      </c>
      <c r="I36" s="5" t="s">
        <v>1528</v>
      </c>
      <c r="J36" s="8">
        <v>680</v>
      </c>
      <c r="K36" s="5" t="s">
        <v>1522</v>
      </c>
      <c r="L36">
        <f t="shared" si="0"/>
        <v>1</v>
      </c>
    </row>
    <row r="37" spans="1:12" hidden="1" x14ac:dyDescent="0.25">
      <c r="A37" s="5">
        <v>45936</v>
      </c>
      <c r="B37" t="s">
        <v>7541</v>
      </c>
      <c r="C37" s="5" t="s">
        <v>7503</v>
      </c>
      <c r="D37" t="s">
        <v>7542</v>
      </c>
      <c r="E37" s="5" t="s">
        <v>3738</v>
      </c>
      <c r="F37" s="6">
        <v>46034.464583333334</v>
      </c>
      <c r="G37" s="5" t="s">
        <v>7456</v>
      </c>
      <c r="H37" s="5" t="s">
        <v>7543</v>
      </c>
      <c r="I37" s="5" t="s">
        <v>1528</v>
      </c>
      <c r="J37" s="8">
        <v>295</v>
      </c>
      <c r="K37" s="5" t="s">
        <v>1522</v>
      </c>
      <c r="L37">
        <f t="shared" si="0"/>
        <v>1</v>
      </c>
    </row>
    <row r="38" spans="1:12" hidden="1" x14ac:dyDescent="0.25">
      <c r="A38" s="5">
        <v>45939</v>
      </c>
      <c r="B38" t="s">
        <v>7515</v>
      </c>
      <c r="C38" s="5" t="s">
        <v>7516</v>
      </c>
      <c r="D38" t="s">
        <v>7517</v>
      </c>
      <c r="E38" s="5" t="s">
        <v>6057</v>
      </c>
      <c r="F38" s="6">
        <v>46034.486805555556</v>
      </c>
      <c r="G38" s="5" t="s">
        <v>7456</v>
      </c>
      <c r="H38" s="5" t="s">
        <v>7544</v>
      </c>
      <c r="I38" s="5" t="s">
        <v>1528</v>
      </c>
      <c r="J38" s="8">
        <v>90</v>
      </c>
      <c r="K38" s="5" t="s">
        <v>1522</v>
      </c>
      <c r="L38">
        <f t="shared" si="0"/>
        <v>1</v>
      </c>
    </row>
    <row r="39" spans="1:12" hidden="1" x14ac:dyDescent="0.25">
      <c r="A39" s="5">
        <v>45941</v>
      </c>
      <c r="B39" t="s">
        <v>7469</v>
      </c>
      <c r="C39" s="5" t="s">
        <v>7470</v>
      </c>
      <c r="D39" t="s">
        <v>7471</v>
      </c>
      <c r="E39" s="5" t="s">
        <v>2467</v>
      </c>
      <c r="F39" s="6">
        <v>46034.513194444444</v>
      </c>
      <c r="G39" s="5" t="s">
        <v>7456</v>
      </c>
      <c r="H39" s="5" t="s">
        <v>7545</v>
      </c>
      <c r="I39" s="5" t="s">
        <v>1621</v>
      </c>
      <c r="J39" s="8">
        <v>174.8</v>
      </c>
      <c r="K39" s="5" t="s">
        <v>1522</v>
      </c>
      <c r="L39">
        <f t="shared" si="0"/>
        <v>1</v>
      </c>
    </row>
    <row r="40" spans="1:12" hidden="1" x14ac:dyDescent="0.25">
      <c r="A40" s="5">
        <v>45944</v>
      </c>
      <c r="B40" t="s">
        <v>7469</v>
      </c>
      <c r="C40" s="5" t="s">
        <v>7470</v>
      </c>
      <c r="D40" t="s">
        <v>7471</v>
      </c>
      <c r="E40" s="5" t="s">
        <v>3651</v>
      </c>
      <c r="F40" s="6">
        <v>46034.578472222223</v>
      </c>
      <c r="G40" s="5" t="s">
        <v>7456</v>
      </c>
      <c r="H40" s="5" t="s">
        <v>7546</v>
      </c>
      <c r="I40" s="5" t="s">
        <v>1621</v>
      </c>
      <c r="J40" s="8">
        <v>303.88</v>
      </c>
      <c r="K40" s="5" t="s">
        <v>1522</v>
      </c>
      <c r="L40">
        <f t="shared" si="0"/>
        <v>1</v>
      </c>
    </row>
    <row r="41" spans="1:12" hidden="1" x14ac:dyDescent="0.25">
      <c r="A41" s="5">
        <v>45945</v>
      </c>
      <c r="B41" t="s">
        <v>7547</v>
      </c>
      <c r="C41" s="5" t="s">
        <v>7503</v>
      </c>
      <c r="D41" t="s">
        <v>7548</v>
      </c>
      <c r="E41" s="5" t="s">
        <v>6463</v>
      </c>
      <c r="F41" s="6">
        <v>46034.582638888889</v>
      </c>
      <c r="G41" s="5" t="s">
        <v>7456</v>
      </c>
      <c r="H41" s="5" t="s">
        <v>7549</v>
      </c>
      <c r="I41" s="5" t="s">
        <v>1528</v>
      </c>
      <c r="J41" s="8">
        <v>64.88</v>
      </c>
      <c r="K41" s="5" t="s">
        <v>1522</v>
      </c>
      <c r="L41">
        <f t="shared" si="0"/>
        <v>1</v>
      </c>
    </row>
    <row r="42" spans="1:12" hidden="1" x14ac:dyDescent="0.25">
      <c r="A42" s="5">
        <v>45950</v>
      </c>
      <c r="B42" t="s">
        <v>7550</v>
      </c>
      <c r="C42" s="5" t="s">
        <v>743</v>
      </c>
      <c r="D42" t="s">
        <v>7551</v>
      </c>
      <c r="E42" s="5" t="s">
        <v>2818</v>
      </c>
      <c r="F42" s="6">
        <v>46034.640277777777</v>
      </c>
      <c r="G42" s="5" t="s">
        <v>7456</v>
      </c>
      <c r="H42" s="5" t="s">
        <v>7552</v>
      </c>
      <c r="I42" s="5" t="s">
        <v>1554</v>
      </c>
      <c r="J42" s="8">
        <v>80</v>
      </c>
      <c r="K42" s="5" t="s">
        <v>1522</v>
      </c>
      <c r="L42">
        <f t="shared" si="0"/>
        <v>1</v>
      </c>
    </row>
    <row r="43" spans="1:12" hidden="1" x14ac:dyDescent="0.25">
      <c r="A43" s="5">
        <v>45955</v>
      </c>
      <c r="B43" t="s">
        <v>7553</v>
      </c>
      <c r="C43" s="5" t="s">
        <v>7516</v>
      </c>
      <c r="D43" t="s">
        <v>7554</v>
      </c>
      <c r="E43" s="5" t="s">
        <v>4451</v>
      </c>
      <c r="F43" s="6">
        <v>46034.682638888888</v>
      </c>
      <c r="G43" s="5" t="s">
        <v>7456</v>
      </c>
      <c r="H43" s="5" t="s">
        <v>7555</v>
      </c>
      <c r="I43" s="5" t="s">
        <v>1528</v>
      </c>
      <c r="J43" s="8">
        <v>195</v>
      </c>
      <c r="K43" s="5" t="s">
        <v>1522</v>
      </c>
      <c r="L43">
        <f t="shared" si="0"/>
        <v>1</v>
      </c>
    </row>
    <row r="44" spans="1:12" hidden="1" x14ac:dyDescent="0.25">
      <c r="A44" s="5">
        <v>45958</v>
      </c>
      <c r="B44" t="s">
        <v>7556</v>
      </c>
      <c r="C44" s="5" t="s">
        <v>7516</v>
      </c>
      <c r="D44" t="s">
        <v>7557</v>
      </c>
      <c r="E44" s="5" t="s">
        <v>1548</v>
      </c>
      <c r="F44" s="6">
        <v>46035.398611111108</v>
      </c>
      <c r="G44" s="5" t="s">
        <v>7456</v>
      </c>
      <c r="H44" t="s">
        <v>7482</v>
      </c>
      <c r="I44" s="5" t="s">
        <v>1528</v>
      </c>
      <c r="J44" s="8">
        <v>2495</v>
      </c>
      <c r="K44" s="5" t="s">
        <v>1522</v>
      </c>
      <c r="L44">
        <f t="shared" si="0"/>
        <v>1</v>
      </c>
    </row>
    <row r="45" spans="1:12" hidden="1" x14ac:dyDescent="0.25">
      <c r="A45" s="5">
        <v>45962</v>
      </c>
      <c r="B45" t="s">
        <v>7506</v>
      </c>
      <c r="C45" s="5" t="s">
        <v>7507</v>
      </c>
      <c r="D45" t="s">
        <v>7508</v>
      </c>
      <c r="E45" s="5" t="s">
        <v>1548</v>
      </c>
      <c r="F45" s="6">
        <v>46035.44027777778</v>
      </c>
      <c r="G45" s="5" t="s">
        <v>7456</v>
      </c>
      <c r="H45" s="5" t="s">
        <v>7558</v>
      </c>
      <c r="I45" s="5" t="s">
        <v>1528</v>
      </c>
      <c r="J45" s="8">
        <v>5400</v>
      </c>
      <c r="K45" s="5" t="s">
        <v>1522</v>
      </c>
      <c r="L45">
        <f t="shared" si="0"/>
        <v>1</v>
      </c>
    </row>
    <row r="46" spans="1:12" hidden="1" x14ac:dyDescent="0.25">
      <c r="A46" s="5">
        <v>45963</v>
      </c>
      <c r="B46" t="s">
        <v>7559</v>
      </c>
      <c r="C46" s="5" t="s">
        <v>7560</v>
      </c>
      <c r="D46" t="s">
        <v>7561</v>
      </c>
      <c r="E46" s="5" t="s">
        <v>1548</v>
      </c>
      <c r="F46" s="6">
        <v>46035.452777777777</v>
      </c>
      <c r="G46" s="5" t="s">
        <v>7456</v>
      </c>
      <c r="H46" s="5" t="s">
        <v>7562</v>
      </c>
      <c r="I46" s="5" t="s">
        <v>1528</v>
      </c>
      <c r="J46" s="8">
        <v>83</v>
      </c>
      <c r="K46" s="5" t="s">
        <v>1522</v>
      </c>
      <c r="L46">
        <f t="shared" si="0"/>
        <v>1</v>
      </c>
    </row>
    <row r="47" spans="1:12" hidden="1" x14ac:dyDescent="0.25">
      <c r="A47" s="5">
        <v>45968</v>
      </c>
      <c r="B47" t="s">
        <v>7469</v>
      </c>
      <c r="C47" s="5" t="s">
        <v>7470</v>
      </c>
      <c r="D47" t="s">
        <v>7471</v>
      </c>
      <c r="E47" s="5" t="s">
        <v>5575</v>
      </c>
      <c r="F47" s="6">
        <v>46035.482638888891</v>
      </c>
      <c r="G47" s="5" t="s">
        <v>7456</v>
      </c>
      <c r="H47" s="5" t="s">
        <v>7563</v>
      </c>
      <c r="I47" s="5" t="s">
        <v>1621</v>
      </c>
      <c r="J47" s="8">
        <v>113.4</v>
      </c>
      <c r="K47" s="5" t="s">
        <v>1522</v>
      </c>
      <c r="L47">
        <f t="shared" si="0"/>
        <v>1</v>
      </c>
    </row>
    <row r="48" spans="1:12" hidden="1" x14ac:dyDescent="0.25">
      <c r="A48" s="5">
        <v>45969</v>
      </c>
      <c r="B48" t="s">
        <v>7469</v>
      </c>
      <c r="C48" s="5" t="s">
        <v>7470</v>
      </c>
      <c r="D48" t="s">
        <v>7471</v>
      </c>
      <c r="E48" s="5" t="s">
        <v>3389</v>
      </c>
      <c r="F48" s="6">
        <v>46035.484722222223</v>
      </c>
      <c r="G48" s="5" t="s">
        <v>7456</v>
      </c>
      <c r="H48" s="5" t="s">
        <v>7564</v>
      </c>
      <c r="I48" s="5" t="s">
        <v>1621</v>
      </c>
      <c r="J48" s="8">
        <v>230.4</v>
      </c>
      <c r="K48" s="5" t="s">
        <v>1522</v>
      </c>
      <c r="L48">
        <f t="shared" si="0"/>
        <v>1</v>
      </c>
    </row>
    <row r="49" spans="1:12" hidden="1" x14ac:dyDescent="0.25">
      <c r="A49" s="5">
        <v>45970</v>
      </c>
      <c r="B49" t="s">
        <v>7469</v>
      </c>
      <c r="C49" s="5" t="s">
        <v>7470</v>
      </c>
      <c r="D49" t="s">
        <v>7471</v>
      </c>
      <c r="E49" s="5" t="s">
        <v>3651</v>
      </c>
      <c r="F49" s="6">
        <v>46035.500694444447</v>
      </c>
      <c r="G49" s="5" t="s">
        <v>7456</v>
      </c>
      <c r="H49" s="5" t="s">
        <v>7565</v>
      </c>
      <c r="I49" s="5" t="s">
        <v>1621</v>
      </c>
      <c r="J49" s="8">
        <v>266</v>
      </c>
      <c r="K49" s="5" t="s">
        <v>1522</v>
      </c>
      <c r="L49">
        <f t="shared" si="0"/>
        <v>1</v>
      </c>
    </row>
    <row r="50" spans="1:12" hidden="1" x14ac:dyDescent="0.25">
      <c r="A50" s="5">
        <v>45971</v>
      </c>
      <c r="B50" t="s">
        <v>7469</v>
      </c>
      <c r="C50" s="5" t="s">
        <v>7470</v>
      </c>
      <c r="D50" t="s">
        <v>7471</v>
      </c>
      <c r="E50" s="5" t="s">
        <v>5575</v>
      </c>
      <c r="F50" s="6">
        <v>46035.50277777778</v>
      </c>
      <c r="G50" s="5" t="s">
        <v>7456</v>
      </c>
      <c r="H50" s="5" t="s">
        <v>7566</v>
      </c>
      <c r="I50" s="5" t="s">
        <v>1621</v>
      </c>
      <c r="J50" s="8">
        <v>113.4</v>
      </c>
      <c r="K50" s="5" t="s">
        <v>1522</v>
      </c>
      <c r="L50">
        <f t="shared" si="0"/>
        <v>1</v>
      </c>
    </row>
    <row r="51" spans="1:12" hidden="1" x14ac:dyDescent="0.25">
      <c r="A51" s="5">
        <v>45974</v>
      </c>
      <c r="B51" t="s">
        <v>7567</v>
      </c>
      <c r="C51" s="5" t="s">
        <v>7568</v>
      </c>
      <c r="D51" t="s">
        <v>7569</v>
      </c>
      <c r="E51" s="5" t="s">
        <v>1548</v>
      </c>
      <c r="F51" s="6">
        <v>46035.589583333334</v>
      </c>
      <c r="G51" s="5" t="s">
        <v>7456</v>
      </c>
      <c r="H51" s="5" t="s">
        <v>7570</v>
      </c>
      <c r="I51" s="5" t="s">
        <v>1528</v>
      </c>
      <c r="J51" s="8">
        <v>1400</v>
      </c>
      <c r="K51" s="5" t="s">
        <v>1522</v>
      </c>
      <c r="L51">
        <f t="shared" si="0"/>
        <v>1</v>
      </c>
    </row>
    <row r="52" spans="1:12" hidden="1" x14ac:dyDescent="0.25">
      <c r="A52" s="5">
        <v>45975</v>
      </c>
      <c r="B52" t="s">
        <v>7571</v>
      </c>
      <c r="C52" s="5" t="s">
        <v>7516</v>
      </c>
      <c r="D52" t="s">
        <v>7572</v>
      </c>
      <c r="E52" s="5" t="s">
        <v>7573</v>
      </c>
      <c r="F52" s="6">
        <v>46035.611805555556</v>
      </c>
      <c r="G52" s="5" t="s">
        <v>7456</v>
      </c>
      <c r="H52" t="s">
        <v>7482</v>
      </c>
      <c r="I52" s="5" t="s">
        <v>1528</v>
      </c>
      <c r="J52" s="8">
        <v>2500</v>
      </c>
      <c r="K52" s="5" t="s">
        <v>1522</v>
      </c>
      <c r="L52">
        <f t="shared" si="0"/>
        <v>1</v>
      </c>
    </row>
    <row r="53" spans="1:12" hidden="1" x14ac:dyDescent="0.25">
      <c r="A53" s="5">
        <v>45982</v>
      </c>
      <c r="B53" t="s">
        <v>7536</v>
      </c>
      <c r="C53" s="5" t="s">
        <v>7537</v>
      </c>
      <c r="D53" t="s">
        <v>7538</v>
      </c>
      <c r="E53" s="5" t="s">
        <v>1560</v>
      </c>
      <c r="F53" s="6">
        <v>46035.640972222223</v>
      </c>
      <c r="G53" s="5" t="s">
        <v>7456</v>
      </c>
      <c r="H53" s="5" t="s">
        <v>7574</v>
      </c>
      <c r="I53" s="5" t="s">
        <v>1528</v>
      </c>
      <c r="J53" s="8">
        <v>555</v>
      </c>
      <c r="K53" s="5" t="s">
        <v>1522</v>
      </c>
      <c r="L53">
        <f t="shared" si="0"/>
        <v>1</v>
      </c>
    </row>
    <row r="54" spans="1:12" hidden="1" x14ac:dyDescent="0.25">
      <c r="A54" s="5">
        <v>45986</v>
      </c>
      <c r="B54" t="s">
        <v>7575</v>
      </c>
      <c r="C54" s="5" t="s">
        <v>7576</v>
      </c>
      <c r="D54" t="s">
        <v>7577</v>
      </c>
      <c r="E54" s="5" t="s">
        <v>1943</v>
      </c>
      <c r="F54" s="6">
        <v>46035.665277777778</v>
      </c>
      <c r="G54" s="5" t="s">
        <v>7456</v>
      </c>
      <c r="H54" s="5" t="s">
        <v>7578</v>
      </c>
      <c r="I54" s="5" t="s">
        <v>1528</v>
      </c>
      <c r="J54" s="8">
        <v>1444.4</v>
      </c>
      <c r="K54" s="5" t="s">
        <v>1522</v>
      </c>
      <c r="L54">
        <f t="shared" si="0"/>
        <v>1</v>
      </c>
    </row>
    <row r="55" spans="1:12" hidden="1" x14ac:dyDescent="0.25">
      <c r="A55" s="5">
        <v>45990</v>
      </c>
      <c r="B55" t="s">
        <v>7579</v>
      </c>
      <c r="C55" s="5" t="s">
        <v>7580</v>
      </c>
      <c r="D55" t="s">
        <v>7581</v>
      </c>
      <c r="E55" s="5" t="s">
        <v>1548</v>
      </c>
      <c r="F55" s="6">
        <v>46035.684027777781</v>
      </c>
      <c r="G55" s="5" t="s">
        <v>7456</v>
      </c>
      <c r="H55" s="5" t="s">
        <v>7582</v>
      </c>
      <c r="I55" s="5" t="s">
        <v>1528</v>
      </c>
      <c r="J55" s="8">
        <v>580</v>
      </c>
      <c r="K55" s="5" t="s">
        <v>1522</v>
      </c>
      <c r="L55">
        <f t="shared" si="0"/>
        <v>1</v>
      </c>
    </row>
    <row r="56" spans="1:12" hidden="1" x14ac:dyDescent="0.25">
      <c r="A56" s="5">
        <v>45992</v>
      </c>
      <c r="B56" t="s">
        <v>7583</v>
      </c>
      <c r="C56" s="5" t="s">
        <v>976</v>
      </c>
      <c r="D56" t="s">
        <v>7584</v>
      </c>
      <c r="E56" s="5" t="s">
        <v>1548</v>
      </c>
      <c r="F56" s="6">
        <v>46035.691666666666</v>
      </c>
      <c r="G56" s="5" t="s">
        <v>7456</v>
      </c>
      <c r="H56" s="5" t="s">
        <v>7585</v>
      </c>
      <c r="I56" s="5" t="s">
        <v>1528</v>
      </c>
      <c r="J56" s="8">
        <v>230</v>
      </c>
      <c r="K56" s="5" t="s">
        <v>1522</v>
      </c>
      <c r="L56">
        <f t="shared" si="0"/>
        <v>1</v>
      </c>
    </row>
    <row r="57" spans="1:12" hidden="1" x14ac:dyDescent="0.25">
      <c r="A57" s="5">
        <v>46001</v>
      </c>
      <c r="B57" t="s">
        <v>7586</v>
      </c>
      <c r="C57" s="5" t="s">
        <v>630</v>
      </c>
      <c r="D57" t="s">
        <v>7587</v>
      </c>
      <c r="E57" s="5" t="s">
        <v>6278</v>
      </c>
      <c r="F57" s="6">
        <v>46036.340277777781</v>
      </c>
      <c r="G57" s="5" t="s">
        <v>7456</v>
      </c>
      <c r="H57" s="5" t="s">
        <v>7588</v>
      </c>
      <c r="I57" s="5" t="s">
        <v>1528</v>
      </c>
      <c r="J57" s="8">
        <v>76.459999999999994</v>
      </c>
      <c r="K57" s="5" t="s">
        <v>1522</v>
      </c>
      <c r="L57">
        <f t="shared" si="0"/>
        <v>1</v>
      </c>
    </row>
    <row r="58" spans="1:12" hidden="1" x14ac:dyDescent="0.25">
      <c r="A58" s="5">
        <v>46003</v>
      </c>
      <c r="B58" t="s">
        <v>7589</v>
      </c>
      <c r="C58" s="5" t="s">
        <v>664</v>
      </c>
      <c r="D58" t="s">
        <v>7590</v>
      </c>
      <c r="E58" s="5" t="s">
        <v>4555</v>
      </c>
      <c r="F58" s="6">
        <v>46036.361111111109</v>
      </c>
      <c r="G58" s="5" t="s">
        <v>7456</v>
      </c>
      <c r="H58" s="5" t="s">
        <v>7591</v>
      </c>
      <c r="I58" s="5" t="s">
        <v>1528</v>
      </c>
      <c r="J58" s="8">
        <v>188.81</v>
      </c>
      <c r="K58" s="5" t="s">
        <v>1522</v>
      </c>
      <c r="L58">
        <f t="shared" si="0"/>
        <v>1</v>
      </c>
    </row>
    <row r="59" spans="1:12" hidden="1" x14ac:dyDescent="0.25">
      <c r="A59" s="5">
        <v>46009</v>
      </c>
      <c r="B59" t="s">
        <v>7469</v>
      </c>
      <c r="C59" s="5" t="s">
        <v>7470</v>
      </c>
      <c r="D59" t="s">
        <v>7471</v>
      </c>
      <c r="E59" s="5" t="s">
        <v>3977</v>
      </c>
      <c r="F59" s="6">
        <v>46036.443055555559</v>
      </c>
      <c r="G59" s="5" t="s">
        <v>7456</v>
      </c>
      <c r="H59" s="5" t="s">
        <v>7592</v>
      </c>
      <c r="I59" s="5" t="s">
        <v>1554</v>
      </c>
      <c r="J59" s="8">
        <v>130</v>
      </c>
      <c r="K59" s="5" t="s">
        <v>1522</v>
      </c>
      <c r="L59">
        <f t="shared" si="0"/>
        <v>1</v>
      </c>
    </row>
    <row r="60" spans="1:12" hidden="1" x14ac:dyDescent="0.25">
      <c r="A60" s="5">
        <v>46010</v>
      </c>
      <c r="B60" t="s">
        <v>7469</v>
      </c>
      <c r="C60" s="5" t="s">
        <v>7470</v>
      </c>
      <c r="D60" t="s">
        <v>7471</v>
      </c>
      <c r="E60" s="5" t="s">
        <v>5575</v>
      </c>
      <c r="F60" s="6">
        <v>46036.446527777778</v>
      </c>
      <c r="G60" s="5" t="s">
        <v>7456</v>
      </c>
      <c r="H60" s="5" t="s">
        <v>7593</v>
      </c>
      <c r="I60" s="5" t="s">
        <v>1621</v>
      </c>
      <c r="J60" s="8">
        <v>42</v>
      </c>
      <c r="K60" s="5" t="s">
        <v>1522</v>
      </c>
      <c r="L60">
        <f t="shared" si="0"/>
        <v>1</v>
      </c>
    </row>
    <row r="61" spans="1:12" hidden="1" x14ac:dyDescent="0.25">
      <c r="A61" s="5">
        <v>46011</v>
      </c>
      <c r="B61" t="s">
        <v>7536</v>
      </c>
      <c r="C61" s="5" t="s">
        <v>7537</v>
      </c>
      <c r="D61" t="s">
        <v>7538</v>
      </c>
      <c r="E61" s="5" t="s">
        <v>7594</v>
      </c>
      <c r="F61" s="6">
        <v>46036.451388888891</v>
      </c>
      <c r="G61" s="5" t="s">
        <v>7595</v>
      </c>
      <c r="H61" t="s">
        <v>7482</v>
      </c>
      <c r="I61" s="5" t="s">
        <v>1554</v>
      </c>
      <c r="J61" s="8">
        <v>6755</v>
      </c>
      <c r="K61" s="5" t="s">
        <v>1522</v>
      </c>
      <c r="L61">
        <f t="shared" si="0"/>
        <v>1</v>
      </c>
    </row>
    <row r="62" spans="1:12" hidden="1" x14ac:dyDescent="0.25">
      <c r="A62" s="5">
        <v>46017</v>
      </c>
      <c r="B62" t="s">
        <v>7575</v>
      </c>
      <c r="C62" s="5" t="s">
        <v>7576</v>
      </c>
      <c r="D62" t="s">
        <v>7577</v>
      </c>
      <c r="E62" s="5" t="s">
        <v>1943</v>
      </c>
      <c r="F62" s="6">
        <v>46036.581250000003</v>
      </c>
      <c r="G62" s="5" t="s">
        <v>7456</v>
      </c>
      <c r="H62" s="5" t="s">
        <v>7596</v>
      </c>
      <c r="I62" s="5" t="s">
        <v>1528</v>
      </c>
      <c r="J62" s="8">
        <v>307.13</v>
      </c>
      <c r="K62" s="5" t="s">
        <v>1522</v>
      </c>
      <c r="L62">
        <f t="shared" si="0"/>
        <v>1</v>
      </c>
    </row>
    <row r="63" spans="1:12" hidden="1" x14ac:dyDescent="0.25">
      <c r="A63" s="5">
        <v>46020</v>
      </c>
      <c r="B63" t="s">
        <v>7597</v>
      </c>
      <c r="C63" s="5" t="s">
        <v>7598</v>
      </c>
      <c r="D63" t="s">
        <v>7599</v>
      </c>
      <c r="E63" s="5" t="s">
        <v>1548</v>
      </c>
      <c r="F63" s="6">
        <v>46036.617361111108</v>
      </c>
      <c r="G63" s="5" t="s">
        <v>7456</v>
      </c>
      <c r="H63" t="s">
        <v>7482</v>
      </c>
      <c r="I63" s="5" t="s">
        <v>1528</v>
      </c>
      <c r="J63" s="8">
        <v>914</v>
      </c>
      <c r="K63" s="5" t="s">
        <v>1522</v>
      </c>
      <c r="L63">
        <f t="shared" si="0"/>
        <v>1</v>
      </c>
    </row>
    <row r="64" spans="1:12" hidden="1" x14ac:dyDescent="0.25">
      <c r="A64" s="5">
        <v>46030</v>
      </c>
      <c r="B64" t="s">
        <v>7600</v>
      </c>
      <c r="C64" s="5" t="s">
        <v>7601</v>
      </c>
      <c r="D64" t="s">
        <v>7602</v>
      </c>
      <c r="E64" s="5" t="s">
        <v>7603</v>
      </c>
      <c r="F64" s="6">
        <v>46036.688194444447</v>
      </c>
      <c r="G64" s="5" t="s">
        <v>7456</v>
      </c>
      <c r="H64" t="s">
        <v>7482</v>
      </c>
      <c r="I64" s="5" t="s">
        <v>1528</v>
      </c>
      <c r="J64" s="8">
        <v>121043.16</v>
      </c>
      <c r="K64" s="5" t="s">
        <v>1522</v>
      </c>
      <c r="L64">
        <f t="shared" si="0"/>
        <v>1</v>
      </c>
    </row>
    <row r="65" spans="1:12" hidden="1" x14ac:dyDescent="0.25">
      <c r="A65" s="5">
        <v>46033</v>
      </c>
      <c r="B65" t="s">
        <v>7604</v>
      </c>
      <c r="C65" s="5" t="s">
        <v>7605</v>
      </c>
      <c r="D65" t="s">
        <v>7606</v>
      </c>
      <c r="E65" s="5" t="s">
        <v>7607</v>
      </c>
      <c r="F65" s="6">
        <v>46036.701388888891</v>
      </c>
      <c r="G65" s="5" t="s">
        <v>7456</v>
      </c>
      <c r="H65" t="s">
        <v>7482</v>
      </c>
      <c r="I65" s="5" t="s">
        <v>1528</v>
      </c>
      <c r="J65" s="8">
        <v>1200</v>
      </c>
      <c r="K65" s="5" t="s">
        <v>1522</v>
      </c>
      <c r="L65">
        <f t="shared" si="0"/>
        <v>1</v>
      </c>
    </row>
    <row r="66" spans="1:12" hidden="1" x14ac:dyDescent="0.25">
      <c r="A66" s="5">
        <v>46034</v>
      </c>
      <c r="B66" t="s">
        <v>7608</v>
      </c>
      <c r="C66" s="5" t="s">
        <v>7609</v>
      </c>
      <c r="D66" t="s">
        <v>7610</v>
      </c>
      <c r="E66" s="5" t="s">
        <v>3013</v>
      </c>
      <c r="F66" s="6">
        <v>46036.713888888888</v>
      </c>
      <c r="G66" s="5" t="s">
        <v>7456</v>
      </c>
      <c r="H66" s="5" t="s">
        <v>7611</v>
      </c>
      <c r="I66" s="5" t="s">
        <v>1528</v>
      </c>
      <c r="J66" s="8">
        <v>450</v>
      </c>
      <c r="K66" s="5" t="s">
        <v>1522</v>
      </c>
      <c r="L66">
        <f t="shared" si="0"/>
        <v>1</v>
      </c>
    </row>
    <row r="67" spans="1:12" hidden="1" x14ac:dyDescent="0.25">
      <c r="A67" s="5">
        <v>46035</v>
      </c>
      <c r="B67" t="s">
        <v>7612</v>
      </c>
      <c r="C67" s="5" t="s">
        <v>7613</v>
      </c>
      <c r="D67" t="s">
        <v>7614</v>
      </c>
      <c r="E67" s="5" t="s">
        <v>1548</v>
      </c>
      <c r="F67" s="6">
        <v>46036.734722222223</v>
      </c>
      <c r="G67" s="5" t="s">
        <v>7456</v>
      </c>
      <c r="H67" t="s">
        <v>7482</v>
      </c>
      <c r="I67" s="5" t="s">
        <v>1528</v>
      </c>
      <c r="J67" s="8">
        <v>480</v>
      </c>
      <c r="K67" s="5" t="s">
        <v>1522</v>
      </c>
      <c r="L67">
        <f t="shared" ref="L67:L130" si="1">MONTH(F67)</f>
        <v>1</v>
      </c>
    </row>
    <row r="68" spans="1:12" hidden="1" x14ac:dyDescent="0.25">
      <c r="A68" s="5">
        <v>46040</v>
      </c>
      <c r="B68" t="s">
        <v>7469</v>
      </c>
      <c r="C68" s="5" t="s">
        <v>7470</v>
      </c>
      <c r="D68" t="s">
        <v>7471</v>
      </c>
      <c r="E68" s="5" t="s">
        <v>3389</v>
      </c>
      <c r="F68" s="6">
        <v>46037.426388888889</v>
      </c>
      <c r="G68" s="5" t="s">
        <v>7456</v>
      </c>
      <c r="H68" s="5" t="s">
        <v>7615</v>
      </c>
      <c r="I68" s="5" t="s">
        <v>1621</v>
      </c>
      <c r="J68" s="8">
        <v>115.2</v>
      </c>
      <c r="K68" s="5" t="s">
        <v>1522</v>
      </c>
      <c r="L68">
        <f t="shared" si="1"/>
        <v>1</v>
      </c>
    </row>
    <row r="69" spans="1:12" hidden="1" x14ac:dyDescent="0.25">
      <c r="A69" s="5">
        <v>46047</v>
      </c>
      <c r="B69" t="s">
        <v>7473</v>
      </c>
      <c r="C69" s="5" t="s">
        <v>7474</v>
      </c>
      <c r="D69" t="s">
        <v>7475</v>
      </c>
      <c r="E69" s="5" t="s">
        <v>2607</v>
      </c>
      <c r="F69" s="6">
        <v>46037.59375</v>
      </c>
      <c r="G69" s="5" t="s">
        <v>7456</v>
      </c>
      <c r="H69" s="5" t="s">
        <v>7616</v>
      </c>
      <c r="I69" s="5" t="s">
        <v>1528</v>
      </c>
      <c r="J69" s="8">
        <v>300</v>
      </c>
      <c r="K69" s="5" t="s">
        <v>1522</v>
      </c>
      <c r="L69">
        <f t="shared" si="1"/>
        <v>1</v>
      </c>
    </row>
    <row r="70" spans="1:12" hidden="1" x14ac:dyDescent="0.25">
      <c r="A70" s="5">
        <v>46048</v>
      </c>
      <c r="B70" t="s">
        <v>7469</v>
      </c>
      <c r="C70" s="5" t="s">
        <v>7470</v>
      </c>
      <c r="D70" t="s">
        <v>7471</v>
      </c>
      <c r="E70" s="5" t="s">
        <v>3389</v>
      </c>
      <c r="F70" s="6">
        <v>46037.595833333333</v>
      </c>
      <c r="G70" s="5" t="s">
        <v>7456</v>
      </c>
      <c r="H70" s="5" t="s">
        <v>7617</v>
      </c>
      <c r="I70" s="5" t="s">
        <v>1621</v>
      </c>
      <c r="J70" s="8">
        <v>230.4</v>
      </c>
      <c r="K70" s="5" t="s">
        <v>1522</v>
      </c>
      <c r="L70">
        <f t="shared" si="1"/>
        <v>1</v>
      </c>
    </row>
    <row r="71" spans="1:12" hidden="1" x14ac:dyDescent="0.25">
      <c r="A71" s="5">
        <v>46054</v>
      </c>
      <c r="B71" t="s">
        <v>7469</v>
      </c>
      <c r="C71" s="5" t="s">
        <v>7470</v>
      </c>
      <c r="D71" t="s">
        <v>7471</v>
      </c>
      <c r="E71" s="5" t="s">
        <v>2467</v>
      </c>
      <c r="F71" s="6">
        <v>46037.62777777778</v>
      </c>
      <c r="G71" s="5" t="s">
        <v>7456</v>
      </c>
      <c r="H71" s="5" t="s">
        <v>7618</v>
      </c>
      <c r="I71" s="5" t="s">
        <v>1621</v>
      </c>
      <c r="J71" s="8">
        <v>190</v>
      </c>
      <c r="K71" s="5" t="s">
        <v>1522</v>
      </c>
      <c r="L71">
        <f t="shared" si="1"/>
        <v>1</v>
      </c>
    </row>
    <row r="72" spans="1:12" hidden="1" x14ac:dyDescent="0.25">
      <c r="A72" s="5">
        <v>46055</v>
      </c>
      <c r="B72" t="s">
        <v>7469</v>
      </c>
      <c r="C72" s="5" t="s">
        <v>7470</v>
      </c>
      <c r="D72" t="s">
        <v>7471</v>
      </c>
      <c r="E72" s="5" t="s">
        <v>5575</v>
      </c>
      <c r="F72" s="6">
        <v>46037.630555555559</v>
      </c>
      <c r="G72" s="5" t="s">
        <v>7456</v>
      </c>
      <c r="H72" s="5" t="s">
        <v>7619</v>
      </c>
      <c r="I72" s="5" t="s">
        <v>1621</v>
      </c>
      <c r="J72" s="8">
        <v>113.4</v>
      </c>
      <c r="K72" s="5" t="s">
        <v>1522</v>
      </c>
      <c r="L72">
        <f t="shared" si="1"/>
        <v>1</v>
      </c>
    </row>
    <row r="73" spans="1:12" hidden="1" x14ac:dyDescent="0.25">
      <c r="A73" s="5">
        <v>46056</v>
      </c>
      <c r="B73" t="s">
        <v>7620</v>
      </c>
      <c r="C73" s="5" t="s">
        <v>7621</v>
      </c>
      <c r="D73" t="s">
        <v>7622</v>
      </c>
      <c r="E73" s="5" t="s">
        <v>6029</v>
      </c>
      <c r="F73" s="6">
        <v>46037.423611111109</v>
      </c>
      <c r="G73" s="5" t="s">
        <v>7456</v>
      </c>
      <c r="H73" s="5" t="s">
        <v>7623</v>
      </c>
      <c r="I73" s="5" t="s">
        <v>1528</v>
      </c>
      <c r="J73" s="8">
        <v>92.5</v>
      </c>
      <c r="K73" s="5" t="s">
        <v>1522</v>
      </c>
      <c r="L73">
        <f t="shared" si="1"/>
        <v>1</v>
      </c>
    </row>
    <row r="74" spans="1:12" hidden="1" x14ac:dyDescent="0.25">
      <c r="A74" s="5">
        <v>46060</v>
      </c>
      <c r="B74" t="s">
        <v>7624</v>
      </c>
      <c r="C74" s="5" t="s">
        <v>7625</v>
      </c>
      <c r="D74" t="s">
        <v>7626</v>
      </c>
      <c r="E74" s="5" t="s">
        <v>7627</v>
      </c>
      <c r="F74" s="6">
        <v>46037.666666666664</v>
      </c>
      <c r="G74" s="5" t="s">
        <v>7456</v>
      </c>
      <c r="H74" t="s">
        <v>7482</v>
      </c>
      <c r="I74" s="5" t="s">
        <v>1528</v>
      </c>
      <c r="J74" s="8">
        <v>1200</v>
      </c>
      <c r="K74" s="5" t="s">
        <v>1522</v>
      </c>
      <c r="L74">
        <f t="shared" si="1"/>
        <v>1</v>
      </c>
    </row>
    <row r="75" spans="1:12" hidden="1" x14ac:dyDescent="0.25">
      <c r="A75" s="5">
        <v>46065</v>
      </c>
      <c r="B75" t="s">
        <v>7628</v>
      </c>
      <c r="C75" s="5" t="s">
        <v>7516</v>
      </c>
      <c r="D75" t="s">
        <v>7629</v>
      </c>
      <c r="E75" s="5" t="s">
        <v>1548</v>
      </c>
      <c r="F75" s="6">
        <v>46037.720833333333</v>
      </c>
      <c r="G75" s="5" t="s">
        <v>7456</v>
      </c>
      <c r="H75" s="5" t="s">
        <v>7630</v>
      </c>
      <c r="I75" s="5" t="s">
        <v>1528</v>
      </c>
      <c r="J75" s="8">
        <v>75</v>
      </c>
      <c r="K75" s="5" t="s">
        <v>1522</v>
      </c>
      <c r="L75">
        <f t="shared" si="1"/>
        <v>1</v>
      </c>
    </row>
    <row r="76" spans="1:12" hidden="1" x14ac:dyDescent="0.25">
      <c r="A76" s="5">
        <v>46067</v>
      </c>
      <c r="B76" t="s">
        <v>7631</v>
      </c>
      <c r="C76" s="5" t="s">
        <v>384</v>
      </c>
      <c r="D76" t="s">
        <v>7632</v>
      </c>
      <c r="E76" s="5" t="s">
        <v>1548</v>
      </c>
      <c r="F76" s="6">
        <v>46037.734722222223</v>
      </c>
      <c r="G76" s="5" t="s">
        <v>7456</v>
      </c>
      <c r="H76" s="5" t="s">
        <v>7633</v>
      </c>
      <c r="I76" s="5" t="s">
        <v>1528</v>
      </c>
      <c r="J76" s="8">
        <v>110</v>
      </c>
      <c r="K76" s="5" t="s">
        <v>1522</v>
      </c>
      <c r="L76">
        <f t="shared" si="1"/>
        <v>1</v>
      </c>
    </row>
    <row r="77" spans="1:12" hidden="1" x14ac:dyDescent="0.25">
      <c r="A77" s="5">
        <v>46072</v>
      </c>
      <c r="B77" t="s">
        <v>7483</v>
      </c>
      <c r="C77" s="5" t="s">
        <v>7484</v>
      </c>
      <c r="D77" t="s">
        <v>7485</v>
      </c>
      <c r="E77" s="5" t="s">
        <v>1548</v>
      </c>
      <c r="F77" s="6">
        <v>46038.397916666669</v>
      </c>
      <c r="G77" s="5" t="s">
        <v>7456</v>
      </c>
      <c r="H77" s="5" t="s">
        <v>7634</v>
      </c>
      <c r="I77" s="5" t="s">
        <v>1528</v>
      </c>
      <c r="J77" s="8">
        <v>68</v>
      </c>
      <c r="K77" s="5" t="s">
        <v>1522</v>
      </c>
      <c r="L77">
        <f t="shared" si="1"/>
        <v>1</v>
      </c>
    </row>
    <row r="78" spans="1:12" hidden="1" x14ac:dyDescent="0.25">
      <c r="A78" s="5">
        <v>46082</v>
      </c>
      <c r="B78" t="s">
        <v>7635</v>
      </c>
      <c r="C78" s="5" t="s">
        <v>733</v>
      </c>
      <c r="D78" t="s">
        <v>7636</v>
      </c>
      <c r="E78" s="5" t="s">
        <v>1548</v>
      </c>
      <c r="F78" s="6">
        <v>46038.5</v>
      </c>
      <c r="G78" s="5" t="s">
        <v>7456</v>
      </c>
      <c r="H78" s="5" t="s">
        <v>7637</v>
      </c>
      <c r="I78" s="5" t="s">
        <v>1528</v>
      </c>
      <c r="J78" s="8">
        <v>127.8</v>
      </c>
      <c r="K78" s="5" t="s">
        <v>1522</v>
      </c>
      <c r="L78">
        <f t="shared" si="1"/>
        <v>1</v>
      </c>
    </row>
    <row r="79" spans="1:12" hidden="1" x14ac:dyDescent="0.25">
      <c r="A79" s="5">
        <v>46084</v>
      </c>
      <c r="B79" t="s">
        <v>7638</v>
      </c>
      <c r="C79" s="5" t="s">
        <v>7639</v>
      </c>
      <c r="D79" t="s">
        <v>7640</v>
      </c>
      <c r="E79" s="5" t="s">
        <v>6921</v>
      </c>
      <c r="F79" s="6">
        <v>46038.506249999999</v>
      </c>
      <c r="G79" s="5" t="s">
        <v>7456</v>
      </c>
      <c r="H79" s="5" t="s">
        <v>7641</v>
      </c>
      <c r="I79" s="5" t="s">
        <v>1528</v>
      </c>
      <c r="J79" s="8">
        <v>39.47</v>
      </c>
      <c r="K79" s="5" t="s">
        <v>1522</v>
      </c>
      <c r="L79">
        <f t="shared" si="1"/>
        <v>1</v>
      </c>
    </row>
    <row r="80" spans="1:12" hidden="1" x14ac:dyDescent="0.25">
      <c r="A80" s="5">
        <v>46089</v>
      </c>
      <c r="B80" t="s">
        <v>7642</v>
      </c>
      <c r="C80" s="5" t="s">
        <v>7643</v>
      </c>
      <c r="D80" t="s">
        <v>7644</v>
      </c>
      <c r="E80" s="5" t="s">
        <v>4451</v>
      </c>
      <c r="F80" s="6">
        <v>46038.622916666667</v>
      </c>
      <c r="G80" s="5" t="s">
        <v>7456</v>
      </c>
      <c r="H80" t="s">
        <v>7482</v>
      </c>
      <c r="I80" s="5" t="s">
        <v>1528</v>
      </c>
      <c r="J80" s="8">
        <v>65</v>
      </c>
      <c r="K80" s="5" t="s">
        <v>1522</v>
      </c>
      <c r="L80">
        <f t="shared" si="1"/>
        <v>1</v>
      </c>
    </row>
    <row r="81" spans="1:12" hidden="1" x14ac:dyDescent="0.25">
      <c r="A81" s="5">
        <v>46091</v>
      </c>
      <c r="B81" t="s">
        <v>7624</v>
      </c>
      <c r="C81" s="5" t="s">
        <v>7625</v>
      </c>
      <c r="D81" t="s">
        <v>7626</v>
      </c>
      <c r="E81" s="5" t="s">
        <v>7645</v>
      </c>
      <c r="F81" s="6">
        <v>46038.63958333333</v>
      </c>
      <c r="G81" s="5" t="s">
        <v>7595</v>
      </c>
      <c r="H81" t="s">
        <v>7482</v>
      </c>
      <c r="I81" s="5" t="s">
        <v>1528</v>
      </c>
      <c r="J81" s="8">
        <v>350</v>
      </c>
      <c r="K81" s="5" t="s">
        <v>1522</v>
      </c>
      <c r="L81">
        <f t="shared" si="1"/>
        <v>1</v>
      </c>
    </row>
    <row r="82" spans="1:12" hidden="1" x14ac:dyDescent="0.25">
      <c r="A82" s="5">
        <v>46096</v>
      </c>
      <c r="B82" t="s">
        <v>7469</v>
      </c>
      <c r="C82" s="5" t="s">
        <v>7470</v>
      </c>
      <c r="D82" t="s">
        <v>7471</v>
      </c>
      <c r="E82" s="5" t="s">
        <v>6467</v>
      </c>
      <c r="F82" s="6">
        <v>46038.65347222222</v>
      </c>
      <c r="G82" s="5" t="s">
        <v>7456</v>
      </c>
      <c r="H82" s="5" t="s">
        <v>7646</v>
      </c>
      <c r="I82" s="5" t="s">
        <v>1621</v>
      </c>
      <c r="J82" s="8">
        <v>18.899999999999999</v>
      </c>
      <c r="K82" s="5" t="s">
        <v>1522</v>
      </c>
      <c r="L82">
        <f t="shared" si="1"/>
        <v>1</v>
      </c>
    </row>
    <row r="83" spans="1:12" hidden="1" x14ac:dyDescent="0.25">
      <c r="A83" s="5">
        <v>46097</v>
      </c>
      <c r="B83" t="s">
        <v>7469</v>
      </c>
      <c r="C83" s="5" t="s">
        <v>7470</v>
      </c>
      <c r="D83" t="s">
        <v>7471</v>
      </c>
      <c r="E83" s="5" t="s">
        <v>2467</v>
      </c>
      <c r="F83" s="6">
        <v>46038.655555555553</v>
      </c>
      <c r="G83" s="5" t="s">
        <v>7456</v>
      </c>
      <c r="H83" s="5" t="s">
        <v>7647</v>
      </c>
      <c r="I83" s="5" t="s">
        <v>1621</v>
      </c>
      <c r="J83" s="8">
        <v>174.8</v>
      </c>
      <c r="K83" s="5" t="s">
        <v>1522</v>
      </c>
      <c r="L83">
        <f t="shared" si="1"/>
        <v>1</v>
      </c>
    </row>
    <row r="84" spans="1:12" hidden="1" x14ac:dyDescent="0.25">
      <c r="A84" s="5">
        <v>46112</v>
      </c>
      <c r="B84" t="s">
        <v>7642</v>
      </c>
      <c r="C84" s="5" t="s">
        <v>7643</v>
      </c>
      <c r="D84" t="s">
        <v>7644</v>
      </c>
      <c r="E84" s="5" t="s">
        <v>2890</v>
      </c>
      <c r="F84" s="6">
        <v>46041.434027777781</v>
      </c>
      <c r="G84" s="5" t="s">
        <v>7456</v>
      </c>
      <c r="H84" t="s">
        <v>7482</v>
      </c>
      <c r="I84" s="5" t="s">
        <v>1528</v>
      </c>
      <c r="J84" s="8">
        <v>90</v>
      </c>
      <c r="K84" s="5" t="s">
        <v>1522</v>
      </c>
      <c r="L84">
        <f t="shared" si="1"/>
        <v>1</v>
      </c>
    </row>
    <row r="85" spans="1:12" hidden="1" x14ac:dyDescent="0.25">
      <c r="A85" s="5">
        <v>46113</v>
      </c>
      <c r="B85" t="s">
        <v>7648</v>
      </c>
      <c r="C85" s="5" t="s">
        <v>7649</v>
      </c>
      <c r="D85" t="s">
        <v>7650</v>
      </c>
      <c r="E85" s="5" t="s">
        <v>7651</v>
      </c>
      <c r="F85" s="6">
        <v>46041.453472222223</v>
      </c>
      <c r="G85" s="5" t="s">
        <v>7456</v>
      </c>
      <c r="H85" t="s">
        <v>7482</v>
      </c>
      <c r="I85" s="5" t="s">
        <v>1528</v>
      </c>
      <c r="J85" s="8">
        <v>480</v>
      </c>
      <c r="K85" s="5" t="s">
        <v>1522</v>
      </c>
      <c r="L85">
        <f t="shared" si="1"/>
        <v>1</v>
      </c>
    </row>
    <row r="86" spans="1:12" hidden="1" x14ac:dyDescent="0.25">
      <c r="A86" s="5">
        <v>46114</v>
      </c>
      <c r="B86" t="s">
        <v>7469</v>
      </c>
      <c r="C86" s="5" t="s">
        <v>7470</v>
      </c>
      <c r="D86" t="s">
        <v>7471</v>
      </c>
      <c r="E86" s="5" t="s">
        <v>3389</v>
      </c>
      <c r="F86" s="6">
        <v>46041.458333333336</v>
      </c>
      <c r="G86" s="5" t="s">
        <v>7456</v>
      </c>
      <c r="H86" s="5" t="s">
        <v>7652</v>
      </c>
      <c r="I86" s="5" t="s">
        <v>1554</v>
      </c>
      <c r="J86" s="8">
        <v>230.4</v>
      </c>
      <c r="K86" s="5" t="s">
        <v>1522</v>
      </c>
      <c r="L86">
        <f t="shared" si="1"/>
        <v>1</v>
      </c>
    </row>
    <row r="87" spans="1:12" hidden="1" x14ac:dyDescent="0.25">
      <c r="A87" s="5">
        <v>46118</v>
      </c>
      <c r="B87" t="s">
        <v>7653</v>
      </c>
      <c r="C87" s="5" t="s">
        <v>7654</v>
      </c>
      <c r="D87" t="s">
        <v>7655</v>
      </c>
      <c r="E87" s="5" t="s">
        <v>3255</v>
      </c>
      <c r="F87" s="6">
        <v>46041.501388888886</v>
      </c>
      <c r="G87" s="5" t="s">
        <v>7456</v>
      </c>
      <c r="H87" s="5" t="s">
        <v>7656</v>
      </c>
      <c r="I87" s="5" t="s">
        <v>1528</v>
      </c>
      <c r="J87" s="8">
        <v>380</v>
      </c>
      <c r="K87" s="5" t="s">
        <v>1522</v>
      </c>
      <c r="L87">
        <f t="shared" si="1"/>
        <v>1</v>
      </c>
    </row>
    <row r="88" spans="1:12" hidden="1" x14ac:dyDescent="0.25">
      <c r="A88" s="5">
        <v>46124</v>
      </c>
      <c r="B88" t="s">
        <v>7608</v>
      </c>
      <c r="C88" s="5" t="s">
        <v>7609</v>
      </c>
      <c r="D88" t="s">
        <v>7610</v>
      </c>
      <c r="E88" s="5" t="s">
        <v>2978</v>
      </c>
      <c r="F88" s="6">
        <v>46041.601388888892</v>
      </c>
      <c r="G88" s="5" t="s">
        <v>7456</v>
      </c>
      <c r="H88" s="5" t="s">
        <v>7657</v>
      </c>
      <c r="I88" s="5" t="s">
        <v>1528</v>
      </c>
      <c r="J88" s="8">
        <v>425</v>
      </c>
      <c r="K88" s="5" t="s">
        <v>1522</v>
      </c>
      <c r="L88">
        <f t="shared" si="1"/>
        <v>1</v>
      </c>
    </row>
    <row r="89" spans="1:12" hidden="1" x14ac:dyDescent="0.25">
      <c r="A89" s="5">
        <v>46126</v>
      </c>
      <c r="B89" t="s">
        <v>7608</v>
      </c>
      <c r="C89" s="5" t="s">
        <v>7609</v>
      </c>
      <c r="D89" t="s">
        <v>7610</v>
      </c>
      <c r="E89" s="5" t="s">
        <v>6019</v>
      </c>
      <c r="F89" s="6">
        <v>46041.605555555558</v>
      </c>
      <c r="G89" s="5" t="s">
        <v>7456</v>
      </c>
      <c r="H89" s="5" t="s">
        <v>7658</v>
      </c>
      <c r="I89" s="5" t="s">
        <v>1528</v>
      </c>
      <c r="J89" s="8">
        <v>94.2</v>
      </c>
      <c r="K89" s="5" t="s">
        <v>1522</v>
      </c>
      <c r="L89">
        <f t="shared" si="1"/>
        <v>1</v>
      </c>
    </row>
    <row r="90" spans="1:12" hidden="1" x14ac:dyDescent="0.25">
      <c r="A90" s="5">
        <v>46132</v>
      </c>
      <c r="B90" t="s">
        <v>7469</v>
      </c>
      <c r="C90" s="5" t="s">
        <v>7470</v>
      </c>
      <c r="D90" t="s">
        <v>7471</v>
      </c>
      <c r="E90" s="5" t="s">
        <v>5575</v>
      </c>
      <c r="F90" s="6">
        <v>46041.637499999997</v>
      </c>
      <c r="G90" s="5" t="s">
        <v>7456</v>
      </c>
      <c r="H90" s="5" t="s">
        <v>7659</v>
      </c>
      <c r="I90" s="5" t="s">
        <v>1554</v>
      </c>
      <c r="J90" s="8">
        <v>113.4</v>
      </c>
      <c r="K90" s="5" t="s">
        <v>1522</v>
      </c>
      <c r="L90">
        <f t="shared" si="1"/>
        <v>1</v>
      </c>
    </row>
    <row r="91" spans="1:12" hidden="1" x14ac:dyDescent="0.25">
      <c r="A91" s="5">
        <v>46133</v>
      </c>
      <c r="B91" t="s">
        <v>7660</v>
      </c>
      <c r="C91" s="5" t="s">
        <v>7661</v>
      </c>
      <c r="D91" t="s">
        <v>7662</v>
      </c>
      <c r="E91" s="5" t="s">
        <v>6894</v>
      </c>
      <c r="F91" s="6">
        <v>46041.64166666667</v>
      </c>
      <c r="G91" s="5" t="s">
        <v>7456</v>
      </c>
      <c r="H91" t="s">
        <v>7482</v>
      </c>
      <c r="I91" s="5" t="s">
        <v>1528</v>
      </c>
      <c r="J91" s="8">
        <v>1823</v>
      </c>
      <c r="K91" s="5" t="s">
        <v>1522</v>
      </c>
      <c r="L91">
        <f t="shared" si="1"/>
        <v>1</v>
      </c>
    </row>
    <row r="92" spans="1:12" hidden="1" x14ac:dyDescent="0.25">
      <c r="A92" s="5">
        <v>46134</v>
      </c>
      <c r="B92" t="s">
        <v>7469</v>
      </c>
      <c r="C92" s="5" t="s">
        <v>7470</v>
      </c>
      <c r="D92" t="s">
        <v>7471</v>
      </c>
      <c r="E92" s="5" t="s">
        <v>5575</v>
      </c>
      <c r="F92" s="6">
        <v>46041.645138888889</v>
      </c>
      <c r="G92" s="5" t="s">
        <v>7456</v>
      </c>
      <c r="H92" s="5" t="s">
        <v>7663</v>
      </c>
      <c r="I92" s="5" t="s">
        <v>1621</v>
      </c>
      <c r="J92" s="8">
        <v>113.4</v>
      </c>
      <c r="K92" s="5" t="s">
        <v>1522</v>
      </c>
      <c r="L92">
        <f t="shared" si="1"/>
        <v>1</v>
      </c>
    </row>
    <row r="93" spans="1:12" hidden="1" x14ac:dyDescent="0.25">
      <c r="A93" s="5">
        <v>46137</v>
      </c>
      <c r="B93" t="s">
        <v>7469</v>
      </c>
      <c r="C93" s="5" t="s">
        <v>7470</v>
      </c>
      <c r="D93" t="s">
        <v>7471</v>
      </c>
      <c r="E93" s="5" t="s">
        <v>5575</v>
      </c>
      <c r="F93" s="6">
        <v>46041.658333333333</v>
      </c>
      <c r="G93" s="5" t="s">
        <v>7456</v>
      </c>
      <c r="H93" s="5" t="s">
        <v>7664</v>
      </c>
      <c r="I93" s="5" t="s">
        <v>1621</v>
      </c>
      <c r="J93" s="8">
        <v>113.3</v>
      </c>
      <c r="K93" s="5" t="s">
        <v>1522</v>
      </c>
      <c r="L93">
        <f t="shared" si="1"/>
        <v>1</v>
      </c>
    </row>
    <row r="94" spans="1:12" hidden="1" x14ac:dyDescent="0.25">
      <c r="A94" s="5">
        <v>46138</v>
      </c>
      <c r="B94" t="s">
        <v>7660</v>
      </c>
      <c r="C94" s="5" t="s">
        <v>7661</v>
      </c>
      <c r="D94" t="s">
        <v>7662</v>
      </c>
      <c r="E94" s="5" t="s">
        <v>1922</v>
      </c>
      <c r="F94" s="6">
        <v>46041.667361111111</v>
      </c>
      <c r="G94" s="5" t="s">
        <v>7456</v>
      </c>
      <c r="H94" s="5" t="s">
        <v>7665</v>
      </c>
      <c r="I94" s="5" t="s">
        <v>1528</v>
      </c>
      <c r="J94" s="8">
        <v>1511</v>
      </c>
      <c r="K94" s="5" t="s">
        <v>1522</v>
      </c>
      <c r="L94">
        <f t="shared" si="1"/>
        <v>1</v>
      </c>
    </row>
    <row r="95" spans="1:12" hidden="1" x14ac:dyDescent="0.25">
      <c r="A95" s="5">
        <v>46139</v>
      </c>
      <c r="B95" t="s">
        <v>7469</v>
      </c>
      <c r="C95" s="5" t="s">
        <v>7470</v>
      </c>
      <c r="D95" t="s">
        <v>7471</v>
      </c>
      <c r="E95" s="5" t="s">
        <v>5986</v>
      </c>
      <c r="F95" s="6">
        <v>46041.659722222219</v>
      </c>
      <c r="G95" s="5" t="s">
        <v>7456</v>
      </c>
      <c r="H95" s="5" t="s">
        <v>7666</v>
      </c>
      <c r="I95" s="5" t="s">
        <v>1621</v>
      </c>
      <c r="J95" s="8">
        <v>11</v>
      </c>
      <c r="K95" s="5" t="s">
        <v>1522</v>
      </c>
      <c r="L95">
        <f t="shared" si="1"/>
        <v>1</v>
      </c>
    </row>
    <row r="96" spans="1:12" hidden="1" x14ac:dyDescent="0.25">
      <c r="A96" s="5">
        <v>46140</v>
      </c>
      <c r="B96" t="s">
        <v>7469</v>
      </c>
      <c r="C96" s="5" t="s">
        <v>7470</v>
      </c>
      <c r="D96" t="s">
        <v>7471</v>
      </c>
      <c r="E96" s="5" t="s">
        <v>6467</v>
      </c>
      <c r="F96" s="6">
        <v>46041.668749999997</v>
      </c>
      <c r="G96" s="5" t="s">
        <v>7456</v>
      </c>
      <c r="H96" s="5" t="s">
        <v>7667</v>
      </c>
      <c r="I96" s="5" t="s">
        <v>1621</v>
      </c>
      <c r="J96" s="8">
        <v>17.100000000000001</v>
      </c>
      <c r="K96" s="5" t="s">
        <v>1522</v>
      </c>
      <c r="L96">
        <f t="shared" si="1"/>
        <v>1</v>
      </c>
    </row>
    <row r="97" spans="1:12" hidden="1" x14ac:dyDescent="0.25">
      <c r="A97" s="5">
        <v>46142</v>
      </c>
      <c r="B97" t="s">
        <v>7469</v>
      </c>
      <c r="C97" s="5" t="s">
        <v>7470</v>
      </c>
      <c r="D97" t="s">
        <v>7471</v>
      </c>
      <c r="E97" s="5" t="s">
        <v>5811</v>
      </c>
      <c r="F97" s="6">
        <v>46041.669444444444</v>
      </c>
      <c r="G97" s="5" t="s">
        <v>7456</v>
      </c>
      <c r="H97" s="5" t="s">
        <v>7668</v>
      </c>
      <c r="I97" s="5" t="s">
        <v>1554</v>
      </c>
      <c r="J97" s="8">
        <v>30</v>
      </c>
      <c r="K97" s="5" t="s">
        <v>1522</v>
      </c>
      <c r="L97">
        <f t="shared" si="1"/>
        <v>1</v>
      </c>
    </row>
    <row r="98" spans="1:12" hidden="1" x14ac:dyDescent="0.25">
      <c r="A98" s="5">
        <v>46144</v>
      </c>
      <c r="B98" t="s">
        <v>7669</v>
      </c>
      <c r="C98" s="5" t="s">
        <v>7670</v>
      </c>
      <c r="D98" t="s">
        <v>7671</v>
      </c>
      <c r="E98" s="5" t="s">
        <v>7143</v>
      </c>
      <c r="F98" s="6">
        <v>46041.694444444445</v>
      </c>
      <c r="G98" s="5" t="s">
        <v>7672</v>
      </c>
      <c r="H98" t="s">
        <v>7482</v>
      </c>
      <c r="I98" s="5" t="s">
        <v>1528</v>
      </c>
      <c r="J98" s="8">
        <v>50</v>
      </c>
      <c r="K98" s="5" t="s">
        <v>1522</v>
      </c>
      <c r="L98">
        <f t="shared" si="1"/>
        <v>1</v>
      </c>
    </row>
    <row r="99" spans="1:12" hidden="1" x14ac:dyDescent="0.25">
      <c r="A99" s="5">
        <v>46150</v>
      </c>
      <c r="B99" t="s">
        <v>7469</v>
      </c>
      <c r="C99" s="5" t="s">
        <v>7470</v>
      </c>
      <c r="D99" t="s">
        <v>7471</v>
      </c>
      <c r="E99" s="5" t="s">
        <v>5575</v>
      </c>
      <c r="F99" s="6">
        <v>46041.724305555559</v>
      </c>
      <c r="G99" s="5" t="s">
        <v>7456</v>
      </c>
      <c r="H99" s="5" t="s">
        <v>7673</v>
      </c>
      <c r="I99" s="5" t="s">
        <v>1621</v>
      </c>
      <c r="J99" s="8">
        <v>113.76</v>
      </c>
      <c r="K99" s="5" t="s">
        <v>1522</v>
      </c>
      <c r="L99">
        <f t="shared" si="1"/>
        <v>1</v>
      </c>
    </row>
    <row r="100" spans="1:12" hidden="1" x14ac:dyDescent="0.25">
      <c r="A100" s="5">
        <v>46155</v>
      </c>
      <c r="B100" t="s">
        <v>7483</v>
      </c>
      <c r="C100" s="5" t="s">
        <v>7484</v>
      </c>
      <c r="D100" t="s">
        <v>7485</v>
      </c>
      <c r="E100" s="5" t="s">
        <v>1548</v>
      </c>
      <c r="F100" s="6">
        <v>46042.405555555553</v>
      </c>
      <c r="G100" s="5" t="s">
        <v>7456</v>
      </c>
      <c r="H100" t="s">
        <v>7482</v>
      </c>
      <c r="I100" s="5" t="s">
        <v>1528</v>
      </c>
      <c r="J100" s="8">
        <v>136.80000000000001</v>
      </c>
      <c r="K100" s="5" t="s">
        <v>1522</v>
      </c>
      <c r="L100">
        <f t="shared" si="1"/>
        <v>1</v>
      </c>
    </row>
    <row r="101" spans="1:12" hidden="1" x14ac:dyDescent="0.25">
      <c r="A101" s="5">
        <v>46157</v>
      </c>
      <c r="B101" t="s">
        <v>7674</v>
      </c>
      <c r="C101" s="5" t="s">
        <v>7675</v>
      </c>
      <c r="D101" t="s">
        <v>7676</v>
      </c>
      <c r="E101" s="5" t="s">
        <v>1548</v>
      </c>
      <c r="F101" s="6">
        <v>46042.430555555555</v>
      </c>
      <c r="G101" s="5" t="s">
        <v>7456</v>
      </c>
      <c r="H101" s="5" t="s">
        <v>7677</v>
      </c>
      <c r="I101" s="5" t="s">
        <v>1528</v>
      </c>
      <c r="J101" s="8">
        <v>101</v>
      </c>
      <c r="K101" s="5" t="s">
        <v>1522</v>
      </c>
      <c r="L101">
        <f t="shared" si="1"/>
        <v>1</v>
      </c>
    </row>
    <row r="102" spans="1:12" hidden="1" x14ac:dyDescent="0.25">
      <c r="A102" s="5">
        <v>46162</v>
      </c>
      <c r="B102" t="s">
        <v>7620</v>
      </c>
      <c r="C102" s="5" t="s">
        <v>7621</v>
      </c>
      <c r="D102" t="s">
        <v>7622</v>
      </c>
      <c r="E102" s="5" t="s">
        <v>2495</v>
      </c>
      <c r="F102" s="6">
        <v>46042.603472222225</v>
      </c>
      <c r="G102" s="5" t="s">
        <v>7456</v>
      </c>
      <c r="H102" s="5" t="s">
        <v>7678</v>
      </c>
      <c r="I102" s="5" t="s">
        <v>1528</v>
      </c>
      <c r="J102" s="8">
        <v>684</v>
      </c>
      <c r="K102" s="5" t="s">
        <v>1522</v>
      </c>
      <c r="L102">
        <f t="shared" si="1"/>
        <v>1</v>
      </c>
    </row>
    <row r="103" spans="1:12" hidden="1" x14ac:dyDescent="0.25">
      <c r="A103" s="5">
        <v>46164</v>
      </c>
      <c r="B103" t="s">
        <v>7679</v>
      </c>
      <c r="C103" s="5" t="s">
        <v>7680</v>
      </c>
      <c r="D103" t="s">
        <v>7681</v>
      </c>
      <c r="E103" s="5" t="s">
        <v>1548</v>
      </c>
      <c r="F103" s="6">
        <v>46042.619444444441</v>
      </c>
      <c r="G103" s="5" t="s">
        <v>7456</v>
      </c>
      <c r="H103" s="5" t="s">
        <v>7682</v>
      </c>
      <c r="I103" s="5" t="s">
        <v>1528</v>
      </c>
      <c r="J103" s="8">
        <v>563</v>
      </c>
      <c r="K103" s="5" t="s">
        <v>1522</v>
      </c>
      <c r="L103">
        <f t="shared" si="1"/>
        <v>1</v>
      </c>
    </row>
    <row r="104" spans="1:12" hidden="1" x14ac:dyDescent="0.25">
      <c r="A104" s="5">
        <v>46176</v>
      </c>
      <c r="B104" t="s">
        <v>7683</v>
      </c>
      <c r="C104" s="5" t="s">
        <v>7516</v>
      </c>
      <c r="D104" t="s">
        <v>7684</v>
      </c>
      <c r="E104" s="5" t="s">
        <v>2306</v>
      </c>
      <c r="F104" s="6">
        <v>46043.307638888888</v>
      </c>
      <c r="G104" s="5" t="s">
        <v>7456</v>
      </c>
      <c r="H104" s="5" t="s">
        <v>7685</v>
      </c>
      <c r="I104" s="5" t="s">
        <v>1528</v>
      </c>
      <c r="J104" s="8">
        <v>162</v>
      </c>
      <c r="K104" s="5" t="s">
        <v>1522</v>
      </c>
      <c r="L104">
        <f t="shared" si="1"/>
        <v>1</v>
      </c>
    </row>
    <row r="105" spans="1:12" hidden="1" x14ac:dyDescent="0.25">
      <c r="A105" s="5">
        <v>46177</v>
      </c>
      <c r="B105" t="s">
        <v>7686</v>
      </c>
      <c r="C105" s="5" t="s">
        <v>7687</v>
      </c>
      <c r="D105" t="s">
        <v>7688</v>
      </c>
      <c r="E105" s="5" t="s">
        <v>1913</v>
      </c>
      <c r="F105" s="6">
        <v>46043.332638888889</v>
      </c>
      <c r="G105" s="5" t="s">
        <v>7456</v>
      </c>
      <c r="H105" s="5" t="s">
        <v>7689</v>
      </c>
      <c r="I105" s="5" t="s">
        <v>1528</v>
      </c>
      <c r="J105" s="8">
        <v>1586</v>
      </c>
      <c r="K105" s="5" t="s">
        <v>1522</v>
      </c>
      <c r="L105">
        <f t="shared" si="1"/>
        <v>1</v>
      </c>
    </row>
    <row r="106" spans="1:12" hidden="1" x14ac:dyDescent="0.25">
      <c r="A106" s="5">
        <v>46179</v>
      </c>
      <c r="B106" t="s">
        <v>7690</v>
      </c>
      <c r="C106" s="5" t="s">
        <v>7691</v>
      </c>
      <c r="D106" t="s">
        <v>7692</v>
      </c>
      <c r="E106" s="5" t="s">
        <v>2194</v>
      </c>
      <c r="F106" s="6">
        <v>46043.390277777777</v>
      </c>
      <c r="G106" s="5" t="s">
        <v>7456</v>
      </c>
      <c r="H106" s="5" t="s">
        <v>7693</v>
      </c>
      <c r="I106" s="5" t="s">
        <v>1528</v>
      </c>
      <c r="J106" s="8">
        <v>950</v>
      </c>
      <c r="K106" s="5" t="s">
        <v>1522</v>
      </c>
      <c r="L106">
        <f t="shared" si="1"/>
        <v>1</v>
      </c>
    </row>
    <row r="107" spans="1:12" hidden="1" x14ac:dyDescent="0.25">
      <c r="A107" s="5">
        <v>46184</v>
      </c>
      <c r="B107" t="s">
        <v>7694</v>
      </c>
      <c r="C107" s="5" t="s">
        <v>7695</v>
      </c>
      <c r="D107" t="s">
        <v>7696</v>
      </c>
      <c r="E107" s="5" t="s">
        <v>7068</v>
      </c>
      <c r="F107" s="6">
        <v>46043.523611111108</v>
      </c>
      <c r="G107" s="5" t="s">
        <v>7456</v>
      </c>
      <c r="H107" s="5" t="s">
        <v>7697</v>
      </c>
      <c r="I107" s="5" t="s">
        <v>1528</v>
      </c>
      <c r="J107" s="8">
        <v>30</v>
      </c>
      <c r="K107" s="5" t="s">
        <v>1522</v>
      </c>
      <c r="L107">
        <f t="shared" si="1"/>
        <v>1</v>
      </c>
    </row>
    <row r="108" spans="1:12" hidden="1" x14ac:dyDescent="0.25">
      <c r="A108" s="5">
        <v>46187</v>
      </c>
      <c r="B108" t="s">
        <v>7698</v>
      </c>
      <c r="C108" s="5" t="s">
        <v>635</v>
      </c>
      <c r="D108" t="s">
        <v>7699</v>
      </c>
      <c r="E108" s="5" t="s">
        <v>5917</v>
      </c>
      <c r="F108" s="6">
        <v>46043.638194444444</v>
      </c>
      <c r="G108" s="5" t="s">
        <v>7456</v>
      </c>
      <c r="H108" s="5" t="s">
        <v>7700</v>
      </c>
      <c r="I108" s="5" t="s">
        <v>1528</v>
      </c>
      <c r="J108" s="8">
        <v>100</v>
      </c>
      <c r="K108" s="5" t="s">
        <v>1522</v>
      </c>
      <c r="L108">
        <f t="shared" si="1"/>
        <v>1</v>
      </c>
    </row>
    <row r="109" spans="1:12" hidden="1" x14ac:dyDescent="0.25">
      <c r="A109" s="5">
        <v>46188</v>
      </c>
      <c r="B109" t="s">
        <v>7469</v>
      </c>
      <c r="C109" s="5" t="s">
        <v>7470</v>
      </c>
      <c r="D109" t="s">
        <v>7471</v>
      </c>
      <c r="E109" s="5" t="s">
        <v>3389</v>
      </c>
      <c r="F109" s="6">
        <v>46043.638888888891</v>
      </c>
      <c r="G109" s="5" t="s">
        <v>7456</v>
      </c>
      <c r="H109" s="5" t="s">
        <v>7701</v>
      </c>
      <c r="I109" s="5" t="s">
        <v>1621</v>
      </c>
      <c r="J109" s="8">
        <v>5.76</v>
      </c>
      <c r="K109" s="5" t="s">
        <v>1522</v>
      </c>
      <c r="L109">
        <f t="shared" si="1"/>
        <v>1</v>
      </c>
    </row>
    <row r="110" spans="1:12" hidden="1" x14ac:dyDescent="0.25">
      <c r="A110" s="5">
        <v>46190</v>
      </c>
      <c r="B110" t="s">
        <v>7469</v>
      </c>
      <c r="C110" s="5" t="s">
        <v>7470</v>
      </c>
      <c r="D110" t="s">
        <v>7471</v>
      </c>
      <c r="E110" s="5" t="s">
        <v>3389</v>
      </c>
      <c r="F110" s="6">
        <v>46043.640972222223</v>
      </c>
      <c r="G110" s="5" t="s">
        <v>7456</v>
      </c>
      <c r="H110" s="5" t="s">
        <v>7702</v>
      </c>
      <c r="I110" s="5" t="s">
        <v>1621</v>
      </c>
      <c r="J110" s="8">
        <v>251.24</v>
      </c>
      <c r="K110" s="5" t="s">
        <v>1522</v>
      </c>
      <c r="L110">
        <f t="shared" si="1"/>
        <v>1</v>
      </c>
    </row>
    <row r="111" spans="1:12" hidden="1" x14ac:dyDescent="0.25">
      <c r="A111" s="5">
        <v>46195</v>
      </c>
      <c r="B111" t="s">
        <v>7703</v>
      </c>
      <c r="C111" s="5" t="s">
        <v>7704</v>
      </c>
      <c r="D111" t="s">
        <v>7705</v>
      </c>
      <c r="E111" s="5" t="s">
        <v>6848</v>
      </c>
      <c r="F111" s="6">
        <v>46043.67083333333</v>
      </c>
      <c r="G111" s="5" t="s">
        <v>7456</v>
      </c>
      <c r="H111" s="5" t="s">
        <v>7706</v>
      </c>
      <c r="I111" s="5" t="s">
        <v>1528</v>
      </c>
      <c r="J111" s="8">
        <v>42.8</v>
      </c>
      <c r="K111" s="5" t="s">
        <v>1522</v>
      </c>
      <c r="L111">
        <f t="shared" si="1"/>
        <v>1</v>
      </c>
    </row>
    <row r="112" spans="1:12" hidden="1" x14ac:dyDescent="0.25">
      <c r="A112" s="5">
        <v>46209</v>
      </c>
      <c r="B112" t="s">
        <v>7707</v>
      </c>
      <c r="C112" s="5" t="s">
        <v>7708</v>
      </c>
      <c r="D112" t="s">
        <v>7709</v>
      </c>
      <c r="E112" s="5" t="s">
        <v>1638</v>
      </c>
      <c r="F112" s="6">
        <v>46044.46597222222</v>
      </c>
      <c r="G112" s="5" t="s">
        <v>7456</v>
      </c>
      <c r="H112" s="5" t="s">
        <v>7710</v>
      </c>
      <c r="I112" s="5" t="s">
        <v>1554</v>
      </c>
      <c r="J112" s="8">
        <v>3822.5</v>
      </c>
      <c r="K112" s="5" t="s">
        <v>1522</v>
      </c>
      <c r="L112">
        <f t="shared" si="1"/>
        <v>1</v>
      </c>
    </row>
    <row r="113" spans="1:12" hidden="1" x14ac:dyDescent="0.25">
      <c r="A113" s="5">
        <v>46217</v>
      </c>
      <c r="B113" t="s">
        <v>7711</v>
      </c>
      <c r="C113" s="5" t="s">
        <v>7484</v>
      </c>
      <c r="D113" t="s">
        <v>7712</v>
      </c>
      <c r="E113" s="5" t="s">
        <v>1548</v>
      </c>
      <c r="F113" s="6">
        <v>46044.663194444445</v>
      </c>
      <c r="G113" s="5" t="s">
        <v>7456</v>
      </c>
      <c r="H113" s="5" t="s">
        <v>7713</v>
      </c>
      <c r="I113" s="5" t="s">
        <v>1528</v>
      </c>
      <c r="J113" s="8">
        <v>1428.5</v>
      </c>
      <c r="K113" s="5" t="s">
        <v>1522</v>
      </c>
      <c r="L113">
        <f t="shared" si="1"/>
        <v>1</v>
      </c>
    </row>
    <row r="114" spans="1:12" hidden="1" x14ac:dyDescent="0.25">
      <c r="A114" s="5">
        <v>46219</v>
      </c>
      <c r="B114" t="s">
        <v>7714</v>
      </c>
      <c r="C114" s="5" t="s">
        <v>7715</v>
      </c>
      <c r="D114" t="s">
        <v>7716</v>
      </c>
      <c r="E114" s="5" t="s">
        <v>1548</v>
      </c>
      <c r="F114" s="6">
        <v>46044.679861111108</v>
      </c>
      <c r="G114" s="5" t="s">
        <v>7456</v>
      </c>
      <c r="H114" s="5" t="s">
        <v>7717</v>
      </c>
      <c r="I114" s="5" t="s">
        <v>1528</v>
      </c>
      <c r="J114" s="8">
        <v>480.1</v>
      </c>
      <c r="K114" s="5" t="s">
        <v>1522</v>
      </c>
      <c r="L114">
        <f t="shared" si="1"/>
        <v>1</v>
      </c>
    </row>
    <row r="115" spans="1:12" hidden="1" x14ac:dyDescent="0.25">
      <c r="A115" s="5">
        <v>46224</v>
      </c>
      <c r="B115" t="s">
        <v>7718</v>
      </c>
      <c r="C115" s="5" t="s">
        <v>7719</v>
      </c>
      <c r="D115" t="s">
        <v>7720</v>
      </c>
      <c r="E115" s="5" t="s">
        <v>2115</v>
      </c>
      <c r="F115" s="6">
        <v>46044.700694444444</v>
      </c>
      <c r="G115" s="5" t="s">
        <v>7456</v>
      </c>
      <c r="H115" t="s">
        <v>7482</v>
      </c>
      <c r="I115" s="5" t="s">
        <v>1528</v>
      </c>
      <c r="J115" s="8">
        <v>462</v>
      </c>
      <c r="K115" s="5" t="s">
        <v>1522</v>
      </c>
      <c r="L115">
        <f t="shared" si="1"/>
        <v>1</v>
      </c>
    </row>
    <row r="116" spans="1:12" hidden="1" x14ac:dyDescent="0.25">
      <c r="A116" s="5">
        <v>46228</v>
      </c>
      <c r="B116" t="s">
        <v>7721</v>
      </c>
      <c r="C116" s="5" t="s">
        <v>7516</v>
      </c>
      <c r="D116" t="s">
        <v>7722</v>
      </c>
      <c r="E116" s="5" t="s">
        <v>3617</v>
      </c>
      <c r="F116" s="6">
        <v>46044.720138888886</v>
      </c>
      <c r="G116" s="5" t="s">
        <v>7456</v>
      </c>
      <c r="H116" s="5" t="s">
        <v>7723</v>
      </c>
      <c r="I116" s="5" t="s">
        <v>1528</v>
      </c>
      <c r="J116" s="8">
        <v>194.9</v>
      </c>
      <c r="K116" s="5" t="s">
        <v>1522</v>
      </c>
      <c r="L116">
        <f t="shared" si="1"/>
        <v>1</v>
      </c>
    </row>
    <row r="117" spans="1:12" hidden="1" x14ac:dyDescent="0.25">
      <c r="A117" s="5">
        <v>46229</v>
      </c>
      <c r="B117" t="s">
        <v>7490</v>
      </c>
      <c r="C117" s="5" t="s">
        <v>7724</v>
      </c>
      <c r="D117" t="s">
        <v>7492</v>
      </c>
      <c r="E117" s="5" t="s">
        <v>2015</v>
      </c>
      <c r="F117" s="6">
        <v>46044.722916666666</v>
      </c>
      <c r="G117" s="5" t="s">
        <v>7456</v>
      </c>
      <c r="H117" s="5" t="s">
        <v>7725</v>
      </c>
      <c r="I117" s="5" t="s">
        <v>1528</v>
      </c>
      <c r="J117" s="8">
        <v>1200</v>
      </c>
      <c r="K117" s="5" t="s">
        <v>1522</v>
      </c>
      <c r="L117">
        <f t="shared" si="1"/>
        <v>1</v>
      </c>
    </row>
    <row r="118" spans="1:12" hidden="1" x14ac:dyDescent="0.25">
      <c r="A118" s="5">
        <v>46231</v>
      </c>
      <c r="B118" t="s">
        <v>7469</v>
      </c>
      <c r="C118" s="5" t="s">
        <v>7470</v>
      </c>
      <c r="D118" t="s">
        <v>7471</v>
      </c>
      <c r="E118" s="5" t="s">
        <v>3651</v>
      </c>
      <c r="F118" s="6">
        <v>46044.727083333331</v>
      </c>
      <c r="G118" s="5" t="s">
        <v>7456</v>
      </c>
      <c r="H118" s="5" t="s">
        <v>7726</v>
      </c>
      <c r="I118" s="5" t="s">
        <v>1621</v>
      </c>
      <c r="J118" s="8">
        <v>302.10000000000002</v>
      </c>
      <c r="K118" s="5" t="s">
        <v>1522</v>
      </c>
      <c r="L118">
        <f t="shared" si="1"/>
        <v>1</v>
      </c>
    </row>
    <row r="119" spans="1:12" hidden="1" x14ac:dyDescent="0.25">
      <c r="A119" s="5">
        <v>46234</v>
      </c>
      <c r="B119" t="s">
        <v>7575</v>
      </c>
      <c r="C119" s="5" t="s">
        <v>7727</v>
      </c>
      <c r="D119" t="s">
        <v>7577</v>
      </c>
      <c r="E119" s="5" t="s">
        <v>3157</v>
      </c>
      <c r="F119" s="6">
        <v>46045.353472222225</v>
      </c>
      <c r="G119" s="5" t="s">
        <v>7456</v>
      </c>
      <c r="H119" s="5" t="s">
        <v>7728</v>
      </c>
      <c r="I119" s="5" t="s">
        <v>1528</v>
      </c>
      <c r="J119" s="8">
        <v>75</v>
      </c>
      <c r="K119" s="5" t="s">
        <v>1522</v>
      </c>
      <c r="L119">
        <f t="shared" si="1"/>
        <v>1</v>
      </c>
    </row>
    <row r="120" spans="1:12" hidden="1" x14ac:dyDescent="0.25">
      <c r="A120" s="5">
        <v>46235</v>
      </c>
      <c r="B120" t="s">
        <v>7575</v>
      </c>
      <c r="C120" s="5" t="s">
        <v>7576</v>
      </c>
      <c r="D120" t="s">
        <v>7577</v>
      </c>
      <c r="E120" s="5" t="s">
        <v>1943</v>
      </c>
      <c r="F120" s="6">
        <v>46045.362500000003</v>
      </c>
      <c r="G120" s="5" t="s">
        <v>7456</v>
      </c>
      <c r="H120" s="5" t="s">
        <v>7729</v>
      </c>
      <c r="I120" s="5" t="s">
        <v>1528</v>
      </c>
      <c r="J120" s="8">
        <v>706.88</v>
      </c>
      <c r="K120" s="5" t="s">
        <v>1522</v>
      </c>
      <c r="L120">
        <f t="shared" si="1"/>
        <v>1</v>
      </c>
    </row>
    <row r="121" spans="1:12" hidden="1" x14ac:dyDescent="0.25">
      <c r="A121" s="5">
        <v>46238</v>
      </c>
      <c r="B121" t="s">
        <v>7730</v>
      </c>
      <c r="C121" s="5" t="s">
        <v>7731</v>
      </c>
      <c r="D121" t="s">
        <v>7732</v>
      </c>
      <c r="E121" s="5" t="s">
        <v>3617</v>
      </c>
      <c r="F121" s="6">
        <v>46045.416666666664</v>
      </c>
      <c r="G121" s="5" t="s">
        <v>7456</v>
      </c>
      <c r="H121" s="5" t="s">
        <v>7733</v>
      </c>
      <c r="I121" s="5" t="s">
        <v>1528</v>
      </c>
      <c r="J121" s="8">
        <v>308.5</v>
      </c>
      <c r="K121" s="5" t="s">
        <v>1522</v>
      </c>
      <c r="L121">
        <f t="shared" si="1"/>
        <v>1</v>
      </c>
    </row>
    <row r="122" spans="1:12" hidden="1" x14ac:dyDescent="0.25">
      <c r="A122" s="5">
        <v>46241</v>
      </c>
      <c r="B122" t="s">
        <v>7469</v>
      </c>
      <c r="C122" s="5" t="s">
        <v>7470</v>
      </c>
      <c r="D122" t="s">
        <v>7471</v>
      </c>
      <c r="E122" s="5" t="s">
        <v>3389</v>
      </c>
      <c r="F122" s="6">
        <v>46045.499305555553</v>
      </c>
      <c r="G122" s="5" t="s">
        <v>7456</v>
      </c>
      <c r="H122" s="5" t="s">
        <v>7734</v>
      </c>
      <c r="I122" s="5" t="s">
        <v>1621</v>
      </c>
      <c r="J122" s="8">
        <v>114.2</v>
      </c>
      <c r="K122" s="5" t="s">
        <v>1522</v>
      </c>
      <c r="L122">
        <f t="shared" si="1"/>
        <v>1</v>
      </c>
    </row>
    <row r="123" spans="1:12" hidden="1" x14ac:dyDescent="0.25">
      <c r="A123" s="5">
        <v>46248</v>
      </c>
      <c r="B123" t="s">
        <v>7735</v>
      </c>
      <c r="C123" s="5" t="s">
        <v>7736</v>
      </c>
      <c r="D123" t="s">
        <v>7737</v>
      </c>
      <c r="E123" s="5" t="s">
        <v>2607</v>
      </c>
      <c r="F123" s="6">
        <v>46045.60833333333</v>
      </c>
      <c r="G123" s="5" t="s">
        <v>7456</v>
      </c>
      <c r="H123" s="5" t="s">
        <v>7738</v>
      </c>
      <c r="I123" s="5" t="s">
        <v>1528</v>
      </c>
      <c r="J123" s="8">
        <v>329.2</v>
      </c>
      <c r="K123" s="5" t="s">
        <v>1522</v>
      </c>
      <c r="L123">
        <f t="shared" si="1"/>
        <v>1</v>
      </c>
    </row>
    <row r="124" spans="1:12" hidden="1" x14ac:dyDescent="0.25">
      <c r="A124" s="5">
        <v>46258</v>
      </c>
      <c r="B124" t="s">
        <v>7575</v>
      </c>
      <c r="C124" s="5" t="s">
        <v>7576</v>
      </c>
      <c r="D124" t="s">
        <v>7577</v>
      </c>
      <c r="E124" s="5" t="s">
        <v>6730</v>
      </c>
      <c r="F124" s="6">
        <v>46048.331944444442</v>
      </c>
      <c r="G124" s="5" t="s">
        <v>7456</v>
      </c>
      <c r="H124" s="5" t="s">
        <v>7739</v>
      </c>
      <c r="I124" s="5" t="s">
        <v>1528</v>
      </c>
      <c r="J124" s="8">
        <v>50</v>
      </c>
      <c r="K124" s="5" t="s">
        <v>1522</v>
      </c>
      <c r="L124">
        <f t="shared" si="1"/>
        <v>1</v>
      </c>
    </row>
    <row r="125" spans="1:12" hidden="1" x14ac:dyDescent="0.25">
      <c r="A125" s="5">
        <v>46259</v>
      </c>
      <c r="B125" t="s">
        <v>7740</v>
      </c>
      <c r="C125" s="5" t="s">
        <v>7503</v>
      </c>
      <c r="D125" t="s">
        <v>7741</v>
      </c>
      <c r="E125" s="5" t="s">
        <v>2545</v>
      </c>
      <c r="F125" s="6">
        <v>46048.342361111114</v>
      </c>
      <c r="G125" s="5" t="s">
        <v>7456</v>
      </c>
      <c r="H125" s="5" t="s">
        <v>7742</v>
      </c>
      <c r="I125" s="5" t="s">
        <v>1528</v>
      </c>
      <c r="J125" s="8">
        <v>650</v>
      </c>
      <c r="K125" s="5" t="s">
        <v>1522</v>
      </c>
      <c r="L125">
        <f t="shared" si="1"/>
        <v>1</v>
      </c>
    </row>
    <row r="126" spans="1:12" hidden="1" x14ac:dyDescent="0.25">
      <c r="A126" s="5">
        <v>46260</v>
      </c>
      <c r="B126" t="s">
        <v>7743</v>
      </c>
      <c r="C126" s="5" t="s">
        <v>7503</v>
      </c>
      <c r="D126" t="s">
        <v>7548</v>
      </c>
      <c r="E126" s="5" t="s">
        <v>2542</v>
      </c>
      <c r="F126" s="6">
        <v>46048.354861111111</v>
      </c>
      <c r="G126" s="5" t="s">
        <v>7456</v>
      </c>
      <c r="H126" s="5" t="s">
        <v>7744</v>
      </c>
      <c r="I126" s="5" t="s">
        <v>1528</v>
      </c>
      <c r="J126" s="8">
        <v>650</v>
      </c>
      <c r="K126" s="5" t="s">
        <v>1522</v>
      </c>
      <c r="L126">
        <f t="shared" si="1"/>
        <v>1</v>
      </c>
    </row>
    <row r="127" spans="1:12" hidden="1" x14ac:dyDescent="0.25">
      <c r="A127" s="5">
        <v>46268</v>
      </c>
      <c r="B127" t="s">
        <v>7745</v>
      </c>
      <c r="C127" s="5" t="s">
        <v>7746</v>
      </c>
      <c r="D127" t="s">
        <v>7747</v>
      </c>
      <c r="E127" s="5" t="s">
        <v>1548</v>
      </c>
      <c r="F127" s="6">
        <v>46048.429861111108</v>
      </c>
      <c r="G127" s="5" t="s">
        <v>7456</v>
      </c>
      <c r="H127" t="s">
        <v>7482</v>
      </c>
      <c r="I127" s="5" t="s">
        <v>1528</v>
      </c>
      <c r="J127" s="8">
        <v>1301.25</v>
      </c>
      <c r="K127" s="5" t="s">
        <v>1522</v>
      </c>
      <c r="L127">
        <f t="shared" si="1"/>
        <v>1</v>
      </c>
    </row>
    <row r="128" spans="1:12" hidden="1" x14ac:dyDescent="0.25">
      <c r="A128" s="5">
        <v>46270</v>
      </c>
      <c r="B128" t="s">
        <v>7694</v>
      </c>
      <c r="C128" s="5" t="s">
        <v>7695</v>
      </c>
      <c r="D128" t="s">
        <v>7696</v>
      </c>
      <c r="E128" s="5" t="s">
        <v>1866</v>
      </c>
      <c r="F128" s="6">
        <v>46048.459027777775</v>
      </c>
      <c r="G128" s="5" t="s">
        <v>7456</v>
      </c>
      <c r="H128" s="5" t="s">
        <v>7748</v>
      </c>
      <c r="I128" s="5" t="s">
        <v>1528</v>
      </c>
      <c r="J128" s="8">
        <v>1785</v>
      </c>
      <c r="K128" s="5" t="s">
        <v>1522</v>
      </c>
      <c r="L128">
        <f t="shared" si="1"/>
        <v>1</v>
      </c>
    </row>
    <row r="129" spans="1:12" hidden="1" x14ac:dyDescent="0.25">
      <c r="A129" s="5">
        <v>46278</v>
      </c>
      <c r="B129" t="s">
        <v>7469</v>
      </c>
      <c r="C129" s="5" t="s">
        <v>7470</v>
      </c>
      <c r="D129" t="s">
        <v>7471</v>
      </c>
      <c r="E129" s="5" t="s">
        <v>3389</v>
      </c>
      <c r="F129" s="6">
        <v>46048.633333333331</v>
      </c>
      <c r="G129" s="5" t="s">
        <v>7456</v>
      </c>
      <c r="H129" s="5" t="s">
        <v>7749</v>
      </c>
      <c r="I129" s="5" t="s">
        <v>1621</v>
      </c>
      <c r="J129" s="8">
        <v>28.8</v>
      </c>
      <c r="K129" s="5" t="s">
        <v>1522</v>
      </c>
      <c r="L129">
        <f t="shared" si="1"/>
        <v>1</v>
      </c>
    </row>
    <row r="130" spans="1:12" hidden="1" x14ac:dyDescent="0.25">
      <c r="A130" s="5">
        <v>46289</v>
      </c>
      <c r="B130" t="s">
        <v>7660</v>
      </c>
      <c r="C130" s="5" t="s">
        <v>7661</v>
      </c>
      <c r="D130" t="s">
        <v>7662</v>
      </c>
      <c r="E130" s="5" t="s">
        <v>7750</v>
      </c>
      <c r="F130" s="6">
        <v>46048.70416666667</v>
      </c>
      <c r="G130" s="5" t="s">
        <v>7456</v>
      </c>
      <c r="H130" t="s">
        <v>7482</v>
      </c>
      <c r="I130" s="5" t="s">
        <v>1528</v>
      </c>
      <c r="J130" s="8">
        <v>3129.8</v>
      </c>
      <c r="K130" s="5" t="s">
        <v>1522</v>
      </c>
      <c r="L130">
        <f t="shared" si="1"/>
        <v>1</v>
      </c>
    </row>
    <row r="131" spans="1:12" hidden="1" x14ac:dyDescent="0.25">
      <c r="A131" s="5">
        <v>46292</v>
      </c>
      <c r="B131" t="s">
        <v>7536</v>
      </c>
      <c r="C131" s="5" t="s">
        <v>7537</v>
      </c>
      <c r="D131" t="s">
        <v>7538</v>
      </c>
      <c r="E131" s="5" t="s">
        <v>1560</v>
      </c>
      <c r="F131" s="6">
        <v>46048.722222222219</v>
      </c>
      <c r="G131" s="5" t="s">
        <v>7456</v>
      </c>
      <c r="H131" s="5" t="s">
        <v>7751</v>
      </c>
      <c r="I131" s="5" t="s">
        <v>1528</v>
      </c>
      <c r="J131" s="8">
        <v>2699.94</v>
      </c>
      <c r="K131" s="5" t="s">
        <v>1522</v>
      </c>
      <c r="L131">
        <f t="shared" ref="L131:L194" si="2">MONTH(F131)</f>
        <v>1</v>
      </c>
    </row>
    <row r="132" spans="1:12" hidden="1" x14ac:dyDescent="0.25">
      <c r="A132" s="5">
        <v>46294</v>
      </c>
      <c r="B132" t="s">
        <v>7752</v>
      </c>
      <c r="C132" s="5" t="s">
        <v>7753</v>
      </c>
      <c r="D132" t="s">
        <v>7754</v>
      </c>
      <c r="E132" s="5" t="s">
        <v>7755</v>
      </c>
      <c r="F132" s="6">
        <v>46048.729166666664</v>
      </c>
      <c r="G132" s="5" t="s">
        <v>7456</v>
      </c>
      <c r="H132" t="s">
        <v>7482</v>
      </c>
      <c r="I132" s="5" t="s">
        <v>1528</v>
      </c>
      <c r="J132" s="8">
        <v>12340.5</v>
      </c>
      <c r="K132" s="5" t="s">
        <v>1522</v>
      </c>
      <c r="L132">
        <f t="shared" si="2"/>
        <v>1</v>
      </c>
    </row>
    <row r="133" spans="1:12" hidden="1" x14ac:dyDescent="0.25">
      <c r="A133" s="5">
        <v>46297</v>
      </c>
      <c r="B133" t="s">
        <v>7469</v>
      </c>
      <c r="C133" s="5" t="s">
        <v>7470</v>
      </c>
      <c r="D133" t="s">
        <v>7471</v>
      </c>
      <c r="E133" s="5" t="s">
        <v>6467</v>
      </c>
      <c r="F133" s="6">
        <v>46048.741666666669</v>
      </c>
      <c r="G133" s="5" t="s">
        <v>7456</v>
      </c>
      <c r="H133" s="5" t="s">
        <v>7756</v>
      </c>
      <c r="I133" s="5" t="s">
        <v>1621</v>
      </c>
      <c r="J133" s="8">
        <v>9</v>
      </c>
      <c r="K133" s="5" t="s">
        <v>1522</v>
      </c>
      <c r="L133">
        <f t="shared" si="2"/>
        <v>1</v>
      </c>
    </row>
    <row r="134" spans="1:12" hidden="1" x14ac:dyDescent="0.25">
      <c r="A134" s="5">
        <v>46302</v>
      </c>
      <c r="B134" t="s">
        <v>7469</v>
      </c>
      <c r="C134" s="5" t="s">
        <v>7470</v>
      </c>
      <c r="D134" t="s">
        <v>7471</v>
      </c>
      <c r="E134" s="5" t="s">
        <v>6467</v>
      </c>
      <c r="F134" s="6">
        <v>46049.415972222225</v>
      </c>
      <c r="G134" s="5" t="s">
        <v>7456</v>
      </c>
      <c r="H134" s="5" t="s">
        <v>7757</v>
      </c>
      <c r="I134" s="5" t="s">
        <v>1621</v>
      </c>
      <c r="J134" s="8">
        <v>31.5</v>
      </c>
      <c r="K134" s="5" t="s">
        <v>1522</v>
      </c>
      <c r="L134">
        <f t="shared" si="2"/>
        <v>1</v>
      </c>
    </row>
    <row r="135" spans="1:12" hidden="1" x14ac:dyDescent="0.25">
      <c r="A135" s="5">
        <v>46303</v>
      </c>
      <c r="B135" t="s">
        <v>7469</v>
      </c>
      <c r="C135" s="5" t="s">
        <v>7470</v>
      </c>
      <c r="D135" t="s">
        <v>7471</v>
      </c>
      <c r="E135" s="5" t="s">
        <v>3389</v>
      </c>
      <c r="F135" s="6">
        <v>46049.420138888891</v>
      </c>
      <c r="G135" s="5" t="s">
        <v>7456</v>
      </c>
      <c r="H135" s="5" t="s">
        <v>7758</v>
      </c>
      <c r="I135" s="5" t="s">
        <v>1621</v>
      </c>
      <c r="J135" s="8">
        <v>228.4</v>
      </c>
      <c r="K135" s="5" t="s">
        <v>1522</v>
      </c>
      <c r="L135">
        <f t="shared" si="2"/>
        <v>1</v>
      </c>
    </row>
    <row r="136" spans="1:12" hidden="1" x14ac:dyDescent="0.25">
      <c r="A136" s="5">
        <v>46305</v>
      </c>
      <c r="B136" t="s">
        <v>7759</v>
      </c>
      <c r="C136" s="5" t="s">
        <v>7503</v>
      </c>
      <c r="D136" t="s">
        <v>7760</v>
      </c>
      <c r="E136" s="5" t="s">
        <v>4062</v>
      </c>
      <c r="F136" s="6">
        <v>46049.453472222223</v>
      </c>
      <c r="G136" s="5" t="s">
        <v>7456</v>
      </c>
      <c r="H136" s="5" t="s">
        <v>7761</v>
      </c>
      <c r="I136" s="5" t="s">
        <v>1528</v>
      </c>
      <c r="J136" s="8">
        <v>248.64</v>
      </c>
      <c r="K136" s="5" t="s">
        <v>1522</v>
      </c>
      <c r="L136">
        <f t="shared" si="2"/>
        <v>1</v>
      </c>
    </row>
    <row r="137" spans="1:12" hidden="1" x14ac:dyDescent="0.25">
      <c r="A137" s="5">
        <v>46307</v>
      </c>
      <c r="B137" t="s">
        <v>7762</v>
      </c>
      <c r="C137" s="5" t="s">
        <v>7496</v>
      </c>
      <c r="D137" t="s">
        <v>7760</v>
      </c>
      <c r="E137" s="5" t="s">
        <v>2109</v>
      </c>
      <c r="F137" s="6">
        <v>46049.455555555556</v>
      </c>
      <c r="G137" s="5" t="s">
        <v>7456</v>
      </c>
      <c r="H137" s="5" t="s">
        <v>7763</v>
      </c>
      <c r="I137" s="5" t="s">
        <v>1528</v>
      </c>
      <c r="J137" s="8">
        <v>1045</v>
      </c>
      <c r="K137" s="5" t="s">
        <v>1522</v>
      </c>
      <c r="L137">
        <f t="shared" si="2"/>
        <v>1</v>
      </c>
    </row>
    <row r="138" spans="1:12" hidden="1" x14ac:dyDescent="0.25">
      <c r="A138" s="5">
        <v>46308</v>
      </c>
      <c r="B138" t="s">
        <v>7764</v>
      </c>
      <c r="C138" s="5" t="s">
        <v>7765</v>
      </c>
      <c r="D138" t="s">
        <v>7766</v>
      </c>
      <c r="E138" s="5" t="s">
        <v>1548</v>
      </c>
      <c r="F138" s="6">
        <v>46049.474305555559</v>
      </c>
      <c r="G138" s="5" t="s">
        <v>7456</v>
      </c>
      <c r="H138" s="5" t="s">
        <v>7767</v>
      </c>
      <c r="I138" s="5" t="s">
        <v>1528</v>
      </c>
      <c r="J138" s="8">
        <v>405</v>
      </c>
      <c r="K138" s="5" t="s">
        <v>1522</v>
      </c>
      <c r="L138">
        <f t="shared" si="2"/>
        <v>1</v>
      </c>
    </row>
    <row r="139" spans="1:12" hidden="1" x14ac:dyDescent="0.25">
      <c r="A139" s="5">
        <v>46309</v>
      </c>
      <c r="B139" t="s">
        <v>7707</v>
      </c>
      <c r="C139" s="5" t="s">
        <v>7708</v>
      </c>
      <c r="D139" t="s">
        <v>7709</v>
      </c>
      <c r="E139" s="5" t="s">
        <v>1638</v>
      </c>
      <c r="F139" s="6">
        <v>46049.478472222225</v>
      </c>
      <c r="G139" s="5" t="s">
        <v>7456</v>
      </c>
      <c r="H139" s="5" t="s">
        <v>7768</v>
      </c>
      <c r="I139" s="5" t="s">
        <v>1554</v>
      </c>
      <c r="J139" s="8">
        <v>958</v>
      </c>
      <c r="K139" s="5" t="s">
        <v>1522</v>
      </c>
      <c r="L139">
        <f t="shared" si="2"/>
        <v>1</v>
      </c>
    </row>
    <row r="140" spans="1:12" hidden="1" x14ac:dyDescent="0.25">
      <c r="A140" s="5">
        <v>46321</v>
      </c>
      <c r="B140" t="s">
        <v>7469</v>
      </c>
      <c r="C140" s="5" t="s">
        <v>7470</v>
      </c>
      <c r="D140" t="s">
        <v>7471</v>
      </c>
      <c r="E140" s="5" t="s">
        <v>3651</v>
      </c>
      <c r="F140" s="6">
        <v>46049.655555555553</v>
      </c>
      <c r="G140" s="5" t="s">
        <v>7456</v>
      </c>
      <c r="H140" s="5" t="s">
        <v>7769</v>
      </c>
      <c r="I140" s="5" t="s">
        <v>1621</v>
      </c>
      <c r="J140" s="8">
        <v>290.7</v>
      </c>
      <c r="K140" s="5" t="s">
        <v>1522</v>
      </c>
      <c r="L140">
        <f t="shared" si="2"/>
        <v>1</v>
      </c>
    </row>
    <row r="141" spans="1:12" hidden="1" x14ac:dyDescent="0.25">
      <c r="A141" s="5">
        <v>46326</v>
      </c>
      <c r="B141" t="s">
        <v>7770</v>
      </c>
      <c r="C141" s="5" t="s">
        <v>7771</v>
      </c>
      <c r="D141" t="s">
        <v>7772</v>
      </c>
      <c r="E141" s="5" t="s">
        <v>1548</v>
      </c>
      <c r="F141" s="6">
        <v>46049.703472222223</v>
      </c>
      <c r="G141" s="5" t="s">
        <v>7456</v>
      </c>
      <c r="H141" t="s">
        <v>7482</v>
      </c>
      <c r="I141" s="5" t="s">
        <v>1528</v>
      </c>
      <c r="J141" s="8">
        <v>3841.25</v>
      </c>
      <c r="K141" s="5" t="s">
        <v>1522</v>
      </c>
      <c r="L141">
        <f t="shared" si="2"/>
        <v>1</v>
      </c>
    </row>
    <row r="142" spans="1:12" hidden="1" x14ac:dyDescent="0.25">
      <c r="A142" s="5">
        <v>46328</v>
      </c>
      <c r="B142" t="s">
        <v>7740</v>
      </c>
      <c r="C142" s="5" t="s">
        <v>7503</v>
      </c>
      <c r="D142" t="s">
        <v>7741</v>
      </c>
      <c r="E142" s="5" t="s">
        <v>7071</v>
      </c>
      <c r="F142" s="6">
        <v>46049.743750000001</v>
      </c>
      <c r="G142" s="5" t="s">
        <v>7456</v>
      </c>
      <c r="H142" s="5" t="s">
        <v>7773</v>
      </c>
      <c r="I142" s="5" t="s">
        <v>1528</v>
      </c>
      <c r="J142" s="8">
        <v>30</v>
      </c>
      <c r="K142" s="5" t="s">
        <v>1522</v>
      </c>
      <c r="L142">
        <f t="shared" si="2"/>
        <v>1</v>
      </c>
    </row>
    <row r="143" spans="1:12" hidden="1" x14ac:dyDescent="0.25">
      <c r="A143" s="5">
        <v>46337</v>
      </c>
      <c r="B143" t="s">
        <v>7774</v>
      </c>
      <c r="C143" s="5" t="s">
        <v>38</v>
      </c>
      <c r="D143" t="s">
        <v>7775</v>
      </c>
      <c r="E143" s="5" t="s">
        <v>1548</v>
      </c>
      <c r="F143" s="6">
        <v>46050.431944444441</v>
      </c>
      <c r="G143" s="5" t="s">
        <v>7456</v>
      </c>
      <c r="H143" s="5" t="s">
        <v>7776</v>
      </c>
      <c r="I143" s="5" t="s">
        <v>1528</v>
      </c>
      <c r="J143" s="8">
        <v>70</v>
      </c>
      <c r="K143" s="5" t="s">
        <v>1522</v>
      </c>
      <c r="L143">
        <f t="shared" si="2"/>
        <v>1</v>
      </c>
    </row>
    <row r="144" spans="1:12" hidden="1" x14ac:dyDescent="0.25">
      <c r="A144" s="5">
        <v>46342</v>
      </c>
      <c r="B144" t="s">
        <v>7469</v>
      </c>
      <c r="C144" s="5" t="s">
        <v>7470</v>
      </c>
      <c r="D144" t="s">
        <v>7471</v>
      </c>
      <c r="E144" s="5" t="s">
        <v>6467</v>
      </c>
      <c r="F144" s="6">
        <v>46050.464583333334</v>
      </c>
      <c r="G144" s="5" t="s">
        <v>7456</v>
      </c>
      <c r="H144" s="5" t="s">
        <v>7777</v>
      </c>
      <c r="I144" s="5" t="s">
        <v>1621</v>
      </c>
      <c r="J144" s="8">
        <v>9</v>
      </c>
      <c r="K144" s="5" t="s">
        <v>1522</v>
      </c>
      <c r="L144">
        <f t="shared" si="2"/>
        <v>1</v>
      </c>
    </row>
    <row r="145" spans="1:12" hidden="1" x14ac:dyDescent="0.25">
      <c r="A145" s="5">
        <v>46344</v>
      </c>
      <c r="B145" t="s">
        <v>7778</v>
      </c>
      <c r="C145" s="5" t="s">
        <v>7779</v>
      </c>
      <c r="D145" t="s">
        <v>7780</v>
      </c>
      <c r="E145" s="5" t="s">
        <v>2060</v>
      </c>
      <c r="F145" s="6">
        <v>46050.499305555553</v>
      </c>
      <c r="G145" s="5" t="s">
        <v>7456</v>
      </c>
      <c r="H145" s="5" t="s">
        <v>7781</v>
      </c>
      <c r="I145" s="5" t="s">
        <v>1528</v>
      </c>
      <c r="J145" s="8">
        <v>1128</v>
      </c>
      <c r="K145" s="5" t="s">
        <v>1522</v>
      </c>
      <c r="L145">
        <f t="shared" si="2"/>
        <v>1</v>
      </c>
    </row>
    <row r="146" spans="1:12" hidden="1" x14ac:dyDescent="0.25">
      <c r="A146" s="5">
        <v>46345</v>
      </c>
      <c r="B146" t="s">
        <v>7608</v>
      </c>
      <c r="C146" s="5" t="s">
        <v>7609</v>
      </c>
      <c r="D146" t="s">
        <v>7610</v>
      </c>
      <c r="E146" s="5" t="s">
        <v>1548</v>
      </c>
      <c r="F146" s="6">
        <v>46042.720138888886</v>
      </c>
      <c r="G146" s="5" t="s">
        <v>7595</v>
      </c>
      <c r="H146" s="5" t="s">
        <v>7782</v>
      </c>
      <c r="I146" s="5" t="s">
        <v>1528</v>
      </c>
      <c r="J146" s="8">
        <v>798</v>
      </c>
      <c r="K146" s="5" t="s">
        <v>1522</v>
      </c>
      <c r="L146">
        <f t="shared" si="2"/>
        <v>1</v>
      </c>
    </row>
    <row r="147" spans="1:12" hidden="1" x14ac:dyDescent="0.25">
      <c r="A147" s="5">
        <v>46346</v>
      </c>
      <c r="B147" t="s">
        <v>7608</v>
      </c>
      <c r="C147" s="5" t="s">
        <v>7609</v>
      </c>
      <c r="D147" t="s">
        <v>7610</v>
      </c>
      <c r="E147" s="5" t="s">
        <v>3639</v>
      </c>
      <c r="F147" s="6">
        <v>46050.510416666664</v>
      </c>
      <c r="G147" s="5" t="s">
        <v>7456</v>
      </c>
      <c r="H147" s="5" t="s">
        <v>7783</v>
      </c>
      <c r="I147" s="5" t="s">
        <v>1528</v>
      </c>
      <c r="J147" s="8">
        <v>306</v>
      </c>
      <c r="K147" s="5" t="s">
        <v>1522</v>
      </c>
      <c r="L147">
        <f t="shared" si="2"/>
        <v>1</v>
      </c>
    </row>
    <row r="148" spans="1:12" hidden="1" x14ac:dyDescent="0.25">
      <c r="A148" s="5">
        <v>46352</v>
      </c>
      <c r="B148" t="s">
        <v>7784</v>
      </c>
      <c r="C148" s="5" t="s">
        <v>7785</v>
      </c>
      <c r="D148" t="s">
        <v>7786</v>
      </c>
      <c r="E148" s="5" t="s">
        <v>7787</v>
      </c>
      <c r="F148" s="6">
        <v>46050.603472222225</v>
      </c>
      <c r="G148" s="5" t="s">
        <v>7456</v>
      </c>
      <c r="H148" s="5" t="s">
        <v>7522</v>
      </c>
      <c r="I148" s="5" t="s">
        <v>1554</v>
      </c>
      <c r="J148" s="8">
        <v>100</v>
      </c>
      <c r="K148" s="5" t="s">
        <v>1522</v>
      </c>
      <c r="L148">
        <f t="shared" si="2"/>
        <v>1</v>
      </c>
    </row>
    <row r="149" spans="1:12" hidden="1" x14ac:dyDescent="0.25">
      <c r="A149" s="5">
        <v>46356</v>
      </c>
      <c r="B149" t="s">
        <v>7469</v>
      </c>
      <c r="C149" s="5" t="s">
        <v>7470</v>
      </c>
      <c r="D149" t="s">
        <v>7471</v>
      </c>
      <c r="E149" s="5" t="s">
        <v>2467</v>
      </c>
      <c r="F149" s="6">
        <v>46050.662499999999</v>
      </c>
      <c r="G149" s="5" t="s">
        <v>7456</v>
      </c>
      <c r="H149" s="5" t="s">
        <v>7788</v>
      </c>
      <c r="I149" s="5" t="s">
        <v>1621</v>
      </c>
      <c r="J149" s="8">
        <v>171</v>
      </c>
      <c r="K149" s="5" t="s">
        <v>1522</v>
      </c>
      <c r="L149">
        <f t="shared" si="2"/>
        <v>1</v>
      </c>
    </row>
    <row r="150" spans="1:12" hidden="1" x14ac:dyDescent="0.25">
      <c r="A150" s="5">
        <v>46357</v>
      </c>
      <c r="B150" t="s">
        <v>7469</v>
      </c>
      <c r="C150" s="5" t="s">
        <v>7470</v>
      </c>
      <c r="D150" t="s">
        <v>7471</v>
      </c>
      <c r="E150" s="5" t="s">
        <v>6467</v>
      </c>
      <c r="F150" s="6">
        <v>46050.668749999997</v>
      </c>
      <c r="G150" s="5" t="s">
        <v>7456</v>
      </c>
      <c r="H150" s="5" t="s">
        <v>7789</v>
      </c>
      <c r="I150" s="5" t="s">
        <v>1621</v>
      </c>
      <c r="J150" s="8">
        <v>6.3</v>
      </c>
      <c r="K150" s="5" t="s">
        <v>1522</v>
      </c>
      <c r="L150">
        <f t="shared" si="2"/>
        <v>1</v>
      </c>
    </row>
    <row r="151" spans="1:12" hidden="1" x14ac:dyDescent="0.25">
      <c r="A151" s="5">
        <v>46358</v>
      </c>
      <c r="B151" t="s">
        <v>7469</v>
      </c>
      <c r="C151" s="5" t="s">
        <v>7470</v>
      </c>
      <c r="D151" t="s">
        <v>7471</v>
      </c>
      <c r="E151" s="5" t="s">
        <v>5986</v>
      </c>
      <c r="F151" s="6">
        <v>46050.681250000001</v>
      </c>
      <c r="G151" s="5" t="s">
        <v>7456</v>
      </c>
      <c r="H151" s="5" t="s">
        <v>7790</v>
      </c>
      <c r="I151" s="5" t="s">
        <v>1621</v>
      </c>
      <c r="J151" s="8">
        <v>13</v>
      </c>
      <c r="K151" s="5" t="s">
        <v>1522</v>
      </c>
      <c r="L151">
        <f t="shared" si="2"/>
        <v>1</v>
      </c>
    </row>
    <row r="152" spans="1:12" hidden="1" x14ac:dyDescent="0.25">
      <c r="A152" s="5">
        <v>46359</v>
      </c>
      <c r="B152" t="s">
        <v>7469</v>
      </c>
      <c r="C152" s="5" t="s">
        <v>7470</v>
      </c>
      <c r="D152" t="s">
        <v>7471</v>
      </c>
      <c r="E152" s="5" t="s">
        <v>5811</v>
      </c>
      <c r="F152" s="6">
        <v>46050.691666666666</v>
      </c>
      <c r="G152" s="5" t="s">
        <v>7456</v>
      </c>
      <c r="H152" s="5" t="s">
        <v>7791</v>
      </c>
      <c r="I152" s="5" t="s">
        <v>1554</v>
      </c>
      <c r="J152" s="8">
        <v>60</v>
      </c>
      <c r="K152" s="5" t="s">
        <v>1522</v>
      </c>
      <c r="L152">
        <f t="shared" si="2"/>
        <v>1</v>
      </c>
    </row>
    <row r="153" spans="1:12" hidden="1" x14ac:dyDescent="0.25">
      <c r="A153" s="5">
        <v>46360</v>
      </c>
      <c r="B153" t="s">
        <v>7469</v>
      </c>
      <c r="C153" s="5" t="s">
        <v>7470</v>
      </c>
      <c r="D153" t="s">
        <v>7471</v>
      </c>
      <c r="E153" s="5" t="s">
        <v>3389</v>
      </c>
      <c r="F153" s="6">
        <v>46050.697916666664</v>
      </c>
      <c r="G153" s="5" t="s">
        <v>7456</v>
      </c>
      <c r="H153" s="5" t="s">
        <v>7792</v>
      </c>
      <c r="I153" s="5" t="s">
        <v>1621</v>
      </c>
      <c r="J153" s="8">
        <v>137.04</v>
      </c>
      <c r="K153" s="5" t="s">
        <v>1522</v>
      </c>
      <c r="L153">
        <f t="shared" si="2"/>
        <v>1</v>
      </c>
    </row>
    <row r="154" spans="1:12" hidden="1" x14ac:dyDescent="0.25">
      <c r="A154" s="5">
        <v>46361</v>
      </c>
      <c r="B154" t="s">
        <v>7469</v>
      </c>
      <c r="C154" s="5" t="s">
        <v>7470</v>
      </c>
      <c r="D154" t="s">
        <v>7471</v>
      </c>
      <c r="E154" s="5" t="s">
        <v>3389</v>
      </c>
      <c r="F154" s="6">
        <v>46050.702777777777</v>
      </c>
      <c r="G154" s="5" t="s">
        <v>7456</v>
      </c>
      <c r="H154" s="5" t="s">
        <v>7793</v>
      </c>
      <c r="I154" s="5" t="s">
        <v>1621</v>
      </c>
      <c r="J154" s="8">
        <v>230.4</v>
      </c>
      <c r="K154" s="5" t="s">
        <v>1522</v>
      </c>
      <c r="L154">
        <f t="shared" si="2"/>
        <v>1</v>
      </c>
    </row>
    <row r="155" spans="1:12" hidden="1" x14ac:dyDescent="0.25">
      <c r="A155" s="5">
        <v>46362</v>
      </c>
      <c r="B155" t="s">
        <v>7469</v>
      </c>
      <c r="C155" s="5" t="s">
        <v>7470</v>
      </c>
      <c r="D155" t="s">
        <v>7471</v>
      </c>
      <c r="E155" s="5" t="s">
        <v>3977</v>
      </c>
      <c r="F155" s="6">
        <v>46050.705555555556</v>
      </c>
      <c r="G155" s="5" t="s">
        <v>7456</v>
      </c>
      <c r="H155" s="5" t="s">
        <v>7794</v>
      </c>
      <c r="I155" s="5" t="s">
        <v>1621</v>
      </c>
      <c r="J155" s="8">
        <v>130</v>
      </c>
      <c r="K155" s="5" t="s">
        <v>1522</v>
      </c>
      <c r="L155">
        <f t="shared" si="2"/>
        <v>1</v>
      </c>
    </row>
    <row r="156" spans="1:12" hidden="1" x14ac:dyDescent="0.25">
      <c r="A156" s="5">
        <v>46370</v>
      </c>
      <c r="B156" t="s">
        <v>7686</v>
      </c>
      <c r="C156" s="5" t="s">
        <v>7795</v>
      </c>
      <c r="D156" t="s">
        <v>7688</v>
      </c>
      <c r="E156" s="5" t="s">
        <v>1648</v>
      </c>
      <c r="F156" s="6">
        <v>46051.388194444444</v>
      </c>
      <c r="G156" s="5" t="s">
        <v>7456</v>
      </c>
      <c r="H156" s="5" t="s">
        <v>7796</v>
      </c>
      <c r="I156" s="5" t="s">
        <v>1528</v>
      </c>
      <c r="J156" s="8">
        <v>3366</v>
      </c>
      <c r="K156" s="5" t="s">
        <v>1522</v>
      </c>
      <c r="L156">
        <f t="shared" si="2"/>
        <v>1</v>
      </c>
    </row>
    <row r="157" spans="1:12" hidden="1" x14ac:dyDescent="0.25">
      <c r="A157" s="5">
        <v>46372</v>
      </c>
      <c r="B157" t="s">
        <v>7483</v>
      </c>
      <c r="C157" s="5" t="s">
        <v>7484</v>
      </c>
      <c r="D157" t="s">
        <v>7485</v>
      </c>
      <c r="E157" s="5" t="s">
        <v>1548</v>
      </c>
      <c r="F157" s="6">
        <v>46051.430555555555</v>
      </c>
      <c r="G157" s="5" t="s">
        <v>7456</v>
      </c>
      <c r="H157" s="5" t="s">
        <v>7797</v>
      </c>
      <c r="I157" s="5" t="s">
        <v>1528</v>
      </c>
      <c r="J157" s="8">
        <v>377.3</v>
      </c>
      <c r="K157" s="5" t="s">
        <v>1522</v>
      </c>
      <c r="L157">
        <f t="shared" si="2"/>
        <v>1</v>
      </c>
    </row>
    <row r="158" spans="1:12" hidden="1" x14ac:dyDescent="0.25">
      <c r="A158" s="5">
        <v>46374</v>
      </c>
      <c r="B158" t="s">
        <v>7483</v>
      </c>
      <c r="C158" s="5" t="s">
        <v>7484</v>
      </c>
      <c r="D158" t="s">
        <v>7485</v>
      </c>
      <c r="E158" s="5" t="s">
        <v>1548</v>
      </c>
      <c r="F158" s="6">
        <v>46051.436111111114</v>
      </c>
      <c r="G158" s="5" t="s">
        <v>7456</v>
      </c>
      <c r="H158" s="5" t="s">
        <v>7798</v>
      </c>
      <c r="I158" s="5" t="s">
        <v>1528</v>
      </c>
      <c r="J158" s="8">
        <v>84</v>
      </c>
      <c r="K158" s="5" t="s">
        <v>1522</v>
      </c>
      <c r="L158">
        <f t="shared" si="2"/>
        <v>1</v>
      </c>
    </row>
    <row r="159" spans="1:12" hidden="1" x14ac:dyDescent="0.25">
      <c r="A159" s="5">
        <v>46376</v>
      </c>
      <c r="B159" t="s">
        <v>7642</v>
      </c>
      <c r="C159" s="5" t="s">
        <v>7643</v>
      </c>
      <c r="D159" t="s">
        <v>7644</v>
      </c>
      <c r="E159" s="5" t="s">
        <v>2890</v>
      </c>
      <c r="F159" s="6">
        <v>46051.440972222219</v>
      </c>
      <c r="G159" s="5" t="s">
        <v>7456</v>
      </c>
      <c r="H159" t="s">
        <v>7482</v>
      </c>
      <c r="I159" s="5" t="s">
        <v>1528</v>
      </c>
      <c r="J159" s="8">
        <v>568.75</v>
      </c>
      <c r="K159" s="5" t="s">
        <v>1522</v>
      </c>
      <c r="L159">
        <f t="shared" si="2"/>
        <v>1</v>
      </c>
    </row>
    <row r="160" spans="1:12" hidden="1" x14ac:dyDescent="0.25">
      <c r="A160" s="5">
        <v>46377</v>
      </c>
      <c r="B160" t="s">
        <v>7799</v>
      </c>
      <c r="C160" s="5" t="s">
        <v>7800</v>
      </c>
      <c r="D160" t="s">
        <v>7801</v>
      </c>
      <c r="E160" s="5" t="s">
        <v>3120</v>
      </c>
      <c r="F160" s="6">
        <v>46051.481944444444</v>
      </c>
      <c r="G160" s="5" t="s">
        <v>7456</v>
      </c>
      <c r="H160" s="5" t="s">
        <v>7802</v>
      </c>
      <c r="I160" s="5" t="s">
        <v>1528</v>
      </c>
      <c r="J160" s="8">
        <v>414.9</v>
      </c>
      <c r="K160" s="5" t="s">
        <v>1522</v>
      </c>
      <c r="L160">
        <f t="shared" si="2"/>
        <v>1</v>
      </c>
    </row>
    <row r="161" spans="1:12" hidden="1" x14ac:dyDescent="0.25">
      <c r="A161" s="5">
        <v>46379</v>
      </c>
      <c r="B161" t="s">
        <v>7575</v>
      </c>
      <c r="C161" s="5" t="s">
        <v>7576</v>
      </c>
      <c r="D161" t="s">
        <v>7577</v>
      </c>
      <c r="E161" s="5" t="s">
        <v>3030</v>
      </c>
      <c r="F161" s="6">
        <v>46051.591666666667</v>
      </c>
      <c r="G161" s="5" t="s">
        <v>7456</v>
      </c>
      <c r="H161" s="5" t="s">
        <v>7803</v>
      </c>
      <c r="I161" s="5" t="s">
        <v>1528</v>
      </c>
      <c r="J161" s="8">
        <v>445.15</v>
      </c>
      <c r="K161" s="5" t="s">
        <v>1522</v>
      </c>
      <c r="L161">
        <f t="shared" si="2"/>
        <v>1</v>
      </c>
    </row>
    <row r="162" spans="1:12" hidden="1" x14ac:dyDescent="0.25">
      <c r="A162" s="5">
        <v>46382</v>
      </c>
      <c r="B162" t="s">
        <v>7804</v>
      </c>
      <c r="C162" s="5" t="s">
        <v>7805</v>
      </c>
      <c r="D162" t="s">
        <v>7806</v>
      </c>
      <c r="E162" s="5" t="s">
        <v>1548</v>
      </c>
      <c r="F162" s="6">
        <v>46051.613888888889</v>
      </c>
      <c r="G162" s="5" t="s">
        <v>7456</v>
      </c>
      <c r="H162" s="5" t="s">
        <v>7807</v>
      </c>
      <c r="I162" s="5" t="s">
        <v>1528</v>
      </c>
      <c r="J162" s="8">
        <v>150</v>
      </c>
      <c r="K162" s="5" t="s">
        <v>1522</v>
      </c>
      <c r="L162">
        <f t="shared" si="2"/>
        <v>1</v>
      </c>
    </row>
    <row r="163" spans="1:12" hidden="1" x14ac:dyDescent="0.25">
      <c r="A163" s="5">
        <v>46383</v>
      </c>
      <c r="B163" t="s">
        <v>7473</v>
      </c>
      <c r="C163" s="5" t="s">
        <v>7474</v>
      </c>
      <c r="D163" t="s">
        <v>7475</v>
      </c>
      <c r="E163" s="5" t="s">
        <v>2607</v>
      </c>
      <c r="F163" s="6">
        <v>46051.615972222222</v>
      </c>
      <c r="G163" s="5" t="s">
        <v>7456</v>
      </c>
      <c r="H163" s="5" t="s">
        <v>7808</v>
      </c>
      <c r="I163" s="5" t="s">
        <v>1528</v>
      </c>
      <c r="J163" s="8">
        <v>600</v>
      </c>
      <c r="K163" s="5" t="s">
        <v>1522</v>
      </c>
      <c r="L163">
        <f t="shared" si="2"/>
        <v>1</v>
      </c>
    </row>
    <row r="164" spans="1:12" hidden="1" x14ac:dyDescent="0.25">
      <c r="A164" s="5">
        <v>46385</v>
      </c>
      <c r="B164" t="s">
        <v>7809</v>
      </c>
      <c r="C164" s="5" t="s">
        <v>7810</v>
      </c>
      <c r="D164" t="s">
        <v>7811</v>
      </c>
      <c r="E164" s="5" t="s">
        <v>1548</v>
      </c>
      <c r="F164" s="6">
        <v>46051.619444444441</v>
      </c>
      <c r="G164" s="5" t="s">
        <v>7456</v>
      </c>
      <c r="H164" t="s">
        <v>7482</v>
      </c>
      <c r="I164" s="5" t="s">
        <v>1528</v>
      </c>
      <c r="J164" s="8">
        <v>2700</v>
      </c>
      <c r="K164" s="5" t="s">
        <v>1522</v>
      </c>
      <c r="L164">
        <f t="shared" si="2"/>
        <v>1</v>
      </c>
    </row>
    <row r="165" spans="1:12" hidden="1" x14ac:dyDescent="0.25">
      <c r="A165" s="5">
        <v>46398</v>
      </c>
      <c r="B165" t="s">
        <v>7469</v>
      </c>
      <c r="C165" s="5" t="s">
        <v>7470</v>
      </c>
      <c r="D165" t="s">
        <v>7471</v>
      </c>
      <c r="E165" s="5" t="s">
        <v>5575</v>
      </c>
      <c r="F165" s="6">
        <v>46051.693055555559</v>
      </c>
      <c r="G165" s="5" t="s">
        <v>7456</v>
      </c>
      <c r="H165" s="5" t="s">
        <v>7812</v>
      </c>
      <c r="I165" s="5" t="s">
        <v>1621</v>
      </c>
      <c r="J165" s="8">
        <v>113.4</v>
      </c>
      <c r="K165" s="5" t="s">
        <v>1522</v>
      </c>
      <c r="L165">
        <f t="shared" si="2"/>
        <v>1</v>
      </c>
    </row>
    <row r="166" spans="1:12" hidden="1" x14ac:dyDescent="0.25">
      <c r="A166" s="5">
        <v>46400</v>
      </c>
      <c r="B166" t="s">
        <v>7813</v>
      </c>
      <c r="C166" s="5" t="s">
        <v>7814</v>
      </c>
      <c r="D166" t="s">
        <v>7815</v>
      </c>
      <c r="E166" s="5" t="s">
        <v>2818</v>
      </c>
      <c r="F166" s="6">
        <v>46051.711111111108</v>
      </c>
      <c r="G166" s="5" t="s">
        <v>7456</v>
      </c>
      <c r="H166" t="s">
        <v>7482</v>
      </c>
      <c r="I166" s="5" t="s">
        <v>1528</v>
      </c>
      <c r="J166" s="8">
        <v>420</v>
      </c>
      <c r="K166" s="5" t="s">
        <v>1522</v>
      </c>
      <c r="L166">
        <f t="shared" si="2"/>
        <v>1</v>
      </c>
    </row>
    <row r="167" spans="1:12" hidden="1" x14ac:dyDescent="0.25">
      <c r="A167" s="5">
        <v>46416</v>
      </c>
      <c r="B167" t="s">
        <v>7816</v>
      </c>
      <c r="C167" s="5" t="s">
        <v>7817</v>
      </c>
      <c r="D167" t="s">
        <v>7818</v>
      </c>
      <c r="E167" s="5" t="s">
        <v>1548</v>
      </c>
      <c r="F167" s="6">
        <v>46052.613888888889</v>
      </c>
      <c r="G167" s="5" t="s">
        <v>7456</v>
      </c>
      <c r="H167" s="5" t="s">
        <v>7819</v>
      </c>
      <c r="I167" s="5" t="s">
        <v>1528</v>
      </c>
      <c r="J167" s="8">
        <v>196.1</v>
      </c>
      <c r="K167" s="5" t="s">
        <v>1522</v>
      </c>
      <c r="L167">
        <f t="shared" si="2"/>
        <v>1</v>
      </c>
    </row>
    <row r="168" spans="1:12" hidden="1" x14ac:dyDescent="0.25">
      <c r="A168" s="5">
        <v>46426</v>
      </c>
      <c r="B168" t="s">
        <v>7469</v>
      </c>
      <c r="C168" s="5" t="s">
        <v>7470</v>
      </c>
      <c r="D168" t="s">
        <v>7471</v>
      </c>
      <c r="E168" s="5" t="s">
        <v>2467</v>
      </c>
      <c r="F168" s="6">
        <v>46052.684027777781</v>
      </c>
      <c r="G168" s="5" t="s">
        <v>7456</v>
      </c>
      <c r="H168" s="5" t="s">
        <v>7820</v>
      </c>
      <c r="I168" s="5" t="s">
        <v>1621</v>
      </c>
      <c r="J168" s="8">
        <v>699.2</v>
      </c>
      <c r="K168" s="5" t="s">
        <v>1522</v>
      </c>
      <c r="L168">
        <f t="shared" si="2"/>
        <v>1</v>
      </c>
    </row>
    <row r="169" spans="1:12" hidden="1" x14ac:dyDescent="0.25">
      <c r="A169" s="5">
        <v>46427</v>
      </c>
      <c r="B169" t="s">
        <v>7469</v>
      </c>
      <c r="C169" s="5" t="s">
        <v>7470</v>
      </c>
      <c r="D169" t="s">
        <v>7471</v>
      </c>
      <c r="E169" s="5" t="s">
        <v>5575</v>
      </c>
      <c r="F169" s="6">
        <v>46052.691666666666</v>
      </c>
      <c r="G169" s="5" t="s">
        <v>7456</v>
      </c>
      <c r="H169" s="5" t="s">
        <v>7821</v>
      </c>
      <c r="I169" s="5" t="s">
        <v>1621</v>
      </c>
      <c r="J169" s="8">
        <v>69.52</v>
      </c>
      <c r="K169" s="5" t="s">
        <v>1522</v>
      </c>
      <c r="L169">
        <f t="shared" si="2"/>
        <v>1</v>
      </c>
    </row>
    <row r="170" spans="1:12" hidden="1" x14ac:dyDescent="0.25">
      <c r="A170" s="5">
        <v>46430</v>
      </c>
      <c r="B170" t="s">
        <v>7624</v>
      </c>
      <c r="C170" s="5" t="s">
        <v>7822</v>
      </c>
      <c r="D170" t="s">
        <v>7626</v>
      </c>
      <c r="E170" s="5" t="s">
        <v>1548</v>
      </c>
      <c r="F170" s="6">
        <v>46055.386805555558</v>
      </c>
      <c r="G170" s="5" t="s">
        <v>7456</v>
      </c>
      <c r="H170" t="s">
        <v>7482</v>
      </c>
      <c r="I170" s="5" t="s">
        <v>1528</v>
      </c>
      <c r="J170" s="8">
        <v>1197</v>
      </c>
      <c r="K170" s="5" t="s">
        <v>1522</v>
      </c>
      <c r="L170">
        <f t="shared" si="2"/>
        <v>2</v>
      </c>
    </row>
    <row r="171" spans="1:12" hidden="1" x14ac:dyDescent="0.25">
      <c r="A171" s="5">
        <v>46433</v>
      </c>
      <c r="B171" t="s">
        <v>7469</v>
      </c>
      <c r="C171" s="5" t="s">
        <v>7470</v>
      </c>
      <c r="D171" t="s">
        <v>7471</v>
      </c>
      <c r="E171" s="5" t="s">
        <v>6467</v>
      </c>
      <c r="F171" s="6">
        <v>46055.415972222225</v>
      </c>
      <c r="G171" s="5" t="s">
        <v>7456</v>
      </c>
      <c r="H171" s="5" t="s">
        <v>7823</v>
      </c>
      <c r="I171" s="5" t="s">
        <v>1621</v>
      </c>
      <c r="J171" s="8">
        <v>23.4</v>
      </c>
      <c r="K171" s="5" t="s">
        <v>1522</v>
      </c>
      <c r="L171">
        <f t="shared" si="2"/>
        <v>2</v>
      </c>
    </row>
    <row r="172" spans="1:12" hidden="1" x14ac:dyDescent="0.25">
      <c r="A172" s="5">
        <v>46436</v>
      </c>
      <c r="B172" t="s">
        <v>7824</v>
      </c>
      <c r="C172" s="5" t="s">
        <v>7825</v>
      </c>
      <c r="D172" t="s">
        <v>7644</v>
      </c>
      <c r="E172" s="5" t="s">
        <v>2875</v>
      </c>
      <c r="F172" s="6">
        <v>46055.463194444441</v>
      </c>
      <c r="G172" s="5" t="s">
        <v>7456</v>
      </c>
      <c r="H172" t="s">
        <v>7482</v>
      </c>
      <c r="I172" s="5" t="s">
        <v>1528</v>
      </c>
      <c r="J172" s="8">
        <v>259.89999999999998</v>
      </c>
      <c r="K172" s="5" t="s">
        <v>1522</v>
      </c>
      <c r="L172">
        <f t="shared" si="2"/>
        <v>2</v>
      </c>
    </row>
    <row r="173" spans="1:12" hidden="1" x14ac:dyDescent="0.25">
      <c r="A173" s="5">
        <v>46437</v>
      </c>
      <c r="B173" t="s">
        <v>7745</v>
      </c>
      <c r="C173" s="5" t="s">
        <v>7746</v>
      </c>
      <c r="D173" t="s">
        <v>7747</v>
      </c>
      <c r="E173" s="5" t="s">
        <v>1548</v>
      </c>
      <c r="F173" s="6">
        <v>46055.48541666667</v>
      </c>
      <c r="G173" s="5" t="s">
        <v>7456</v>
      </c>
      <c r="H173" t="s">
        <v>7482</v>
      </c>
      <c r="I173" s="5" t="s">
        <v>1528</v>
      </c>
      <c r="J173" s="8">
        <v>160.25</v>
      </c>
      <c r="K173" s="5" t="s">
        <v>1522</v>
      </c>
      <c r="L173">
        <f t="shared" si="2"/>
        <v>2</v>
      </c>
    </row>
    <row r="174" spans="1:12" hidden="1" x14ac:dyDescent="0.25">
      <c r="A174" s="5">
        <v>46441</v>
      </c>
      <c r="B174" t="s">
        <v>7461</v>
      </c>
      <c r="C174" s="5" t="s">
        <v>7462</v>
      </c>
      <c r="D174" t="s">
        <v>7463</v>
      </c>
      <c r="E174" s="5" t="s">
        <v>2488</v>
      </c>
      <c r="F174" s="6">
        <v>46055.5625</v>
      </c>
      <c r="G174" s="5" t="s">
        <v>7456</v>
      </c>
      <c r="H174" s="5" t="s">
        <v>7826</v>
      </c>
      <c r="I174" s="5" t="s">
        <v>1528</v>
      </c>
      <c r="J174" s="8">
        <v>690.7</v>
      </c>
      <c r="K174" s="5" t="s">
        <v>1522</v>
      </c>
      <c r="L174">
        <f t="shared" si="2"/>
        <v>2</v>
      </c>
    </row>
    <row r="175" spans="1:12" hidden="1" x14ac:dyDescent="0.25">
      <c r="A175" s="5">
        <v>46442</v>
      </c>
      <c r="B175" t="s">
        <v>7745</v>
      </c>
      <c r="C175" s="5" t="s">
        <v>7827</v>
      </c>
      <c r="D175" t="s">
        <v>7747</v>
      </c>
      <c r="E175" s="5" t="s">
        <v>1548</v>
      </c>
      <c r="F175" s="6">
        <v>46055.573611111111</v>
      </c>
      <c r="G175" s="5" t="s">
        <v>7595</v>
      </c>
      <c r="H175" t="s">
        <v>7482</v>
      </c>
      <c r="I175" s="5" t="s">
        <v>1528</v>
      </c>
      <c r="J175" s="8">
        <v>1550.5</v>
      </c>
      <c r="K175" s="5" t="s">
        <v>1522</v>
      </c>
      <c r="L175">
        <f t="shared" si="2"/>
        <v>2</v>
      </c>
    </row>
    <row r="176" spans="1:12" hidden="1" x14ac:dyDescent="0.25">
      <c r="A176" s="5">
        <v>46444</v>
      </c>
      <c r="B176" t="s">
        <v>7828</v>
      </c>
      <c r="C176" s="5" t="s">
        <v>7829</v>
      </c>
      <c r="D176" t="s">
        <v>7830</v>
      </c>
      <c r="E176" s="5" t="s">
        <v>1548</v>
      </c>
      <c r="F176" s="6">
        <v>46055.604166666664</v>
      </c>
      <c r="G176" s="5" t="s">
        <v>7456</v>
      </c>
      <c r="H176" t="s">
        <v>7482</v>
      </c>
      <c r="I176" s="5" t="s">
        <v>1528</v>
      </c>
      <c r="J176" s="8">
        <v>588.70000000000005</v>
      </c>
      <c r="K176" s="5" t="s">
        <v>1522</v>
      </c>
      <c r="L176">
        <f t="shared" si="2"/>
        <v>2</v>
      </c>
    </row>
    <row r="177" spans="1:12" hidden="1" x14ac:dyDescent="0.25">
      <c r="A177" s="5">
        <v>46445</v>
      </c>
      <c r="B177" t="s">
        <v>7831</v>
      </c>
      <c r="C177" s="5" t="s">
        <v>1382</v>
      </c>
      <c r="D177" t="s">
        <v>7832</v>
      </c>
      <c r="E177" s="5" t="s">
        <v>6786</v>
      </c>
      <c r="F177" s="6">
        <v>46055.604166666664</v>
      </c>
      <c r="G177" s="5" t="s">
        <v>7456</v>
      </c>
      <c r="H177" s="5" t="s">
        <v>7833</v>
      </c>
      <c r="I177" s="5" t="s">
        <v>1528</v>
      </c>
      <c r="J177" s="8">
        <v>45</v>
      </c>
      <c r="K177" s="5" t="s">
        <v>1522</v>
      </c>
      <c r="L177">
        <f t="shared" si="2"/>
        <v>2</v>
      </c>
    </row>
    <row r="178" spans="1:12" hidden="1" x14ac:dyDescent="0.25">
      <c r="A178" s="5">
        <v>46455</v>
      </c>
      <c r="B178" t="s">
        <v>7834</v>
      </c>
      <c r="C178" s="5" t="s">
        <v>7835</v>
      </c>
      <c r="D178" t="s">
        <v>7836</v>
      </c>
      <c r="E178" s="5" t="s">
        <v>3132</v>
      </c>
      <c r="F178" s="6">
        <v>46055.678472222222</v>
      </c>
      <c r="G178" s="5" t="s">
        <v>7456</v>
      </c>
      <c r="H178" s="5" t="s">
        <v>7837</v>
      </c>
      <c r="I178" s="5" t="s">
        <v>1528</v>
      </c>
      <c r="J178" s="8">
        <v>380</v>
      </c>
      <c r="K178" s="5" t="s">
        <v>1522</v>
      </c>
      <c r="L178">
        <f t="shared" si="2"/>
        <v>2</v>
      </c>
    </row>
    <row r="179" spans="1:12" hidden="1" x14ac:dyDescent="0.25">
      <c r="A179" s="5">
        <v>46457</v>
      </c>
      <c r="B179" t="s">
        <v>7838</v>
      </c>
      <c r="C179" s="5" t="s">
        <v>7839</v>
      </c>
      <c r="D179" t="s">
        <v>7840</v>
      </c>
      <c r="E179" s="5" t="s">
        <v>1548</v>
      </c>
      <c r="F179" s="6">
        <v>46055.693749999999</v>
      </c>
      <c r="G179" s="5" t="s">
        <v>7456</v>
      </c>
      <c r="H179" t="s">
        <v>7482</v>
      </c>
      <c r="I179" s="5" t="s">
        <v>1528</v>
      </c>
      <c r="J179" s="8">
        <v>564</v>
      </c>
      <c r="K179" s="5" t="s">
        <v>1522</v>
      </c>
      <c r="L179">
        <f t="shared" si="2"/>
        <v>2</v>
      </c>
    </row>
    <row r="180" spans="1:12" hidden="1" x14ac:dyDescent="0.25">
      <c r="A180" s="5">
        <v>46462</v>
      </c>
      <c r="B180" t="s">
        <v>7469</v>
      </c>
      <c r="C180" s="5" t="s">
        <v>7470</v>
      </c>
      <c r="D180" t="s">
        <v>7471</v>
      </c>
      <c r="E180" s="5" t="s">
        <v>5575</v>
      </c>
      <c r="F180" s="6">
        <v>46055.713194444441</v>
      </c>
      <c r="G180" s="5" t="s">
        <v>7456</v>
      </c>
      <c r="H180" s="5" t="s">
        <v>7841</v>
      </c>
      <c r="I180" s="5" t="s">
        <v>1621</v>
      </c>
      <c r="J180" s="8">
        <v>113.4</v>
      </c>
      <c r="K180" s="5" t="s">
        <v>1522</v>
      </c>
      <c r="L180">
        <f t="shared" si="2"/>
        <v>2</v>
      </c>
    </row>
    <row r="181" spans="1:12" hidden="1" x14ac:dyDescent="0.25">
      <c r="A181" s="5">
        <v>46463</v>
      </c>
      <c r="B181" t="s">
        <v>7469</v>
      </c>
      <c r="C181" s="5" t="s">
        <v>7470</v>
      </c>
      <c r="D181" t="s">
        <v>7471</v>
      </c>
      <c r="E181" s="5" t="s">
        <v>3389</v>
      </c>
      <c r="F181" s="6">
        <v>46055.714583333334</v>
      </c>
      <c r="G181" s="5" t="s">
        <v>7456</v>
      </c>
      <c r="H181" s="5" t="s">
        <v>7842</v>
      </c>
      <c r="I181" s="5" t="s">
        <v>1621</v>
      </c>
      <c r="J181" s="8">
        <v>228.4</v>
      </c>
      <c r="K181" s="5" t="s">
        <v>1522</v>
      </c>
      <c r="L181">
        <f t="shared" si="2"/>
        <v>2</v>
      </c>
    </row>
    <row r="182" spans="1:12" hidden="1" x14ac:dyDescent="0.25">
      <c r="A182" s="5">
        <v>46472</v>
      </c>
      <c r="B182" t="s">
        <v>7843</v>
      </c>
      <c r="C182" s="5" t="s">
        <v>7844</v>
      </c>
      <c r="D182" t="s">
        <v>7845</v>
      </c>
      <c r="E182" s="5" t="s">
        <v>1624</v>
      </c>
      <c r="F182" s="6">
        <v>46056.411111111112</v>
      </c>
      <c r="G182" s="5" t="s">
        <v>7456</v>
      </c>
      <c r="H182" s="5" t="s">
        <v>7846</v>
      </c>
      <c r="I182" s="5" t="s">
        <v>1528</v>
      </c>
      <c r="J182" s="8">
        <v>4250</v>
      </c>
      <c r="K182" s="5" t="s">
        <v>1522</v>
      </c>
      <c r="L182">
        <f t="shared" si="2"/>
        <v>2</v>
      </c>
    </row>
    <row r="183" spans="1:12" hidden="1" x14ac:dyDescent="0.25">
      <c r="A183" s="5">
        <v>46478</v>
      </c>
      <c r="B183" t="s">
        <v>7469</v>
      </c>
      <c r="C183" s="5" t="s">
        <v>7470</v>
      </c>
      <c r="D183" t="s">
        <v>7471</v>
      </c>
      <c r="E183" s="5" t="s">
        <v>3977</v>
      </c>
      <c r="F183" s="6">
        <v>46056.515972222223</v>
      </c>
      <c r="G183" s="5" t="s">
        <v>7456</v>
      </c>
      <c r="H183" s="5" t="s">
        <v>7522</v>
      </c>
      <c r="I183" s="5" t="s">
        <v>1621</v>
      </c>
      <c r="J183" s="8">
        <v>300</v>
      </c>
      <c r="K183" s="5" t="s">
        <v>1522</v>
      </c>
      <c r="L183">
        <f t="shared" si="2"/>
        <v>2</v>
      </c>
    </row>
    <row r="184" spans="1:12" hidden="1" x14ac:dyDescent="0.25">
      <c r="A184" s="5">
        <v>46482</v>
      </c>
      <c r="B184" t="s">
        <v>7624</v>
      </c>
      <c r="C184" s="5" t="s">
        <v>7625</v>
      </c>
      <c r="D184" t="s">
        <v>7626</v>
      </c>
      <c r="E184" s="5" t="s">
        <v>1548</v>
      </c>
      <c r="F184" s="6">
        <v>46056.587500000001</v>
      </c>
      <c r="G184" s="5" t="s">
        <v>7456</v>
      </c>
      <c r="H184" s="5" t="s">
        <v>7847</v>
      </c>
      <c r="I184" s="5" t="s">
        <v>1528</v>
      </c>
      <c r="J184" s="8">
        <v>67</v>
      </c>
      <c r="K184" s="5" t="s">
        <v>1522</v>
      </c>
      <c r="L184">
        <f t="shared" si="2"/>
        <v>2</v>
      </c>
    </row>
    <row r="185" spans="1:12" hidden="1" x14ac:dyDescent="0.25">
      <c r="A185" s="5">
        <v>46491</v>
      </c>
      <c r="B185" t="s">
        <v>7469</v>
      </c>
      <c r="C185" s="5" t="s">
        <v>7470</v>
      </c>
      <c r="D185" t="s">
        <v>7471</v>
      </c>
      <c r="E185" s="5" t="s">
        <v>2467</v>
      </c>
      <c r="F185" s="6">
        <v>46056.662499999999</v>
      </c>
      <c r="G185" s="5" t="s">
        <v>7456</v>
      </c>
      <c r="H185" s="5" t="s">
        <v>7848</v>
      </c>
      <c r="I185" s="5" t="s">
        <v>1621</v>
      </c>
      <c r="J185" s="8">
        <v>148.19999999999999</v>
      </c>
      <c r="K185" s="5" t="s">
        <v>1522</v>
      </c>
      <c r="L185">
        <f t="shared" si="2"/>
        <v>2</v>
      </c>
    </row>
    <row r="186" spans="1:12" hidden="1" x14ac:dyDescent="0.25">
      <c r="A186" s="5">
        <v>46493</v>
      </c>
      <c r="B186" t="s">
        <v>7469</v>
      </c>
      <c r="C186" s="5" t="s">
        <v>7470</v>
      </c>
      <c r="D186" t="s">
        <v>7471</v>
      </c>
      <c r="E186" s="5" t="s">
        <v>2467</v>
      </c>
      <c r="F186" s="6">
        <v>46056.665277777778</v>
      </c>
      <c r="G186" s="5" t="s">
        <v>7456</v>
      </c>
      <c r="H186" s="5" t="s">
        <v>7849</v>
      </c>
      <c r="I186" s="5" t="s">
        <v>1621</v>
      </c>
      <c r="J186" s="8">
        <v>349.6</v>
      </c>
      <c r="K186" s="5" t="s">
        <v>1522</v>
      </c>
      <c r="L186">
        <f t="shared" si="2"/>
        <v>2</v>
      </c>
    </row>
    <row r="187" spans="1:12" hidden="1" x14ac:dyDescent="0.25">
      <c r="A187" s="5">
        <v>46494</v>
      </c>
      <c r="B187" t="s">
        <v>7469</v>
      </c>
      <c r="C187" s="5" t="s">
        <v>7470</v>
      </c>
      <c r="D187" t="s">
        <v>7471</v>
      </c>
      <c r="E187" s="5" t="s">
        <v>3389</v>
      </c>
      <c r="F187" s="6">
        <v>46056.667361111111</v>
      </c>
      <c r="G187" s="5" t="s">
        <v>7456</v>
      </c>
      <c r="H187" s="5" t="s">
        <v>7850</v>
      </c>
      <c r="I187" s="5" t="s">
        <v>1621</v>
      </c>
      <c r="J187" s="8">
        <v>11.52</v>
      </c>
      <c r="K187" s="5" t="s">
        <v>1522</v>
      </c>
      <c r="L187">
        <f t="shared" si="2"/>
        <v>2</v>
      </c>
    </row>
    <row r="188" spans="1:12" hidden="1" x14ac:dyDescent="0.25">
      <c r="A188" s="5">
        <v>46501</v>
      </c>
      <c r="B188" t="s">
        <v>7851</v>
      </c>
      <c r="C188" s="5" t="s">
        <v>7516</v>
      </c>
      <c r="D188" t="s">
        <v>7644</v>
      </c>
      <c r="E188" s="5" t="s">
        <v>2115</v>
      </c>
      <c r="F188" s="6">
        <v>46057.384027777778</v>
      </c>
      <c r="G188" s="5" t="s">
        <v>7456</v>
      </c>
      <c r="H188" s="5" t="s">
        <v>7852</v>
      </c>
      <c r="I188" s="5" t="s">
        <v>1528</v>
      </c>
      <c r="J188" s="8">
        <v>1043.8499999999999</v>
      </c>
      <c r="K188" s="5" t="s">
        <v>1522</v>
      </c>
      <c r="L188">
        <f t="shared" si="2"/>
        <v>2</v>
      </c>
    </row>
    <row r="189" spans="1:12" hidden="1" x14ac:dyDescent="0.25">
      <c r="A189" s="5">
        <v>46502</v>
      </c>
      <c r="B189" t="s">
        <v>7853</v>
      </c>
      <c r="C189" s="5" t="s">
        <v>7854</v>
      </c>
      <c r="D189" t="s">
        <v>7644</v>
      </c>
      <c r="E189" s="5" t="s">
        <v>2518</v>
      </c>
      <c r="F189" s="6">
        <v>46057.462500000001</v>
      </c>
      <c r="G189" s="5" t="s">
        <v>7456</v>
      </c>
      <c r="H189" t="s">
        <v>7482</v>
      </c>
      <c r="I189" s="5" t="s">
        <v>1528</v>
      </c>
      <c r="J189" s="8">
        <v>1671.15</v>
      </c>
      <c r="K189" s="5" t="s">
        <v>1522</v>
      </c>
      <c r="L189">
        <f t="shared" si="2"/>
        <v>2</v>
      </c>
    </row>
    <row r="190" spans="1:12" hidden="1" x14ac:dyDescent="0.25">
      <c r="A190" s="5">
        <v>46509</v>
      </c>
      <c r="B190" t="s">
        <v>7469</v>
      </c>
      <c r="C190" s="5" t="s">
        <v>7470</v>
      </c>
      <c r="D190" t="s">
        <v>7471</v>
      </c>
      <c r="E190" s="5" t="s">
        <v>3651</v>
      </c>
      <c r="F190" s="6">
        <v>46057.670138888891</v>
      </c>
      <c r="G190" s="5" t="s">
        <v>7456</v>
      </c>
      <c r="H190" s="5" t="s">
        <v>7855</v>
      </c>
      <c r="I190" s="5" t="s">
        <v>1621</v>
      </c>
      <c r="J190" s="8">
        <v>302.10000000000002</v>
      </c>
      <c r="K190" s="5" t="s">
        <v>1522</v>
      </c>
      <c r="L190">
        <f t="shared" si="2"/>
        <v>2</v>
      </c>
    </row>
    <row r="191" spans="1:12" hidden="1" x14ac:dyDescent="0.25">
      <c r="A191" s="5">
        <v>46510</v>
      </c>
      <c r="B191" t="s">
        <v>7469</v>
      </c>
      <c r="C191" s="5" t="s">
        <v>7470</v>
      </c>
      <c r="D191" t="s">
        <v>7471</v>
      </c>
      <c r="E191" s="5" t="s">
        <v>3651</v>
      </c>
      <c r="F191" s="6">
        <v>46057.676388888889</v>
      </c>
      <c r="G191" s="5" t="s">
        <v>7456</v>
      </c>
      <c r="H191" s="5" t="s">
        <v>7856</v>
      </c>
      <c r="I191" s="5" t="s">
        <v>1554</v>
      </c>
      <c r="J191" s="8">
        <v>302.10000000000002</v>
      </c>
      <c r="K191" s="5" t="s">
        <v>1522</v>
      </c>
      <c r="L191">
        <f t="shared" si="2"/>
        <v>2</v>
      </c>
    </row>
    <row r="192" spans="1:12" hidden="1" x14ac:dyDescent="0.25">
      <c r="A192" s="5">
        <v>46513</v>
      </c>
      <c r="B192" t="s">
        <v>7490</v>
      </c>
      <c r="C192" s="5" t="s">
        <v>7857</v>
      </c>
      <c r="D192" t="s">
        <v>7492</v>
      </c>
      <c r="E192" s="5" t="s">
        <v>2174</v>
      </c>
      <c r="F192" s="6">
        <v>46057.688888888886</v>
      </c>
      <c r="G192" s="5" t="s">
        <v>7456</v>
      </c>
      <c r="H192" s="5" t="s">
        <v>7858</v>
      </c>
      <c r="I192" s="5" t="s">
        <v>1528</v>
      </c>
      <c r="J192" s="8">
        <v>976</v>
      </c>
      <c r="K192" s="5" t="s">
        <v>1522</v>
      </c>
      <c r="L192">
        <f t="shared" si="2"/>
        <v>2</v>
      </c>
    </row>
    <row r="193" spans="1:12" hidden="1" x14ac:dyDescent="0.25">
      <c r="A193" s="5">
        <v>46514</v>
      </c>
      <c r="B193" t="s">
        <v>7469</v>
      </c>
      <c r="C193" s="5" t="s">
        <v>7470</v>
      </c>
      <c r="D193" t="s">
        <v>7471</v>
      </c>
      <c r="E193" s="5" t="s">
        <v>6467</v>
      </c>
      <c r="F193" s="6">
        <v>46057.677777777775</v>
      </c>
      <c r="G193" s="5" t="s">
        <v>7456</v>
      </c>
      <c r="H193" s="5" t="s">
        <v>7859</v>
      </c>
      <c r="I193" s="5" t="s">
        <v>1621</v>
      </c>
      <c r="J193" s="8">
        <v>54</v>
      </c>
      <c r="K193" s="5" t="s">
        <v>1522</v>
      </c>
      <c r="L193">
        <f t="shared" si="2"/>
        <v>2</v>
      </c>
    </row>
    <row r="194" spans="1:12" hidden="1" x14ac:dyDescent="0.25">
      <c r="A194" s="5">
        <v>46515</v>
      </c>
      <c r="B194" t="s">
        <v>7469</v>
      </c>
      <c r="C194" s="5" t="s">
        <v>7470</v>
      </c>
      <c r="D194" t="s">
        <v>7471</v>
      </c>
      <c r="E194" s="5" t="s">
        <v>5986</v>
      </c>
      <c r="F194" s="6">
        <v>46057.690972222219</v>
      </c>
      <c r="G194" s="5" t="s">
        <v>7456</v>
      </c>
      <c r="H194" s="5" t="s">
        <v>7860</v>
      </c>
      <c r="I194" s="5" t="s">
        <v>1621</v>
      </c>
      <c r="J194" s="8">
        <v>12</v>
      </c>
      <c r="K194" s="5" t="s">
        <v>1522</v>
      </c>
      <c r="L194">
        <f t="shared" si="2"/>
        <v>2</v>
      </c>
    </row>
    <row r="195" spans="1:12" hidden="1" x14ac:dyDescent="0.25">
      <c r="A195" s="5">
        <v>46516</v>
      </c>
      <c r="B195" t="s">
        <v>7469</v>
      </c>
      <c r="C195" s="5" t="s">
        <v>7470</v>
      </c>
      <c r="D195" t="s">
        <v>7471</v>
      </c>
      <c r="E195" s="5" t="s">
        <v>3389</v>
      </c>
      <c r="F195" s="6">
        <v>46057.693749999999</v>
      </c>
      <c r="G195" s="5" t="s">
        <v>7456</v>
      </c>
      <c r="H195" s="5" t="s">
        <v>7861</v>
      </c>
      <c r="I195" s="5" t="s">
        <v>1621</v>
      </c>
      <c r="J195" s="8">
        <v>230.4</v>
      </c>
      <c r="K195" s="5" t="s">
        <v>1522</v>
      </c>
      <c r="L195">
        <f t="shared" ref="L195:L258" si="3">MONTH(F195)</f>
        <v>2</v>
      </c>
    </row>
    <row r="196" spans="1:12" hidden="1" x14ac:dyDescent="0.25">
      <c r="A196" s="5">
        <v>46517</v>
      </c>
      <c r="B196" t="s">
        <v>7469</v>
      </c>
      <c r="C196" s="5" t="s">
        <v>7470</v>
      </c>
      <c r="D196" t="s">
        <v>7471</v>
      </c>
      <c r="E196" s="5" t="s">
        <v>3651</v>
      </c>
      <c r="F196" s="6">
        <v>46057.695138888892</v>
      </c>
      <c r="G196" s="5" t="s">
        <v>7456</v>
      </c>
      <c r="H196" s="5" t="s">
        <v>7862</v>
      </c>
      <c r="I196" s="5" t="s">
        <v>1621</v>
      </c>
      <c r="J196" s="8">
        <v>80.25</v>
      </c>
      <c r="K196" s="5" t="s">
        <v>1522</v>
      </c>
      <c r="L196">
        <f t="shared" si="3"/>
        <v>2</v>
      </c>
    </row>
    <row r="197" spans="1:12" hidden="1" x14ac:dyDescent="0.25">
      <c r="A197" s="5">
        <v>46535</v>
      </c>
      <c r="B197" t="s">
        <v>7506</v>
      </c>
      <c r="C197" s="5" t="s">
        <v>7863</v>
      </c>
      <c r="D197" t="s">
        <v>7508</v>
      </c>
      <c r="E197" s="5" t="s">
        <v>3116</v>
      </c>
      <c r="F197" s="6">
        <v>46058.453472222223</v>
      </c>
      <c r="G197" s="5" t="s">
        <v>7456</v>
      </c>
      <c r="H197" s="5" t="s">
        <v>7864</v>
      </c>
      <c r="I197" s="5" t="s">
        <v>1528</v>
      </c>
      <c r="J197" s="8">
        <v>417.85</v>
      </c>
      <c r="K197" s="5" t="s">
        <v>1522</v>
      </c>
      <c r="L197">
        <f t="shared" si="3"/>
        <v>2</v>
      </c>
    </row>
    <row r="198" spans="1:12" hidden="1" x14ac:dyDescent="0.25">
      <c r="A198" s="5">
        <v>46536</v>
      </c>
      <c r="B198" t="s">
        <v>7865</v>
      </c>
      <c r="C198" s="5" t="s">
        <v>408</v>
      </c>
      <c r="D198" t="s">
        <v>7866</v>
      </c>
      <c r="E198" s="5" t="s">
        <v>7074</v>
      </c>
      <c r="F198" s="6">
        <v>46058.458333333336</v>
      </c>
      <c r="G198" s="5" t="s">
        <v>7456</v>
      </c>
      <c r="H198" s="5" t="s">
        <v>7867</v>
      </c>
      <c r="I198" s="5" t="s">
        <v>1528</v>
      </c>
      <c r="J198" s="8">
        <v>30</v>
      </c>
      <c r="K198" s="5" t="s">
        <v>1522</v>
      </c>
      <c r="L198">
        <f t="shared" si="3"/>
        <v>2</v>
      </c>
    </row>
    <row r="199" spans="1:12" hidden="1" x14ac:dyDescent="0.25">
      <c r="A199" s="5">
        <v>46538</v>
      </c>
      <c r="B199" t="s">
        <v>7547</v>
      </c>
      <c r="C199" s="5" t="s">
        <v>7503</v>
      </c>
      <c r="D199" t="s">
        <v>7548</v>
      </c>
      <c r="E199" s="5" t="s">
        <v>1645</v>
      </c>
      <c r="F199" s="6">
        <v>46058.495833333334</v>
      </c>
      <c r="G199" s="5" t="s">
        <v>7456</v>
      </c>
      <c r="H199" s="5" t="s">
        <v>7868</v>
      </c>
      <c r="I199" s="5" t="s">
        <v>1528</v>
      </c>
      <c r="J199" s="8">
        <v>3500</v>
      </c>
      <c r="K199" s="5" t="s">
        <v>1522</v>
      </c>
      <c r="L199">
        <f t="shared" si="3"/>
        <v>2</v>
      </c>
    </row>
    <row r="200" spans="1:12" hidden="1" x14ac:dyDescent="0.25">
      <c r="A200" s="5">
        <v>46539</v>
      </c>
      <c r="B200" t="s">
        <v>7869</v>
      </c>
      <c r="C200" s="5" t="s">
        <v>7870</v>
      </c>
      <c r="D200" t="s">
        <v>7871</v>
      </c>
      <c r="E200" s="5" t="s">
        <v>1796</v>
      </c>
      <c r="F200" s="6">
        <v>46058.603472222225</v>
      </c>
      <c r="G200" s="5" t="s">
        <v>7456</v>
      </c>
      <c r="H200" s="5" t="s">
        <v>7872</v>
      </c>
      <c r="I200" s="5" t="s">
        <v>1528</v>
      </c>
      <c r="J200" s="8">
        <v>2097</v>
      </c>
      <c r="K200" s="5" t="s">
        <v>1522</v>
      </c>
      <c r="L200">
        <f t="shared" si="3"/>
        <v>2</v>
      </c>
    </row>
    <row r="201" spans="1:12" hidden="1" x14ac:dyDescent="0.25">
      <c r="A201" s="5">
        <v>46544</v>
      </c>
      <c r="B201" t="s">
        <v>7469</v>
      </c>
      <c r="C201" s="5" t="s">
        <v>7470</v>
      </c>
      <c r="D201" t="s">
        <v>7471</v>
      </c>
      <c r="E201" s="5" t="s">
        <v>2467</v>
      </c>
      <c r="F201" s="6">
        <v>46058.631944444445</v>
      </c>
      <c r="G201" s="5" t="s">
        <v>7456</v>
      </c>
      <c r="H201" s="5" t="s">
        <v>7873</v>
      </c>
      <c r="I201" s="5" t="s">
        <v>1621</v>
      </c>
      <c r="J201" s="8">
        <v>228</v>
      </c>
      <c r="K201" s="5" t="s">
        <v>1522</v>
      </c>
      <c r="L201">
        <f t="shared" si="3"/>
        <v>2</v>
      </c>
    </row>
    <row r="202" spans="1:12" hidden="1" x14ac:dyDescent="0.25">
      <c r="A202" s="5">
        <v>46553</v>
      </c>
      <c r="B202" t="s">
        <v>7483</v>
      </c>
      <c r="C202" s="5" t="s">
        <v>7484</v>
      </c>
      <c r="D202" t="s">
        <v>7485</v>
      </c>
      <c r="E202" s="5" t="s">
        <v>1548</v>
      </c>
      <c r="F202" s="6">
        <v>46058.705555555556</v>
      </c>
      <c r="G202" s="5" t="s">
        <v>7456</v>
      </c>
      <c r="H202" s="5" t="s">
        <v>7874</v>
      </c>
      <c r="I202" s="5" t="s">
        <v>1528</v>
      </c>
      <c r="J202" s="8">
        <v>1662</v>
      </c>
      <c r="K202" s="5" t="s">
        <v>1522</v>
      </c>
      <c r="L202">
        <f t="shared" si="3"/>
        <v>2</v>
      </c>
    </row>
    <row r="203" spans="1:12" hidden="1" x14ac:dyDescent="0.25">
      <c r="A203" s="5">
        <v>46554</v>
      </c>
      <c r="B203" t="s">
        <v>7875</v>
      </c>
      <c r="C203" s="5" t="s">
        <v>7503</v>
      </c>
      <c r="D203" t="s">
        <v>7876</v>
      </c>
      <c r="E203" s="5" t="s">
        <v>7877</v>
      </c>
      <c r="F203" s="6">
        <v>46058.707638888889</v>
      </c>
      <c r="G203" s="5" t="s">
        <v>7456</v>
      </c>
      <c r="H203" t="s">
        <v>7482</v>
      </c>
      <c r="I203" s="5" t="s">
        <v>1528</v>
      </c>
      <c r="J203" s="8">
        <v>1835.2</v>
      </c>
      <c r="K203" s="5" t="s">
        <v>1522</v>
      </c>
      <c r="L203">
        <f t="shared" si="3"/>
        <v>2</v>
      </c>
    </row>
    <row r="204" spans="1:12" hidden="1" x14ac:dyDescent="0.25">
      <c r="A204" s="5">
        <v>46559</v>
      </c>
      <c r="B204" t="s">
        <v>7878</v>
      </c>
      <c r="C204" s="5" t="s">
        <v>7503</v>
      </c>
      <c r="D204" t="s">
        <v>7879</v>
      </c>
      <c r="E204" s="5" t="s">
        <v>1879</v>
      </c>
      <c r="F204" s="6">
        <v>46058.745138888888</v>
      </c>
      <c r="G204" s="5" t="s">
        <v>7456</v>
      </c>
      <c r="H204" s="5" t="s">
        <v>7880</v>
      </c>
      <c r="I204" s="5" t="s">
        <v>1528</v>
      </c>
      <c r="J204" s="8">
        <v>1744</v>
      </c>
      <c r="K204" s="5" t="s">
        <v>1522</v>
      </c>
      <c r="L204">
        <f t="shared" si="3"/>
        <v>2</v>
      </c>
    </row>
    <row r="205" spans="1:12" hidden="1" x14ac:dyDescent="0.25">
      <c r="A205" s="5">
        <v>46561</v>
      </c>
      <c r="B205" t="s">
        <v>7703</v>
      </c>
      <c r="C205" s="5" t="s">
        <v>7704</v>
      </c>
      <c r="D205" t="s">
        <v>7705</v>
      </c>
      <c r="E205" s="5" t="s">
        <v>1996</v>
      </c>
      <c r="F205" s="6">
        <v>46059.370138888888</v>
      </c>
      <c r="G205" s="5" t="s">
        <v>7456</v>
      </c>
      <c r="H205" s="5" t="s">
        <v>7881</v>
      </c>
      <c r="I205" s="5" t="s">
        <v>1528</v>
      </c>
      <c r="J205" s="8">
        <v>230.41</v>
      </c>
      <c r="K205" s="5" t="s">
        <v>1522</v>
      </c>
      <c r="L205">
        <f t="shared" si="3"/>
        <v>2</v>
      </c>
    </row>
    <row r="206" spans="1:12" hidden="1" x14ac:dyDescent="0.25">
      <c r="A206" s="5">
        <v>46564</v>
      </c>
      <c r="B206" t="s">
        <v>7735</v>
      </c>
      <c r="C206" s="5" t="s">
        <v>7736</v>
      </c>
      <c r="D206" t="s">
        <v>7737</v>
      </c>
      <c r="E206" s="5" t="s">
        <v>2607</v>
      </c>
      <c r="F206" s="6">
        <v>46059.461805555555</v>
      </c>
      <c r="G206" s="5" t="s">
        <v>7456</v>
      </c>
      <c r="H206" t="s">
        <v>7482</v>
      </c>
      <c r="I206" s="5" t="s">
        <v>1528</v>
      </c>
      <c r="J206" s="8">
        <v>6510</v>
      </c>
      <c r="K206" s="5" t="s">
        <v>1522</v>
      </c>
      <c r="L206">
        <f t="shared" si="3"/>
        <v>2</v>
      </c>
    </row>
    <row r="207" spans="1:12" hidden="1" x14ac:dyDescent="0.25">
      <c r="A207" s="5">
        <v>46570</v>
      </c>
      <c r="B207" t="s">
        <v>7882</v>
      </c>
      <c r="C207" s="5" t="s">
        <v>7883</v>
      </c>
      <c r="D207" t="s">
        <v>7884</v>
      </c>
      <c r="E207" s="5" t="s">
        <v>6974</v>
      </c>
      <c r="F207" s="6">
        <v>46059.60833333333</v>
      </c>
      <c r="G207" s="5" t="s">
        <v>7456</v>
      </c>
      <c r="H207" s="5" t="s">
        <v>7885</v>
      </c>
      <c r="I207" s="5" t="s">
        <v>1528</v>
      </c>
      <c r="J207" s="8">
        <v>36</v>
      </c>
      <c r="K207" s="5" t="s">
        <v>1522</v>
      </c>
      <c r="L207">
        <f t="shared" si="3"/>
        <v>2</v>
      </c>
    </row>
    <row r="208" spans="1:12" hidden="1" x14ac:dyDescent="0.25">
      <c r="A208" s="5">
        <v>46588</v>
      </c>
      <c r="B208" t="s">
        <v>7469</v>
      </c>
      <c r="C208" s="5" t="s">
        <v>7470</v>
      </c>
      <c r="D208" t="s">
        <v>7471</v>
      </c>
      <c r="E208" s="5" t="s">
        <v>5575</v>
      </c>
      <c r="F208" s="6">
        <v>46062.42083333333</v>
      </c>
      <c r="G208" s="5" t="s">
        <v>7456</v>
      </c>
      <c r="H208" s="5" t="s">
        <v>7886</v>
      </c>
      <c r="I208" s="5" t="s">
        <v>1621</v>
      </c>
      <c r="J208" s="8">
        <v>35</v>
      </c>
      <c r="K208" s="5" t="s">
        <v>1522</v>
      </c>
      <c r="L208">
        <f t="shared" si="3"/>
        <v>2</v>
      </c>
    </row>
    <row r="209" spans="1:12" hidden="1" x14ac:dyDescent="0.25">
      <c r="A209" s="5">
        <v>46589</v>
      </c>
      <c r="B209" t="s">
        <v>7469</v>
      </c>
      <c r="C209" s="5" t="s">
        <v>7470</v>
      </c>
      <c r="D209" t="s">
        <v>7471</v>
      </c>
      <c r="E209" s="5" t="s">
        <v>5575</v>
      </c>
      <c r="F209" s="6">
        <v>46062.422222222223</v>
      </c>
      <c r="G209" s="5" t="s">
        <v>7456</v>
      </c>
      <c r="H209" s="5" t="s">
        <v>7887</v>
      </c>
      <c r="I209" s="5" t="s">
        <v>1621</v>
      </c>
      <c r="J209" s="8">
        <v>63</v>
      </c>
      <c r="K209" s="5" t="s">
        <v>1522</v>
      </c>
      <c r="L209">
        <f t="shared" si="3"/>
        <v>2</v>
      </c>
    </row>
    <row r="210" spans="1:12" hidden="1" x14ac:dyDescent="0.25">
      <c r="A210" s="5">
        <v>46590</v>
      </c>
      <c r="B210" t="s">
        <v>7469</v>
      </c>
      <c r="C210" s="5" t="s">
        <v>7470</v>
      </c>
      <c r="D210" t="s">
        <v>7471</v>
      </c>
      <c r="E210" s="5" t="s">
        <v>3389</v>
      </c>
      <c r="F210" s="6">
        <v>46062.423611111109</v>
      </c>
      <c r="G210" s="5" t="s">
        <v>7456</v>
      </c>
      <c r="H210" s="5" t="s">
        <v>7888</v>
      </c>
      <c r="I210" s="5" t="s">
        <v>1621</v>
      </c>
      <c r="J210" s="8">
        <v>11.52</v>
      </c>
      <c r="K210" s="5" t="s">
        <v>1522</v>
      </c>
      <c r="L210">
        <f t="shared" si="3"/>
        <v>2</v>
      </c>
    </row>
    <row r="211" spans="1:12" hidden="1" x14ac:dyDescent="0.25">
      <c r="A211" s="5">
        <v>46591</v>
      </c>
      <c r="B211" t="s">
        <v>7536</v>
      </c>
      <c r="C211" s="5" t="s">
        <v>7537</v>
      </c>
      <c r="D211" t="s">
        <v>7538</v>
      </c>
      <c r="E211" s="5" t="s">
        <v>6206</v>
      </c>
      <c r="F211" s="6">
        <v>46062.456250000003</v>
      </c>
      <c r="G211" s="5" t="s">
        <v>7456</v>
      </c>
      <c r="H211" s="5" t="s">
        <v>7889</v>
      </c>
      <c r="I211" s="5" t="s">
        <v>1528</v>
      </c>
      <c r="J211" s="8">
        <v>80</v>
      </c>
      <c r="K211" s="5" t="s">
        <v>1522</v>
      </c>
      <c r="L211">
        <f t="shared" si="3"/>
        <v>2</v>
      </c>
    </row>
    <row r="212" spans="1:12" hidden="1" x14ac:dyDescent="0.25">
      <c r="A212" s="5">
        <v>46593</v>
      </c>
      <c r="B212" t="s">
        <v>7890</v>
      </c>
      <c r="C212" s="5" t="s">
        <v>7891</v>
      </c>
      <c r="D212" t="s">
        <v>7892</v>
      </c>
      <c r="E212" s="5" t="s">
        <v>1548</v>
      </c>
      <c r="F212" s="6">
        <v>46062.475694444445</v>
      </c>
      <c r="G212" s="5" t="s">
        <v>7456</v>
      </c>
      <c r="H212" s="5" t="s">
        <v>7893</v>
      </c>
      <c r="I212" s="5" t="s">
        <v>1528</v>
      </c>
      <c r="J212" s="8">
        <v>923.76</v>
      </c>
      <c r="K212" s="5" t="s">
        <v>1522</v>
      </c>
      <c r="L212">
        <f t="shared" si="3"/>
        <v>2</v>
      </c>
    </row>
    <row r="213" spans="1:12" hidden="1" x14ac:dyDescent="0.25">
      <c r="A213" s="5">
        <v>46598</v>
      </c>
      <c r="B213" t="s">
        <v>7515</v>
      </c>
      <c r="C213" s="5" t="s">
        <v>7516</v>
      </c>
      <c r="D213" t="s">
        <v>7517</v>
      </c>
      <c r="E213" s="5" t="s">
        <v>2602</v>
      </c>
      <c r="F213" s="6">
        <v>46062.626388888886</v>
      </c>
      <c r="G213" s="5" t="s">
        <v>7456</v>
      </c>
      <c r="H213" t="s">
        <v>7482</v>
      </c>
      <c r="I213" s="5" t="s">
        <v>1528</v>
      </c>
      <c r="J213" s="8">
        <v>120</v>
      </c>
      <c r="K213" s="5" t="s">
        <v>1522</v>
      </c>
      <c r="L213">
        <f t="shared" si="3"/>
        <v>2</v>
      </c>
    </row>
    <row r="214" spans="1:12" hidden="1" x14ac:dyDescent="0.25">
      <c r="A214" s="5">
        <v>46599</v>
      </c>
      <c r="B214" t="s">
        <v>7894</v>
      </c>
      <c r="C214" s="5" t="s">
        <v>7895</v>
      </c>
      <c r="D214" t="s">
        <v>7896</v>
      </c>
      <c r="E214" s="5" t="s">
        <v>1552</v>
      </c>
      <c r="F214" s="6">
        <v>46062.638194444444</v>
      </c>
      <c r="G214" s="5" t="s">
        <v>7456</v>
      </c>
      <c r="H214" s="5" t="s">
        <v>7897</v>
      </c>
      <c r="I214" s="5" t="s">
        <v>1554</v>
      </c>
      <c r="J214" s="8">
        <v>8125</v>
      </c>
      <c r="K214" s="5" t="s">
        <v>1522</v>
      </c>
      <c r="L214">
        <f t="shared" si="3"/>
        <v>2</v>
      </c>
    </row>
    <row r="215" spans="1:12" hidden="1" x14ac:dyDescent="0.25">
      <c r="A215" s="5">
        <v>46608</v>
      </c>
      <c r="B215" t="s">
        <v>7469</v>
      </c>
      <c r="C215" s="5" t="s">
        <v>7470</v>
      </c>
      <c r="D215" t="s">
        <v>7471</v>
      </c>
      <c r="E215" s="5" t="s">
        <v>3389</v>
      </c>
      <c r="F215" s="6">
        <v>46062.723611111112</v>
      </c>
      <c r="G215" s="5" t="s">
        <v>7456</v>
      </c>
      <c r="H215" s="5" t="s">
        <v>7898</v>
      </c>
      <c r="I215" s="5" t="s">
        <v>1621</v>
      </c>
      <c r="J215" s="8">
        <v>11.52</v>
      </c>
      <c r="K215" s="5" t="s">
        <v>1522</v>
      </c>
      <c r="L215">
        <f t="shared" si="3"/>
        <v>2</v>
      </c>
    </row>
    <row r="216" spans="1:12" hidden="1" x14ac:dyDescent="0.25">
      <c r="A216" s="5">
        <v>46609</v>
      </c>
      <c r="B216" t="s">
        <v>7469</v>
      </c>
      <c r="C216" s="5" t="s">
        <v>7470</v>
      </c>
      <c r="D216" t="s">
        <v>7471</v>
      </c>
      <c r="E216" s="5" t="s">
        <v>6467</v>
      </c>
      <c r="F216" s="6">
        <v>46062.728472222225</v>
      </c>
      <c r="G216" s="5" t="s">
        <v>7456</v>
      </c>
      <c r="H216" s="5" t="s">
        <v>7899</v>
      </c>
      <c r="I216" s="5" t="s">
        <v>1621</v>
      </c>
      <c r="J216" s="8">
        <v>21</v>
      </c>
      <c r="K216" s="5" t="s">
        <v>1522</v>
      </c>
      <c r="L216">
        <f t="shared" si="3"/>
        <v>2</v>
      </c>
    </row>
    <row r="217" spans="1:12" hidden="1" x14ac:dyDescent="0.25">
      <c r="A217" s="5">
        <v>46610</v>
      </c>
      <c r="B217" t="s">
        <v>7469</v>
      </c>
      <c r="C217" s="5" t="s">
        <v>7470</v>
      </c>
      <c r="D217" t="s">
        <v>7471</v>
      </c>
      <c r="E217" s="5" t="s">
        <v>2467</v>
      </c>
      <c r="F217" s="6">
        <v>46062.729861111111</v>
      </c>
      <c r="G217" s="5" t="s">
        <v>7456</v>
      </c>
      <c r="H217" s="5" t="s">
        <v>7900</v>
      </c>
      <c r="I217" s="5" t="s">
        <v>1621</v>
      </c>
      <c r="J217" s="8">
        <v>174.8</v>
      </c>
      <c r="K217" s="5" t="s">
        <v>1522</v>
      </c>
      <c r="L217">
        <f t="shared" si="3"/>
        <v>2</v>
      </c>
    </row>
    <row r="218" spans="1:12" hidden="1" x14ac:dyDescent="0.25">
      <c r="A218" s="5">
        <v>46611</v>
      </c>
      <c r="B218" t="s">
        <v>7515</v>
      </c>
      <c r="C218" s="5" t="s">
        <v>7516</v>
      </c>
      <c r="D218" t="s">
        <v>7517</v>
      </c>
      <c r="E218" s="5" t="s">
        <v>7901</v>
      </c>
      <c r="F218" s="6">
        <v>46063.35</v>
      </c>
      <c r="G218" s="5" t="s">
        <v>7456</v>
      </c>
      <c r="H218" t="s">
        <v>7482</v>
      </c>
      <c r="I218" s="5" t="s">
        <v>1528</v>
      </c>
      <c r="J218" s="8">
        <v>144</v>
      </c>
      <c r="K218" s="5" t="s">
        <v>1522</v>
      </c>
      <c r="L218">
        <f t="shared" si="3"/>
        <v>2</v>
      </c>
    </row>
    <row r="219" spans="1:12" hidden="1" x14ac:dyDescent="0.25">
      <c r="A219" s="5">
        <v>46628</v>
      </c>
      <c r="B219" t="s">
        <v>7703</v>
      </c>
      <c r="C219" s="5" t="s">
        <v>7503</v>
      </c>
      <c r="D219" t="s">
        <v>7705</v>
      </c>
      <c r="E219" s="5" t="s">
        <v>6992</v>
      </c>
      <c r="F219" s="6">
        <v>46063.617361111108</v>
      </c>
      <c r="G219" s="5" t="s">
        <v>7456</v>
      </c>
      <c r="H219" s="5" t="s">
        <v>7902</v>
      </c>
      <c r="I219" s="5" t="s">
        <v>1528</v>
      </c>
      <c r="J219" s="8">
        <v>35</v>
      </c>
      <c r="K219" s="5" t="s">
        <v>1522</v>
      </c>
      <c r="L219">
        <f t="shared" si="3"/>
        <v>2</v>
      </c>
    </row>
    <row r="220" spans="1:12" hidden="1" x14ac:dyDescent="0.25">
      <c r="A220" s="5">
        <v>46629</v>
      </c>
      <c r="B220" t="s">
        <v>7703</v>
      </c>
      <c r="C220" s="5" t="s">
        <v>7503</v>
      </c>
      <c r="D220" t="s">
        <v>7705</v>
      </c>
      <c r="E220" s="5" t="s">
        <v>6994</v>
      </c>
      <c r="F220" s="6">
        <v>46063.618750000001</v>
      </c>
      <c r="G220" s="5" t="s">
        <v>7456</v>
      </c>
      <c r="H220" s="5" t="s">
        <v>7903</v>
      </c>
      <c r="I220" s="5" t="s">
        <v>1528</v>
      </c>
      <c r="J220" s="8">
        <v>35</v>
      </c>
      <c r="K220" s="5" t="s">
        <v>1522</v>
      </c>
      <c r="L220">
        <f t="shared" si="3"/>
        <v>2</v>
      </c>
    </row>
    <row r="221" spans="1:12" hidden="1" x14ac:dyDescent="0.25">
      <c r="A221" s="5">
        <v>46630</v>
      </c>
      <c r="B221" t="s">
        <v>7904</v>
      </c>
      <c r="C221" s="5" t="s">
        <v>7905</v>
      </c>
      <c r="D221" t="s">
        <v>7906</v>
      </c>
      <c r="E221" s="5" t="s">
        <v>3974</v>
      </c>
      <c r="F221" s="6">
        <v>46063.620833333334</v>
      </c>
      <c r="G221" s="5" t="s">
        <v>7456</v>
      </c>
      <c r="H221" s="5" t="s">
        <v>7907</v>
      </c>
      <c r="I221" s="5" t="s">
        <v>1535</v>
      </c>
      <c r="J221" s="8">
        <v>260</v>
      </c>
      <c r="K221" s="5" t="s">
        <v>1522</v>
      </c>
      <c r="L221">
        <f t="shared" si="3"/>
        <v>2</v>
      </c>
    </row>
    <row r="222" spans="1:12" hidden="1" x14ac:dyDescent="0.25">
      <c r="A222" s="5">
        <v>46639</v>
      </c>
      <c r="B222" t="s">
        <v>7882</v>
      </c>
      <c r="C222" s="5" t="s">
        <v>7883</v>
      </c>
      <c r="D222" t="s">
        <v>7884</v>
      </c>
      <c r="E222" s="5" t="s">
        <v>7908</v>
      </c>
      <c r="F222" s="6">
        <v>46064.352777777778</v>
      </c>
      <c r="G222" s="5" t="s">
        <v>7456</v>
      </c>
      <c r="H222" t="s">
        <v>7482</v>
      </c>
      <c r="I222" s="5" t="s">
        <v>1528</v>
      </c>
      <c r="J222" s="8">
        <v>840</v>
      </c>
      <c r="K222" s="5" t="s">
        <v>1522</v>
      </c>
      <c r="L222">
        <f t="shared" si="3"/>
        <v>2</v>
      </c>
    </row>
    <row r="223" spans="1:12" hidden="1" x14ac:dyDescent="0.25">
      <c r="A223" s="5">
        <v>46654</v>
      </c>
      <c r="B223" t="s">
        <v>7469</v>
      </c>
      <c r="C223" s="5" t="s">
        <v>7470</v>
      </c>
      <c r="D223" t="s">
        <v>7471</v>
      </c>
      <c r="E223" s="5" t="s">
        <v>5575</v>
      </c>
      <c r="F223" s="6">
        <v>46064.625</v>
      </c>
      <c r="G223" s="5" t="s">
        <v>7456</v>
      </c>
      <c r="H223" s="5" t="s">
        <v>7909</v>
      </c>
      <c r="I223" s="5" t="s">
        <v>1621</v>
      </c>
      <c r="J223" s="8">
        <v>113.4</v>
      </c>
      <c r="K223" s="5" t="s">
        <v>1522</v>
      </c>
      <c r="L223">
        <f t="shared" si="3"/>
        <v>2</v>
      </c>
    </row>
    <row r="224" spans="1:12" hidden="1" x14ac:dyDescent="0.25">
      <c r="A224" s="5">
        <v>46660</v>
      </c>
      <c r="B224" t="s">
        <v>7515</v>
      </c>
      <c r="C224" s="5" t="s">
        <v>7516</v>
      </c>
      <c r="D224" t="s">
        <v>7517</v>
      </c>
      <c r="E224" s="5" t="s">
        <v>2602</v>
      </c>
      <c r="F224" s="6">
        <v>46064.67291666667</v>
      </c>
      <c r="G224" s="5" t="s">
        <v>7456</v>
      </c>
      <c r="H224" s="5" t="s">
        <v>7910</v>
      </c>
      <c r="I224" s="5" t="s">
        <v>1528</v>
      </c>
      <c r="J224" s="8">
        <v>606.69000000000005</v>
      </c>
      <c r="K224" s="5" t="s">
        <v>1522</v>
      </c>
      <c r="L224">
        <f t="shared" si="3"/>
        <v>2</v>
      </c>
    </row>
    <row r="225" spans="1:12" hidden="1" x14ac:dyDescent="0.25">
      <c r="A225" s="5">
        <v>46671</v>
      </c>
      <c r="B225" t="s">
        <v>7869</v>
      </c>
      <c r="C225" s="5" t="s">
        <v>7911</v>
      </c>
      <c r="D225" t="s">
        <v>7871</v>
      </c>
      <c r="E225" s="5" t="s">
        <v>1883</v>
      </c>
      <c r="F225" s="6">
        <v>46065.371527777781</v>
      </c>
      <c r="G225" s="5" t="s">
        <v>7456</v>
      </c>
      <c r="H225" s="5" t="s">
        <v>7912</v>
      </c>
      <c r="I225" s="5" t="s">
        <v>1528</v>
      </c>
      <c r="J225" s="8">
        <v>1713.5</v>
      </c>
      <c r="K225" s="5" t="s">
        <v>1522</v>
      </c>
      <c r="L225">
        <f t="shared" si="3"/>
        <v>2</v>
      </c>
    </row>
    <row r="226" spans="1:12" hidden="1" x14ac:dyDescent="0.25">
      <c r="A226" s="5">
        <v>46673</v>
      </c>
      <c r="B226" t="s">
        <v>7473</v>
      </c>
      <c r="C226" s="5" t="s">
        <v>7474</v>
      </c>
      <c r="D226" t="s">
        <v>7475</v>
      </c>
      <c r="E226" s="5" t="s">
        <v>2607</v>
      </c>
      <c r="F226" s="6">
        <v>46065.397222222222</v>
      </c>
      <c r="G226" s="5" t="s">
        <v>7456</v>
      </c>
      <c r="H226" s="5" t="s">
        <v>7913</v>
      </c>
      <c r="I226" s="5" t="s">
        <v>1528</v>
      </c>
      <c r="J226" s="8">
        <v>300</v>
      </c>
      <c r="K226" s="5" t="s">
        <v>1522</v>
      </c>
      <c r="L226">
        <f t="shared" si="3"/>
        <v>2</v>
      </c>
    </row>
    <row r="227" spans="1:12" hidden="1" x14ac:dyDescent="0.25">
      <c r="A227" s="5">
        <v>46674</v>
      </c>
      <c r="B227" t="s">
        <v>7506</v>
      </c>
      <c r="C227" s="5" t="s">
        <v>7914</v>
      </c>
      <c r="D227" t="s">
        <v>7508</v>
      </c>
      <c r="E227" s="5" t="s">
        <v>1557</v>
      </c>
      <c r="F227" s="6">
        <v>46065.407638888886</v>
      </c>
      <c r="G227" s="5" t="s">
        <v>7456</v>
      </c>
      <c r="H227" s="5" t="s">
        <v>7915</v>
      </c>
      <c r="I227" s="5" t="s">
        <v>1528</v>
      </c>
      <c r="J227" s="8">
        <v>8061.4</v>
      </c>
      <c r="K227" s="5" t="s">
        <v>1522</v>
      </c>
      <c r="L227">
        <f t="shared" si="3"/>
        <v>2</v>
      </c>
    </row>
    <row r="228" spans="1:12" hidden="1" x14ac:dyDescent="0.25">
      <c r="A228" s="5">
        <v>46675</v>
      </c>
      <c r="B228" t="s">
        <v>7608</v>
      </c>
      <c r="C228" s="5" t="s">
        <v>7609</v>
      </c>
      <c r="D228" t="s">
        <v>7610</v>
      </c>
      <c r="E228" s="5" t="s">
        <v>7916</v>
      </c>
      <c r="F228" s="6">
        <v>46065.412499999999</v>
      </c>
      <c r="G228" s="5" t="s">
        <v>7672</v>
      </c>
      <c r="H228" t="s">
        <v>7482</v>
      </c>
      <c r="I228" s="5" t="s">
        <v>1528</v>
      </c>
      <c r="J228" s="8">
        <v>2850</v>
      </c>
      <c r="K228" s="5" t="s">
        <v>1522</v>
      </c>
      <c r="L228">
        <f t="shared" si="3"/>
        <v>2</v>
      </c>
    </row>
    <row r="229" spans="1:12" hidden="1" x14ac:dyDescent="0.25">
      <c r="A229" s="5">
        <v>46680</v>
      </c>
      <c r="B229" t="s">
        <v>7740</v>
      </c>
      <c r="C229" s="5" t="s">
        <v>7917</v>
      </c>
      <c r="D229" t="s">
        <v>7741</v>
      </c>
      <c r="E229" s="5" t="s">
        <v>1548</v>
      </c>
      <c r="F229" s="6">
        <v>46065.602083333331</v>
      </c>
      <c r="G229" s="5" t="s">
        <v>7456</v>
      </c>
      <c r="H229" s="5" t="s">
        <v>7918</v>
      </c>
      <c r="I229" s="5" t="s">
        <v>1528</v>
      </c>
      <c r="J229" s="8">
        <v>110</v>
      </c>
      <c r="K229" s="5" t="s">
        <v>1522</v>
      </c>
      <c r="L229">
        <f t="shared" si="3"/>
        <v>2</v>
      </c>
    </row>
    <row r="230" spans="1:12" hidden="1" x14ac:dyDescent="0.25">
      <c r="A230" s="5">
        <v>46684</v>
      </c>
      <c r="B230" t="s">
        <v>7469</v>
      </c>
      <c r="C230" s="5" t="s">
        <v>7470</v>
      </c>
      <c r="D230" t="s">
        <v>7471</v>
      </c>
      <c r="E230" s="5" t="s">
        <v>6467</v>
      </c>
      <c r="F230" s="6">
        <v>46065.647222222222</v>
      </c>
      <c r="G230" s="5" t="s">
        <v>7456</v>
      </c>
      <c r="H230" s="5" t="s">
        <v>7919</v>
      </c>
      <c r="I230" s="5" t="s">
        <v>1621</v>
      </c>
      <c r="J230" s="8">
        <v>9</v>
      </c>
      <c r="K230" s="5" t="s">
        <v>1522</v>
      </c>
      <c r="L230">
        <f t="shared" si="3"/>
        <v>2</v>
      </c>
    </row>
    <row r="231" spans="1:12" hidden="1" x14ac:dyDescent="0.25">
      <c r="A231" s="5">
        <v>46685</v>
      </c>
      <c r="B231" t="s">
        <v>7469</v>
      </c>
      <c r="C231" s="5" t="s">
        <v>7470</v>
      </c>
      <c r="D231" t="s">
        <v>7471</v>
      </c>
      <c r="E231" s="5" t="s">
        <v>3651</v>
      </c>
      <c r="F231" s="6">
        <v>46065.649305555555</v>
      </c>
      <c r="G231" s="5" t="s">
        <v>7456</v>
      </c>
      <c r="H231" s="5" t="s">
        <v>7920</v>
      </c>
      <c r="I231" s="5" t="s">
        <v>1621</v>
      </c>
      <c r="J231" s="8">
        <v>302.10000000000002</v>
      </c>
      <c r="K231" s="5" t="s">
        <v>1522</v>
      </c>
      <c r="L231">
        <f t="shared" si="3"/>
        <v>2</v>
      </c>
    </row>
    <row r="232" spans="1:12" hidden="1" x14ac:dyDescent="0.25">
      <c r="A232" s="5">
        <v>46686</v>
      </c>
      <c r="B232" t="s">
        <v>7469</v>
      </c>
      <c r="C232" s="5" t="s">
        <v>7470</v>
      </c>
      <c r="D232" t="s">
        <v>7471</v>
      </c>
      <c r="E232" s="5" t="s">
        <v>6467</v>
      </c>
      <c r="F232" s="6">
        <v>46065.650694444441</v>
      </c>
      <c r="G232" s="5" t="s">
        <v>7456</v>
      </c>
      <c r="H232" s="5" t="s">
        <v>7921</v>
      </c>
      <c r="I232" s="5" t="s">
        <v>1621</v>
      </c>
      <c r="J232" s="8">
        <v>31.5</v>
      </c>
      <c r="K232" s="5" t="s">
        <v>1522</v>
      </c>
      <c r="L232">
        <f t="shared" si="3"/>
        <v>2</v>
      </c>
    </row>
    <row r="233" spans="1:12" hidden="1" x14ac:dyDescent="0.25">
      <c r="A233" s="5">
        <v>46687</v>
      </c>
      <c r="B233" t="s">
        <v>7469</v>
      </c>
      <c r="C233" s="5" t="s">
        <v>7470</v>
      </c>
      <c r="D233" t="s">
        <v>7471</v>
      </c>
      <c r="E233" s="5" t="s">
        <v>5811</v>
      </c>
      <c r="F233" s="6">
        <v>46065.65347222222</v>
      </c>
      <c r="G233" s="5" t="s">
        <v>7456</v>
      </c>
      <c r="H233" s="5" t="s">
        <v>7922</v>
      </c>
      <c r="I233" s="5" t="s">
        <v>1621</v>
      </c>
      <c r="J233" s="8">
        <v>60</v>
      </c>
      <c r="K233" s="5" t="s">
        <v>1522</v>
      </c>
      <c r="L233">
        <f t="shared" si="3"/>
        <v>2</v>
      </c>
    </row>
    <row r="234" spans="1:12" hidden="1" x14ac:dyDescent="0.25">
      <c r="A234" s="5">
        <v>46688</v>
      </c>
      <c r="B234" t="s">
        <v>7469</v>
      </c>
      <c r="C234" s="5" t="s">
        <v>7470</v>
      </c>
      <c r="D234" t="s">
        <v>7471</v>
      </c>
      <c r="E234" s="5" t="s">
        <v>5575</v>
      </c>
      <c r="F234" s="6">
        <v>46065.654166666667</v>
      </c>
      <c r="G234" s="5" t="s">
        <v>7456</v>
      </c>
      <c r="H234" s="5" t="s">
        <v>7923</v>
      </c>
      <c r="I234" s="5" t="s">
        <v>1621</v>
      </c>
      <c r="J234" s="8">
        <v>113.4</v>
      </c>
      <c r="K234" s="5" t="s">
        <v>1522</v>
      </c>
      <c r="L234">
        <f t="shared" si="3"/>
        <v>2</v>
      </c>
    </row>
    <row r="235" spans="1:12" hidden="1" x14ac:dyDescent="0.25">
      <c r="A235" s="5">
        <v>46689</v>
      </c>
      <c r="B235" t="s">
        <v>7469</v>
      </c>
      <c r="C235" s="5" t="s">
        <v>7470</v>
      </c>
      <c r="D235" t="s">
        <v>7471</v>
      </c>
      <c r="E235" s="5" t="s">
        <v>5575</v>
      </c>
      <c r="F235" s="6">
        <v>46065.658333333333</v>
      </c>
      <c r="G235" s="5" t="s">
        <v>7456</v>
      </c>
      <c r="H235" s="5" t="s">
        <v>7924</v>
      </c>
      <c r="I235" s="5" t="s">
        <v>1621</v>
      </c>
      <c r="J235" s="8">
        <v>113.4</v>
      </c>
      <c r="K235" s="5" t="s">
        <v>1522</v>
      </c>
      <c r="L235">
        <f t="shared" si="3"/>
        <v>2</v>
      </c>
    </row>
    <row r="236" spans="1:12" hidden="1" x14ac:dyDescent="0.25">
      <c r="A236" s="5">
        <v>46691</v>
      </c>
      <c r="B236" t="s">
        <v>7925</v>
      </c>
      <c r="C236" s="5" t="s">
        <v>7516</v>
      </c>
      <c r="D236" t="s">
        <v>7926</v>
      </c>
      <c r="E236" s="5" t="s">
        <v>1548</v>
      </c>
      <c r="F236" s="6">
        <v>46065.670138888891</v>
      </c>
      <c r="G236" s="5" t="s">
        <v>7456</v>
      </c>
      <c r="H236" s="5" t="s">
        <v>7927</v>
      </c>
      <c r="I236" s="5" t="s">
        <v>1528</v>
      </c>
      <c r="J236" s="8">
        <v>78</v>
      </c>
      <c r="K236" s="5" t="s">
        <v>1522</v>
      </c>
      <c r="L236">
        <f t="shared" si="3"/>
        <v>2</v>
      </c>
    </row>
    <row r="237" spans="1:12" hidden="1" x14ac:dyDescent="0.25">
      <c r="A237" s="5">
        <v>46695</v>
      </c>
      <c r="B237" t="s">
        <v>7453</v>
      </c>
      <c r="C237" s="5" t="s">
        <v>7928</v>
      </c>
      <c r="D237" t="s">
        <v>7455</v>
      </c>
      <c r="E237" s="5" t="s">
        <v>3828</v>
      </c>
      <c r="F237" s="6">
        <v>46065.682638888888</v>
      </c>
      <c r="G237" s="5" t="s">
        <v>7456</v>
      </c>
      <c r="H237" s="5" t="s">
        <v>7929</v>
      </c>
      <c r="I237" s="5" t="s">
        <v>1528</v>
      </c>
      <c r="J237" s="8">
        <v>280</v>
      </c>
      <c r="K237" s="5" t="s">
        <v>1522</v>
      </c>
      <c r="L237">
        <f t="shared" si="3"/>
        <v>2</v>
      </c>
    </row>
    <row r="238" spans="1:12" hidden="1" x14ac:dyDescent="0.25">
      <c r="A238" s="5">
        <v>46700</v>
      </c>
      <c r="B238" t="s">
        <v>7930</v>
      </c>
      <c r="C238" s="5" t="s">
        <v>7931</v>
      </c>
      <c r="D238" t="s">
        <v>7932</v>
      </c>
      <c r="E238" s="5" t="s">
        <v>7933</v>
      </c>
      <c r="F238" s="6">
        <v>46065.694444444445</v>
      </c>
      <c r="G238" s="5" t="s">
        <v>7456</v>
      </c>
      <c r="H238" t="s">
        <v>7482</v>
      </c>
      <c r="I238" s="5" t="s">
        <v>1528</v>
      </c>
      <c r="J238" s="8">
        <v>30</v>
      </c>
      <c r="K238" s="5" t="s">
        <v>1522</v>
      </c>
      <c r="L238">
        <f t="shared" si="3"/>
        <v>2</v>
      </c>
    </row>
    <row r="239" spans="1:12" hidden="1" x14ac:dyDescent="0.25">
      <c r="A239" s="5">
        <v>46704</v>
      </c>
      <c r="B239" t="s">
        <v>7875</v>
      </c>
      <c r="C239" s="5" t="s">
        <v>7503</v>
      </c>
      <c r="D239" t="s">
        <v>7876</v>
      </c>
      <c r="E239" s="5" t="s">
        <v>7934</v>
      </c>
      <c r="F239" s="6">
        <v>46065.736111111109</v>
      </c>
      <c r="G239" s="5" t="s">
        <v>7672</v>
      </c>
      <c r="H239" t="s">
        <v>7482</v>
      </c>
      <c r="I239" s="5" t="s">
        <v>1528</v>
      </c>
      <c r="J239" s="8">
        <v>3659.1</v>
      </c>
      <c r="K239" s="5" t="s">
        <v>1522</v>
      </c>
      <c r="L239">
        <f t="shared" si="3"/>
        <v>2</v>
      </c>
    </row>
    <row r="240" spans="1:12" hidden="1" x14ac:dyDescent="0.25">
      <c r="A240" s="5">
        <v>46711</v>
      </c>
      <c r="B240" t="s">
        <v>7935</v>
      </c>
      <c r="C240" s="5" t="s">
        <v>7936</v>
      </c>
      <c r="D240" t="s">
        <v>7937</v>
      </c>
      <c r="E240" s="5" t="s">
        <v>1548</v>
      </c>
      <c r="F240" s="6">
        <v>46066.44027777778</v>
      </c>
      <c r="G240" s="5" t="s">
        <v>7456</v>
      </c>
      <c r="H240" s="5" t="s">
        <v>7938</v>
      </c>
      <c r="I240" s="5" t="s">
        <v>1528</v>
      </c>
      <c r="J240" s="8">
        <v>576</v>
      </c>
      <c r="K240" s="5" t="s">
        <v>1522</v>
      </c>
      <c r="L240">
        <f t="shared" si="3"/>
        <v>2</v>
      </c>
    </row>
    <row r="241" spans="1:12" hidden="1" x14ac:dyDescent="0.25">
      <c r="A241" s="5">
        <v>46718</v>
      </c>
      <c r="B241" t="s">
        <v>7890</v>
      </c>
      <c r="C241" s="5" t="s">
        <v>7891</v>
      </c>
      <c r="D241" t="s">
        <v>7892</v>
      </c>
      <c r="E241" s="5" t="s">
        <v>1548</v>
      </c>
      <c r="F241" s="6">
        <v>46066.566666666666</v>
      </c>
      <c r="G241" s="5" t="s">
        <v>7456</v>
      </c>
      <c r="H241" s="5" t="s">
        <v>7939</v>
      </c>
      <c r="I241" s="5" t="s">
        <v>1528</v>
      </c>
      <c r="J241" s="8">
        <v>175.3</v>
      </c>
      <c r="K241" s="5" t="s">
        <v>1522</v>
      </c>
      <c r="L241">
        <f t="shared" si="3"/>
        <v>2</v>
      </c>
    </row>
    <row r="242" spans="1:12" hidden="1" x14ac:dyDescent="0.25">
      <c r="A242" s="5">
        <v>46725</v>
      </c>
      <c r="B242" t="s">
        <v>7469</v>
      </c>
      <c r="C242" s="5" t="s">
        <v>7470</v>
      </c>
      <c r="D242" t="s">
        <v>7471</v>
      </c>
      <c r="E242" s="5" t="s">
        <v>3651</v>
      </c>
      <c r="F242" s="6">
        <v>46066.65902777778</v>
      </c>
      <c r="G242" s="5" t="s">
        <v>7456</v>
      </c>
      <c r="H242" s="5" t="s">
        <v>7940</v>
      </c>
      <c r="I242" s="5" t="s">
        <v>1621</v>
      </c>
      <c r="J242" s="8">
        <v>266</v>
      </c>
      <c r="K242" s="5" t="s">
        <v>1522</v>
      </c>
      <c r="L242">
        <f t="shared" si="3"/>
        <v>2</v>
      </c>
    </row>
    <row r="243" spans="1:12" hidden="1" x14ac:dyDescent="0.25">
      <c r="A243" s="5">
        <v>46727</v>
      </c>
      <c r="B243" t="s">
        <v>7469</v>
      </c>
      <c r="C243" s="5" t="s">
        <v>7470</v>
      </c>
      <c r="D243" t="s">
        <v>7471</v>
      </c>
      <c r="E243" s="5" t="s">
        <v>5986</v>
      </c>
      <c r="F243" s="6">
        <v>46066.660416666666</v>
      </c>
      <c r="G243" s="5" t="s">
        <v>7456</v>
      </c>
      <c r="H243" s="5" t="s">
        <v>7941</v>
      </c>
      <c r="I243" s="5" t="s">
        <v>1621</v>
      </c>
      <c r="J243" s="8">
        <v>6</v>
      </c>
      <c r="K243" s="5" t="s">
        <v>1522</v>
      </c>
      <c r="L243">
        <f t="shared" si="3"/>
        <v>2</v>
      </c>
    </row>
    <row r="244" spans="1:12" hidden="1" x14ac:dyDescent="0.25">
      <c r="A244" s="5">
        <v>46728</v>
      </c>
      <c r="B244" t="s">
        <v>7469</v>
      </c>
      <c r="C244" s="5" t="s">
        <v>7470</v>
      </c>
      <c r="D244" t="s">
        <v>7471</v>
      </c>
      <c r="E244" s="5" t="s">
        <v>5575</v>
      </c>
      <c r="F244" s="6">
        <v>46066.661805555559</v>
      </c>
      <c r="G244" s="5" t="s">
        <v>7456</v>
      </c>
      <c r="H244" s="5" t="s">
        <v>7942</v>
      </c>
      <c r="I244" s="5" t="s">
        <v>1621</v>
      </c>
      <c r="J244" s="8">
        <v>113.4</v>
      </c>
      <c r="K244" s="5" t="s">
        <v>1522</v>
      </c>
      <c r="L244">
        <f t="shared" si="3"/>
        <v>2</v>
      </c>
    </row>
    <row r="245" spans="1:12" hidden="1" x14ac:dyDescent="0.25">
      <c r="A245" s="5">
        <v>46731</v>
      </c>
      <c r="B245" t="s">
        <v>7469</v>
      </c>
      <c r="C245" s="5" t="s">
        <v>7470</v>
      </c>
      <c r="D245" t="s">
        <v>7471</v>
      </c>
      <c r="E245" s="5" t="s">
        <v>2467</v>
      </c>
      <c r="F245" s="6">
        <v>46066.664583333331</v>
      </c>
      <c r="G245" s="5" t="s">
        <v>7456</v>
      </c>
      <c r="H245" s="5" t="s">
        <v>7943</v>
      </c>
      <c r="I245" s="5" t="s">
        <v>1621</v>
      </c>
      <c r="J245" s="8">
        <v>197.6</v>
      </c>
      <c r="K245" s="5" t="s">
        <v>1522</v>
      </c>
      <c r="L245">
        <f t="shared" si="3"/>
        <v>2</v>
      </c>
    </row>
    <row r="246" spans="1:12" hidden="1" x14ac:dyDescent="0.25">
      <c r="A246" s="5">
        <v>46736</v>
      </c>
      <c r="B246" t="s">
        <v>7506</v>
      </c>
      <c r="C246" s="5" t="s">
        <v>7914</v>
      </c>
      <c r="D246" t="s">
        <v>7508</v>
      </c>
      <c r="E246" s="5" t="s">
        <v>7944</v>
      </c>
      <c r="F246" s="6">
        <v>46069.350694444445</v>
      </c>
      <c r="G246" s="5" t="s">
        <v>7595</v>
      </c>
      <c r="H246" t="s">
        <v>7482</v>
      </c>
      <c r="I246" s="5" t="s">
        <v>1554</v>
      </c>
      <c r="J246" s="8">
        <v>700</v>
      </c>
      <c r="K246" s="5" t="s">
        <v>1522</v>
      </c>
      <c r="L246">
        <f t="shared" si="3"/>
        <v>2</v>
      </c>
    </row>
    <row r="247" spans="1:12" hidden="1" x14ac:dyDescent="0.25">
      <c r="A247" s="5">
        <v>46737</v>
      </c>
      <c r="B247" t="s">
        <v>7945</v>
      </c>
      <c r="C247" s="5" t="s">
        <v>7946</v>
      </c>
      <c r="D247" t="s">
        <v>7947</v>
      </c>
      <c r="E247" s="5" t="s">
        <v>5187</v>
      </c>
      <c r="F247" s="6">
        <v>46069.419444444444</v>
      </c>
      <c r="G247" s="5" t="s">
        <v>7456</v>
      </c>
      <c r="H247" s="5" t="s">
        <v>7948</v>
      </c>
      <c r="I247" s="5" t="s">
        <v>1554</v>
      </c>
      <c r="J247" s="8">
        <v>140</v>
      </c>
      <c r="K247" s="5" t="s">
        <v>1522</v>
      </c>
      <c r="L247">
        <f t="shared" si="3"/>
        <v>2</v>
      </c>
    </row>
    <row r="248" spans="1:12" hidden="1" x14ac:dyDescent="0.25">
      <c r="A248" s="5">
        <v>46738</v>
      </c>
      <c r="B248" t="s">
        <v>7506</v>
      </c>
      <c r="C248" s="5" t="s">
        <v>7863</v>
      </c>
      <c r="D248" t="s">
        <v>7508</v>
      </c>
      <c r="E248" s="5" t="s">
        <v>3116</v>
      </c>
      <c r="F248" s="6">
        <v>46069.456944444442</v>
      </c>
      <c r="G248" s="5" t="s">
        <v>7456</v>
      </c>
      <c r="H248" t="s">
        <v>7482</v>
      </c>
      <c r="I248" s="5" t="s">
        <v>1528</v>
      </c>
      <c r="J248" s="8">
        <v>75</v>
      </c>
      <c r="K248" s="5" t="s">
        <v>1522</v>
      </c>
      <c r="L248">
        <f t="shared" si="3"/>
        <v>2</v>
      </c>
    </row>
    <row r="249" spans="1:12" hidden="1" x14ac:dyDescent="0.25">
      <c r="A249" s="5">
        <v>46739</v>
      </c>
      <c r="B249" t="s">
        <v>7469</v>
      </c>
      <c r="C249" s="5" t="s">
        <v>7470</v>
      </c>
      <c r="D249" t="s">
        <v>7471</v>
      </c>
      <c r="E249" s="5" t="s">
        <v>2467</v>
      </c>
      <c r="F249" s="6">
        <v>46069.459027777775</v>
      </c>
      <c r="G249" s="5" t="s">
        <v>7456</v>
      </c>
      <c r="H249" s="5" t="s">
        <v>7949</v>
      </c>
      <c r="I249" s="5" t="s">
        <v>1621</v>
      </c>
      <c r="J249" s="8">
        <v>174.8</v>
      </c>
      <c r="K249" s="5" t="s">
        <v>1522</v>
      </c>
      <c r="L249">
        <f t="shared" si="3"/>
        <v>2</v>
      </c>
    </row>
    <row r="250" spans="1:12" hidden="1" x14ac:dyDescent="0.25">
      <c r="A250" s="5">
        <v>46740</v>
      </c>
      <c r="B250" t="s">
        <v>7469</v>
      </c>
      <c r="C250" s="5" t="s">
        <v>7470</v>
      </c>
      <c r="D250" t="s">
        <v>7471</v>
      </c>
      <c r="E250" s="5" t="s">
        <v>3389</v>
      </c>
      <c r="F250" s="6">
        <v>46069.461111111108</v>
      </c>
      <c r="G250" s="5" t="s">
        <v>7456</v>
      </c>
      <c r="H250" s="5" t="s">
        <v>7950</v>
      </c>
      <c r="I250" s="5" t="s">
        <v>1621</v>
      </c>
      <c r="J250" s="8">
        <v>11.52</v>
      </c>
      <c r="K250" s="5" t="s">
        <v>1522</v>
      </c>
      <c r="L250">
        <f t="shared" si="3"/>
        <v>2</v>
      </c>
    </row>
    <row r="251" spans="1:12" hidden="1" x14ac:dyDescent="0.25">
      <c r="A251" s="5">
        <v>46741</v>
      </c>
      <c r="B251" t="s">
        <v>7469</v>
      </c>
      <c r="C251" s="5" t="s">
        <v>7470</v>
      </c>
      <c r="D251" t="s">
        <v>7471</v>
      </c>
      <c r="E251" s="5" t="s">
        <v>6467</v>
      </c>
      <c r="F251" s="6">
        <v>46069.463194444441</v>
      </c>
      <c r="G251" s="5" t="s">
        <v>7456</v>
      </c>
      <c r="H251" s="5" t="s">
        <v>7951</v>
      </c>
      <c r="I251" s="5" t="s">
        <v>1621</v>
      </c>
      <c r="J251" s="8">
        <v>36.9</v>
      </c>
      <c r="K251" s="5" t="s">
        <v>1522</v>
      </c>
      <c r="L251">
        <f t="shared" si="3"/>
        <v>2</v>
      </c>
    </row>
    <row r="252" spans="1:12" hidden="1" x14ac:dyDescent="0.25">
      <c r="A252" s="5">
        <v>46742</v>
      </c>
      <c r="B252" t="s">
        <v>7469</v>
      </c>
      <c r="C252" s="5" t="s">
        <v>7470</v>
      </c>
      <c r="D252" t="s">
        <v>7471</v>
      </c>
      <c r="E252" s="5" t="s">
        <v>6467</v>
      </c>
      <c r="F252" s="6">
        <v>46069.473611111112</v>
      </c>
      <c r="G252" s="5" t="s">
        <v>7456</v>
      </c>
      <c r="H252" s="5" t="s">
        <v>7952</v>
      </c>
      <c r="I252" s="5" t="s">
        <v>1621</v>
      </c>
      <c r="J252" s="8">
        <v>14</v>
      </c>
      <c r="K252" s="5" t="s">
        <v>1522</v>
      </c>
      <c r="L252">
        <f t="shared" si="3"/>
        <v>2</v>
      </c>
    </row>
    <row r="253" spans="1:12" hidden="1" x14ac:dyDescent="0.25">
      <c r="A253" s="5">
        <v>46749</v>
      </c>
      <c r="B253" t="s">
        <v>7490</v>
      </c>
      <c r="C253" s="5" t="s">
        <v>7491</v>
      </c>
      <c r="D253" t="s">
        <v>7492</v>
      </c>
      <c r="E253" s="5" t="s">
        <v>2126</v>
      </c>
      <c r="F253" s="6">
        <v>46071.365277777775</v>
      </c>
      <c r="G253" s="5" t="s">
        <v>7456</v>
      </c>
      <c r="H253" s="5" t="s">
        <v>7953</v>
      </c>
      <c r="I253" s="5" t="s">
        <v>1528</v>
      </c>
      <c r="J253" s="8">
        <v>1030</v>
      </c>
      <c r="K253" s="5" t="s">
        <v>1522</v>
      </c>
      <c r="L253">
        <f t="shared" si="3"/>
        <v>2</v>
      </c>
    </row>
    <row r="254" spans="1:12" hidden="1" x14ac:dyDescent="0.25">
      <c r="A254" s="5">
        <v>46772</v>
      </c>
      <c r="B254" t="s">
        <v>7954</v>
      </c>
      <c r="C254" s="5" t="s">
        <v>972</v>
      </c>
      <c r="D254" t="s">
        <v>7955</v>
      </c>
      <c r="E254" s="5" t="s">
        <v>3613</v>
      </c>
      <c r="F254" s="6">
        <v>46071.646527777775</v>
      </c>
      <c r="G254" s="5" t="s">
        <v>7456</v>
      </c>
      <c r="H254" s="5" t="s">
        <v>7956</v>
      </c>
      <c r="I254" s="5" t="s">
        <v>1621</v>
      </c>
      <c r="J254" s="8">
        <v>308.76</v>
      </c>
      <c r="K254" s="5" t="s">
        <v>1522</v>
      </c>
      <c r="L254">
        <f t="shared" si="3"/>
        <v>2</v>
      </c>
    </row>
    <row r="255" spans="1:12" hidden="1" x14ac:dyDescent="0.25">
      <c r="A255" s="5">
        <v>46779</v>
      </c>
      <c r="B255" t="s">
        <v>7957</v>
      </c>
      <c r="C255" s="5" t="s">
        <v>7503</v>
      </c>
      <c r="D255" t="s">
        <v>7879</v>
      </c>
      <c r="E255" s="5" t="s">
        <v>5517</v>
      </c>
      <c r="F255" s="6">
        <v>46071.722916666666</v>
      </c>
      <c r="G255" s="5" t="s">
        <v>7456</v>
      </c>
      <c r="H255" s="5" t="s">
        <v>7958</v>
      </c>
      <c r="I255" s="5" t="s">
        <v>1528</v>
      </c>
      <c r="J255" s="8">
        <v>120</v>
      </c>
      <c r="K255" s="5" t="s">
        <v>1522</v>
      </c>
      <c r="L255">
        <f t="shared" si="3"/>
        <v>2</v>
      </c>
    </row>
    <row r="256" spans="1:12" hidden="1" x14ac:dyDescent="0.25">
      <c r="A256" s="5">
        <v>46783</v>
      </c>
      <c r="B256" t="s">
        <v>7959</v>
      </c>
      <c r="C256" s="5" t="s">
        <v>7960</v>
      </c>
      <c r="D256" t="s">
        <v>7961</v>
      </c>
      <c r="E256" s="5" t="s">
        <v>2734</v>
      </c>
      <c r="F256" s="6">
        <v>46072.334722222222</v>
      </c>
      <c r="G256" s="5" t="s">
        <v>7456</v>
      </c>
      <c r="H256" s="5" t="s">
        <v>7962</v>
      </c>
      <c r="I256" s="5" t="s">
        <v>1528</v>
      </c>
      <c r="J256" s="8">
        <v>340.2</v>
      </c>
      <c r="K256" s="5" t="s">
        <v>1522</v>
      </c>
      <c r="L256">
        <f t="shared" si="3"/>
        <v>2</v>
      </c>
    </row>
    <row r="257" spans="1:12" hidden="1" x14ac:dyDescent="0.25">
      <c r="A257" s="5">
        <v>46790</v>
      </c>
      <c r="B257" t="s">
        <v>7469</v>
      </c>
      <c r="C257" s="5" t="s">
        <v>7470</v>
      </c>
      <c r="D257" t="s">
        <v>7471</v>
      </c>
      <c r="E257" s="5" t="s">
        <v>5575</v>
      </c>
      <c r="F257" s="6">
        <v>46072.376388888886</v>
      </c>
      <c r="G257" s="5" t="s">
        <v>7456</v>
      </c>
      <c r="H257" s="5" t="s">
        <v>7963</v>
      </c>
      <c r="I257" s="5" t="s">
        <v>1621</v>
      </c>
      <c r="J257" s="8">
        <v>113.4</v>
      </c>
      <c r="K257" s="5" t="s">
        <v>1522</v>
      </c>
      <c r="L257">
        <f t="shared" si="3"/>
        <v>2</v>
      </c>
    </row>
    <row r="258" spans="1:12" hidden="1" x14ac:dyDescent="0.25">
      <c r="A258" s="5">
        <v>46805</v>
      </c>
      <c r="B258" t="s">
        <v>7490</v>
      </c>
      <c r="C258" s="5" t="s">
        <v>7491</v>
      </c>
      <c r="D258" t="s">
        <v>7492</v>
      </c>
      <c r="E258" s="5" t="s">
        <v>3016</v>
      </c>
      <c r="F258" s="6">
        <v>46072.593055555553</v>
      </c>
      <c r="G258" s="5" t="s">
        <v>7456</v>
      </c>
      <c r="H258" s="5" t="s">
        <v>7964</v>
      </c>
      <c r="I258" s="5" t="s">
        <v>1528</v>
      </c>
      <c r="J258" s="8">
        <v>450</v>
      </c>
      <c r="K258" s="5" t="s">
        <v>1522</v>
      </c>
      <c r="L258">
        <f t="shared" si="3"/>
        <v>2</v>
      </c>
    </row>
    <row r="259" spans="1:12" hidden="1" x14ac:dyDescent="0.25">
      <c r="A259" s="5">
        <v>46807</v>
      </c>
      <c r="B259" t="s">
        <v>7624</v>
      </c>
      <c r="C259" s="5" t="s">
        <v>7625</v>
      </c>
      <c r="D259" t="s">
        <v>7626</v>
      </c>
      <c r="E259" s="5" t="s">
        <v>7346</v>
      </c>
      <c r="F259" s="6">
        <v>46072.634027777778</v>
      </c>
      <c r="G259" s="5" t="s">
        <v>7456</v>
      </c>
      <c r="H259" s="5" t="s">
        <v>7965</v>
      </c>
      <c r="I259" s="5" t="s">
        <v>1528</v>
      </c>
      <c r="J259" s="8">
        <v>13.5</v>
      </c>
      <c r="K259" s="5" t="s">
        <v>1522</v>
      </c>
      <c r="L259">
        <f t="shared" ref="L259:L322" si="4">MONTH(F259)</f>
        <v>2</v>
      </c>
    </row>
    <row r="260" spans="1:12" hidden="1" x14ac:dyDescent="0.25">
      <c r="A260" s="5">
        <v>46809</v>
      </c>
      <c r="B260" t="s">
        <v>7469</v>
      </c>
      <c r="C260" s="5" t="s">
        <v>7470</v>
      </c>
      <c r="D260" t="s">
        <v>7471</v>
      </c>
      <c r="E260" s="5" t="s">
        <v>5575</v>
      </c>
      <c r="F260" s="6">
        <v>46072.677777777775</v>
      </c>
      <c r="G260" s="5" t="s">
        <v>7456</v>
      </c>
      <c r="H260" s="5" t="s">
        <v>7966</v>
      </c>
      <c r="I260" s="5" t="s">
        <v>1621</v>
      </c>
      <c r="J260" s="8">
        <v>113.4</v>
      </c>
      <c r="K260" s="5" t="s">
        <v>1522</v>
      </c>
      <c r="L260">
        <f t="shared" si="4"/>
        <v>2</v>
      </c>
    </row>
    <row r="261" spans="1:12" hidden="1" x14ac:dyDescent="0.25">
      <c r="A261" s="5">
        <v>46810</v>
      </c>
      <c r="B261" t="s">
        <v>7469</v>
      </c>
      <c r="C261" s="5" t="s">
        <v>7470</v>
      </c>
      <c r="D261" t="s">
        <v>7471</v>
      </c>
      <c r="E261" s="5" t="s">
        <v>3651</v>
      </c>
      <c r="F261" s="6">
        <v>46072.685416666667</v>
      </c>
      <c r="G261" s="5" t="s">
        <v>7456</v>
      </c>
      <c r="H261" s="5" t="s">
        <v>7967</v>
      </c>
      <c r="I261" s="5" t="s">
        <v>1621</v>
      </c>
      <c r="J261" s="8">
        <v>302.10000000000002</v>
      </c>
      <c r="K261" s="5" t="s">
        <v>1522</v>
      </c>
      <c r="L261">
        <f t="shared" si="4"/>
        <v>2</v>
      </c>
    </row>
    <row r="262" spans="1:12" hidden="1" x14ac:dyDescent="0.25">
      <c r="A262" s="5">
        <v>46811</v>
      </c>
      <c r="B262" t="s">
        <v>7469</v>
      </c>
      <c r="C262" s="5" t="s">
        <v>7470</v>
      </c>
      <c r="D262" t="s">
        <v>7471</v>
      </c>
      <c r="E262" s="5" t="s">
        <v>3389</v>
      </c>
      <c r="F262" s="6">
        <v>46072.686805555553</v>
      </c>
      <c r="G262" s="5" t="s">
        <v>7456</v>
      </c>
      <c r="H262" s="5" t="s">
        <v>7968</v>
      </c>
      <c r="I262" s="5" t="s">
        <v>1621</v>
      </c>
      <c r="J262" s="8">
        <v>230.4</v>
      </c>
      <c r="K262" s="5" t="s">
        <v>1522</v>
      </c>
      <c r="L262">
        <f t="shared" si="4"/>
        <v>2</v>
      </c>
    </row>
    <row r="263" spans="1:12" hidden="1" x14ac:dyDescent="0.25">
      <c r="A263" s="5">
        <v>46814</v>
      </c>
      <c r="B263" t="s">
        <v>7469</v>
      </c>
      <c r="C263" s="5" t="s">
        <v>7470</v>
      </c>
      <c r="D263" t="s">
        <v>7471</v>
      </c>
      <c r="E263" s="5" t="s">
        <v>3389</v>
      </c>
      <c r="F263" s="6">
        <v>46072.70416666667</v>
      </c>
      <c r="G263" s="5" t="s">
        <v>7456</v>
      </c>
      <c r="H263" s="5" t="s">
        <v>7969</v>
      </c>
      <c r="I263" s="5" t="s">
        <v>1621</v>
      </c>
      <c r="J263" s="8">
        <v>230.4</v>
      </c>
      <c r="K263" s="5" t="s">
        <v>1522</v>
      </c>
      <c r="L263">
        <f t="shared" si="4"/>
        <v>2</v>
      </c>
    </row>
    <row r="264" spans="1:12" hidden="1" x14ac:dyDescent="0.25">
      <c r="A264" s="5">
        <v>46820</v>
      </c>
      <c r="B264" t="s">
        <v>7515</v>
      </c>
      <c r="C264" s="5" t="s">
        <v>7516</v>
      </c>
      <c r="D264" t="s">
        <v>7517</v>
      </c>
      <c r="E264" s="5" t="s">
        <v>2602</v>
      </c>
      <c r="F264" s="6">
        <v>46073.396527777775</v>
      </c>
      <c r="G264" s="5" t="s">
        <v>7456</v>
      </c>
      <c r="H264" t="s">
        <v>7482</v>
      </c>
      <c r="I264" s="5" t="s">
        <v>1528</v>
      </c>
      <c r="J264" s="8">
        <v>462.36</v>
      </c>
      <c r="K264" s="5" t="s">
        <v>1522</v>
      </c>
      <c r="L264">
        <f t="shared" si="4"/>
        <v>2</v>
      </c>
    </row>
    <row r="265" spans="1:12" hidden="1" x14ac:dyDescent="0.25">
      <c r="A265" s="5">
        <v>46824</v>
      </c>
      <c r="B265" t="s">
        <v>7608</v>
      </c>
      <c r="C265" s="5" t="s">
        <v>7609</v>
      </c>
      <c r="D265" t="s">
        <v>7610</v>
      </c>
      <c r="E265" s="5" t="s">
        <v>2015</v>
      </c>
      <c r="F265" s="6">
        <v>46073.450694444444</v>
      </c>
      <c r="G265" s="5" t="s">
        <v>7456</v>
      </c>
      <c r="H265" t="s">
        <v>7482</v>
      </c>
      <c r="I265" s="5" t="s">
        <v>1528</v>
      </c>
      <c r="J265" s="8">
        <v>2273</v>
      </c>
      <c r="K265" s="5" t="s">
        <v>1522</v>
      </c>
      <c r="L265">
        <f t="shared" si="4"/>
        <v>2</v>
      </c>
    </row>
    <row r="266" spans="1:12" hidden="1" x14ac:dyDescent="0.25">
      <c r="A266" s="5">
        <v>46828</v>
      </c>
      <c r="B266" t="s">
        <v>7707</v>
      </c>
      <c r="C266" s="5" t="s">
        <v>7708</v>
      </c>
      <c r="D266" t="s">
        <v>7709</v>
      </c>
      <c r="E266" s="5" t="s">
        <v>1638</v>
      </c>
      <c r="F266" s="6">
        <v>46073.47152777778</v>
      </c>
      <c r="G266" s="5" t="s">
        <v>7456</v>
      </c>
      <c r="H266" s="5" t="s">
        <v>7970</v>
      </c>
      <c r="I266" s="5" t="s">
        <v>1554</v>
      </c>
      <c r="J266" s="8">
        <v>450</v>
      </c>
      <c r="K266" s="5" t="s">
        <v>1522</v>
      </c>
      <c r="L266">
        <f t="shared" si="4"/>
        <v>2</v>
      </c>
    </row>
    <row r="267" spans="1:12" hidden="1" x14ac:dyDescent="0.25">
      <c r="A267" s="5">
        <v>46832</v>
      </c>
      <c r="B267" t="s">
        <v>7638</v>
      </c>
      <c r="C267" s="5" t="s">
        <v>7870</v>
      </c>
      <c r="D267" t="s">
        <v>7640</v>
      </c>
      <c r="E267" s="5" t="s">
        <v>1835</v>
      </c>
      <c r="F267" s="6">
        <v>46073.627083333333</v>
      </c>
      <c r="G267" s="5" t="s">
        <v>7456</v>
      </c>
      <c r="H267" s="5" t="s">
        <v>7971</v>
      </c>
      <c r="I267" s="5" t="s">
        <v>1528</v>
      </c>
      <c r="J267" s="8">
        <v>1874.25</v>
      </c>
      <c r="K267" s="5" t="s">
        <v>1522</v>
      </c>
      <c r="L267">
        <f t="shared" si="4"/>
        <v>2</v>
      </c>
    </row>
    <row r="268" spans="1:12" hidden="1" x14ac:dyDescent="0.25">
      <c r="A268" s="5">
        <v>46836</v>
      </c>
      <c r="B268" t="s">
        <v>7473</v>
      </c>
      <c r="C268" s="5" t="s">
        <v>7474</v>
      </c>
      <c r="D268" t="s">
        <v>7475</v>
      </c>
      <c r="E268" s="5" t="s">
        <v>2607</v>
      </c>
      <c r="F268" s="6">
        <v>46073.652083333334</v>
      </c>
      <c r="G268" s="5" t="s">
        <v>7456</v>
      </c>
      <c r="H268" s="5" t="s">
        <v>7972</v>
      </c>
      <c r="I268" s="5" t="s">
        <v>1528</v>
      </c>
      <c r="J268" s="8">
        <v>300</v>
      </c>
      <c r="K268" s="5" t="s">
        <v>1522</v>
      </c>
      <c r="L268">
        <f t="shared" si="4"/>
        <v>2</v>
      </c>
    </row>
    <row r="269" spans="1:12" hidden="1" x14ac:dyDescent="0.25">
      <c r="A269" s="5">
        <v>46840</v>
      </c>
      <c r="B269" t="s">
        <v>7469</v>
      </c>
      <c r="C269" s="5" t="s">
        <v>7470</v>
      </c>
      <c r="D269" t="s">
        <v>7471</v>
      </c>
      <c r="E269" s="5" t="s">
        <v>5575</v>
      </c>
      <c r="F269" s="6">
        <v>46073.675000000003</v>
      </c>
      <c r="G269" s="5" t="s">
        <v>7456</v>
      </c>
      <c r="H269" s="5" t="s">
        <v>7973</v>
      </c>
      <c r="I269" s="5" t="s">
        <v>1621</v>
      </c>
      <c r="J269" s="8">
        <v>113.3</v>
      </c>
      <c r="K269" s="5" t="s">
        <v>1522</v>
      </c>
      <c r="L269">
        <f t="shared" si="4"/>
        <v>2</v>
      </c>
    </row>
    <row r="270" spans="1:12" hidden="1" x14ac:dyDescent="0.25">
      <c r="A270" s="5">
        <v>46841</v>
      </c>
      <c r="B270" t="s">
        <v>7469</v>
      </c>
      <c r="C270" s="5" t="s">
        <v>7470</v>
      </c>
      <c r="D270" t="s">
        <v>7471</v>
      </c>
      <c r="E270" s="5" t="s">
        <v>5575</v>
      </c>
      <c r="F270" s="6">
        <v>46073.677083333336</v>
      </c>
      <c r="G270" s="5" t="s">
        <v>7456</v>
      </c>
      <c r="H270" s="5" t="s">
        <v>7974</v>
      </c>
      <c r="I270" s="5" t="s">
        <v>1621</v>
      </c>
      <c r="J270" s="8">
        <v>113.4</v>
      </c>
      <c r="K270" s="5" t="s">
        <v>1522</v>
      </c>
      <c r="L270">
        <f t="shared" si="4"/>
        <v>2</v>
      </c>
    </row>
    <row r="271" spans="1:12" hidden="1" x14ac:dyDescent="0.25">
      <c r="A271" s="5">
        <v>46842</v>
      </c>
      <c r="B271" t="s">
        <v>7469</v>
      </c>
      <c r="C271" s="5" t="s">
        <v>7470</v>
      </c>
      <c r="D271" t="s">
        <v>7471</v>
      </c>
      <c r="E271" s="5" t="s">
        <v>5575</v>
      </c>
      <c r="F271" s="6">
        <v>46073.678472222222</v>
      </c>
      <c r="G271" s="5" t="s">
        <v>7456</v>
      </c>
      <c r="H271" s="5" t="s">
        <v>7975</v>
      </c>
      <c r="I271" s="5" t="s">
        <v>1621</v>
      </c>
      <c r="J271" s="8">
        <v>113.4</v>
      </c>
      <c r="K271" s="5" t="s">
        <v>1522</v>
      </c>
      <c r="L271">
        <f t="shared" si="4"/>
        <v>2</v>
      </c>
    </row>
    <row r="272" spans="1:12" hidden="1" x14ac:dyDescent="0.25">
      <c r="A272" s="5">
        <v>46843</v>
      </c>
      <c r="B272" t="s">
        <v>7469</v>
      </c>
      <c r="C272" s="5" t="s">
        <v>7470</v>
      </c>
      <c r="D272" t="s">
        <v>7471</v>
      </c>
      <c r="E272" s="5" t="s">
        <v>6467</v>
      </c>
      <c r="F272" s="6">
        <v>46073.679861111108</v>
      </c>
      <c r="G272" s="5" t="s">
        <v>7456</v>
      </c>
      <c r="H272" s="5" t="s">
        <v>7976</v>
      </c>
      <c r="I272" s="5" t="s">
        <v>1621</v>
      </c>
      <c r="J272" s="8">
        <v>22.5</v>
      </c>
      <c r="K272" s="5" t="s">
        <v>1522</v>
      </c>
      <c r="L272">
        <f t="shared" si="4"/>
        <v>2</v>
      </c>
    </row>
    <row r="273" spans="1:12" hidden="1" x14ac:dyDescent="0.25">
      <c r="A273" s="5">
        <v>46844</v>
      </c>
      <c r="B273" t="s">
        <v>7469</v>
      </c>
      <c r="C273" s="5" t="s">
        <v>7470</v>
      </c>
      <c r="D273" t="s">
        <v>7471</v>
      </c>
      <c r="E273" s="5" t="s">
        <v>3977</v>
      </c>
      <c r="F273" s="6">
        <v>46073.680555555555</v>
      </c>
      <c r="G273" s="5" t="s">
        <v>7456</v>
      </c>
      <c r="H273" s="5" t="s">
        <v>7977</v>
      </c>
      <c r="I273" s="5" t="s">
        <v>1621</v>
      </c>
      <c r="J273" s="8">
        <v>130</v>
      </c>
      <c r="K273" s="5" t="s">
        <v>1522</v>
      </c>
      <c r="L273">
        <f t="shared" si="4"/>
        <v>2</v>
      </c>
    </row>
    <row r="274" spans="1:12" hidden="1" x14ac:dyDescent="0.25">
      <c r="A274" s="5">
        <v>46845</v>
      </c>
      <c r="B274" t="s">
        <v>7469</v>
      </c>
      <c r="C274" s="5" t="s">
        <v>7470</v>
      </c>
      <c r="D274" t="s">
        <v>7471</v>
      </c>
      <c r="E274" s="5" t="s">
        <v>3651</v>
      </c>
      <c r="F274" s="6">
        <v>46073.681250000001</v>
      </c>
      <c r="G274" s="5" t="s">
        <v>7456</v>
      </c>
      <c r="H274" s="5" t="s">
        <v>7978</v>
      </c>
      <c r="I274" s="5" t="s">
        <v>1621</v>
      </c>
      <c r="J274" s="8">
        <v>57</v>
      </c>
      <c r="K274" s="5" t="s">
        <v>1522</v>
      </c>
      <c r="L274">
        <f t="shared" si="4"/>
        <v>2</v>
      </c>
    </row>
    <row r="275" spans="1:12" hidden="1" x14ac:dyDescent="0.25">
      <c r="A275" s="5">
        <v>46867</v>
      </c>
      <c r="B275" t="s">
        <v>7469</v>
      </c>
      <c r="C275" s="5" t="s">
        <v>7470</v>
      </c>
      <c r="D275" t="s">
        <v>7471</v>
      </c>
      <c r="E275" s="5" t="s">
        <v>5575</v>
      </c>
      <c r="F275" s="6">
        <v>46076.732638888891</v>
      </c>
      <c r="G275" s="5" t="s">
        <v>7456</v>
      </c>
      <c r="H275" s="5" t="s">
        <v>7979</v>
      </c>
      <c r="I275" s="5" t="s">
        <v>1621</v>
      </c>
      <c r="J275" s="8">
        <v>113.4</v>
      </c>
      <c r="K275" s="5" t="s">
        <v>1522</v>
      </c>
      <c r="L275">
        <f t="shared" si="4"/>
        <v>2</v>
      </c>
    </row>
    <row r="276" spans="1:12" hidden="1" x14ac:dyDescent="0.25">
      <c r="A276" s="5">
        <v>46868</v>
      </c>
      <c r="B276" t="s">
        <v>7469</v>
      </c>
      <c r="C276" s="5" t="s">
        <v>7470</v>
      </c>
      <c r="D276" t="s">
        <v>7471</v>
      </c>
      <c r="E276" s="5" t="s">
        <v>3389</v>
      </c>
      <c r="F276" s="6">
        <v>46076.734027777777</v>
      </c>
      <c r="G276" s="5" t="s">
        <v>7456</v>
      </c>
      <c r="H276" s="5" t="s">
        <v>7980</v>
      </c>
      <c r="I276" s="5" t="s">
        <v>1621</v>
      </c>
      <c r="J276" s="8">
        <v>114.2</v>
      </c>
      <c r="K276" s="5" t="s">
        <v>1522</v>
      </c>
      <c r="L276">
        <f t="shared" si="4"/>
        <v>2</v>
      </c>
    </row>
    <row r="277" spans="1:12" hidden="1" x14ac:dyDescent="0.25">
      <c r="A277" s="5">
        <v>46869</v>
      </c>
      <c r="B277" t="s">
        <v>7469</v>
      </c>
      <c r="C277" s="5" t="s">
        <v>7470</v>
      </c>
      <c r="D277" t="s">
        <v>7471</v>
      </c>
      <c r="E277" s="5" t="s">
        <v>3389</v>
      </c>
      <c r="F277" s="6">
        <v>46076.736805555556</v>
      </c>
      <c r="G277" s="5" t="s">
        <v>7456</v>
      </c>
      <c r="H277" s="5" t="s">
        <v>7981</v>
      </c>
      <c r="I277" s="5" t="s">
        <v>1621</v>
      </c>
      <c r="J277" s="8">
        <v>115.2</v>
      </c>
      <c r="K277" s="5" t="s">
        <v>1522</v>
      </c>
      <c r="L277">
        <f t="shared" si="4"/>
        <v>2</v>
      </c>
    </row>
    <row r="278" spans="1:12" hidden="1" x14ac:dyDescent="0.25">
      <c r="A278" s="5">
        <v>46872</v>
      </c>
      <c r="B278" t="s">
        <v>7982</v>
      </c>
      <c r="C278" s="5" t="s">
        <v>7983</v>
      </c>
      <c r="D278" t="s">
        <v>7984</v>
      </c>
      <c r="E278" s="5" t="s">
        <v>6789</v>
      </c>
      <c r="F278" s="6">
        <v>46077.429861111108</v>
      </c>
      <c r="G278" s="5" t="s">
        <v>7456</v>
      </c>
      <c r="H278" s="5" t="s">
        <v>7985</v>
      </c>
      <c r="I278" s="5" t="s">
        <v>1528</v>
      </c>
      <c r="J278" s="8">
        <v>45</v>
      </c>
      <c r="K278" s="5" t="s">
        <v>1522</v>
      </c>
      <c r="L278">
        <f t="shared" si="4"/>
        <v>2</v>
      </c>
    </row>
    <row r="279" spans="1:12" hidden="1" x14ac:dyDescent="0.25">
      <c r="A279" s="5">
        <v>46883</v>
      </c>
      <c r="B279" t="s">
        <v>7986</v>
      </c>
      <c r="C279" s="5" t="s">
        <v>7746</v>
      </c>
      <c r="D279" t="s">
        <v>7987</v>
      </c>
      <c r="E279" s="5" t="s">
        <v>1548</v>
      </c>
      <c r="F279" s="6">
        <v>46077.637499999997</v>
      </c>
      <c r="G279" s="5" t="s">
        <v>7456</v>
      </c>
      <c r="H279" s="5" t="s">
        <v>7988</v>
      </c>
      <c r="I279" s="5" t="s">
        <v>1528</v>
      </c>
      <c r="J279" s="8">
        <v>80</v>
      </c>
      <c r="K279" s="5" t="s">
        <v>1522</v>
      </c>
      <c r="L279">
        <f t="shared" si="4"/>
        <v>2</v>
      </c>
    </row>
    <row r="280" spans="1:12" hidden="1" x14ac:dyDescent="0.25">
      <c r="A280" s="5">
        <v>46884</v>
      </c>
      <c r="B280" t="s">
        <v>7469</v>
      </c>
      <c r="C280" s="5" t="s">
        <v>7470</v>
      </c>
      <c r="D280" t="s">
        <v>7471</v>
      </c>
      <c r="E280" s="5" t="s">
        <v>3389</v>
      </c>
      <c r="F280" s="6">
        <v>46077.637499999997</v>
      </c>
      <c r="G280" s="5" t="s">
        <v>7456</v>
      </c>
      <c r="H280" s="5" t="s">
        <v>7989</v>
      </c>
      <c r="I280" s="5" t="s">
        <v>1621</v>
      </c>
      <c r="J280" s="8">
        <v>115.2</v>
      </c>
      <c r="K280" s="5" t="s">
        <v>1522</v>
      </c>
      <c r="L280">
        <f t="shared" si="4"/>
        <v>2</v>
      </c>
    </row>
    <row r="281" spans="1:12" hidden="1" x14ac:dyDescent="0.25">
      <c r="A281" s="5">
        <v>46885</v>
      </c>
      <c r="B281" t="s">
        <v>7990</v>
      </c>
      <c r="C281" s="5" t="s">
        <v>7991</v>
      </c>
      <c r="D281" t="s">
        <v>7992</v>
      </c>
      <c r="E281" s="5" t="s">
        <v>2142</v>
      </c>
      <c r="F281" s="6">
        <v>46077.645138888889</v>
      </c>
      <c r="G281" s="5" t="s">
        <v>7456</v>
      </c>
      <c r="H281" s="5" t="s">
        <v>7993</v>
      </c>
      <c r="I281" s="5" t="s">
        <v>1528</v>
      </c>
      <c r="J281" s="8">
        <v>1000</v>
      </c>
      <c r="K281" s="5" t="s">
        <v>1522</v>
      </c>
      <c r="L281">
        <f t="shared" si="4"/>
        <v>2</v>
      </c>
    </row>
    <row r="282" spans="1:12" hidden="1" x14ac:dyDescent="0.25">
      <c r="A282" s="5">
        <v>46889</v>
      </c>
      <c r="B282" t="s">
        <v>7994</v>
      </c>
      <c r="C282" s="5" t="s">
        <v>7503</v>
      </c>
      <c r="D282" t="s">
        <v>7995</v>
      </c>
      <c r="E282" s="5" t="s">
        <v>2538</v>
      </c>
      <c r="F282" s="6">
        <v>46077.65625</v>
      </c>
      <c r="G282" s="5" t="s">
        <v>7456</v>
      </c>
      <c r="H282" s="5" t="s">
        <v>7996</v>
      </c>
      <c r="I282" s="5" t="s">
        <v>1528</v>
      </c>
      <c r="J282" s="8">
        <v>652</v>
      </c>
      <c r="K282" s="5" t="s">
        <v>1522</v>
      </c>
      <c r="L282">
        <f t="shared" si="4"/>
        <v>2</v>
      </c>
    </row>
    <row r="283" spans="1:12" hidden="1" x14ac:dyDescent="0.25">
      <c r="A283" s="5">
        <v>46896</v>
      </c>
      <c r="B283" t="s">
        <v>7997</v>
      </c>
      <c r="C283" s="5" t="s">
        <v>7998</v>
      </c>
      <c r="D283" t="s">
        <v>7999</v>
      </c>
      <c r="E283" s="5" t="s">
        <v>7603</v>
      </c>
      <c r="F283" s="6">
        <v>46077.676388888889</v>
      </c>
      <c r="G283" s="5" t="s">
        <v>7672</v>
      </c>
      <c r="H283" t="s">
        <v>7482</v>
      </c>
      <c r="I283" s="5" t="s">
        <v>1528</v>
      </c>
      <c r="J283" s="8">
        <v>940</v>
      </c>
      <c r="K283" s="5" t="s">
        <v>1522</v>
      </c>
      <c r="L283">
        <f t="shared" si="4"/>
        <v>2</v>
      </c>
    </row>
    <row r="284" spans="1:12" hidden="1" x14ac:dyDescent="0.25">
      <c r="A284" s="5">
        <v>46900</v>
      </c>
      <c r="B284" t="s">
        <v>8000</v>
      </c>
      <c r="C284" s="5" t="s">
        <v>8001</v>
      </c>
      <c r="D284" t="s">
        <v>8002</v>
      </c>
      <c r="E284" s="5" t="s">
        <v>1548</v>
      </c>
      <c r="F284" s="6">
        <v>46077.697222222225</v>
      </c>
      <c r="G284" s="5" t="s">
        <v>7672</v>
      </c>
      <c r="H284" t="s">
        <v>7482</v>
      </c>
      <c r="I284" s="5" t="s">
        <v>1528</v>
      </c>
      <c r="J284" s="8">
        <v>440</v>
      </c>
      <c r="K284" s="5" t="s">
        <v>1522</v>
      </c>
      <c r="L284">
        <f t="shared" si="4"/>
        <v>2</v>
      </c>
    </row>
    <row r="285" spans="1:12" hidden="1" x14ac:dyDescent="0.25">
      <c r="A285" s="5">
        <v>46907</v>
      </c>
      <c r="B285" t="s">
        <v>7703</v>
      </c>
      <c r="C285" s="5" t="s">
        <v>7503</v>
      </c>
      <c r="D285" t="s">
        <v>7705</v>
      </c>
      <c r="E285" s="5" t="s">
        <v>6745</v>
      </c>
      <c r="F285" s="6">
        <v>46077.738194444442</v>
      </c>
      <c r="G285" s="5" t="s">
        <v>7456</v>
      </c>
      <c r="H285" s="5" t="s">
        <v>8003</v>
      </c>
      <c r="I285" s="5" t="s">
        <v>1528</v>
      </c>
      <c r="J285" s="8">
        <v>49.7</v>
      </c>
      <c r="K285" s="5" t="s">
        <v>1522</v>
      </c>
      <c r="L285">
        <f t="shared" si="4"/>
        <v>2</v>
      </c>
    </row>
    <row r="286" spans="1:12" hidden="1" x14ac:dyDescent="0.25">
      <c r="A286" s="5">
        <v>46908</v>
      </c>
      <c r="B286" t="s">
        <v>7624</v>
      </c>
      <c r="C286" s="5" t="s">
        <v>7625</v>
      </c>
      <c r="D286" t="s">
        <v>7626</v>
      </c>
      <c r="E286" s="5" t="s">
        <v>8004</v>
      </c>
      <c r="F286" s="6">
        <v>46085.40347222222</v>
      </c>
      <c r="G286" s="5" t="s">
        <v>7456</v>
      </c>
      <c r="H286" t="s">
        <v>7482</v>
      </c>
      <c r="I286" s="5" t="s">
        <v>1528</v>
      </c>
      <c r="J286" s="8">
        <v>1875</v>
      </c>
      <c r="K286" s="5" t="s">
        <v>1522</v>
      </c>
      <c r="L286">
        <f t="shared" si="4"/>
        <v>3</v>
      </c>
    </row>
    <row r="287" spans="1:12" hidden="1" x14ac:dyDescent="0.25">
      <c r="A287" s="5">
        <v>46913</v>
      </c>
      <c r="B287" t="s">
        <v>7559</v>
      </c>
      <c r="C287" s="5" t="s">
        <v>7560</v>
      </c>
      <c r="D287" t="s">
        <v>7561</v>
      </c>
      <c r="E287" s="5" t="s">
        <v>1525</v>
      </c>
      <c r="F287" s="6">
        <v>46078.396527777775</v>
      </c>
      <c r="G287" s="5" t="s">
        <v>7456</v>
      </c>
      <c r="H287" s="5" t="s">
        <v>8005</v>
      </c>
      <c r="I287" s="5" t="s">
        <v>1528</v>
      </c>
      <c r="J287" s="8">
        <v>35534.400000000001</v>
      </c>
      <c r="K287" s="5" t="s">
        <v>1522</v>
      </c>
      <c r="L287">
        <f t="shared" si="4"/>
        <v>2</v>
      </c>
    </row>
    <row r="288" spans="1:12" hidden="1" x14ac:dyDescent="0.25">
      <c r="A288" s="5">
        <v>46917</v>
      </c>
      <c r="B288" t="s">
        <v>7469</v>
      </c>
      <c r="C288" s="5" t="s">
        <v>7470</v>
      </c>
      <c r="D288" t="s">
        <v>7471</v>
      </c>
      <c r="E288" s="5" t="s">
        <v>5575</v>
      </c>
      <c r="F288" s="6">
        <v>46078.432638888888</v>
      </c>
      <c r="G288" s="5" t="s">
        <v>7456</v>
      </c>
      <c r="H288" s="5" t="s">
        <v>8006</v>
      </c>
      <c r="I288" s="5" t="s">
        <v>1621</v>
      </c>
      <c r="J288" s="8">
        <v>4.2</v>
      </c>
      <c r="K288" s="5" t="s">
        <v>1522</v>
      </c>
      <c r="L288">
        <f t="shared" si="4"/>
        <v>2</v>
      </c>
    </row>
    <row r="289" spans="1:12" hidden="1" x14ac:dyDescent="0.25">
      <c r="A289" s="5">
        <v>46927</v>
      </c>
      <c r="B289" t="s">
        <v>7453</v>
      </c>
      <c r="C289" s="5" t="s">
        <v>7454</v>
      </c>
      <c r="D289" t="s">
        <v>7455</v>
      </c>
      <c r="E289" s="5" t="s">
        <v>1548</v>
      </c>
      <c r="F289" s="6">
        <v>46078.630555555559</v>
      </c>
      <c r="G289" s="5" t="s">
        <v>7672</v>
      </c>
      <c r="H289" t="s">
        <v>7482</v>
      </c>
      <c r="I289" s="5" t="s">
        <v>1528</v>
      </c>
      <c r="J289" s="8">
        <v>90</v>
      </c>
      <c r="K289" s="5" t="s">
        <v>1522</v>
      </c>
      <c r="L289">
        <f t="shared" si="4"/>
        <v>2</v>
      </c>
    </row>
    <row r="290" spans="1:12" hidden="1" x14ac:dyDescent="0.25">
      <c r="A290" s="5">
        <v>46931</v>
      </c>
      <c r="B290" t="s">
        <v>7469</v>
      </c>
      <c r="C290" s="5" t="s">
        <v>7470</v>
      </c>
      <c r="D290" t="s">
        <v>7471</v>
      </c>
      <c r="E290" s="5" t="s">
        <v>3651</v>
      </c>
      <c r="F290" s="6">
        <v>46078.70208333333</v>
      </c>
      <c r="G290" s="5" t="s">
        <v>7456</v>
      </c>
      <c r="H290" s="5" t="s">
        <v>8007</v>
      </c>
      <c r="I290" s="5" t="s">
        <v>1621</v>
      </c>
      <c r="J290" s="8">
        <v>302.10000000000002</v>
      </c>
      <c r="K290" s="5" t="s">
        <v>1522</v>
      </c>
      <c r="L290">
        <f t="shared" si="4"/>
        <v>2</v>
      </c>
    </row>
    <row r="291" spans="1:12" hidden="1" x14ac:dyDescent="0.25">
      <c r="A291" s="5">
        <v>46932</v>
      </c>
      <c r="B291" t="s">
        <v>7816</v>
      </c>
      <c r="C291" s="5" t="s">
        <v>7800</v>
      </c>
      <c r="D291" t="s">
        <v>7818</v>
      </c>
      <c r="E291" s="5" t="s">
        <v>3868</v>
      </c>
      <c r="F291" s="6">
        <v>46078.707638888889</v>
      </c>
      <c r="G291" s="5" t="s">
        <v>7456</v>
      </c>
      <c r="H291" s="5" t="s">
        <v>8008</v>
      </c>
      <c r="I291" s="5" t="s">
        <v>1528</v>
      </c>
      <c r="J291" s="8">
        <v>275</v>
      </c>
      <c r="K291" s="5" t="s">
        <v>1522</v>
      </c>
      <c r="L291">
        <f t="shared" si="4"/>
        <v>2</v>
      </c>
    </row>
    <row r="292" spans="1:12" hidden="1" x14ac:dyDescent="0.25">
      <c r="A292" s="5">
        <v>46940</v>
      </c>
      <c r="B292" t="s">
        <v>8009</v>
      </c>
      <c r="C292" s="5" t="s">
        <v>7516</v>
      </c>
      <c r="D292" t="s">
        <v>8010</v>
      </c>
      <c r="E292" s="5" t="s">
        <v>6486</v>
      </c>
      <c r="F292" s="6">
        <v>46079.353472222225</v>
      </c>
      <c r="G292" s="5" t="s">
        <v>7456</v>
      </c>
      <c r="H292" s="5" t="s">
        <v>8011</v>
      </c>
      <c r="I292" s="5" t="s">
        <v>1528</v>
      </c>
      <c r="J292" s="8">
        <v>63.5</v>
      </c>
      <c r="K292" s="5" t="s">
        <v>1522</v>
      </c>
      <c r="L292">
        <f t="shared" si="4"/>
        <v>2</v>
      </c>
    </row>
    <row r="293" spans="1:12" hidden="1" x14ac:dyDescent="0.25">
      <c r="A293" s="5">
        <v>46942</v>
      </c>
      <c r="B293" t="s">
        <v>8012</v>
      </c>
      <c r="C293" s="5" t="s">
        <v>8013</v>
      </c>
      <c r="D293" t="s">
        <v>8014</v>
      </c>
      <c r="E293" s="5" t="s">
        <v>8015</v>
      </c>
      <c r="F293" s="6">
        <v>46079.370833333334</v>
      </c>
      <c r="G293" s="5" t="s">
        <v>7456</v>
      </c>
      <c r="H293" t="s">
        <v>7482</v>
      </c>
      <c r="I293" s="5" t="s">
        <v>1528</v>
      </c>
      <c r="J293" s="8">
        <v>5455</v>
      </c>
      <c r="K293" s="5" t="s">
        <v>1522</v>
      </c>
      <c r="L293">
        <f t="shared" si="4"/>
        <v>2</v>
      </c>
    </row>
    <row r="294" spans="1:12" hidden="1" x14ac:dyDescent="0.25">
      <c r="A294" s="5">
        <v>46944</v>
      </c>
      <c r="B294" t="s">
        <v>8016</v>
      </c>
      <c r="C294" s="5" t="s">
        <v>8017</v>
      </c>
      <c r="D294" t="s">
        <v>8018</v>
      </c>
      <c r="E294" s="5" t="s">
        <v>1548</v>
      </c>
      <c r="F294" s="6">
        <v>46079.375694444447</v>
      </c>
      <c r="G294" s="5" t="s">
        <v>7672</v>
      </c>
      <c r="H294" t="s">
        <v>7482</v>
      </c>
      <c r="I294" s="5" t="s">
        <v>1528</v>
      </c>
      <c r="J294" s="8">
        <v>58</v>
      </c>
      <c r="K294" s="5" t="s">
        <v>1522</v>
      </c>
      <c r="L294">
        <f t="shared" si="4"/>
        <v>2</v>
      </c>
    </row>
    <row r="295" spans="1:12" hidden="1" x14ac:dyDescent="0.25">
      <c r="A295" s="5">
        <v>46946</v>
      </c>
      <c r="B295" t="s">
        <v>7453</v>
      </c>
      <c r="C295" s="5" t="s">
        <v>7454</v>
      </c>
      <c r="D295" t="s">
        <v>7455</v>
      </c>
      <c r="E295" s="5" t="s">
        <v>1548</v>
      </c>
      <c r="F295" s="6">
        <v>46079.384027777778</v>
      </c>
      <c r="G295" s="5" t="s">
        <v>7672</v>
      </c>
      <c r="H295" t="s">
        <v>7482</v>
      </c>
      <c r="I295" s="5" t="s">
        <v>1528</v>
      </c>
      <c r="J295" s="8">
        <v>226</v>
      </c>
      <c r="K295" s="5" t="s">
        <v>1522</v>
      </c>
      <c r="L295">
        <f t="shared" si="4"/>
        <v>2</v>
      </c>
    </row>
    <row r="296" spans="1:12" hidden="1" x14ac:dyDescent="0.25">
      <c r="A296" s="5">
        <v>46947</v>
      </c>
      <c r="B296" t="s">
        <v>8019</v>
      </c>
      <c r="C296" s="5" t="s">
        <v>8020</v>
      </c>
      <c r="D296" t="s">
        <v>8021</v>
      </c>
      <c r="E296" s="5" t="s">
        <v>8022</v>
      </c>
      <c r="F296" s="6">
        <v>46079.38958333333</v>
      </c>
      <c r="G296" s="5" t="s">
        <v>7595</v>
      </c>
      <c r="H296" t="s">
        <v>7482</v>
      </c>
      <c r="I296" s="5" t="s">
        <v>1528</v>
      </c>
      <c r="J296" s="8">
        <v>250</v>
      </c>
      <c r="K296" s="5" t="s">
        <v>1522</v>
      </c>
      <c r="L296">
        <f t="shared" si="4"/>
        <v>2</v>
      </c>
    </row>
    <row r="297" spans="1:12" hidden="1" x14ac:dyDescent="0.25">
      <c r="A297" s="5">
        <v>46948</v>
      </c>
      <c r="B297" t="s">
        <v>7816</v>
      </c>
      <c r="C297" s="5" t="s">
        <v>8023</v>
      </c>
      <c r="D297" t="s">
        <v>7818</v>
      </c>
      <c r="E297" s="5" t="s">
        <v>2680</v>
      </c>
      <c r="F297" s="6">
        <v>46079.396527777775</v>
      </c>
      <c r="G297" s="5" t="s">
        <v>7456</v>
      </c>
      <c r="H297" s="5" t="s">
        <v>8024</v>
      </c>
      <c r="I297" s="5" t="s">
        <v>1528</v>
      </c>
      <c r="J297" s="8">
        <v>570.4</v>
      </c>
      <c r="K297" s="5" t="s">
        <v>1522</v>
      </c>
      <c r="L297">
        <f t="shared" si="4"/>
        <v>2</v>
      </c>
    </row>
    <row r="298" spans="1:12" hidden="1" x14ac:dyDescent="0.25">
      <c r="A298" s="5">
        <v>46950</v>
      </c>
      <c r="B298" t="s">
        <v>8025</v>
      </c>
      <c r="C298" s="5" t="s">
        <v>8026</v>
      </c>
      <c r="D298" t="s">
        <v>7760</v>
      </c>
      <c r="E298" s="5" t="s">
        <v>2460</v>
      </c>
      <c r="F298" s="6">
        <v>46079.418749999997</v>
      </c>
      <c r="G298" s="5" t="s">
        <v>7456</v>
      </c>
      <c r="H298" s="5" t="s">
        <v>8027</v>
      </c>
      <c r="I298" s="5" t="s">
        <v>1528</v>
      </c>
      <c r="J298" s="8">
        <v>700</v>
      </c>
      <c r="K298" s="5" t="s">
        <v>1522</v>
      </c>
      <c r="L298">
        <f t="shared" si="4"/>
        <v>2</v>
      </c>
    </row>
    <row r="299" spans="1:12" hidden="1" x14ac:dyDescent="0.25">
      <c r="A299" s="5">
        <v>46956</v>
      </c>
      <c r="B299" t="s">
        <v>8028</v>
      </c>
      <c r="C299" s="5" t="s">
        <v>8029</v>
      </c>
      <c r="D299" t="s">
        <v>8030</v>
      </c>
      <c r="E299" s="5" t="s">
        <v>8031</v>
      </c>
      <c r="F299" s="6">
        <v>46079.493055555555</v>
      </c>
      <c r="G299" s="5" t="s">
        <v>7672</v>
      </c>
      <c r="H299" t="s">
        <v>7482</v>
      </c>
      <c r="I299" s="5" t="s">
        <v>1528</v>
      </c>
      <c r="J299" s="8">
        <v>320</v>
      </c>
      <c r="K299" s="5" t="s">
        <v>1522</v>
      </c>
      <c r="L299">
        <f t="shared" si="4"/>
        <v>2</v>
      </c>
    </row>
    <row r="300" spans="1:12" hidden="1" x14ac:dyDescent="0.25">
      <c r="A300" s="5">
        <v>46965</v>
      </c>
      <c r="B300" t="s">
        <v>7469</v>
      </c>
      <c r="C300" s="5" t="s">
        <v>7470</v>
      </c>
      <c r="D300" t="s">
        <v>7471</v>
      </c>
      <c r="E300" s="5" t="s">
        <v>5575</v>
      </c>
      <c r="F300" s="6">
        <v>46079.65</v>
      </c>
      <c r="G300" s="5" t="s">
        <v>7456</v>
      </c>
      <c r="H300" s="5" t="s">
        <v>8032</v>
      </c>
      <c r="I300" s="5" t="s">
        <v>1621</v>
      </c>
      <c r="J300" s="8">
        <v>113.4</v>
      </c>
      <c r="K300" s="5" t="s">
        <v>1522</v>
      </c>
      <c r="L300">
        <f t="shared" si="4"/>
        <v>2</v>
      </c>
    </row>
    <row r="301" spans="1:12" hidden="1" x14ac:dyDescent="0.25">
      <c r="A301" s="5">
        <v>46966</v>
      </c>
      <c r="B301" t="s">
        <v>7469</v>
      </c>
      <c r="C301" s="5" t="s">
        <v>7470</v>
      </c>
      <c r="D301" t="s">
        <v>7471</v>
      </c>
      <c r="E301" s="5" t="s">
        <v>3389</v>
      </c>
      <c r="F301" s="6">
        <v>46079.652083333334</v>
      </c>
      <c r="G301" s="5" t="s">
        <v>7456</v>
      </c>
      <c r="H301" s="5" t="s">
        <v>8033</v>
      </c>
      <c r="I301" s="5" t="s">
        <v>1621</v>
      </c>
      <c r="J301" s="8">
        <v>172.8</v>
      </c>
      <c r="K301" s="5" t="s">
        <v>1522</v>
      </c>
      <c r="L301">
        <f t="shared" si="4"/>
        <v>2</v>
      </c>
    </row>
    <row r="302" spans="1:12" hidden="1" x14ac:dyDescent="0.25">
      <c r="A302" s="5">
        <v>46968</v>
      </c>
      <c r="B302" t="s">
        <v>7469</v>
      </c>
      <c r="C302" s="5" t="s">
        <v>7470</v>
      </c>
      <c r="D302" t="s">
        <v>7471</v>
      </c>
      <c r="E302" s="5" t="s">
        <v>5986</v>
      </c>
      <c r="F302" s="6">
        <v>46079.65347222222</v>
      </c>
      <c r="G302" s="5" t="s">
        <v>7456</v>
      </c>
      <c r="H302" s="5" t="s">
        <v>8034</v>
      </c>
      <c r="I302" s="5" t="s">
        <v>1621</v>
      </c>
      <c r="J302" s="8">
        <v>6</v>
      </c>
      <c r="K302" s="5" t="s">
        <v>1522</v>
      </c>
      <c r="L302">
        <f t="shared" si="4"/>
        <v>2</v>
      </c>
    </row>
    <row r="303" spans="1:12" hidden="1" x14ac:dyDescent="0.25">
      <c r="A303" s="5">
        <v>46970</v>
      </c>
      <c r="B303" t="s">
        <v>7469</v>
      </c>
      <c r="C303" s="5" t="s">
        <v>7470</v>
      </c>
      <c r="D303" t="s">
        <v>7471</v>
      </c>
      <c r="E303" s="5" t="s">
        <v>6467</v>
      </c>
      <c r="F303" s="6">
        <v>46079.655555555553</v>
      </c>
      <c r="G303" s="5" t="s">
        <v>7456</v>
      </c>
      <c r="H303" s="5" t="s">
        <v>8035</v>
      </c>
      <c r="I303" s="5" t="s">
        <v>1621</v>
      </c>
      <c r="J303" s="8">
        <v>10.8</v>
      </c>
      <c r="K303" s="5" t="s">
        <v>1522</v>
      </c>
      <c r="L303">
        <f t="shared" si="4"/>
        <v>2</v>
      </c>
    </row>
    <row r="304" spans="1:12" hidden="1" x14ac:dyDescent="0.25">
      <c r="A304" s="5">
        <v>46971</v>
      </c>
      <c r="B304" t="s">
        <v>7469</v>
      </c>
      <c r="C304" s="5" t="s">
        <v>7470</v>
      </c>
      <c r="D304" t="s">
        <v>7471</v>
      </c>
      <c r="E304" s="5" t="s">
        <v>3651</v>
      </c>
      <c r="F304" s="6">
        <v>46079.658333333333</v>
      </c>
      <c r="G304" s="5" t="s">
        <v>7456</v>
      </c>
      <c r="H304" s="5" t="s">
        <v>8036</v>
      </c>
      <c r="I304" s="5" t="s">
        <v>1621</v>
      </c>
      <c r="J304" s="8">
        <v>302.10000000000002</v>
      </c>
      <c r="K304" s="5" t="s">
        <v>1522</v>
      </c>
      <c r="L304">
        <f t="shared" si="4"/>
        <v>2</v>
      </c>
    </row>
    <row r="305" spans="1:12" hidden="1" x14ac:dyDescent="0.25">
      <c r="A305" s="5">
        <v>46975</v>
      </c>
      <c r="B305" t="s">
        <v>8037</v>
      </c>
      <c r="C305" s="5" t="s">
        <v>7746</v>
      </c>
      <c r="D305" t="s">
        <v>8038</v>
      </c>
      <c r="E305" s="5" t="s">
        <v>1548</v>
      </c>
      <c r="F305" s="6">
        <v>46079.677777777775</v>
      </c>
      <c r="G305" s="5" t="s">
        <v>7672</v>
      </c>
      <c r="H305" t="s">
        <v>7482</v>
      </c>
      <c r="I305" s="5" t="s">
        <v>1528</v>
      </c>
      <c r="J305" s="8">
        <v>2500</v>
      </c>
      <c r="K305" s="5" t="s">
        <v>1522</v>
      </c>
      <c r="L305">
        <f t="shared" si="4"/>
        <v>2</v>
      </c>
    </row>
    <row r="306" spans="1:12" hidden="1" x14ac:dyDescent="0.25">
      <c r="A306" s="5">
        <v>46977</v>
      </c>
      <c r="B306" t="s">
        <v>8039</v>
      </c>
      <c r="C306" s="5" t="s">
        <v>1164</v>
      </c>
      <c r="D306" t="s">
        <v>8040</v>
      </c>
      <c r="E306" s="5" t="s">
        <v>1548</v>
      </c>
      <c r="F306" s="6">
        <v>46079.697222222225</v>
      </c>
      <c r="G306" s="5" t="s">
        <v>7456</v>
      </c>
      <c r="H306" s="5" t="s">
        <v>8041</v>
      </c>
      <c r="I306" s="5" t="s">
        <v>1528</v>
      </c>
      <c r="J306" s="8">
        <v>35</v>
      </c>
      <c r="K306" s="5" t="s">
        <v>1522</v>
      </c>
      <c r="L306">
        <f t="shared" si="4"/>
        <v>2</v>
      </c>
    </row>
    <row r="307" spans="1:12" hidden="1" x14ac:dyDescent="0.25">
      <c r="A307" s="5">
        <v>46979</v>
      </c>
      <c r="B307" t="s">
        <v>8042</v>
      </c>
      <c r="C307" s="5" t="s">
        <v>8043</v>
      </c>
      <c r="D307" t="s">
        <v>8044</v>
      </c>
      <c r="E307" s="5" t="s">
        <v>1548</v>
      </c>
      <c r="F307" s="6">
        <v>46079.712500000001</v>
      </c>
      <c r="G307" s="5" t="s">
        <v>7456</v>
      </c>
      <c r="H307" s="5" t="s">
        <v>8045</v>
      </c>
      <c r="I307" s="5" t="s">
        <v>1528</v>
      </c>
      <c r="J307" s="8">
        <v>475.5</v>
      </c>
      <c r="K307" s="5" t="s">
        <v>1522</v>
      </c>
      <c r="L307">
        <f t="shared" si="4"/>
        <v>2</v>
      </c>
    </row>
    <row r="308" spans="1:12" hidden="1" x14ac:dyDescent="0.25">
      <c r="A308" s="5">
        <v>46980</v>
      </c>
      <c r="B308" t="s">
        <v>8046</v>
      </c>
      <c r="C308" s="5" t="s">
        <v>7516</v>
      </c>
      <c r="D308" t="s">
        <v>8047</v>
      </c>
      <c r="E308" s="5" t="s">
        <v>8048</v>
      </c>
      <c r="F308" s="6">
        <v>46084.652777777781</v>
      </c>
      <c r="G308" s="5" t="s">
        <v>7672</v>
      </c>
      <c r="H308" t="s">
        <v>7482</v>
      </c>
      <c r="I308" s="5" t="s">
        <v>1528</v>
      </c>
      <c r="J308" s="8">
        <v>11939.3</v>
      </c>
      <c r="K308" s="5" t="s">
        <v>1522</v>
      </c>
      <c r="L308">
        <f t="shared" si="4"/>
        <v>3</v>
      </c>
    </row>
    <row r="309" spans="1:12" hidden="1" x14ac:dyDescent="0.25">
      <c r="A309" s="5">
        <v>46981</v>
      </c>
      <c r="B309" t="s">
        <v>7469</v>
      </c>
      <c r="C309" s="5" t="s">
        <v>7470</v>
      </c>
      <c r="D309" t="s">
        <v>7471</v>
      </c>
      <c r="E309" s="5" t="s">
        <v>5575</v>
      </c>
      <c r="F309" s="6">
        <v>46079.718055555553</v>
      </c>
      <c r="G309" s="5" t="s">
        <v>7456</v>
      </c>
      <c r="H309" s="5" t="s">
        <v>8049</v>
      </c>
      <c r="I309" s="5" t="s">
        <v>1621</v>
      </c>
      <c r="J309" s="8">
        <v>30</v>
      </c>
      <c r="K309" s="5" t="s">
        <v>1522</v>
      </c>
      <c r="L309">
        <f t="shared" si="4"/>
        <v>2</v>
      </c>
    </row>
    <row r="310" spans="1:12" hidden="1" x14ac:dyDescent="0.25">
      <c r="A310" s="5">
        <v>46984</v>
      </c>
      <c r="B310" t="s">
        <v>7469</v>
      </c>
      <c r="C310" s="5" t="s">
        <v>7470</v>
      </c>
      <c r="D310" t="s">
        <v>7471</v>
      </c>
      <c r="E310" s="5" t="s">
        <v>6467</v>
      </c>
      <c r="F310" s="6">
        <v>46080.43472222222</v>
      </c>
      <c r="G310" s="5" t="s">
        <v>7456</v>
      </c>
      <c r="H310" s="5" t="s">
        <v>8050</v>
      </c>
      <c r="I310" s="5" t="s">
        <v>1621</v>
      </c>
      <c r="J310" s="8">
        <v>14.4</v>
      </c>
      <c r="K310" s="5" t="s">
        <v>1522</v>
      </c>
      <c r="L310">
        <f t="shared" si="4"/>
        <v>2</v>
      </c>
    </row>
    <row r="311" spans="1:12" hidden="1" x14ac:dyDescent="0.25">
      <c r="A311" s="5">
        <v>46989</v>
      </c>
      <c r="B311" t="s">
        <v>8051</v>
      </c>
      <c r="C311" s="5" t="s">
        <v>8052</v>
      </c>
      <c r="D311" t="s">
        <v>8053</v>
      </c>
      <c r="E311" s="5" t="s">
        <v>1548</v>
      </c>
      <c r="F311" s="6">
        <v>46080.543749999997</v>
      </c>
      <c r="G311" s="5" t="s">
        <v>7456</v>
      </c>
      <c r="H311" s="5" t="s">
        <v>8054</v>
      </c>
      <c r="I311" s="5" t="s">
        <v>1528</v>
      </c>
      <c r="J311" s="8">
        <v>613</v>
      </c>
      <c r="K311" s="5" t="s">
        <v>1522</v>
      </c>
      <c r="L311">
        <f t="shared" si="4"/>
        <v>2</v>
      </c>
    </row>
    <row r="312" spans="1:12" hidden="1" x14ac:dyDescent="0.25">
      <c r="A312" s="5">
        <v>46990</v>
      </c>
      <c r="B312" t="s">
        <v>7683</v>
      </c>
      <c r="C312" s="5" t="s">
        <v>7516</v>
      </c>
      <c r="D312" t="s">
        <v>7684</v>
      </c>
      <c r="E312" s="5" t="s">
        <v>1548</v>
      </c>
      <c r="F312" s="6">
        <v>46080.563194444447</v>
      </c>
      <c r="G312" s="5" t="s">
        <v>7456</v>
      </c>
      <c r="H312" s="5" t="s">
        <v>8055</v>
      </c>
      <c r="I312" s="5" t="s">
        <v>1528</v>
      </c>
      <c r="J312" s="8">
        <v>150</v>
      </c>
      <c r="K312" s="5" t="s">
        <v>1522</v>
      </c>
      <c r="L312">
        <f t="shared" si="4"/>
        <v>2</v>
      </c>
    </row>
    <row r="313" spans="1:12" hidden="1" x14ac:dyDescent="0.25">
      <c r="A313" s="5">
        <v>46992</v>
      </c>
      <c r="B313" t="s">
        <v>8056</v>
      </c>
      <c r="C313" s="5" t="s">
        <v>8057</v>
      </c>
      <c r="D313" t="s">
        <v>8058</v>
      </c>
      <c r="E313" s="5" t="s">
        <v>1548</v>
      </c>
      <c r="F313" s="6">
        <v>46080.566666666666</v>
      </c>
      <c r="G313" s="5" t="s">
        <v>7456</v>
      </c>
      <c r="H313" s="5" t="s">
        <v>8059</v>
      </c>
      <c r="I313" s="5" t="s">
        <v>1528</v>
      </c>
      <c r="J313" s="8">
        <v>100</v>
      </c>
      <c r="K313" s="5" t="s">
        <v>1522</v>
      </c>
      <c r="L313">
        <f t="shared" si="4"/>
        <v>2</v>
      </c>
    </row>
    <row r="314" spans="1:12" hidden="1" x14ac:dyDescent="0.25">
      <c r="A314" s="5">
        <v>46996</v>
      </c>
      <c r="B314" t="s">
        <v>7483</v>
      </c>
      <c r="C314" s="5" t="s">
        <v>7484</v>
      </c>
      <c r="D314" t="s">
        <v>7485</v>
      </c>
      <c r="E314" s="5" t="s">
        <v>7350</v>
      </c>
      <c r="F314" s="6">
        <v>46083.365277777775</v>
      </c>
      <c r="G314" s="5" t="s">
        <v>7456</v>
      </c>
      <c r="H314" s="5" t="s">
        <v>8060</v>
      </c>
      <c r="I314" s="5" t="s">
        <v>1528</v>
      </c>
      <c r="J314" s="8">
        <v>13</v>
      </c>
      <c r="K314" s="5" t="s">
        <v>1522</v>
      </c>
      <c r="L314">
        <f t="shared" si="4"/>
        <v>3</v>
      </c>
    </row>
    <row r="315" spans="1:12" hidden="1" x14ac:dyDescent="0.25">
      <c r="A315" s="5">
        <v>46997</v>
      </c>
      <c r="B315" t="s">
        <v>7473</v>
      </c>
      <c r="C315" s="5" t="s">
        <v>7474</v>
      </c>
      <c r="D315" t="s">
        <v>7475</v>
      </c>
      <c r="E315" s="5" t="s">
        <v>4285</v>
      </c>
      <c r="F315" s="6">
        <v>46083.385416666664</v>
      </c>
      <c r="G315" s="5" t="s">
        <v>7456</v>
      </c>
      <c r="H315" s="5" t="s">
        <v>8061</v>
      </c>
      <c r="I315" s="5" t="s">
        <v>1528</v>
      </c>
      <c r="J315" s="8">
        <v>180</v>
      </c>
      <c r="K315" s="5" t="s">
        <v>1522</v>
      </c>
      <c r="L315">
        <f t="shared" si="4"/>
        <v>3</v>
      </c>
    </row>
    <row r="316" spans="1:12" hidden="1" x14ac:dyDescent="0.25">
      <c r="A316" s="5">
        <v>47008</v>
      </c>
      <c r="B316" t="s">
        <v>7461</v>
      </c>
      <c r="C316" s="5" t="s">
        <v>7462</v>
      </c>
      <c r="D316" t="s">
        <v>7463</v>
      </c>
      <c r="E316" s="5" t="s">
        <v>7192</v>
      </c>
      <c r="F316" s="6">
        <v>46083.602777777778</v>
      </c>
      <c r="G316" s="5" t="s">
        <v>7456</v>
      </c>
      <c r="H316" s="5" t="s">
        <v>8062</v>
      </c>
      <c r="I316" s="5" t="s">
        <v>1528</v>
      </c>
      <c r="J316" s="8">
        <v>25</v>
      </c>
      <c r="K316" s="5" t="s">
        <v>1522</v>
      </c>
      <c r="L316">
        <f t="shared" si="4"/>
        <v>3</v>
      </c>
    </row>
    <row r="317" spans="1:12" hidden="1" x14ac:dyDescent="0.25">
      <c r="A317" s="5">
        <v>47010</v>
      </c>
      <c r="B317" t="s">
        <v>8063</v>
      </c>
      <c r="C317" s="5" t="s">
        <v>197</v>
      </c>
      <c r="D317" t="s">
        <v>8064</v>
      </c>
      <c r="E317" s="5" t="s">
        <v>3357</v>
      </c>
      <c r="F317" s="6">
        <v>46083.64166666667</v>
      </c>
      <c r="G317" s="5" t="s">
        <v>7456</v>
      </c>
      <c r="H317" s="5" t="s">
        <v>8065</v>
      </c>
      <c r="I317" s="5" t="s">
        <v>1528</v>
      </c>
      <c r="J317" s="8">
        <v>350</v>
      </c>
      <c r="K317" s="5" t="s">
        <v>1522</v>
      </c>
      <c r="L317">
        <f t="shared" si="4"/>
        <v>3</v>
      </c>
    </row>
    <row r="318" spans="1:12" hidden="1" x14ac:dyDescent="0.25">
      <c r="A318" s="5">
        <v>47013</v>
      </c>
      <c r="B318" t="s">
        <v>8066</v>
      </c>
      <c r="C318" s="5" t="s">
        <v>7516</v>
      </c>
      <c r="D318" t="s">
        <v>8067</v>
      </c>
      <c r="E318" s="5" t="s">
        <v>7755</v>
      </c>
      <c r="F318" s="6">
        <v>46083.660416666666</v>
      </c>
      <c r="G318" s="5" t="s">
        <v>7672</v>
      </c>
      <c r="H318" t="s">
        <v>7482</v>
      </c>
      <c r="I318" s="5" t="s">
        <v>1528</v>
      </c>
      <c r="J318" s="8">
        <v>3020</v>
      </c>
      <c r="K318" s="5" t="s">
        <v>1522</v>
      </c>
      <c r="L318">
        <f t="shared" si="4"/>
        <v>3</v>
      </c>
    </row>
    <row r="319" spans="1:12" hidden="1" x14ac:dyDescent="0.25">
      <c r="A319" s="5">
        <v>47014</v>
      </c>
      <c r="B319" t="s">
        <v>8068</v>
      </c>
      <c r="C319" s="5" t="s">
        <v>545</v>
      </c>
      <c r="D319" t="s">
        <v>8069</v>
      </c>
      <c r="E319" s="5" t="s">
        <v>2402</v>
      </c>
      <c r="F319" s="6">
        <v>46083.673611111109</v>
      </c>
      <c r="G319" s="5" t="s">
        <v>7456</v>
      </c>
      <c r="H319" s="5" t="s">
        <v>8070</v>
      </c>
      <c r="I319" s="5" t="s">
        <v>1528</v>
      </c>
      <c r="J319" s="8">
        <v>740</v>
      </c>
      <c r="K319" s="5" t="s">
        <v>1522</v>
      </c>
      <c r="L319">
        <f t="shared" si="4"/>
        <v>3</v>
      </c>
    </row>
    <row r="320" spans="1:12" hidden="1" x14ac:dyDescent="0.25">
      <c r="A320" s="5">
        <v>47017</v>
      </c>
      <c r="B320" t="s">
        <v>8071</v>
      </c>
      <c r="C320" s="5" t="s">
        <v>8072</v>
      </c>
      <c r="D320" t="s">
        <v>8073</v>
      </c>
      <c r="E320" s="5" t="s">
        <v>1666</v>
      </c>
      <c r="F320" s="6">
        <v>46083.729861111111</v>
      </c>
      <c r="G320" s="5" t="s">
        <v>7456</v>
      </c>
      <c r="H320" s="5" t="s">
        <v>8074</v>
      </c>
      <c r="I320" s="5" t="s">
        <v>1528</v>
      </c>
      <c r="J320" s="8">
        <v>3109.6</v>
      </c>
      <c r="K320" s="5" t="s">
        <v>1522</v>
      </c>
      <c r="L320">
        <f t="shared" si="4"/>
        <v>3</v>
      </c>
    </row>
    <row r="321" spans="1:12" hidden="1" x14ac:dyDescent="0.25">
      <c r="A321" s="5">
        <v>47026</v>
      </c>
      <c r="B321" t="s">
        <v>7959</v>
      </c>
      <c r="C321" s="5" t="s">
        <v>7960</v>
      </c>
      <c r="D321" t="s">
        <v>7961</v>
      </c>
      <c r="E321" s="5" t="s">
        <v>6889</v>
      </c>
      <c r="F321" s="6">
        <v>46084.380555555559</v>
      </c>
      <c r="G321" s="5" t="s">
        <v>7456</v>
      </c>
      <c r="H321" s="5" t="s">
        <v>8075</v>
      </c>
      <c r="I321" s="5" t="s">
        <v>1528</v>
      </c>
      <c r="J321" s="8">
        <v>40</v>
      </c>
      <c r="K321" s="5" t="s">
        <v>1522</v>
      </c>
      <c r="L321">
        <f t="shared" si="4"/>
        <v>3</v>
      </c>
    </row>
    <row r="322" spans="1:12" hidden="1" x14ac:dyDescent="0.25">
      <c r="A322" s="5">
        <v>47048</v>
      </c>
      <c r="B322" t="s">
        <v>7469</v>
      </c>
      <c r="C322" s="5" t="s">
        <v>7470</v>
      </c>
      <c r="D322" t="s">
        <v>7471</v>
      </c>
      <c r="E322" s="5" t="s">
        <v>3977</v>
      </c>
      <c r="F322" s="6">
        <v>46084.716666666667</v>
      </c>
      <c r="G322" s="5" t="s">
        <v>7456</v>
      </c>
      <c r="H322" s="5" t="s">
        <v>8076</v>
      </c>
      <c r="I322" s="5" t="s">
        <v>1621</v>
      </c>
      <c r="J322" s="8">
        <v>260</v>
      </c>
      <c r="K322" s="5" t="s">
        <v>1522</v>
      </c>
      <c r="L322">
        <f t="shared" si="4"/>
        <v>3</v>
      </c>
    </row>
    <row r="323" spans="1:12" hidden="1" x14ac:dyDescent="0.25">
      <c r="A323" s="5">
        <v>47053</v>
      </c>
      <c r="B323" t="s">
        <v>7878</v>
      </c>
      <c r="C323" s="5" t="s">
        <v>7503</v>
      </c>
      <c r="D323" t="s">
        <v>7879</v>
      </c>
      <c r="E323" s="5" t="s">
        <v>2330</v>
      </c>
      <c r="F323" s="6">
        <v>46085.359722222223</v>
      </c>
      <c r="G323" s="5" t="s">
        <v>7456</v>
      </c>
      <c r="H323" s="5" t="s">
        <v>8077</v>
      </c>
      <c r="I323" s="5" t="s">
        <v>1528</v>
      </c>
      <c r="J323" s="8">
        <v>800</v>
      </c>
      <c r="K323" s="5" t="s">
        <v>1522</v>
      </c>
      <c r="L323">
        <f t="shared" ref="L323:L386" si="5">MONTH(F323)</f>
        <v>3</v>
      </c>
    </row>
    <row r="324" spans="1:12" hidden="1" x14ac:dyDescent="0.25">
      <c r="A324" s="5">
        <v>47056</v>
      </c>
      <c r="B324" t="s">
        <v>8078</v>
      </c>
      <c r="C324" s="5" t="s">
        <v>904</v>
      </c>
      <c r="D324" t="s">
        <v>8079</v>
      </c>
      <c r="E324" s="5" t="s">
        <v>1548</v>
      </c>
      <c r="F324" s="6">
        <v>46085.448611111111</v>
      </c>
      <c r="G324" s="5" t="s">
        <v>7456</v>
      </c>
      <c r="H324" s="5" t="s">
        <v>8080</v>
      </c>
      <c r="I324" s="5" t="s">
        <v>1528</v>
      </c>
      <c r="J324" s="8">
        <v>90</v>
      </c>
      <c r="K324" s="5" t="s">
        <v>1522</v>
      </c>
      <c r="L324">
        <f t="shared" si="5"/>
        <v>3</v>
      </c>
    </row>
    <row r="325" spans="1:12" hidden="1" x14ac:dyDescent="0.25">
      <c r="A325" s="5">
        <v>47060</v>
      </c>
      <c r="B325" t="s">
        <v>7642</v>
      </c>
      <c r="C325" s="5" t="s">
        <v>7643</v>
      </c>
      <c r="D325" t="s">
        <v>7644</v>
      </c>
      <c r="E325" s="5" t="s">
        <v>2890</v>
      </c>
      <c r="F325" s="6">
        <v>46085.602777777778</v>
      </c>
      <c r="G325" s="5" t="s">
        <v>7456</v>
      </c>
      <c r="H325" t="s">
        <v>7482</v>
      </c>
      <c r="I325" s="5" t="s">
        <v>1528</v>
      </c>
      <c r="J325" s="8">
        <v>105</v>
      </c>
      <c r="K325" s="5" t="s">
        <v>1522</v>
      </c>
      <c r="L325">
        <f t="shared" si="5"/>
        <v>3</v>
      </c>
    </row>
    <row r="326" spans="1:12" hidden="1" x14ac:dyDescent="0.25">
      <c r="A326" s="5">
        <v>47062</v>
      </c>
      <c r="B326" t="s">
        <v>8081</v>
      </c>
      <c r="C326" s="5" t="s">
        <v>8082</v>
      </c>
      <c r="D326" t="s">
        <v>7644</v>
      </c>
      <c r="E326" s="5" t="s">
        <v>2008</v>
      </c>
      <c r="F326" s="6">
        <v>46085.635416666664</v>
      </c>
      <c r="G326" s="5" t="s">
        <v>7456</v>
      </c>
      <c r="H326" s="5" t="s">
        <v>8083</v>
      </c>
      <c r="I326" s="5" t="s">
        <v>1528</v>
      </c>
      <c r="J326" s="8">
        <v>1242.26</v>
      </c>
      <c r="K326" s="5" t="s">
        <v>1522</v>
      </c>
      <c r="L326">
        <f t="shared" si="5"/>
        <v>3</v>
      </c>
    </row>
    <row r="327" spans="1:12" hidden="1" x14ac:dyDescent="0.25">
      <c r="A327" s="5">
        <v>47069</v>
      </c>
      <c r="B327" t="s">
        <v>7624</v>
      </c>
      <c r="C327" s="5" t="s">
        <v>7625</v>
      </c>
      <c r="D327" t="s">
        <v>7626</v>
      </c>
      <c r="E327" s="5" t="s">
        <v>2089</v>
      </c>
      <c r="F327" s="6">
        <v>46085.7</v>
      </c>
      <c r="G327" s="5" t="s">
        <v>7456</v>
      </c>
      <c r="H327" s="5" t="s">
        <v>8084</v>
      </c>
      <c r="I327" s="5" t="s">
        <v>1528</v>
      </c>
      <c r="J327" s="8">
        <v>1060</v>
      </c>
      <c r="K327" s="5" t="s">
        <v>1522</v>
      </c>
      <c r="L327">
        <f t="shared" si="5"/>
        <v>3</v>
      </c>
    </row>
    <row r="328" spans="1:12" hidden="1" x14ac:dyDescent="0.25">
      <c r="A328" s="5">
        <v>47097</v>
      </c>
      <c r="B328" t="s">
        <v>7473</v>
      </c>
      <c r="C328" s="5" t="s">
        <v>7474</v>
      </c>
      <c r="D328" t="s">
        <v>7475</v>
      </c>
      <c r="E328" s="5" t="s">
        <v>4285</v>
      </c>
      <c r="F328" s="6">
        <v>46086.681250000001</v>
      </c>
      <c r="G328" s="5" t="s">
        <v>7456</v>
      </c>
      <c r="H328" s="5" t="s">
        <v>8085</v>
      </c>
      <c r="I328" s="5" t="s">
        <v>1528</v>
      </c>
      <c r="J328" s="8">
        <v>222</v>
      </c>
      <c r="K328" s="5" t="s">
        <v>1522</v>
      </c>
      <c r="L328">
        <f t="shared" si="5"/>
        <v>3</v>
      </c>
    </row>
    <row r="329" spans="1:12" hidden="1" x14ac:dyDescent="0.25">
      <c r="A329" s="5">
        <v>47100</v>
      </c>
      <c r="B329" t="s">
        <v>8086</v>
      </c>
      <c r="C329" s="5" t="s">
        <v>8087</v>
      </c>
      <c r="D329" t="s">
        <v>8088</v>
      </c>
      <c r="E329" s="5" t="s">
        <v>1548</v>
      </c>
      <c r="F329" s="6">
        <v>46086.692361111112</v>
      </c>
      <c r="G329" s="5" t="s">
        <v>7456</v>
      </c>
      <c r="H329" s="5" t="s">
        <v>8089</v>
      </c>
      <c r="I329" s="5" t="s">
        <v>1528</v>
      </c>
      <c r="J329" s="8">
        <v>256</v>
      </c>
      <c r="K329" s="5" t="s">
        <v>1522</v>
      </c>
      <c r="L329">
        <f t="shared" si="5"/>
        <v>3</v>
      </c>
    </row>
    <row r="330" spans="1:12" hidden="1" x14ac:dyDescent="0.25">
      <c r="A330" s="5">
        <v>47102</v>
      </c>
      <c r="B330" t="s">
        <v>7469</v>
      </c>
      <c r="C330" s="5" t="s">
        <v>7470</v>
      </c>
      <c r="D330" t="s">
        <v>7471</v>
      </c>
      <c r="E330" s="5" t="s">
        <v>3389</v>
      </c>
      <c r="F330" s="6">
        <v>46086.70208333333</v>
      </c>
      <c r="G330" s="5" t="s">
        <v>7456</v>
      </c>
      <c r="H330" s="5" t="s">
        <v>8090</v>
      </c>
      <c r="I330" s="5" t="s">
        <v>1621</v>
      </c>
      <c r="J330" s="8">
        <v>96</v>
      </c>
      <c r="K330" s="5" t="s">
        <v>1522</v>
      </c>
      <c r="L330">
        <f t="shared" si="5"/>
        <v>3</v>
      </c>
    </row>
    <row r="331" spans="1:12" hidden="1" x14ac:dyDescent="0.25">
      <c r="A331" s="5">
        <v>47104</v>
      </c>
      <c r="B331" t="s">
        <v>7469</v>
      </c>
      <c r="C331" s="5" t="s">
        <v>7470</v>
      </c>
      <c r="D331" t="s">
        <v>7471</v>
      </c>
      <c r="E331" s="5" t="s">
        <v>3389</v>
      </c>
      <c r="F331" s="6">
        <v>46086.718055555553</v>
      </c>
      <c r="G331" s="5" t="s">
        <v>7456</v>
      </c>
      <c r="H331" s="5" t="s">
        <v>8091</v>
      </c>
      <c r="I331" s="5" t="s">
        <v>1621</v>
      </c>
      <c r="J331" s="8">
        <v>57.6</v>
      </c>
      <c r="K331" s="5" t="s">
        <v>1522</v>
      </c>
      <c r="L331">
        <f t="shared" si="5"/>
        <v>3</v>
      </c>
    </row>
    <row r="332" spans="1:12" hidden="1" x14ac:dyDescent="0.25">
      <c r="A332" s="5">
        <v>47110</v>
      </c>
      <c r="B332" t="s">
        <v>8092</v>
      </c>
      <c r="C332" s="5" t="s">
        <v>8093</v>
      </c>
      <c r="D332" t="s">
        <v>8094</v>
      </c>
      <c r="E332" s="5" t="s">
        <v>3699</v>
      </c>
      <c r="F332" s="6">
        <v>46087.392361111109</v>
      </c>
      <c r="G332" s="5" t="s">
        <v>7456</v>
      </c>
      <c r="H332" s="5" t="s">
        <v>8095</v>
      </c>
      <c r="I332" s="5" t="s">
        <v>1528</v>
      </c>
      <c r="J332" s="8">
        <v>300</v>
      </c>
      <c r="K332" s="5" t="s">
        <v>1522</v>
      </c>
      <c r="L332">
        <f t="shared" si="5"/>
        <v>3</v>
      </c>
    </row>
    <row r="333" spans="1:12" hidden="1" x14ac:dyDescent="0.25">
      <c r="A333" s="5">
        <v>47115</v>
      </c>
      <c r="B333" t="s">
        <v>7740</v>
      </c>
      <c r="C333" s="5" t="s">
        <v>7917</v>
      </c>
      <c r="D333" t="s">
        <v>7741</v>
      </c>
      <c r="E333" s="5" t="s">
        <v>8096</v>
      </c>
      <c r="F333" s="6">
        <v>46087.601388888892</v>
      </c>
      <c r="G333" s="5" t="s">
        <v>7456</v>
      </c>
      <c r="H333" t="s">
        <v>7482</v>
      </c>
      <c r="I333" s="5" t="s">
        <v>1528</v>
      </c>
      <c r="J333" s="8">
        <v>2060</v>
      </c>
      <c r="K333" s="5" t="s">
        <v>1522</v>
      </c>
      <c r="L333">
        <f t="shared" si="5"/>
        <v>3</v>
      </c>
    </row>
    <row r="334" spans="1:12" hidden="1" x14ac:dyDescent="0.25">
      <c r="A334" s="5">
        <v>47117</v>
      </c>
      <c r="B334" t="s">
        <v>7502</v>
      </c>
      <c r="C334" s="5" t="s">
        <v>7503</v>
      </c>
      <c r="D334" t="s">
        <v>7504</v>
      </c>
      <c r="E334" s="5" t="s">
        <v>2671</v>
      </c>
      <c r="F334" s="6">
        <v>46087.613888888889</v>
      </c>
      <c r="G334" s="5" t="s">
        <v>7456</v>
      </c>
      <c r="H334" s="5" t="s">
        <v>8097</v>
      </c>
      <c r="I334" s="5" t="s">
        <v>1528</v>
      </c>
      <c r="J334" s="8">
        <v>572</v>
      </c>
      <c r="K334" s="5" t="s">
        <v>1522</v>
      </c>
      <c r="L334">
        <f t="shared" si="5"/>
        <v>3</v>
      </c>
    </row>
    <row r="335" spans="1:12" hidden="1" x14ac:dyDescent="0.25">
      <c r="A335" s="5">
        <v>47121</v>
      </c>
      <c r="B335" t="s">
        <v>7469</v>
      </c>
      <c r="C335" s="5" t="s">
        <v>7470</v>
      </c>
      <c r="D335" t="s">
        <v>7471</v>
      </c>
      <c r="E335" s="5" t="s">
        <v>5254</v>
      </c>
      <c r="F335" s="6">
        <v>46087.638194444444</v>
      </c>
      <c r="G335" s="5" t="s">
        <v>7456</v>
      </c>
      <c r="H335" s="5" t="s">
        <v>8098</v>
      </c>
      <c r="I335" s="5" t="s">
        <v>1621</v>
      </c>
      <c r="J335" s="8">
        <v>11.52</v>
      </c>
      <c r="K335" s="5" t="s">
        <v>1522</v>
      </c>
      <c r="L335">
        <f t="shared" si="5"/>
        <v>3</v>
      </c>
    </row>
    <row r="336" spans="1:12" hidden="1" x14ac:dyDescent="0.25">
      <c r="A336" s="5">
        <v>47123</v>
      </c>
      <c r="B336" t="s">
        <v>7469</v>
      </c>
      <c r="C336" s="5" t="s">
        <v>7470</v>
      </c>
      <c r="D336" t="s">
        <v>7471</v>
      </c>
      <c r="E336" s="5" t="s">
        <v>5579</v>
      </c>
      <c r="F336" s="6">
        <v>46087.642361111109</v>
      </c>
      <c r="G336" s="5" t="s">
        <v>7456</v>
      </c>
      <c r="H336" s="5" t="s">
        <v>8099</v>
      </c>
      <c r="I336" s="5" t="s">
        <v>1554</v>
      </c>
      <c r="J336" s="8">
        <v>116.47</v>
      </c>
      <c r="K336" s="5" t="s">
        <v>1522</v>
      </c>
      <c r="L336">
        <f t="shared" si="5"/>
        <v>3</v>
      </c>
    </row>
    <row r="337" spans="1:12" hidden="1" x14ac:dyDescent="0.25">
      <c r="A337" s="5">
        <v>47124</v>
      </c>
      <c r="B337" t="s">
        <v>7469</v>
      </c>
      <c r="C337" s="5" t="s">
        <v>7470</v>
      </c>
      <c r="D337" t="s">
        <v>7471</v>
      </c>
      <c r="E337" s="5" t="s">
        <v>5579</v>
      </c>
      <c r="F337" s="6">
        <v>46087.645833333336</v>
      </c>
      <c r="G337" s="5" t="s">
        <v>7456</v>
      </c>
      <c r="H337" s="5" t="s">
        <v>8100</v>
      </c>
      <c r="I337" s="5" t="s">
        <v>1621</v>
      </c>
      <c r="J337" s="8">
        <v>116.47</v>
      </c>
      <c r="K337" s="5" t="s">
        <v>1522</v>
      </c>
      <c r="L337">
        <f t="shared" si="5"/>
        <v>3</v>
      </c>
    </row>
    <row r="338" spans="1:12" hidden="1" x14ac:dyDescent="0.25">
      <c r="A338" s="5">
        <v>47125</v>
      </c>
      <c r="B338" t="s">
        <v>7469</v>
      </c>
      <c r="C338" s="5" t="s">
        <v>7470</v>
      </c>
      <c r="D338" t="s">
        <v>7471</v>
      </c>
      <c r="E338" s="5" t="s">
        <v>5254</v>
      </c>
      <c r="F338" s="6">
        <v>46087.646527777775</v>
      </c>
      <c r="G338" s="5" t="s">
        <v>7456</v>
      </c>
      <c r="H338" s="5" t="s">
        <v>8101</v>
      </c>
      <c r="I338" s="5" t="s">
        <v>1621</v>
      </c>
      <c r="J338" s="8">
        <v>137.04</v>
      </c>
      <c r="K338" s="5" t="s">
        <v>1522</v>
      </c>
      <c r="L338">
        <f t="shared" si="5"/>
        <v>3</v>
      </c>
    </row>
    <row r="339" spans="1:12" hidden="1" x14ac:dyDescent="0.25">
      <c r="A339" s="5">
        <v>47126</v>
      </c>
      <c r="B339" t="s">
        <v>7469</v>
      </c>
      <c r="C339" s="5" t="s">
        <v>7470</v>
      </c>
      <c r="D339" t="s">
        <v>7471</v>
      </c>
      <c r="E339" s="5" t="s">
        <v>7356</v>
      </c>
      <c r="F339" s="6">
        <v>46087.649305555555</v>
      </c>
      <c r="G339" s="5" t="s">
        <v>7456</v>
      </c>
      <c r="H339" s="5" t="s">
        <v>8102</v>
      </c>
      <c r="I339" s="5" t="s">
        <v>1621</v>
      </c>
      <c r="J339" s="8">
        <v>12.6</v>
      </c>
      <c r="K339" s="5" t="s">
        <v>1522</v>
      </c>
      <c r="L339">
        <f t="shared" si="5"/>
        <v>3</v>
      </c>
    </row>
    <row r="340" spans="1:12" hidden="1" x14ac:dyDescent="0.25">
      <c r="A340" s="5">
        <v>47131</v>
      </c>
      <c r="B340" t="s">
        <v>8103</v>
      </c>
      <c r="C340" s="5" t="s">
        <v>7516</v>
      </c>
      <c r="D340" t="s">
        <v>8104</v>
      </c>
      <c r="E340" s="5" t="s">
        <v>1548</v>
      </c>
      <c r="F340" s="6">
        <v>46091.602777777778</v>
      </c>
      <c r="G340" s="5" t="s">
        <v>7456</v>
      </c>
      <c r="H340" s="5" t="s">
        <v>8105</v>
      </c>
      <c r="I340" s="5" t="s">
        <v>1528</v>
      </c>
      <c r="J340" s="8">
        <v>2261</v>
      </c>
      <c r="K340" s="5" t="s">
        <v>1522</v>
      </c>
      <c r="L340">
        <f t="shared" si="5"/>
        <v>3</v>
      </c>
    </row>
    <row r="341" spans="1:12" hidden="1" x14ac:dyDescent="0.25">
      <c r="A341" s="5">
        <v>47133</v>
      </c>
      <c r="B341" t="s">
        <v>7620</v>
      </c>
      <c r="C341" s="5" t="s">
        <v>7621</v>
      </c>
      <c r="D341" t="s">
        <v>7622</v>
      </c>
      <c r="E341" s="5" t="s">
        <v>6231</v>
      </c>
      <c r="F341" s="6">
        <v>46090.365972222222</v>
      </c>
      <c r="G341" s="5" t="s">
        <v>7456</v>
      </c>
      <c r="H341" s="5" t="s">
        <v>8106</v>
      </c>
      <c r="I341" s="5" t="s">
        <v>1528</v>
      </c>
      <c r="J341" s="8">
        <v>79.2</v>
      </c>
      <c r="K341" s="5" t="s">
        <v>1522</v>
      </c>
      <c r="L341">
        <f t="shared" si="5"/>
        <v>3</v>
      </c>
    </row>
    <row r="342" spans="1:12" hidden="1" x14ac:dyDescent="0.25">
      <c r="A342" s="5">
        <v>47135</v>
      </c>
      <c r="B342" t="s">
        <v>7483</v>
      </c>
      <c r="C342" s="5" t="s">
        <v>7484</v>
      </c>
      <c r="D342" t="s">
        <v>7485</v>
      </c>
      <c r="E342" s="5" t="s">
        <v>7352</v>
      </c>
      <c r="F342" s="6">
        <v>46090.402777777781</v>
      </c>
      <c r="G342" s="5" t="s">
        <v>7456</v>
      </c>
      <c r="H342" s="5" t="s">
        <v>8107</v>
      </c>
      <c r="I342" s="5" t="s">
        <v>1528</v>
      </c>
      <c r="J342" s="8">
        <v>13</v>
      </c>
      <c r="K342" s="5" t="s">
        <v>1522</v>
      </c>
      <c r="L342">
        <f t="shared" si="5"/>
        <v>3</v>
      </c>
    </row>
    <row r="343" spans="1:12" hidden="1" x14ac:dyDescent="0.25">
      <c r="A343" s="5">
        <v>47136</v>
      </c>
      <c r="B343" t="s">
        <v>8108</v>
      </c>
      <c r="C343" s="5" t="s">
        <v>1082</v>
      </c>
      <c r="D343" t="s">
        <v>8109</v>
      </c>
      <c r="E343" s="5" t="s">
        <v>7203</v>
      </c>
      <c r="F343" s="6">
        <v>46066.582638888889</v>
      </c>
      <c r="G343" s="5" t="s">
        <v>7456</v>
      </c>
      <c r="H343" s="5" t="s">
        <v>8110</v>
      </c>
      <c r="I343" s="5" t="s">
        <v>1528</v>
      </c>
      <c r="J343" s="8">
        <v>24.93</v>
      </c>
      <c r="K343" s="5" t="s">
        <v>1522</v>
      </c>
      <c r="L343">
        <f t="shared" si="5"/>
        <v>2</v>
      </c>
    </row>
    <row r="344" spans="1:12" hidden="1" x14ac:dyDescent="0.25">
      <c r="A344" s="5">
        <v>47137</v>
      </c>
      <c r="B344" t="s">
        <v>8111</v>
      </c>
      <c r="C344" s="5" t="s">
        <v>8112</v>
      </c>
      <c r="D344" t="s">
        <v>8113</v>
      </c>
      <c r="E344" s="5" t="s">
        <v>3002</v>
      </c>
      <c r="F344" s="6">
        <v>46090.440972222219</v>
      </c>
      <c r="G344" s="5" t="s">
        <v>7456</v>
      </c>
      <c r="H344" s="5" t="s">
        <v>8114</v>
      </c>
      <c r="I344" s="5" t="s">
        <v>1528</v>
      </c>
      <c r="J344" s="8">
        <v>455.33</v>
      </c>
      <c r="K344" s="5" t="s">
        <v>1522</v>
      </c>
      <c r="L344">
        <f t="shared" si="5"/>
        <v>3</v>
      </c>
    </row>
    <row r="345" spans="1:12" hidden="1" x14ac:dyDescent="0.25">
      <c r="A345" s="5">
        <v>47146</v>
      </c>
      <c r="B345" t="s">
        <v>7506</v>
      </c>
      <c r="C345" s="5" t="s">
        <v>7863</v>
      </c>
      <c r="D345" t="s">
        <v>7508</v>
      </c>
      <c r="E345" s="5" t="s">
        <v>3116</v>
      </c>
      <c r="F345" s="6">
        <v>46090.598611111112</v>
      </c>
      <c r="G345" s="5" t="s">
        <v>7456</v>
      </c>
      <c r="H345" t="s">
        <v>7482</v>
      </c>
      <c r="I345" s="5" t="s">
        <v>1528</v>
      </c>
      <c r="J345" s="8">
        <v>100.2</v>
      </c>
      <c r="K345" s="5" t="s">
        <v>1522</v>
      </c>
      <c r="L345">
        <f t="shared" si="5"/>
        <v>3</v>
      </c>
    </row>
    <row r="346" spans="1:12" hidden="1" x14ac:dyDescent="0.25">
      <c r="A346" s="5">
        <v>47148</v>
      </c>
      <c r="B346" t="s">
        <v>8115</v>
      </c>
      <c r="C346" s="5" t="s">
        <v>7516</v>
      </c>
      <c r="D346" t="s">
        <v>8116</v>
      </c>
      <c r="E346" s="5" t="s">
        <v>1548</v>
      </c>
      <c r="F346" s="6">
        <v>46090.611805555556</v>
      </c>
      <c r="G346" s="5" t="s">
        <v>7672</v>
      </c>
      <c r="H346" t="s">
        <v>7482</v>
      </c>
      <c r="I346" s="5" t="s">
        <v>1528</v>
      </c>
      <c r="J346" s="8">
        <v>2133.0300000000002</v>
      </c>
      <c r="K346" s="5" t="s">
        <v>1522</v>
      </c>
      <c r="L346">
        <f t="shared" si="5"/>
        <v>3</v>
      </c>
    </row>
    <row r="347" spans="1:12" hidden="1" x14ac:dyDescent="0.25">
      <c r="A347" s="5">
        <v>47150</v>
      </c>
      <c r="B347" t="s">
        <v>7469</v>
      </c>
      <c r="C347" s="5" t="s">
        <v>7470</v>
      </c>
      <c r="D347" t="s">
        <v>7471</v>
      </c>
      <c r="E347" s="5" t="s">
        <v>5267</v>
      </c>
      <c r="F347" s="6">
        <v>46090.638888888891</v>
      </c>
      <c r="G347" s="5" t="s">
        <v>7456</v>
      </c>
      <c r="H347" s="5" t="s">
        <v>8117</v>
      </c>
      <c r="I347" s="5" t="s">
        <v>1621</v>
      </c>
      <c r="J347" s="8">
        <v>113.4</v>
      </c>
      <c r="K347" s="5" t="s">
        <v>1522</v>
      </c>
      <c r="L347">
        <f t="shared" si="5"/>
        <v>3</v>
      </c>
    </row>
    <row r="348" spans="1:12" hidden="1" x14ac:dyDescent="0.25">
      <c r="A348" s="5">
        <v>47151</v>
      </c>
      <c r="B348" t="s">
        <v>7469</v>
      </c>
      <c r="C348" s="5" t="s">
        <v>7470</v>
      </c>
      <c r="D348" t="s">
        <v>7471</v>
      </c>
      <c r="E348" s="5" t="s">
        <v>3434</v>
      </c>
      <c r="F348" s="6">
        <v>46090.640972222223</v>
      </c>
      <c r="G348" s="5" t="s">
        <v>7456</v>
      </c>
      <c r="H348" s="5" t="s">
        <v>8118</v>
      </c>
      <c r="I348" s="5" t="s">
        <v>1621</v>
      </c>
      <c r="J348" s="8">
        <v>302.10000000000002</v>
      </c>
      <c r="K348" s="5" t="s">
        <v>1522</v>
      </c>
      <c r="L348">
        <f t="shared" si="5"/>
        <v>3</v>
      </c>
    </row>
    <row r="349" spans="1:12" hidden="1" x14ac:dyDescent="0.25">
      <c r="A349" s="5">
        <v>47157</v>
      </c>
      <c r="B349" t="s">
        <v>7764</v>
      </c>
      <c r="C349" s="5" t="s">
        <v>7765</v>
      </c>
      <c r="D349" t="s">
        <v>7766</v>
      </c>
      <c r="E349" s="5" t="s">
        <v>1548</v>
      </c>
      <c r="F349" s="6">
        <v>46090.699305555558</v>
      </c>
      <c r="G349" s="5" t="s">
        <v>7456</v>
      </c>
      <c r="H349" s="5" t="s">
        <v>8119</v>
      </c>
      <c r="I349" s="5" t="s">
        <v>1528</v>
      </c>
      <c r="J349" s="8">
        <v>30</v>
      </c>
      <c r="K349" s="5" t="s">
        <v>1522</v>
      </c>
      <c r="L349">
        <f t="shared" si="5"/>
        <v>3</v>
      </c>
    </row>
    <row r="350" spans="1:12" hidden="1" x14ac:dyDescent="0.25">
      <c r="A350" s="5">
        <v>47158</v>
      </c>
      <c r="B350" t="s">
        <v>7703</v>
      </c>
      <c r="C350" s="5" t="s">
        <v>7704</v>
      </c>
      <c r="D350" t="s">
        <v>7705</v>
      </c>
      <c r="E350" s="5" t="s">
        <v>8120</v>
      </c>
      <c r="F350" s="6">
        <v>46090.727777777778</v>
      </c>
      <c r="G350" s="5" t="s">
        <v>7672</v>
      </c>
      <c r="H350" t="s">
        <v>7482</v>
      </c>
      <c r="I350" s="5" t="s">
        <v>1528</v>
      </c>
      <c r="J350" s="8">
        <v>35400</v>
      </c>
      <c r="K350" s="5" t="s">
        <v>1522</v>
      </c>
      <c r="L350">
        <f t="shared" si="5"/>
        <v>3</v>
      </c>
    </row>
    <row r="351" spans="1:12" hidden="1" x14ac:dyDescent="0.25">
      <c r="A351" s="5">
        <v>47163</v>
      </c>
      <c r="B351" t="s">
        <v>8121</v>
      </c>
      <c r="C351" s="5" t="s">
        <v>8122</v>
      </c>
      <c r="D351" t="s">
        <v>8123</v>
      </c>
      <c r="E351" s="5" t="s">
        <v>2463</v>
      </c>
      <c r="F351" s="6">
        <v>46091.386805555558</v>
      </c>
      <c r="G351" s="5" t="s">
        <v>7456</v>
      </c>
      <c r="H351" s="5" t="s">
        <v>8124</v>
      </c>
      <c r="I351" s="5" t="s">
        <v>1528</v>
      </c>
      <c r="J351" s="8">
        <v>700</v>
      </c>
      <c r="K351" s="5" t="s">
        <v>1522</v>
      </c>
      <c r="L351">
        <f t="shared" si="5"/>
        <v>3</v>
      </c>
    </row>
    <row r="352" spans="1:12" hidden="1" x14ac:dyDescent="0.25">
      <c r="A352" s="5">
        <v>47165</v>
      </c>
      <c r="B352" t="s">
        <v>8125</v>
      </c>
      <c r="C352" s="5" t="s">
        <v>8126</v>
      </c>
      <c r="D352" t="s">
        <v>8127</v>
      </c>
      <c r="E352" s="5" t="s">
        <v>1548</v>
      </c>
      <c r="F352" s="6">
        <v>46091.461111111108</v>
      </c>
      <c r="G352" s="5" t="s">
        <v>8128</v>
      </c>
      <c r="H352" t="s">
        <v>7482</v>
      </c>
      <c r="I352" s="5" t="s">
        <v>1528</v>
      </c>
      <c r="J352" s="8">
        <v>1357.2</v>
      </c>
      <c r="K352" s="5" t="s">
        <v>1522</v>
      </c>
      <c r="L352">
        <f t="shared" si="5"/>
        <v>3</v>
      </c>
    </row>
    <row r="353" spans="1:12" hidden="1" x14ac:dyDescent="0.25">
      <c r="A353" s="5">
        <v>47177</v>
      </c>
      <c r="B353" t="s">
        <v>7816</v>
      </c>
      <c r="C353" s="5" t="s">
        <v>7817</v>
      </c>
      <c r="D353" t="s">
        <v>7818</v>
      </c>
      <c r="E353" s="5" t="s">
        <v>5001</v>
      </c>
      <c r="F353" s="6">
        <v>46091.622916666667</v>
      </c>
      <c r="G353" s="5" t="s">
        <v>7456</v>
      </c>
      <c r="H353" s="5" t="s">
        <v>8129</v>
      </c>
      <c r="I353" s="5" t="s">
        <v>1528</v>
      </c>
      <c r="J353" s="8">
        <v>153</v>
      </c>
      <c r="K353" s="5" t="s">
        <v>1522</v>
      </c>
      <c r="L353">
        <f t="shared" si="5"/>
        <v>3</v>
      </c>
    </row>
    <row r="354" spans="1:12" hidden="1" x14ac:dyDescent="0.25">
      <c r="A354" s="5">
        <v>47184</v>
      </c>
      <c r="B354" t="s">
        <v>8130</v>
      </c>
      <c r="C354" s="5" t="s">
        <v>8131</v>
      </c>
      <c r="D354" t="s">
        <v>8132</v>
      </c>
      <c r="E354" s="5" t="s">
        <v>2890</v>
      </c>
      <c r="F354" s="6">
        <v>46091.666666666664</v>
      </c>
      <c r="G354" s="5" t="s">
        <v>7456</v>
      </c>
      <c r="H354" s="5" t="s">
        <v>8133</v>
      </c>
      <c r="I354" s="5" t="s">
        <v>1528</v>
      </c>
      <c r="J354" s="8">
        <v>100</v>
      </c>
      <c r="K354" s="5" t="s">
        <v>1522</v>
      </c>
      <c r="L354">
        <f t="shared" si="5"/>
        <v>3</v>
      </c>
    </row>
    <row r="355" spans="1:12" hidden="1" x14ac:dyDescent="0.25">
      <c r="A355" s="5">
        <v>47190</v>
      </c>
      <c r="B355" t="s">
        <v>7536</v>
      </c>
      <c r="C355" s="5" t="s">
        <v>7537</v>
      </c>
      <c r="D355" t="s">
        <v>7538</v>
      </c>
      <c r="E355" s="5" t="s">
        <v>1560</v>
      </c>
      <c r="F355" s="6">
        <v>46091.695138888892</v>
      </c>
      <c r="G355" s="5" t="s">
        <v>7456</v>
      </c>
      <c r="H355" s="5" t="s">
        <v>8134</v>
      </c>
      <c r="I355" s="5" t="s">
        <v>1528</v>
      </c>
      <c r="J355" s="8">
        <v>8025.61</v>
      </c>
      <c r="K355" s="5" t="s">
        <v>1522</v>
      </c>
      <c r="L355">
        <f t="shared" si="5"/>
        <v>3</v>
      </c>
    </row>
    <row r="356" spans="1:12" hidden="1" x14ac:dyDescent="0.25">
      <c r="A356" s="5">
        <v>47192</v>
      </c>
      <c r="B356" t="s">
        <v>8135</v>
      </c>
      <c r="C356" s="5" t="s">
        <v>7516</v>
      </c>
      <c r="D356" t="s">
        <v>8136</v>
      </c>
      <c r="E356" s="5" t="s">
        <v>1548</v>
      </c>
      <c r="F356" s="6">
        <v>46091.729861111111</v>
      </c>
      <c r="G356" s="5" t="s">
        <v>8128</v>
      </c>
      <c r="H356" t="s">
        <v>7482</v>
      </c>
      <c r="I356" s="5" t="s">
        <v>1528</v>
      </c>
      <c r="J356" s="8">
        <v>395.6</v>
      </c>
      <c r="K356" s="5" t="s">
        <v>1522</v>
      </c>
      <c r="L356">
        <f t="shared" si="5"/>
        <v>3</v>
      </c>
    </row>
    <row r="357" spans="1:12" hidden="1" x14ac:dyDescent="0.25">
      <c r="A357" s="5">
        <v>47196</v>
      </c>
      <c r="B357" t="s">
        <v>8137</v>
      </c>
      <c r="C357" s="5" t="s">
        <v>7503</v>
      </c>
      <c r="D357" t="s">
        <v>7879</v>
      </c>
      <c r="E357" s="5" t="s">
        <v>2416</v>
      </c>
      <c r="F357" s="6">
        <v>46092.373611111114</v>
      </c>
      <c r="G357" s="5" t="s">
        <v>7456</v>
      </c>
      <c r="H357" s="5" t="s">
        <v>8138</v>
      </c>
      <c r="I357" s="5" t="s">
        <v>1528</v>
      </c>
      <c r="J357" s="8">
        <v>725</v>
      </c>
      <c r="K357" s="5" t="s">
        <v>1522</v>
      </c>
      <c r="L357">
        <f t="shared" si="5"/>
        <v>3</v>
      </c>
    </row>
    <row r="358" spans="1:12" hidden="1" x14ac:dyDescent="0.25">
      <c r="A358" s="5">
        <v>47203</v>
      </c>
      <c r="B358" t="s">
        <v>7469</v>
      </c>
      <c r="C358" s="5" t="s">
        <v>7470</v>
      </c>
      <c r="D358" t="s">
        <v>7471</v>
      </c>
      <c r="E358" s="5" t="s">
        <v>3389</v>
      </c>
      <c r="F358" s="6">
        <v>46092.456944444442</v>
      </c>
      <c r="G358" s="5" t="s">
        <v>7456</v>
      </c>
      <c r="H358" s="5" t="s">
        <v>8139</v>
      </c>
      <c r="I358" s="5" t="s">
        <v>1621</v>
      </c>
      <c r="J358" s="8">
        <v>230.4</v>
      </c>
      <c r="K358" s="5" t="s">
        <v>1522</v>
      </c>
      <c r="L358">
        <f t="shared" si="5"/>
        <v>3</v>
      </c>
    </row>
    <row r="359" spans="1:12" hidden="1" x14ac:dyDescent="0.25">
      <c r="A359" s="5">
        <v>47204</v>
      </c>
      <c r="B359" t="s">
        <v>7469</v>
      </c>
      <c r="C359" s="5" t="s">
        <v>7470</v>
      </c>
      <c r="D359" t="s">
        <v>7471</v>
      </c>
      <c r="E359" s="5" t="s">
        <v>3389</v>
      </c>
      <c r="F359" s="6">
        <v>46092.459722222222</v>
      </c>
      <c r="G359" s="5" t="s">
        <v>7456</v>
      </c>
      <c r="H359" s="5" t="s">
        <v>8140</v>
      </c>
      <c r="I359" s="5" t="s">
        <v>1621</v>
      </c>
      <c r="J359" s="8">
        <v>96</v>
      </c>
      <c r="K359" s="5" t="s">
        <v>1522</v>
      </c>
      <c r="L359">
        <f t="shared" si="5"/>
        <v>3</v>
      </c>
    </row>
    <row r="360" spans="1:12" hidden="1" x14ac:dyDescent="0.25">
      <c r="A360" s="5">
        <v>47212</v>
      </c>
      <c r="B360" t="s">
        <v>7890</v>
      </c>
      <c r="C360" s="5" t="s">
        <v>8141</v>
      </c>
      <c r="D360" t="s">
        <v>7786</v>
      </c>
      <c r="E360" s="5" t="s">
        <v>1548</v>
      </c>
      <c r="F360" s="6">
        <v>46092.595138888886</v>
      </c>
      <c r="G360" s="5" t="s">
        <v>7456</v>
      </c>
      <c r="H360" s="5" t="s">
        <v>7522</v>
      </c>
      <c r="I360" s="5" t="s">
        <v>1528</v>
      </c>
      <c r="J360" s="8">
        <v>240</v>
      </c>
      <c r="K360" s="5" t="s">
        <v>1522</v>
      </c>
      <c r="L360">
        <f t="shared" si="5"/>
        <v>3</v>
      </c>
    </row>
    <row r="361" spans="1:12" hidden="1" x14ac:dyDescent="0.25">
      <c r="A361" s="5">
        <v>47213</v>
      </c>
      <c r="B361" t="s">
        <v>7469</v>
      </c>
      <c r="C361" s="5" t="s">
        <v>7470</v>
      </c>
      <c r="D361" t="s">
        <v>7471</v>
      </c>
      <c r="E361" s="5" t="s">
        <v>5267</v>
      </c>
      <c r="F361" s="6">
        <v>46092.619444444441</v>
      </c>
      <c r="G361" s="5" t="s">
        <v>7456</v>
      </c>
      <c r="H361" s="5" t="s">
        <v>8142</v>
      </c>
      <c r="I361" s="5" t="s">
        <v>1621</v>
      </c>
      <c r="J361" s="8">
        <v>113.3</v>
      </c>
      <c r="K361" s="5" t="s">
        <v>1522</v>
      </c>
      <c r="L361">
        <f t="shared" si="5"/>
        <v>3</v>
      </c>
    </row>
    <row r="362" spans="1:12" hidden="1" x14ac:dyDescent="0.25">
      <c r="A362" s="5">
        <v>47214</v>
      </c>
      <c r="B362" t="s">
        <v>7469</v>
      </c>
      <c r="C362" s="5" t="s">
        <v>7470</v>
      </c>
      <c r="D362" t="s">
        <v>7471</v>
      </c>
      <c r="E362" s="5" t="s">
        <v>5986</v>
      </c>
      <c r="F362" s="6">
        <v>46092.628472222219</v>
      </c>
      <c r="G362" s="5" t="s">
        <v>7456</v>
      </c>
      <c r="H362" s="5" t="s">
        <v>8143</v>
      </c>
      <c r="I362" s="5" t="s">
        <v>1621</v>
      </c>
      <c r="J362" s="8">
        <v>7</v>
      </c>
      <c r="K362" s="5" t="s">
        <v>1522</v>
      </c>
      <c r="L362">
        <f t="shared" si="5"/>
        <v>3</v>
      </c>
    </row>
    <row r="363" spans="1:12" hidden="1" x14ac:dyDescent="0.25">
      <c r="A363" s="5">
        <v>47215</v>
      </c>
      <c r="B363" t="s">
        <v>7469</v>
      </c>
      <c r="C363" s="5" t="s">
        <v>7470</v>
      </c>
      <c r="D363" t="s">
        <v>7471</v>
      </c>
      <c r="E363" s="5" t="s">
        <v>6467</v>
      </c>
      <c r="F363" s="6">
        <v>46092.629861111112</v>
      </c>
      <c r="G363" s="5" t="s">
        <v>7456</v>
      </c>
      <c r="H363" s="5" t="s">
        <v>8144</v>
      </c>
      <c r="I363" s="5" t="s">
        <v>1621</v>
      </c>
      <c r="J363" s="8">
        <v>5.4</v>
      </c>
      <c r="K363" s="5" t="s">
        <v>1522</v>
      </c>
      <c r="L363">
        <f t="shared" si="5"/>
        <v>3</v>
      </c>
    </row>
    <row r="364" spans="1:12" hidden="1" x14ac:dyDescent="0.25">
      <c r="A364" s="5">
        <v>47221</v>
      </c>
      <c r="B364" t="s">
        <v>7869</v>
      </c>
      <c r="C364" s="5" t="s">
        <v>7870</v>
      </c>
      <c r="D364" t="s">
        <v>7871</v>
      </c>
      <c r="E364" s="5" t="s">
        <v>1548</v>
      </c>
      <c r="F364" s="6">
        <v>46092.675000000003</v>
      </c>
      <c r="G364" s="5" t="s">
        <v>7456</v>
      </c>
      <c r="H364" s="5" t="s">
        <v>8145</v>
      </c>
      <c r="I364" s="5" t="s">
        <v>1528</v>
      </c>
      <c r="J364" s="8">
        <v>543</v>
      </c>
      <c r="K364" s="5" t="s">
        <v>1522</v>
      </c>
      <c r="L364">
        <f t="shared" si="5"/>
        <v>3</v>
      </c>
    </row>
    <row r="365" spans="1:12" hidden="1" x14ac:dyDescent="0.25">
      <c r="A365" s="5">
        <v>47226</v>
      </c>
      <c r="B365" t="s">
        <v>8146</v>
      </c>
      <c r="C365" s="5" t="s">
        <v>8147</v>
      </c>
      <c r="D365" t="s">
        <v>8148</v>
      </c>
      <c r="E365" s="5" t="s">
        <v>5465</v>
      </c>
      <c r="F365" s="6">
        <v>46092.738194444442</v>
      </c>
      <c r="G365" s="5" t="s">
        <v>8128</v>
      </c>
      <c r="H365" t="s">
        <v>7482</v>
      </c>
      <c r="I365" s="5" t="s">
        <v>1528</v>
      </c>
      <c r="J365" s="8">
        <v>98</v>
      </c>
      <c r="K365" s="5" t="s">
        <v>1522</v>
      </c>
      <c r="L365">
        <f t="shared" si="5"/>
        <v>3</v>
      </c>
    </row>
    <row r="366" spans="1:12" hidden="1" x14ac:dyDescent="0.25">
      <c r="A366" s="5">
        <v>47239</v>
      </c>
      <c r="B366" t="s">
        <v>7660</v>
      </c>
      <c r="C366" s="5" t="s">
        <v>7661</v>
      </c>
      <c r="D366" t="s">
        <v>7662</v>
      </c>
      <c r="E366" s="5" t="s">
        <v>1548</v>
      </c>
      <c r="F366" s="6">
        <v>46093.436805555553</v>
      </c>
      <c r="G366" s="5" t="s">
        <v>7456</v>
      </c>
      <c r="H366" s="5" t="s">
        <v>8149</v>
      </c>
      <c r="I366" s="5" t="s">
        <v>1528</v>
      </c>
      <c r="J366" s="8">
        <v>452</v>
      </c>
      <c r="K366" s="5" t="s">
        <v>1522</v>
      </c>
      <c r="L366">
        <f t="shared" si="5"/>
        <v>3</v>
      </c>
    </row>
    <row r="367" spans="1:12" hidden="1" x14ac:dyDescent="0.25">
      <c r="A367" s="5">
        <v>47255</v>
      </c>
      <c r="B367" t="s">
        <v>8042</v>
      </c>
      <c r="C367" s="5" t="s">
        <v>8043</v>
      </c>
      <c r="D367" t="s">
        <v>8044</v>
      </c>
      <c r="E367" s="5" t="s">
        <v>1548</v>
      </c>
      <c r="F367" s="6">
        <v>46094.359722222223</v>
      </c>
      <c r="G367" s="5" t="s">
        <v>7456</v>
      </c>
      <c r="H367" s="5" t="s">
        <v>8150</v>
      </c>
      <c r="I367" s="5" t="s">
        <v>1528</v>
      </c>
      <c r="J367" s="8">
        <v>250</v>
      </c>
      <c r="K367" s="5" t="s">
        <v>1522</v>
      </c>
      <c r="L367">
        <f t="shared" si="5"/>
        <v>3</v>
      </c>
    </row>
    <row r="368" spans="1:12" hidden="1" x14ac:dyDescent="0.25">
      <c r="A368" s="5">
        <v>47256</v>
      </c>
      <c r="B368" t="s">
        <v>8151</v>
      </c>
      <c r="C368" s="5" t="s">
        <v>1505</v>
      </c>
      <c r="D368" t="s">
        <v>7786</v>
      </c>
      <c r="E368" s="5" t="s">
        <v>2890</v>
      </c>
      <c r="F368" s="6">
        <v>46093.421527777777</v>
      </c>
      <c r="G368" s="5" t="s">
        <v>7456</v>
      </c>
      <c r="H368" s="5" t="s">
        <v>8152</v>
      </c>
      <c r="I368" s="5" t="s">
        <v>1528</v>
      </c>
      <c r="J368" s="8">
        <v>45</v>
      </c>
      <c r="K368" s="5" t="s">
        <v>1522</v>
      </c>
      <c r="L368">
        <f t="shared" si="5"/>
        <v>3</v>
      </c>
    </row>
    <row r="369" spans="1:12" hidden="1" x14ac:dyDescent="0.25">
      <c r="A369" s="5">
        <v>47258</v>
      </c>
      <c r="B369" t="s">
        <v>8153</v>
      </c>
      <c r="C369" s="5" t="s">
        <v>8154</v>
      </c>
      <c r="D369" t="s">
        <v>8155</v>
      </c>
      <c r="E369" s="5" t="s">
        <v>7082</v>
      </c>
      <c r="F369" s="6">
        <v>46094.384722222225</v>
      </c>
      <c r="G369" s="5" t="s">
        <v>7456</v>
      </c>
      <c r="H369" s="5" t="s">
        <v>8156</v>
      </c>
      <c r="I369" s="5" t="s">
        <v>1528</v>
      </c>
      <c r="J369" s="8">
        <v>30</v>
      </c>
      <c r="K369" s="5" t="s">
        <v>1522</v>
      </c>
      <c r="L369">
        <f t="shared" si="5"/>
        <v>3</v>
      </c>
    </row>
    <row r="370" spans="1:12" hidden="1" x14ac:dyDescent="0.25">
      <c r="A370" s="5">
        <v>47261</v>
      </c>
      <c r="B370" t="s">
        <v>7515</v>
      </c>
      <c r="C370" s="5" t="s">
        <v>7516</v>
      </c>
      <c r="D370" t="s">
        <v>7517</v>
      </c>
      <c r="E370" s="5" t="s">
        <v>1886</v>
      </c>
      <c r="F370" s="6">
        <v>46094.413888888892</v>
      </c>
      <c r="G370" s="5" t="s">
        <v>7456</v>
      </c>
      <c r="H370" s="5" t="s">
        <v>8157</v>
      </c>
      <c r="I370" s="5" t="s">
        <v>1528</v>
      </c>
      <c r="J370" s="8">
        <v>25</v>
      </c>
      <c r="K370" s="5" t="s">
        <v>1522</v>
      </c>
      <c r="L370">
        <f t="shared" si="5"/>
        <v>3</v>
      </c>
    </row>
    <row r="371" spans="1:12" hidden="1" x14ac:dyDescent="0.25">
      <c r="A371" s="5">
        <v>47265</v>
      </c>
      <c r="B371" t="s">
        <v>8158</v>
      </c>
      <c r="C371" s="5" t="s">
        <v>7503</v>
      </c>
      <c r="D371" t="s">
        <v>7542</v>
      </c>
      <c r="E371" s="5" t="s">
        <v>8159</v>
      </c>
      <c r="F371" s="6">
        <v>46094.462500000001</v>
      </c>
      <c r="G371" s="5" t="s">
        <v>8128</v>
      </c>
      <c r="H371" t="s">
        <v>7482</v>
      </c>
      <c r="I371" s="5" t="s">
        <v>1528</v>
      </c>
      <c r="J371" s="8">
        <v>4400</v>
      </c>
      <c r="K371" s="5" t="s">
        <v>1522</v>
      </c>
      <c r="L371">
        <f t="shared" si="5"/>
        <v>3</v>
      </c>
    </row>
    <row r="372" spans="1:12" hidden="1" x14ac:dyDescent="0.25">
      <c r="A372" s="5">
        <v>47266</v>
      </c>
      <c r="B372" t="s">
        <v>7759</v>
      </c>
      <c r="C372" s="5" t="s">
        <v>7503</v>
      </c>
      <c r="D372" t="s">
        <v>7760</v>
      </c>
      <c r="E372" s="5" t="s">
        <v>3733</v>
      </c>
      <c r="F372" s="6">
        <v>46094.488194444442</v>
      </c>
      <c r="G372" s="5" t="s">
        <v>7456</v>
      </c>
      <c r="H372" s="5" t="s">
        <v>8160</v>
      </c>
      <c r="I372" s="5" t="s">
        <v>1528</v>
      </c>
      <c r="J372" s="8">
        <v>296</v>
      </c>
      <c r="K372" s="5" t="s">
        <v>1522</v>
      </c>
      <c r="L372">
        <f t="shared" si="5"/>
        <v>3</v>
      </c>
    </row>
    <row r="373" spans="1:12" hidden="1" x14ac:dyDescent="0.25">
      <c r="A373" s="5">
        <v>47270</v>
      </c>
      <c r="B373" t="s">
        <v>7816</v>
      </c>
      <c r="C373" s="5" t="s">
        <v>7817</v>
      </c>
      <c r="D373" t="s">
        <v>7818</v>
      </c>
      <c r="E373" s="5" t="s">
        <v>2680</v>
      </c>
      <c r="F373" s="6">
        <v>46094.618055555555</v>
      </c>
      <c r="G373" s="5" t="s">
        <v>7456</v>
      </c>
      <c r="H373" s="5" t="s">
        <v>8161</v>
      </c>
      <c r="I373" s="5" t="s">
        <v>1528</v>
      </c>
      <c r="J373" s="8">
        <v>292.8</v>
      </c>
      <c r="K373" s="5" t="s">
        <v>1522</v>
      </c>
      <c r="L373">
        <f t="shared" si="5"/>
        <v>3</v>
      </c>
    </row>
    <row r="374" spans="1:12" hidden="1" x14ac:dyDescent="0.25">
      <c r="A374" s="5">
        <v>47272</v>
      </c>
      <c r="B374" t="s">
        <v>7469</v>
      </c>
      <c r="C374" s="5" t="s">
        <v>7470</v>
      </c>
      <c r="D374" t="s">
        <v>7471</v>
      </c>
      <c r="E374" s="5" t="s">
        <v>6467</v>
      </c>
      <c r="F374" s="6">
        <v>46094.644444444442</v>
      </c>
      <c r="G374" s="5" t="s">
        <v>7456</v>
      </c>
      <c r="H374" s="5" t="s">
        <v>8162</v>
      </c>
      <c r="I374" s="5" t="s">
        <v>1621</v>
      </c>
      <c r="J374" s="8">
        <v>26.1</v>
      </c>
      <c r="K374" s="5" t="s">
        <v>1522</v>
      </c>
      <c r="L374">
        <f t="shared" si="5"/>
        <v>3</v>
      </c>
    </row>
    <row r="375" spans="1:12" hidden="1" x14ac:dyDescent="0.25">
      <c r="A375" s="5">
        <v>47273</v>
      </c>
      <c r="B375" t="s">
        <v>7469</v>
      </c>
      <c r="C375" s="5" t="s">
        <v>7470</v>
      </c>
      <c r="D375" t="s">
        <v>7471</v>
      </c>
      <c r="E375" s="5" t="s">
        <v>5575</v>
      </c>
      <c r="F375" s="6">
        <v>46094.651388888888</v>
      </c>
      <c r="G375" s="5" t="s">
        <v>7456</v>
      </c>
      <c r="H375" s="5" t="s">
        <v>8163</v>
      </c>
      <c r="I375" s="5" t="s">
        <v>1621</v>
      </c>
      <c r="J375" s="8">
        <v>113.4</v>
      </c>
      <c r="K375" s="5" t="s">
        <v>1522</v>
      </c>
      <c r="L375">
        <f t="shared" si="5"/>
        <v>3</v>
      </c>
    </row>
    <row r="376" spans="1:12" hidden="1" x14ac:dyDescent="0.25">
      <c r="A376" s="5">
        <v>47274</v>
      </c>
      <c r="B376" t="s">
        <v>7469</v>
      </c>
      <c r="C376" s="5" t="s">
        <v>7470</v>
      </c>
      <c r="D376" t="s">
        <v>7471</v>
      </c>
      <c r="E376" s="5" t="s">
        <v>3389</v>
      </c>
      <c r="F376" s="6">
        <v>46094.654166666667</v>
      </c>
      <c r="G376" s="5" t="s">
        <v>7456</v>
      </c>
      <c r="H376" s="5" t="s">
        <v>8164</v>
      </c>
      <c r="I376" s="5" t="s">
        <v>1621</v>
      </c>
      <c r="J376" s="8">
        <v>228.4</v>
      </c>
      <c r="K376" s="5" t="s">
        <v>1522</v>
      </c>
      <c r="L376">
        <f t="shared" si="5"/>
        <v>3</v>
      </c>
    </row>
    <row r="377" spans="1:12" hidden="1" x14ac:dyDescent="0.25">
      <c r="A377" s="5">
        <v>47275</v>
      </c>
      <c r="B377" t="s">
        <v>7469</v>
      </c>
      <c r="C377" s="5" t="s">
        <v>7470</v>
      </c>
      <c r="D377" t="s">
        <v>7471</v>
      </c>
      <c r="E377" s="5" t="s">
        <v>5575</v>
      </c>
      <c r="F377" s="6">
        <v>46094.661111111112</v>
      </c>
      <c r="G377" s="5" t="s">
        <v>7456</v>
      </c>
      <c r="H377" s="5" t="s">
        <v>8165</v>
      </c>
      <c r="I377" s="5" t="s">
        <v>1621</v>
      </c>
      <c r="J377" s="8">
        <v>25.2</v>
      </c>
      <c r="K377" s="5" t="s">
        <v>1522</v>
      </c>
      <c r="L377">
        <f t="shared" si="5"/>
        <v>3</v>
      </c>
    </row>
    <row r="378" spans="1:12" hidden="1" x14ac:dyDescent="0.25">
      <c r="A378" s="5">
        <v>47276</v>
      </c>
      <c r="B378" t="s">
        <v>7469</v>
      </c>
      <c r="C378" s="5" t="s">
        <v>7470</v>
      </c>
      <c r="D378" t="s">
        <v>7471</v>
      </c>
      <c r="E378" s="5" t="s">
        <v>2467</v>
      </c>
      <c r="F378" s="6">
        <v>46094.665972222225</v>
      </c>
      <c r="G378" s="5" t="s">
        <v>7456</v>
      </c>
      <c r="H378" s="5" t="s">
        <v>8166</v>
      </c>
      <c r="I378" s="5" t="s">
        <v>1621</v>
      </c>
      <c r="J378" s="8">
        <v>349.6</v>
      </c>
      <c r="K378" s="5" t="s">
        <v>1522</v>
      </c>
      <c r="L378">
        <f t="shared" si="5"/>
        <v>3</v>
      </c>
    </row>
    <row r="379" spans="1:12" hidden="1" x14ac:dyDescent="0.25">
      <c r="A379" s="5">
        <v>47283</v>
      </c>
      <c r="B379" t="s">
        <v>8135</v>
      </c>
      <c r="C379" s="5" t="s">
        <v>7516</v>
      </c>
      <c r="D379" t="s">
        <v>8136</v>
      </c>
      <c r="E379" s="5" t="s">
        <v>1548</v>
      </c>
      <c r="F379" s="6">
        <v>46097.395138888889</v>
      </c>
      <c r="G379" s="5" t="s">
        <v>8128</v>
      </c>
      <c r="H379" t="s">
        <v>7482</v>
      </c>
      <c r="I379" s="5" t="s">
        <v>1528</v>
      </c>
      <c r="J379" s="8">
        <v>512</v>
      </c>
      <c r="K379" s="5" t="s">
        <v>1522</v>
      </c>
      <c r="L379">
        <f t="shared" si="5"/>
        <v>3</v>
      </c>
    </row>
    <row r="380" spans="1:12" hidden="1" x14ac:dyDescent="0.25">
      <c r="A380" s="5">
        <v>47286</v>
      </c>
      <c r="B380" t="s">
        <v>7624</v>
      </c>
      <c r="C380" s="5" t="s">
        <v>7625</v>
      </c>
      <c r="D380" t="s">
        <v>7626</v>
      </c>
      <c r="E380" s="5" t="s">
        <v>1936</v>
      </c>
      <c r="F380" s="6">
        <v>46097.42083333333</v>
      </c>
      <c r="G380" s="5" t="s">
        <v>7456</v>
      </c>
      <c r="H380" s="5" t="s">
        <v>8167</v>
      </c>
      <c r="I380" s="5" t="s">
        <v>1528</v>
      </c>
      <c r="J380" s="8">
        <v>1474</v>
      </c>
      <c r="K380" s="5" t="s">
        <v>1522</v>
      </c>
      <c r="L380">
        <f t="shared" si="5"/>
        <v>3</v>
      </c>
    </row>
    <row r="381" spans="1:12" hidden="1" x14ac:dyDescent="0.25">
      <c r="A381" s="5">
        <v>47296</v>
      </c>
      <c r="B381" t="s">
        <v>7469</v>
      </c>
      <c r="C381" s="5" t="s">
        <v>7470</v>
      </c>
      <c r="D381" t="s">
        <v>7471</v>
      </c>
      <c r="E381" s="5" t="s">
        <v>3389</v>
      </c>
      <c r="F381" s="6">
        <v>46097.640277777777</v>
      </c>
      <c r="G381" s="5" t="s">
        <v>7456</v>
      </c>
      <c r="H381" s="5" t="s">
        <v>8168</v>
      </c>
      <c r="I381" s="5" t="s">
        <v>1621</v>
      </c>
      <c r="J381" s="8">
        <v>230.4</v>
      </c>
      <c r="K381" s="5" t="s">
        <v>1522</v>
      </c>
      <c r="L381">
        <f t="shared" si="5"/>
        <v>3</v>
      </c>
    </row>
    <row r="382" spans="1:12" hidden="1" x14ac:dyDescent="0.25">
      <c r="A382" s="5">
        <v>47297</v>
      </c>
      <c r="B382" t="s">
        <v>7469</v>
      </c>
      <c r="C382" s="5" t="s">
        <v>7470</v>
      </c>
      <c r="D382" t="s">
        <v>7471</v>
      </c>
      <c r="E382" s="5" t="s">
        <v>5811</v>
      </c>
      <c r="F382" s="6">
        <v>46097.648611111108</v>
      </c>
      <c r="G382" s="5" t="s">
        <v>7456</v>
      </c>
      <c r="H382" s="5" t="s">
        <v>8169</v>
      </c>
      <c r="I382" s="5" t="s">
        <v>1621</v>
      </c>
      <c r="J382" s="8">
        <v>30</v>
      </c>
      <c r="K382" s="5" t="s">
        <v>1522</v>
      </c>
      <c r="L382">
        <f t="shared" si="5"/>
        <v>3</v>
      </c>
    </row>
    <row r="383" spans="1:12" hidden="1" x14ac:dyDescent="0.25">
      <c r="A383" s="5">
        <v>47311</v>
      </c>
      <c r="B383" t="s">
        <v>8170</v>
      </c>
      <c r="C383" s="5" t="s">
        <v>8171</v>
      </c>
      <c r="D383" t="s">
        <v>8172</v>
      </c>
      <c r="E383" s="5" t="s">
        <v>8173</v>
      </c>
      <c r="F383" s="6">
        <v>46098.44027777778</v>
      </c>
      <c r="G383" s="5" t="s">
        <v>7456</v>
      </c>
      <c r="H383" t="s">
        <v>7482</v>
      </c>
      <c r="I383" s="5" t="s">
        <v>1528</v>
      </c>
      <c r="J383" s="8">
        <v>100</v>
      </c>
      <c r="K383" s="5" t="s">
        <v>1522</v>
      </c>
      <c r="L383">
        <f t="shared" si="5"/>
        <v>3</v>
      </c>
    </row>
    <row r="384" spans="1:12" hidden="1" x14ac:dyDescent="0.25">
      <c r="A384" s="5">
        <v>47313</v>
      </c>
      <c r="B384" t="s">
        <v>8174</v>
      </c>
      <c r="C384" s="5" t="s">
        <v>7516</v>
      </c>
      <c r="D384" t="s">
        <v>8175</v>
      </c>
      <c r="E384" s="5" t="s">
        <v>1548</v>
      </c>
      <c r="F384" s="6">
        <v>46098.463194444441</v>
      </c>
      <c r="G384" s="5" t="s">
        <v>7456</v>
      </c>
      <c r="H384" s="5" t="s">
        <v>8176</v>
      </c>
      <c r="I384" s="5" t="s">
        <v>1554</v>
      </c>
      <c r="J384" s="8">
        <v>108</v>
      </c>
      <c r="K384" s="5" t="s">
        <v>1522</v>
      </c>
      <c r="L384">
        <f t="shared" si="5"/>
        <v>3</v>
      </c>
    </row>
    <row r="385" spans="1:12" hidden="1" x14ac:dyDescent="0.25">
      <c r="A385" s="5">
        <v>47315</v>
      </c>
      <c r="B385" t="s">
        <v>7536</v>
      </c>
      <c r="C385" s="5" t="s">
        <v>7537</v>
      </c>
      <c r="D385" t="s">
        <v>7538</v>
      </c>
      <c r="E385" s="5" t="s">
        <v>1560</v>
      </c>
      <c r="F385" s="6">
        <v>46098.498611111114</v>
      </c>
      <c r="G385" s="5" t="s">
        <v>7456</v>
      </c>
      <c r="H385" s="5" t="s">
        <v>8177</v>
      </c>
      <c r="I385" s="5" t="s">
        <v>1528</v>
      </c>
      <c r="J385" s="8">
        <v>542.88</v>
      </c>
      <c r="K385" s="5" t="s">
        <v>1522</v>
      </c>
      <c r="L385">
        <f t="shared" si="5"/>
        <v>3</v>
      </c>
    </row>
    <row r="386" spans="1:12" hidden="1" x14ac:dyDescent="0.25">
      <c r="A386" s="5">
        <v>47324</v>
      </c>
      <c r="B386" t="s">
        <v>7506</v>
      </c>
      <c r="C386" s="5" t="s">
        <v>7863</v>
      </c>
      <c r="D386" t="s">
        <v>7508</v>
      </c>
      <c r="E386" s="5" t="s">
        <v>1577</v>
      </c>
      <c r="F386" s="6">
        <v>46098.613888888889</v>
      </c>
      <c r="G386" s="5" t="s">
        <v>7456</v>
      </c>
      <c r="H386" s="5" t="s">
        <v>8178</v>
      </c>
      <c r="I386" s="5" t="s">
        <v>1528</v>
      </c>
      <c r="J386" s="8">
        <v>6111.3</v>
      </c>
      <c r="K386" s="5" t="s">
        <v>1522</v>
      </c>
      <c r="L386">
        <f t="shared" si="5"/>
        <v>3</v>
      </c>
    </row>
    <row r="387" spans="1:12" hidden="1" x14ac:dyDescent="0.25">
      <c r="A387" s="5">
        <v>47328</v>
      </c>
      <c r="B387" t="s">
        <v>7608</v>
      </c>
      <c r="C387" s="5" t="s">
        <v>7609</v>
      </c>
      <c r="D387" t="s">
        <v>7610</v>
      </c>
      <c r="E387" s="5" t="s">
        <v>2978</v>
      </c>
      <c r="F387" s="6">
        <v>46098.626388888886</v>
      </c>
      <c r="G387" s="5" t="s">
        <v>7456</v>
      </c>
      <c r="H387" s="5" t="s">
        <v>8179</v>
      </c>
      <c r="I387" s="5" t="s">
        <v>1528</v>
      </c>
      <c r="J387" s="8">
        <v>460</v>
      </c>
      <c r="K387" s="5" t="s">
        <v>1522</v>
      </c>
      <c r="L387">
        <f t="shared" ref="L387:L450" si="6">MONTH(F387)</f>
        <v>3</v>
      </c>
    </row>
    <row r="388" spans="1:12" hidden="1" x14ac:dyDescent="0.25">
      <c r="A388" s="5">
        <v>47331</v>
      </c>
      <c r="B388" t="s">
        <v>7461</v>
      </c>
      <c r="C388" s="5" t="s">
        <v>7462</v>
      </c>
      <c r="D388" t="s">
        <v>7463</v>
      </c>
      <c r="E388" s="5" t="s">
        <v>2488</v>
      </c>
      <c r="F388" s="6">
        <v>46098.647222222222</v>
      </c>
      <c r="G388" s="5" t="s">
        <v>7456</v>
      </c>
      <c r="H388" s="5" t="s">
        <v>8180</v>
      </c>
      <c r="I388" s="5" t="s">
        <v>1528</v>
      </c>
      <c r="J388" s="8">
        <v>124</v>
      </c>
      <c r="K388" s="5" t="s">
        <v>1522</v>
      </c>
      <c r="L388">
        <f t="shared" si="6"/>
        <v>3</v>
      </c>
    </row>
    <row r="389" spans="1:12" hidden="1" x14ac:dyDescent="0.25">
      <c r="A389" s="5">
        <v>47344</v>
      </c>
      <c r="B389" t="s">
        <v>7816</v>
      </c>
      <c r="C389" s="5" t="s">
        <v>7817</v>
      </c>
      <c r="D389" t="s">
        <v>7818</v>
      </c>
      <c r="E389" s="5" t="s">
        <v>7324</v>
      </c>
      <c r="F389" s="6">
        <v>46099.374305555553</v>
      </c>
      <c r="G389" s="5" t="s">
        <v>7456</v>
      </c>
      <c r="H389" s="5" t="s">
        <v>8181</v>
      </c>
      <c r="I389" s="5" t="s">
        <v>1528</v>
      </c>
      <c r="J389" s="8">
        <v>15.5</v>
      </c>
      <c r="K389" s="5" t="s">
        <v>1522</v>
      </c>
      <c r="L389">
        <f t="shared" si="6"/>
        <v>3</v>
      </c>
    </row>
    <row r="390" spans="1:12" hidden="1" x14ac:dyDescent="0.25">
      <c r="A390" s="5">
        <v>47354</v>
      </c>
      <c r="B390" t="s">
        <v>7461</v>
      </c>
      <c r="C390" s="5" t="s">
        <v>7462</v>
      </c>
      <c r="D390" t="s">
        <v>7463</v>
      </c>
      <c r="E390" s="5" t="s">
        <v>7192</v>
      </c>
      <c r="F390" s="6">
        <v>46099.609722222223</v>
      </c>
      <c r="G390" s="5" t="s">
        <v>7456</v>
      </c>
      <c r="H390" s="5" t="s">
        <v>8182</v>
      </c>
      <c r="I390" s="5" t="s">
        <v>1528</v>
      </c>
      <c r="J390" s="8">
        <v>25</v>
      </c>
      <c r="K390" s="5" t="s">
        <v>1522</v>
      </c>
      <c r="L390">
        <f t="shared" si="6"/>
        <v>3</v>
      </c>
    </row>
    <row r="391" spans="1:12" hidden="1" x14ac:dyDescent="0.25">
      <c r="A391" s="5">
        <v>47355</v>
      </c>
      <c r="B391" t="s">
        <v>7469</v>
      </c>
      <c r="C391" s="5" t="s">
        <v>7470</v>
      </c>
      <c r="D391" t="s">
        <v>7471</v>
      </c>
      <c r="E391" s="5" t="s">
        <v>5267</v>
      </c>
      <c r="F391" s="6">
        <v>46099.614583333336</v>
      </c>
      <c r="G391" s="5" t="s">
        <v>7456</v>
      </c>
      <c r="H391" s="5" t="s">
        <v>8183</v>
      </c>
      <c r="I391" s="5" t="s">
        <v>1621</v>
      </c>
      <c r="J391" s="8">
        <v>50.4</v>
      </c>
      <c r="K391" s="5" t="s">
        <v>1522</v>
      </c>
      <c r="L391">
        <f t="shared" si="6"/>
        <v>3</v>
      </c>
    </row>
    <row r="392" spans="1:12" hidden="1" x14ac:dyDescent="0.25">
      <c r="A392" s="5">
        <v>47356</v>
      </c>
      <c r="B392" t="s">
        <v>7469</v>
      </c>
      <c r="C392" s="5" t="s">
        <v>7470</v>
      </c>
      <c r="D392" t="s">
        <v>7471</v>
      </c>
      <c r="E392" s="5" t="s">
        <v>3434</v>
      </c>
      <c r="F392" s="6">
        <v>46099.615972222222</v>
      </c>
      <c r="G392" s="5" t="s">
        <v>7456</v>
      </c>
      <c r="H392" s="5" t="s">
        <v>8184</v>
      </c>
      <c r="I392" s="5" t="s">
        <v>1621</v>
      </c>
      <c r="J392" s="8">
        <v>85.6</v>
      </c>
      <c r="K392" s="5" t="s">
        <v>1522</v>
      </c>
      <c r="L392">
        <f t="shared" si="6"/>
        <v>3</v>
      </c>
    </row>
    <row r="393" spans="1:12" hidden="1" x14ac:dyDescent="0.25">
      <c r="A393" s="5">
        <v>47357</v>
      </c>
      <c r="B393" t="s">
        <v>7469</v>
      </c>
      <c r="C393" s="5" t="s">
        <v>7470</v>
      </c>
      <c r="D393" t="s">
        <v>7471</v>
      </c>
      <c r="E393" s="5" t="s">
        <v>5267</v>
      </c>
      <c r="F393" s="6">
        <v>46099.617361111108</v>
      </c>
      <c r="G393" s="5" t="s">
        <v>7456</v>
      </c>
      <c r="H393" s="5" t="s">
        <v>8185</v>
      </c>
      <c r="I393" s="5" t="s">
        <v>1621</v>
      </c>
      <c r="J393" s="8">
        <v>14</v>
      </c>
      <c r="K393" s="5" t="s">
        <v>1522</v>
      </c>
      <c r="L393">
        <f t="shared" si="6"/>
        <v>3</v>
      </c>
    </row>
    <row r="394" spans="1:12" hidden="1" x14ac:dyDescent="0.25">
      <c r="A394" s="5">
        <v>47368</v>
      </c>
      <c r="B394" t="s">
        <v>8186</v>
      </c>
      <c r="C394" s="5" t="s">
        <v>8187</v>
      </c>
      <c r="D394" t="s">
        <v>8188</v>
      </c>
      <c r="E394" s="5" t="s">
        <v>1548</v>
      </c>
      <c r="F394" s="6">
        <v>46100.386111111111</v>
      </c>
      <c r="G394" s="5" t="s">
        <v>8128</v>
      </c>
      <c r="H394" t="s">
        <v>7482</v>
      </c>
      <c r="I394" s="5" t="s">
        <v>1528</v>
      </c>
      <c r="J394" s="8">
        <v>35</v>
      </c>
      <c r="K394" s="5" t="s">
        <v>1522</v>
      </c>
      <c r="L394">
        <f t="shared" si="6"/>
        <v>3</v>
      </c>
    </row>
    <row r="395" spans="1:12" hidden="1" x14ac:dyDescent="0.25">
      <c r="A395" s="5">
        <v>47371</v>
      </c>
      <c r="B395" t="s">
        <v>7473</v>
      </c>
      <c r="C395" s="5" t="s">
        <v>7474</v>
      </c>
      <c r="D395" t="s">
        <v>7475</v>
      </c>
      <c r="E395" s="5" t="s">
        <v>2872</v>
      </c>
      <c r="F395" s="6">
        <v>46100.420138888891</v>
      </c>
      <c r="G395" s="5" t="s">
        <v>7456</v>
      </c>
      <c r="H395" t="s">
        <v>7482</v>
      </c>
      <c r="I395" s="5" t="s">
        <v>1528</v>
      </c>
      <c r="J395" s="8">
        <v>453.5</v>
      </c>
      <c r="K395" s="5" t="s">
        <v>1522</v>
      </c>
      <c r="L395">
        <f t="shared" si="6"/>
        <v>3</v>
      </c>
    </row>
    <row r="396" spans="1:12" hidden="1" x14ac:dyDescent="0.25">
      <c r="A396" s="5">
        <v>47379</v>
      </c>
      <c r="B396" t="s">
        <v>7620</v>
      </c>
      <c r="C396" s="5" t="s">
        <v>7621</v>
      </c>
      <c r="D396" t="s">
        <v>7622</v>
      </c>
      <c r="E396" s="5" t="s">
        <v>6029</v>
      </c>
      <c r="F396" s="6">
        <v>46100.488888888889</v>
      </c>
      <c r="G396" s="5" t="s">
        <v>7456</v>
      </c>
      <c r="H396" s="5" t="s">
        <v>7522</v>
      </c>
      <c r="I396" s="5" t="s">
        <v>1528</v>
      </c>
      <c r="J396" s="8">
        <v>70</v>
      </c>
      <c r="K396" s="5" t="s">
        <v>1522</v>
      </c>
      <c r="L396">
        <f t="shared" si="6"/>
        <v>3</v>
      </c>
    </row>
    <row r="397" spans="1:12" hidden="1" x14ac:dyDescent="0.25">
      <c r="A397" s="5">
        <v>47388</v>
      </c>
      <c r="B397" t="s">
        <v>8189</v>
      </c>
      <c r="C397" s="5" t="s">
        <v>8190</v>
      </c>
      <c r="D397" t="s">
        <v>8191</v>
      </c>
      <c r="E397" s="5" t="s">
        <v>3157</v>
      </c>
      <c r="F397" s="6">
        <v>46100.665277777778</v>
      </c>
      <c r="G397" s="5" t="s">
        <v>7456</v>
      </c>
      <c r="H397" s="5" t="s">
        <v>8192</v>
      </c>
      <c r="I397" s="5" t="s">
        <v>1528</v>
      </c>
      <c r="J397" s="8">
        <v>80</v>
      </c>
      <c r="K397" s="5" t="s">
        <v>1522</v>
      </c>
      <c r="L397">
        <f t="shared" si="6"/>
        <v>3</v>
      </c>
    </row>
    <row r="398" spans="1:12" hidden="1" x14ac:dyDescent="0.25">
      <c r="A398" s="5">
        <v>47392</v>
      </c>
      <c r="B398" t="s">
        <v>8193</v>
      </c>
      <c r="C398" s="5" t="s">
        <v>8057</v>
      </c>
      <c r="D398" t="s">
        <v>8194</v>
      </c>
      <c r="E398" s="5" t="s">
        <v>5433</v>
      </c>
      <c r="F398" s="6">
        <v>46100.697916666664</v>
      </c>
      <c r="G398" s="5" t="s">
        <v>8128</v>
      </c>
      <c r="H398" t="s">
        <v>7482</v>
      </c>
      <c r="I398" s="5" t="s">
        <v>1528</v>
      </c>
      <c r="J398" s="8">
        <v>1840</v>
      </c>
      <c r="K398" s="5" t="s">
        <v>1522</v>
      </c>
      <c r="L398">
        <f t="shared" si="6"/>
        <v>3</v>
      </c>
    </row>
    <row r="399" spans="1:12" hidden="1" x14ac:dyDescent="0.25">
      <c r="A399" s="5">
        <v>47393</v>
      </c>
      <c r="B399" t="s">
        <v>7770</v>
      </c>
      <c r="C399" s="5" t="s">
        <v>7771</v>
      </c>
      <c r="D399" t="s">
        <v>7772</v>
      </c>
      <c r="E399" s="5" t="s">
        <v>8195</v>
      </c>
      <c r="F399" s="6">
        <v>46100.702777777777</v>
      </c>
      <c r="G399" s="5" t="s">
        <v>8128</v>
      </c>
      <c r="H399" t="s">
        <v>7482</v>
      </c>
      <c r="I399" s="5" t="s">
        <v>1528</v>
      </c>
      <c r="J399" s="8">
        <v>992.5</v>
      </c>
      <c r="K399" s="5" t="s">
        <v>1522</v>
      </c>
      <c r="L399">
        <f t="shared" si="6"/>
        <v>3</v>
      </c>
    </row>
    <row r="400" spans="1:12" hidden="1" x14ac:dyDescent="0.25">
      <c r="A400" s="5">
        <v>47398</v>
      </c>
      <c r="B400" t="s">
        <v>7469</v>
      </c>
      <c r="C400" s="5" t="s">
        <v>7470</v>
      </c>
      <c r="D400" t="s">
        <v>7471</v>
      </c>
      <c r="E400" s="5" t="s">
        <v>1770</v>
      </c>
      <c r="F400" s="6">
        <v>46101.374305555553</v>
      </c>
      <c r="G400" s="5" t="s">
        <v>7456</v>
      </c>
      <c r="H400" s="5" t="s">
        <v>8196</v>
      </c>
      <c r="I400" s="5" t="s">
        <v>1564</v>
      </c>
      <c r="J400" s="8">
        <v>302.10000000000002</v>
      </c>
      <c r="K400" s="5" t="s">
        <v>1522</v>
      </c>
      <c r="L400">
        <f t="shared" si="6"/>
        <v>3</v>
      </c>
    </row>
    <row r="401" spans="1:12" hidden="1" x14ac:dyDescent="0.25">
      <c r="A401" s="5">
        <v>47399</v>
      </c>
      <c r="B401" t="s">
        <v>7469</v>
      </c>
      <c r="C401" s="5" t="s">
        <v>7470</v>
      </c>
      <c r="D401" t="s">
        <v>7471</v>
      </c>
      <c r="E401" s="5" t="s">
        <v>1770</v>
      </c>
      <c r="F401" s="6">
        <v>46101.376388888886</v>
      </c>
      <c r="G401" s="5" t="s">
        <v>7456</v>
      </c>
      <c r="H401" s="5" t="s">
        <v>8197</v>
      </c>
      <c r="I401" s="5" t="s">
        <v>1564</v>
      </c>
      <c r="J401" s="8">
        <v>303.88</v>
      </c>
      <c r="K401" s="5" t="s">
        <v>1522</v>
      </c>
      <c r="L401">
        <f t="shared" si="6"/>
        <v>3</v>
      </c>
    </row>
    <row r="402" spans="1:12" hidden="1" x14ac:dyDescent="0.25">
      <c r="A402" s="5">
        <v>47400</v>
      </c>
      <c r="B402" t="s">
        <v>7515</v>
      </c>
      <c r="C402" s="5" t="s">
        <v>7516</v>
      </c>
      <c r="D402" t="s">
        <v>7517</v>
      </c>
      <c r="E402" s="5" t="s">
        <v>2981</v>
      </c>
      <c r="F402" s="6">
        <v>46101.386805555558</v>
      </c>
      <c r="G402" s="5" t="s">
        <v>7456</v>
      </c>
      <c r="H402" s="5" t="s">
        <v>8198</v>
      </c>
      <c r="I402" s="5" t="s">
        <v>1528</v>
      </c>
      <c r="J402" s="8">
        <v>460</v>
      </c>
      <c r="K402" s="5" t="s">
        <v>1522</v>
      </c>
      <c r="L402">
        <f t="shared" si="6"/>
        <v>3</v>
      </c>
    </row>
    <row r="403" spans="1:12" hidden="1" x14ac:dyDescent="0.25">
      <c r="A403" s="5">
        <v>47401</v>
      </c>
      <c r="B403" t="s">
        <v>7683</v>
      </c>
      <c r="C403" s="5" t="s">
        <v>7516</v>
      </c>
      <c r="D403" t="s">
        <v>7684</v>
      </c>
      <c r="E403" s="5" t="s">
        <v>1548</v>
      </c>
      <c r="F403" s="6">
        <v>46101.413194444445</v>
      </c>
      <c r="G403" s="5" t="s">
        <v>7456</v>
      </c>
      <c r="H403" s="5" t="s">
        <v>8199</v>
      </c>
      <c r="I403" s="5" t="s">
        <v>1528</v>
      </c>
      <c r="J403" s="8">
        <v>875</v>
      </c>
      <c r="K403" s="5" t="s">
        <v>1522</v>
      </c>
      <c r="L403">
        <f t="shared" si="6"/>
        <v>3</v>
      </c>
    </row>
    <row r="404" spans="1:12" hidden="1" x14ac:dyDescent="0.25">
      <c r="A404" s="5">
        <v>47403</v>
      </c>
      <c r="B404" t="s">
        <v>7660</v>
      </c>
      <c r="C404" s="5" t="s">
        <v>7661</v>
      </c>
      <c r="D404" t="s">
        <v>7662</v>
      </c>
      <c r="E404" s="5" t="s">
        <v>1713</v>
      </c>
      <c r="F404" s="6">
        <v>46101.450694444444</v>
      </c>
      <c r="G404" s="5" t="s">
        <v>7456</v>
      </c>
      <c r="H404" s="5" t="s">
        <v>8200</v>
      </c>
      <c r="I404" s="5" t="s">
        <v>1528</v>
      </c>
      <c r="J404" s="8">
        <v>2720</v>
      </c>
      <c r="K404" s="5" t="s">
        <v>1522</v>
      </c>
      <c r="L404">
        <f t="shared" si="6"/>
        <v>3</v>
      </c>
    </row>
    <row r="405" spans="1:12" hidden="1" x14ac:dyDescent="0.25">
      <c r="A405" s="5">
        <v>47410</v>
      </c>
      <c r="B405" t="s">
        <v>7469</v>
      </c>
      <c r="C405" s="5" t="s">
        <v>7470</v>
      </c>
      <c r="D405" t="s">
        <v>7471</v>
      </c>
      <c r="E405" s="5" t="s">
        <v>6467</v>
      </c>
      <c r="F405" s="6">
        <v>46101.59097222222</v>
      </c>
      <c r="G405" s="5" t="s">
        <v>7456</v>
      </c>
      <c r="H405" s="5" t="s">
        <v>8201</v>
      </c>
      <c r="I405" s="5" t="s">
        <v>1621</v>
      </c>
      <c r="J405" s="8">
        <v>7.2</v>
      </c>
      <c r="K405" s="5" t="s">
        <v>1522</v>
      </c>
      <c r="L405">
        <f t="shared" si="6"/>
        <v>3</v>
      </c>
    </row>
    <row r="406" spans="1:12" hidden="1" x14ac:dyDescent="0.25">
      <c r="A406" s="5">
        <v>47411</v>
      </c>
      <c r="B406" t="s">
        <v>7469</v>
      </c>
      <c r="C406" s="5" t="s">
        <v>7470</v>
      </c>
      <c r="D406" t="s">
        <v>7471</v>
      </c>
      <c r="E406" s="5" t="s">
        <v>5267</v>
      </c>
      <c r="F406" s="6">
        <v>46101.621527777781</v>
      </c>
      <c r="G406" s="5" t="s">
        <v>7456</v>
      </c>
      <c r="H406" s="5" t="s">
        <v>8202</v>
      </c>
      <c r="I406" s="5" t="s">
        <v>1621</v>
      </c>
      <c r="J406" s="8">
        <v>115.14</v>
      </c>
      <c r="K406" s="5" t="s">
        <v>1522</v>
      </c>
      <c r="L406">
        <f t="shared" si="6"/>
        <v>3</v>
      </c>
    </row>
    <row r="407" spans="1:12" hidden="1" x14ac:dyDescent="0.25">
      <c r="A407" s="5">
        <v>47413</v>
      </c>
      <c r="B407" t="s">
        <v>7469</v>
      </c>
      <c r="C407" s="5" t="s">
        <v>7470</v>
      </c>
      <c r="D407" t="s">
        <v>7471</v>
      </c>
      <c r="E407" s="5" t="s">
        <v>6467</v>
      </c>
      <c r="F407" s="6">
        <v>46101.62777777778</v>
      </c>
      <c r="G407" s="5" t="s">
        <v>7456</v>
      </c>
      <c r="H407" s="5" t="s">
        <v>8203</v>
      </c>
      <c r="I407" s="5" t="s">
        <v>1621</v>
      </c>
      <c r="J407" s="8">
        <v>9</v>
      </c>
      <c r="K407" s="5" t="s">
        <v>1522</v>
      </c>
      <c r="L407">
        <f t="shared" si="6"/>
        <v>3</v>
      </c>
    </row>
    <row r="408" spans="1:12" hidden="1" x14ac:dyDescent="0.25">
      <c r="A408" s="5">
        <v>47414</v>
      </c>
      <c r="B408" t="s">
        <v>7469</v>
      </c>
      <c r="C408" s="5" t="s">
        <v>7470</v>
      </c>
      <c r="D408" t="s">
        <v>7471</v>
      </c>
      <c r="E408" s="5" t="s">
        <v>3434</v>
      </c>
      <c r="F408" s="6">
        <v>46101.629166666666</v>
      </c>
      <c r="G408" s="5" t="s">
        <v>7456</v>
      </c>
      <c r="H408" s="5" t="s">
        <v>8204</v>
      </c>
      <c r="I408" s="5" t="s">
        <v>1621</v>
      </c>
      <c r="J408" s="8">
        <v>266</v>
      </c>
      <c r="K408" s="5" t="s">
        <v>1522</v>
      </c>
      <c r="L408">
        <f t="shared" si="6"/>
        <v>3</v>
      </c>
    </row>
    <row r="409" spans="1:12" hidden="1" x14ac:dyDescent="0.25">
      <c r="A409" s="5">
        <v>47415</v>
      </c>
      <c r="B409" t="s">
        <v>7469</v>
      </c>
      <c r="C409" s="5" t="s">
        <v>7470</v>
      </c>
      <c r="D409" t="s">
        <v>7471</v>
      </c>
      <c r="E409" s="5" t="s">
        <v>3434</v>
      </c>
      <c r="F409" s="6">
        <v>46101.629861111112</v>
      </c>
      <c r="G409" s="5" t="s">
        <v>7456</v>
      </c>
      <c r="H409" s="5" t="s">
        <v>8205</v>
      </c>
      <c r="I409" s="5" t="s">
        <v>1621</v>
      </c>
      <c r="J409" s="8">
        <v>266</v>
      </c>
      <c r="K409" s="5" t="s">
        <v>1522</v>
      </c>
      <c r="L409">
        <f t="shared" si="6"/>
        <v>3</v>
      </c>
    </row>
    <row r="410" spans="1:12" hidden="1" x14ac:dyDescent="0.25">
      <c r="A410" s="5">
        <v>47416</v>
      </c>
      <c r="B410" t="s">
        <v>7469</v>
      </c>
      <c r="C410" s="5" t="s">
        <v>7470</v>
      </c>
      <c r="D410" t="s">
        <v>7471</v>
      </c>
      <c r="E410" s="5" t="s">
        <v>3434</v>
      </c>
      <c r="F410" s="6">
        <v>46101.645833333336</v>
      </c>
      <c r="G410" s="5" t="s">
        <v>7456</v>
      </c>
      <c r="H410" s="5" t="s">
        <v>8206</v>
      </c>
      <c r="I410" s="5" t="s">
        <v>1621</v>
      </c>
      <c r="J410" s="8">
        <v>51.36</v>
      </c>
      <c r="K410" s="5" t="s">
        <v>1522</v>
      </c>
      <c r="L410">
        <f t="shared" si="6"/>
        <v>3</v>
      </c>
    </row>
    <row r="411" spans="1:12" hidden="1" x14ac:dyDescent="0.25">
      <c r="A411" s="5">
        <v>47435</v>
      </c>
      <c r="B411" t="s">
        <v>8207</v>
      </c>
      <c r="C411" s="5" t="s">
        <v>8208</v>
      </c>
      <c r="D411" t="s">
        <v>8209</v>
      </c>
      <c r="E411" s="5" t="s">
        <v>2481</v>
      </c>
      <c r="F411" s="6">
        <v>46104.615277777775</v>
      </c>
      <c r="G411" s="5" t="s">
        <v>7456</v>
      </c>
      <c r="H411" s="5" t="s">
        <v>8210</v>
      </c>
      <c r="I411" s="5" t="s">
        <v>1528</v>
      </c>
      <c r="J411" s="8">
        <v>692</v>
      </c>
      <c r="K411" s="5" t="s">
        <v>1522</v>
      </c>
      <c r="L411">
        <f t="shared" si="6"/>
        <v>3</v>
      </c>
    </row>
    <row r="412" spans="1:12" hidden="1" x14ac:dyDescent="0.25">
      <c r="A412" s="5">
        <v>47441</v>
      </c>
      <c r="B412" t="s">
        <v>7469</v>
      </c>
      <c r="C412" s="5" t="s">
        <v>7470</v>
      </c>
      <c r="D412" t="s">
        <v>7471</v>
      </c>
      <c r="E412" s="5" t="s">
        <v>6467</v>
      </c>
      <c r="F412" s="6">
        <v>46104.685416666667</v>
      </c>
      <c r="G412" s="5" t="s">
        <v>7456</v>
      </c>
      <c r="H412" s="5" t="s">
        <v>8211</v>
      </c>
      <c r="I412" s="5" t="s">
        <v>1621</v>
      </c>
      <c r="J412" s="8">
        <v>63.9</v>
      </c>
      <c r="K412" s="5" t="s">
        <v>1522</v>
      </c>
      <c r="L412">
        <f t="shared" si="6"/>
        <v>3</v>
      </c>
    </row>
    <row r="413" spans="1:12" hidden="1" x14ac:dyDescent="0.25">
      <c r="A413" s="5">
        <v>47442</v>
      </c>
      <c r="B413" t="s">
        <v>7469</v>
      </c>
      <c r="C413" s="5" t="s">
        <v>7470</v>
      </c>
      <c r="D413" t="s">
        <v>7471</v>
      </c>
      <c r="E413" s="5" t="s">
        <v>5811</v>
      </c>
      <c r="F413" s="6">
        <v>46104.691666666666</v>
      </c>
      <c r="G413" s="5" t="s">
        <v>7456</v>
      </c>
      <c r="H413" s="5" t="s">
        <v>8212</v>
      </c>
      <c r="I413" s="5" t="s">
        <v>1621</v>
      </c>
      <c r="J413" s="8">
        <v>30</v>
      </c>
      <c r="K413" s="5" t="s">
        <v>1522</v>
      </c>
      <c r="L413">
        <f t="shared" si="6"/>
        <v>3</v>
      </c>
    </row>
    <row r="414" spans="1:12" hidden="1" x14ac:dyDescent="0.25">
      <c r="A414" s="5">
        <v>47444</v>
      </c>
      <c r="B414" t="s">
        <v>7469</v>
      </c>
      <c r="C414" s="5" t="s">
        <v>7470</v>
      </c>
      <c r="D414" t="s">
        <v>7471</v>
      </c>
      <c r="E414" s="5" t="s">
        <v>5267</v>
      </c>
      <c r="F414" s="6">
        <v>46104.693055555559</v>
      </c>
      <c r="G414" s="5" t="s">
        <v>7456</v>
      </c>
      <c r="H414" s="5" t="s">
        <v>8213</v>
      </c>
      <c r="I414" s="5" t="s">
        <v>1621</v>
      </c>
      <c r="J414" s="8">
        <v>113.3</v>
      </c>
      <c r="K414" s="5" t="s">
        <v>1522</v>
      </c>
      <c r="L414">
        <f t="shared" si="6"/>
        <v>3</v>
      </c>
    </row>
    <row r="415" spans="1:12" hidden="1" x14ac:dyDescent="0.25">
      <c r="A415" s="5">
        <v>47445</v>
      </c>
      <c r="B415" t="s">
        <v>7469</v>
      </c>
      <c r="C415" s="5" t="s">
        <v>7470</v>
      </c>
      <c r="D415" t="s">
        <v>7471</v>
      </c>
      <c r="E415" s="5" t="s">
        <v>3389</v>
      </c>
      <c r="F415" s="6">
        <v>46104.695138888892</v>
      </c>
      <c r="G415" s="5" t="s">
        <v>7456</v>
      </c>
      <c r="H415" s="5" t="s">
        <v>8214</v>
      </c>
      <c r="I415" s="5" t="s">
        <v>1621</v>
      </c>
      <c r="J415" s="8">
        <v>114.2</v>
      </c>
      <c r="K415" s="5" t="s">
        <v>1522</v>
      </c>
      <c r="L415">
        <f t="shared" si="6"/>
        <v>3</v>
      </c>
    </row>
    <row r="416" spans="1:12" hidden="1" x14ac:dyDescent="0.25">
      <c r="A416" s="5">
        <v>47446</v>
      </c>
      <c r="B416" t="s">
        <v>7469</v>
      </c>
      <c r="C416" s="5" t="s">
        <v>7470</v>
      </c>
      <c r="D416" t="s">
        <v>7471</v>
      </c>
      <c r="E416" s="5" t="s">
        <v>3434</v>
      </c>
      <c r="F416" s="6">
        <v>46104.697222222225</v>
      </c>
      <c r="G416" s="5" t="s">
        <v>7456</v>
      </c>
      <c r="H416" s="5" t="s">
        <v>8215</v>
      </c>
      <c r="I416" s="5" t="s">
        <v>1621</v>
      </c>
      <c r="J416" s="8">
        <v>306.44</v>
      </c>
      <c r="K416" s="5" t="s">
        <v>1522</v>
      </c>
      <c r="L416">
        <f t="shared" si="6"/>
        <v>3</v>
      </c>
    </row>
    <row r="417" spans="1:12" hidden="1" x14ac:dyDescent="0.25">
      <c r="A417" s="5">
        <v>47450</v>
      </c>
      <c r="B417" t="s">
        <v>7660</v>
      </c>
      <c r="C417" s="5" t="s">
        <v>8216</v>
      </c>
      <c r="D417" t="s">
        <v>7662</v>
      </c>
      <c r="E417" s="5" t="s">
        <v>5433</v>
      </c>
      <c r="F417" s="6">
        <v>46105.359722222223</v>
      </c>
      <c r="G417" s="5" t="s">
        <v>7595</v>
      </c>
      <c r="H417" t="s">
        <v>7482</v>
      </c>
      <c r="I417" s="5" t="s">
        <v>1528</v>
      </c>
      <c r="J417" s="8">
        <v>106.4</v>
      </c>
      <c r="K417" s="5" t="s">
        <v>1522</v>
      </c>
      <c r="L417">
        <f t="shared" si="6"/>
        <v>3</v>
      </c>
    </row>
    <row r="418" spans="1:12" hidden="1" x14ac:dyDescent="0.25">
      <c r="A418" s="5">
        <v>47459</v>
      </c>
      <c r="B418" t="s">
        <v>7660</v>
      </c>
      <c r="C418" s="5" t="s">
        <v>7661</v>
      </c>
      <c r="D418" t="s">
        <v>7662</v>
      </c>
      <c r="E418" s="5" t="s">
        <v>1713</v>
      </c>
      <c r="F418" s="6">
        <v>46105.592361111114</v>
      </c>
      <c r="G418" s="5" t="s">
        <v>7456</v>
      </c>
      <c r="H418" s="5" t="s">
        <v>8217</v>
      </c>
      <c r="I418" s="5" t="s">
        <v>1528</v>
      </c>
      <c r="J418" s="8">
        <v>64</v>
      </c>
      <c r="K418" s="5" t="s">
        <v>1522</v>
      </c>
      <c r="L418">
        <f t="shared" si="6"/>
        <v>3</v>
      </c>
    </row>
    <row r="419" spans="1:12" hidden="1" x14ac:dyDescent="0.25">
      <c r="A419" s="5">
        <v>47470</v>
      </c>
      <c r="B419" t="s">
        <v>8218</v>
      </c>
      <c r="C419" s="5" t="s">
        <v>741</v>
      </c>
      <c r="D419" t="s">
        <v>8219</v>
      </c>
      <c r="E419" s="5" t="s">
        <v>4160</v>
      </c>
      <c r="F419" s="6">
        <v>46105.675694444442</v>
      </c>
      <c r="G419" s="5" t="s">
        <v>7456</v>
      </c>
      <c r="H419" s="5" t="s">
        <v>8220</v>
      </c>
      <c r="I419" s="5" t="s">
        <v>1528</v>
      </c>
      <c r="J419" s="8">
        <v>234</v>
      </c>
      <c r="K419" s="5" t="s">
        <v>1522</v>
      </c>
      <c r="L419">
        <f t="shared" si="6"/>
        <v>3</v>
      </c>
    </row>
    <row r="420" spans="1:12" hidden="1" x14ac:dyDescent="0.25">
      <c r="A420" s="5">
        <v>47474</v>
      </c>
      <c r="B420" t="s">
        <v>7679</v>
      </c>
      <c r="C420" s="5" t="s">
        <v>7680</v>
      </c>
      <c r="D420" t="s">
        <v>7681</v>
      </c>
      <c r="E420" s="5" t="s">
        <v>1548</v>
      </c>
      <c r="F420" s="6">
        <v>46105.716666666667</v>
      </c>
      <c r="G420" s="5" t="s">
        <v>7456</v>
      </c>
      <c r="H420" t="s">
        <v>7482</v>
      </c>
      <c r="I420" s="5" t="s">
        <v>1528</v>
      </c>
      <c r="J420" s="8">
        <v>3704.64</v>
      </c>
      <c r="K420" s="5" t="s">
        <v>1522</v>
      </c>
      <c r="L420">
        <f t="shared" si="6"/>
        <v>3</v>
      </c>
    </row>
    <row r="421" spans="1:12" hidden="1" x14ac:dyDescent="0.25">
      <c r="A421" s="5">
        <v>47482</v>
      </c>
      <c r="B421" t="s">
        <v>7620</v>
      </c>
      <c r="C421" s="5" t="s">
        <v>7621</v>
      </c>
      <c r="D421" t="s">
        <v>7622</v>
      </c>
      <c r="E421" s="5" t="s">
        <v>7222</v>
      </c>
      <c r="F421" s="6">
        <v>46106.402083333334</v>
      </c>
      <c r="G421" s="5" t="s">
        <v>7456</v>
      </c>
      <c r="H421" s="5" t="s">
        <v>8221</v>
      </c>
      <c r="I421" s="5" t="s">
        <v>1528</v>
      </c>
      <c r="J421" s="8">
        <v>24</v>
      </c>
      <c r="K421" s="5" t="s">
        <v>1522</v>
      </c>
      <c r="L421">
        <f t="shared" si="6"/>
        <v>3</v>
      </c>
    </row>
    <row r="422" spans="1:12" hidden="1" x14ac:dyDescent="0.25">
      <c r="A422" s="5">
        <v>47502</v>
      </c>
      <c r="B422" t="s">
        <v>7469</v>
      </c>
      <c r="C422" s="5" t="s">
        <v>7470</v>
      </c>
      <c r="D422" t="s">
        <v>7471</v>
      </c>
      <c r="E422" s="5" t="s">
        <v>3434</v>
      </c>
      <c r="F422" s="6">
        <v>46106.723611111112</v>
      </c>
      <c r="G422" s="5" t="s">
        <v>7456</v>
      </c>
      <c r="H422" s="5" t="s">
        <v>8222</v>
      </c>
      <c r="I422" s="5" t="s">
        <v>1621</v>
      </c>
      <c r="J422" s="8">
        <v>302.10000000000002</v>
      </c>
      <c r="K422" s="5" t="s">
        <v>1522</v>
      </c>
      <c r="L422">
        <f t="shared" si="6"/>
        <v>3</v>
      </c>
    </row>
    <row r="423" spans="1:12" hidden="1" x14ac:dyDescent="0.25">
      <c r="A423" s="5">
        <v>47503</v>
      </c>
      <c r="B423" t="s">
        <v>7469</v>
      </c>
      <c r="C423" s="5" t="s">
        <v>7470</v>
      </c>
      <c r="D423" t="s">
        <v>7471</v>
      </c>
      <c r="E423" s="5" t="s">
        <v>3434</v>
      </c>
      <c r="F423" s="6">
        <v>46106.727777777778</v>
      </c>
      <c r="G423" s="5" t="s">
        <v>7456</v>
      </c>
      <c r="H423" s="5" t="s">
        <v>8223</v>
      </c>
      <c r="I423" s="5" t="s">
        <v>1621</v>
      </c>
      <c r="J423" s="8">
        <v>266</v>
      </c>
      <c r="K423" s="5" t="s">
        <v>1522</v>
      </c>
      <c r="L423">
        <f t="shared" si="6"/>
        <v>3</v>
      </c>
    </row>
    <row r="424" spans="1:12" hidden="1" x14ac:dyDescent="0.25">
      <c r="A424" s="5">
        <v>47504</v>
      </c>
      <c r="B424" t="s">
        <v>7469</v>
      </c>
      <c r="C424" s="5" t="s">
        <v>7470</v>
      </c>
      <c r="D424" t="s">
        <v>7471</v>
      </c>
      <c r="E424" s="5" t="s">
        <v>5986</v>
      </c>
      <c r="F424" s="6">
        <v>46106.732638888891</v>
      </c>
      <c r="G424" s="5" t="s">
        <v>7456</v>
      </c>
      <c r="H424" s="5" t="s">
        <v>8224</v>
      </c>
      <c r="I424" s="5" t="s">
        <v>1621</v>
      </c>
      <c r="J424" s="8">
        <v>20</v>
      </c>
      <c r="K424" s="5" t="s">
        <v>1522</v>
      </c>
      <c r="L424">
        <f t="shared" si="6"/>
        <v>3</v>
      </c>
    </row>
    <row r="425" spans="1:12" hidden="1" x14ac:dyDescent="0.25">
      <c r="A425" s="5">
        <v>47505</v>
      </c>
      <c r="B425" t="s">
        <v>7469</v>
      </c>
      <c r="C425" s="5" t="s">
        <v>7470</v>
      </c>
      <c r="D425" t="s">
        <v>7471</v>
      </c>
      <c r="E425" s="5" t="s">
        <v>6467</v>
      </c>
      <c r="F425" s="6">
        <v>46106.737500000003</v>
      </c>
      <c r="G425" s="5" t="s">
        <v>7456</v>
      </c>
      <c r="H425" s="5" t="s">
        <v>8225</v>
      </c>
      <c r="I425" s="5" t="s">
        <v>1621</v>
      </c>
      <c r="J425" s="8">
        <v>13.5</v>
      </c>
      <c r="K425" s="5" t="s">
        <v>1522</v>
      </c>
      <c r="L425">
        <f t="shared" si="6"/>
        <v>3</v>
      </c>
    </row>
    <row r="426" spans="1:12" hidden="1" x14ac:dyDescent="0.25">
      <c r="A426" s="5">
        <v>47506</v>
      </c>
      <c r="B426" t="s">
        <v>7469</v>
      </c>
      <c r="C426" s="5" t="s">
        <v>7470</v>
      </c>
      <c r="D426" t="s">
        <v>7471</v>
      </c>
      <c r="E426" s="5" t="s">
        <v>2467</v>
      </c>
      <c r="F426" s="6">
        <v>46106.734722222223</v>
      </c>
      <c r="G426" s="5" t="s">
        <v>7456</v>
      </c>
      <c r="H426" s="5" t="s">
        <v>8226</v>
      </c>
      <c r="I426" s="5" t="s">
        <v>1621</v>
      </c>
      <c r="J426" s="8">
        <v>197.6</v>
      </c>
      <c r="K426" s="5" t="s">
        <v>1522</v>
      </c>
      <c r="L426">
        <f t="shared" si="6"/>
        <v>3</v>
      </c>
    </row>
    <row r="427" spans="1:12" hidden="1" x14ac:dyDescent="0.25">
      <c r="A427" s="5">
        <v>47509</v>
      </c>
      <c r="B427" t="s">
        <v>8227</v>
      </c>
      <c r="C427" s="5" t="s">
        <v>8072</v>
      </c>
      <c r="D427" t="s">
        <v>8228</v>
      </c>
      <c r="E427" s="5" t="s">
        <v>5433</v>
      </c>
      <c r="F427" s="6">
        <v>46107.454861111109</v>
      </c>
      <c r="G427" s="5" t="s">
        <v>7595</v>
      </c>
      <c r="H427" t="s">
        <v>7482</v>
      </c>
      <c r="I427" s="5" t="s">
        <v>1528</v>
      </c>
      <c r="J427" s="8">
        <v>1680</v>
      </c>
      <c r="K427" s="5" t="s">
        <v>1522</v>
      </c>
      <c r="L427">
        <f t="shared" si="6"/>
        <v>3</v>
      </c>
    </row>
    <row r="428" spans="1:12" hidden="1" x14ac:dyDescent="0.25">
      <c r="A428" s="5">
        <v>47514</v>
      </c>
      <c r="B428" t="s">
        <v>7506</v>
      </c>
      <c r="C428" s="5" t="s">
        <v>7863</v>
      </c>
      <c r="D428" t="s">
        <v>7508</v>
      </c>
      <c r="E428" s="5" t="s">
        <v>3116</v>
      </c>
      <c r="F428" s="6">
        <v>46107.496527777781</v>
      </c>
      <c r="G428" s="5" t="s">
        <v>7456</v>
      </c>
      <c r="H428" t="s">
        <v>7482</v>
      </c>
      <c r="I428" s="5" t="s">
        <v>1528</v>
      </c>
      <c r="J428" s="8">
        <v>100.26</v>
      </c>
      <c r="K428" s="5" t="s">
        <v>1522</v>
      </c>
      <c r="L428">
        <f t="shared" si="6"/>
        <v>3</v>
      </c>
    </row>
    <row r="429" spans="1:12" hidden="1" x14ac:dyDescent="0.25">
      <c r="A429" s="5">
        <v>47522</v>
      </c>
      <c r="B429" t="s">
        <v>7469</v>
      </c>
      <c r="C429" s="5" t="s">
        <v>7470</v>
      </c>
      <c r="D429" t="s">
        <v>7471</v>
      </c>
      <c r="E429" s="5" t="s">
        <v>5575</v>
      </c>
      <c r="F429" s="6">
        <v>46107.679861111108</v>
      </c>
      <c r="G429" s="5" t="s">
        <v>7456</v>
      </c>
      <c r="H429" s="5" t="s">
        <v>8229</v>
      </c>
      <c r="I429" s="5" t="s">
        <v>1621</v>
      </c>
      <c r="J429" s="8">
        <v>113.3</v>
      </c>
      <c r="K429" s="5" t="s">
        <v>1522</v>
      </c>
      <c r="L429">
        <f t="shared" si="6"/>
        <v>3</v>
      </c>
    </row>
    <row r="430" spans="1:12" hidden="1" x14ac:dyDescent="0.25">
      <c r="A430" s="5">
        <v>47523</v>
      </c>
      <c r="B430" t="s">
        <v>7469</v>
      </c>
      <c r="C430" s="5" t="s">
        <v>7470</v>
      </c>
      <c r="D430" t="s">
        <v>7471</v>
      </c>
      <c r="E430" s="5" t="s">
        <v>5267</v>
      </c>
      <c r="F430" s="6">
        <v>46107.681944444441</v>
      </c>
      <c r="G430" s="5" t="s">
        <v>7456</v>
      </c>
      <c r="H430" s="5" t="s">
        <v>8230</v>
      </c>
      <c r="I430" s="5" t="s">
        <v>1621</v>
      </c>
      <c r="J430" s="8">
        <v>113.4</v>
      </c>
      <c r="K430" s="5" t="s">
        <v>1522</v>
      </c>
      <c r="L430">
        <f t="shared" si="6"/>
        <v>3</v>
      </c>
    </row>
    <row r="431" spans="1:12" hidden="1" x14ac:dyDescent="0.25">
      <c r="A431" s="5">
        <v>47534</v>
      </c>
      <c r="B431" t="s">
        <v>7762</v>
      </c>
      <c r="C431" s="5" t="s">
        <v>7496</v>
      </c>
      <c r="D431" t="s">
        <v>7760</v>
      </c>
      <c r="E431" s="5" t="s">
        <v>2109</v>
      </c>
      <c r="F431" s="6">
        <v>46108.31527777778</v>
      </c>
      <c r="G431" s="5" t="s">
        <v>7456</v>
      </c>
      <c r="H431" s="5" t="s">
        <v>8231</v>
      </c>
      <c r="I431" s="5" t="s">
        <v>1528</v>
      </c>
      <c r="J431" s="8">
        <v>490</v>
      </c>
      <c r="K431" s="5" t="s">
        <v>1522</v>
      </c>
      <c r="L431">
        <f t="shared" si="6"/>
        <v>3</v>
      </c>
    </row>
    <row r="432" spans="1:12" hidden="1" x14ac:dyDescent="0.25">
      <c r="A432" s="5">
        <v>47535</v>
      </c>
      <c r="B432" t="s">
        <v>7473</v>
      </c>
      <c r="C432" s="5" t="s">
        <v>7474</v>
      </c>
      <c r="D432" t="s">
        <v>7475</v>
      </c>
      <c r="E432" s="5" t="s">
        <v>4285</v>
      </c>
      <c r="F432" s="6">
        <v>46108.318749999999</v>
      </c>
      <c r="G432" s="5" t="s">
        <v>7456</v>
      </c>
      <c r="H432" s="5" t="s">
        <v>8232</v>
      </c>
      <c r="I432" s="5" t="s">
        <v>1528</v>
      </c>
      <c r="J432" s="8">
        <v>180</v>
      </c>
      <c r="K432" s="5" t="s">
        <v>1522</v>
      </c>
      <c r="L432">
        <f t="shared" si="6"/>
        <v>3</v>
      </c>
    </row>
    <row r="433" spans="1:12" hidden="1" x14ac:dyDescent="0.25">
      <c r="A433" s="5">
        <v>47536</v>
      </c>
      <c r="B433" t="s">
        <v>7994</v>
      </c>
      <c r="C433" s="5" t="s">
        <v>7503</v>
      </c>
      <c r="D433" t="s">
        <v>7995</v>
      </c>
      <c r="E433" s="5" t="s">
        <v>2540</v>
      </c>
      <c r="F433" s="6">
        <v>46108.32708333333</v>
      </c>
      <c r="G433" s="5" t="s">
        <v>7456</v>
      </c>
      <c r="H433" s="5" t="s">
        <v>8233</v>
      </c>
      <c r="I433" s="5" t="s">
        <v>1528</v>
      </c>
      <c r="J433" s="8">
        <v>652</v>
      </c>
      <c r="K433" s="5" t="s">
        <v>1522</v>
      </c>
      <c r="L433">
        <f t="shared" si="6"/>
        <v>3</v>
      </c>
    </row>
    <row r="434" spans="1:12" hidden="1" x14ac:dyDescent="0.25">
      <c r="A434" s="5">
        <v>47537</v>
      </c>
      <c r="B434" t="s">
        <v>8234</v>
      </c>
      <c r="C434" s="5" t="s">
        <v>7503</v>
      </c>
      <c r="D434" t="s">
        <v>8235</v>
      </c>
      <c r="E434" s="5" t="s">
        <v>2674</v>
      </c>
      <c r="F434" s="6">
        <v>46108.338194444441</v>
      </c>
      <c r="G434" s="5" t="s">
        <v>7456</v>
      </c>
      <c r="H434" s="5" t="s">
        <v>8236</v>
      </c>
      <c r="I434" s="5" t="s">
        <v>1528</v>
      </c>
      <c r="J434" s="8">
        <v>572</v>
      </c>
      <c r="K434" s="5" t="s">
        <v>1522</v>
      </c>
      <c r="L434">
        <f t="shared" si="6"/>
        <v>3</v>
      </c>
    </row>
    <row r="435" spans="1:12" hidden="1" x14ac:dyDescent="0.25">
      <c r="A435" s="5">
        <v>47538</v>
      </c>
      <c r="B435" t="s">
        <v>7679</v>
      </c>
      <c r="C435" s="5" t="s">
        <v>7680</v>
      </c>
      <c r="D435" t="s">
        <v>7681</v>
      </c>
      <c r="E435" s="5" t="s">
        <v>1548</v>
      </c>
      <c r="F435" s="6">
        <v>46108.363888888889</v>
      </c>
      <c r="G435" s="5" t="s">
        <v>7456</v>
      </c>
      <c r="H435" s="5" t="s">
        <v>8237</v>
      </c>
      <c r="I435" s="5" t="s">
        <v>1528</v>
      </c>
      <c r="J435" s="8">
        <v>134</v>
      </c>
      <c r="K435" s="5" t="s">
        <v>1522</v>
      </c>
      <c r="L435">
        <f t="shared" si="6"/>
        <v>3</v>
      </c>
    </row>
    <row r="436" spans="1:12" hidden="1" x14ac:dyDescent="0.25">
      <c r="A436" s="5">
        <v>47539</v>
      </c>
      <c r="B436" t="s">
        <v>8042</v>
      </c>
      <c r="C436" s="5" t="s">
        <v>8043</v>
      </c>
      <c r="D436" t="s">
        <v>8044</v>
      </c>
      <c r="E436" s="5" t="s">
        <v>1548</v>
      </c>
      <c r="F436" s="6">
        <v>46108.376388888886</v>
      </c>
      <c r="G436" s="5" t="s">
        <v>7456</v>
      </c>
      <c r="H436" s="5" t="s">
        <v>8238</v>
      </c>
      <c r="I436" s="5" t="s">
        <v>1528</v>
      </c>
      <c r="J436" s="8">
        <v>482.7</v>
      </c>
      <c r="K436" s="5" t="s">
        <v>1522</v>
      </c>
      <c r="L436">
        <f t="shared" si="6"/>
        <v>3</v>
      </c>
    </row>
    <row r="437" spans="1:12" hidden="1" x14ac:dyDescent="0.25">
      <c r="A437" s="5">
        <v>47542</v>
      </c>
      <c r="B437" t="s">
        <v>8239</v>
      </c>
      <c r="C437" s="5" t="s">
        <v>8240</v>
      </c>
      <c r="D437" t="s">
        <v>8241</v>
      </c>
      <c r="E437" s="5" t="s">
        <v>5047</v>
      </c>
      <c r="F437" s="6">
        <v>46108.387499999997</v>
      </c>
      <c r="G437" s="5" t="s">
        <v>7456</v>
      </c>
      <c r="H437" s="5" t="s">
        <v>8242</v>
      </c>
      <c r="I437" s="5" t="s">
        <v>1528</v>
      </c>
      <c r="J437" s="8">
        <v>150</v>
      </c>
      <c r="K437" s="5" t="s">
        <v>1522</v>
      </c>
      <c r="L437">
        <f t="shared" si="6"/>
        <v>3</v>
      </c>
    </row>
    <row r="438" spans="1:12" hidden="1" x14ac:dyDescent="0.25">
      <c r="A438" s="5">
        <v>47545</v>
      </c>
      <c r="B438" t="s">
        <v>8243</v>
      </c>
      <c r="C438" s="5" t="s">
        <v>8244</v>
      </c>
      <c r="D438" t="s">
        <v>8245</v>
      </c>
      <c r="E438" s="5" t="s">
        <v>6212</v>
      </c>
      <c r="F438" s="6">
        <v>46108.413194444445</v>
      </c>
      <c r="G438" s="5" t="s">
        <v>7456</v>
      </c>
      <c r="H438" s="5" t="s">
        <v>8246</v>
      </c>
      <c r="I438" s="5" t="s">
        <v>1528</v>
      </c>
      <c r="J438" s="8">
        <v>80</v>
      </c>
      <c r="K438" s="5" t="s">
        <v>1522</v>
      </c>
      <c r="L438">
        <f t="shared" si="6"/>
        <v>3</v>
      </c>
    </row>
    <row r="439" spans="1:12" hidden="1" x14ac:dyDescent="0.25">
      <c r="A439" s="5">
        <v>47547</v>
      </c>
      <c r="B439" t="s">
        <v>7851</v>
      </c>
      <c r="C439" s="5" t="s">
        <v>7516</v>
      </c>
      <c r="D439" t="s">
        <v>7644</v>
      </c>
      <c r="E439" s="5" t="s">
        <v>2115</v>
      </c>
      <c r="F439" s="6">
        <v>46108.433333333334</v>
      </c>
      <c r="G439" s="5" t="s">
        <v>7456</v>
      </c>
      <c r="H439" t="s">
        <v>7482</v>
      </c>
      <c r="I439" s="5" t="s">
        <v>1528</v>
      </c>
      <c r="J439" s="8">
        <v>570</v>
      </c>
      <c r="K439" s="5" t="s">
        <v>1522</v>
      </c>
      <c r="L439">
        <f t="shared" si="6"/>
        <v>3</v>
      </c>
    </row>
    <row r="440" spans="1:12" hidden="1" x14ac:dyDescent="0.25">
      <c r="A440" s="5">
        <v>47548</v>
      </c>
      <c r="B440" t="s">
        <v>8247</v>
      </c>
      <c r="C440" s="5" t="s">
        <v>8248</v>
      </c>
      <c r="D440" t="s">
        <v>8249</v>
      </c>
      <c r="E440" s="5" t="s">
        <v>1548</v>
      </c>
      <c r="F440" s="6">
        <v>46108.46597222222</v>
      </c>
      <c r="G440" s="5" t="s">
        <v>7456</v>
      </c>
      <c r="H440" s="5" t="s">
        <v>8250</v>
      </c>
      <c r="I440" s="5" t="s">
        <v>1528</v>
      </c>
      <c r="J440" s="8">
        <v>184</v>
      </c>
      <c r="K440" s="5" t="s">
        <v>1522</v>
      </c>
      <c r="L440">
        <f t="shared" si="6"/>
        <v>3</v>
      </c>
    </row>
    <row r="441" spans="1:12" hidden="1" x14ac:dyDescent="0.25">
      <c r="A441" s="5">
        <v>47557</v>
      </c>
      <c r="B441" t="s">
        <v>7469</v>
      </c>
      <c r="C441" s="5" t="s">
        <v>7470</v>
      </c>
      <c r="D441" t="s">
        <v>7471</v>
      </c>
      <c r="E441" s="5" t="s">
        <v>2467</v>
      </c>
      <c r="F441" s="6">
        <v>46108.654861111114</v>
      </c>
      <c r="G441" s="5" t="s">
        <v>7456</v>
      </c>
      <c r="H441" s="5" t="s">
        <v>8251</v>
      </c>
      <c r="I441" s="5" t="s">
        <v>1621</v>
      </c>
      <c r="J441" s="8">
        <v>349.6</v>
      </c>
      <c r="K441" s="5" t="s">
        <v>1522</v>
      </c>
      <c r="L441">
        <f t="shared" si="6"/>
        <v>3</v>
      </c>
    </row>
    <row r="442" spans="1:12" hidden="1" x14ac:dyDescent="0.25">
      <c r="A442" s="5">
        <v>47558</v>
      </c>
      <c r="B442" t="s">
        <v>7469</v>
      </c>
      <c r="C442" s="5" t="s">
        <v>7470</v>
      </c>
      <c r="D442" t="s">
        <v>7471</v>
      </c>
      <c r="E442" s="5" t="s">
        <v>2467</v>
      </c>
      <c r="F442" s="6">
        <v>46108.657638888886</v>
      </c>
      <c r="G442" s="5" t="s">
        <v>7456</v>
      </c>
      <c r="H442" s="5" t="s">
        <v>8252</v>
      </c>
      <c r="I442" s="5" t="s">
        <v>1621</v>
      </c>
      <c r="J442" s="8">
        <v>152</v>
      </c>
      <c r="K442" s="5" t="s">
        <v>1522</v>
      </c>
      <c r="L442">
        <f t="shared" si="6"/>
        <v>3</v>
      </c>
    </row>
    <row r="443" spans="1:12" hidden="1" x14ac:dyDescent="0.25">
      <c r="A443" s="5">
        <v>47562</v>
      </c>
      <c r="B443" t="s">
        <v>7660</v>
      </c>
      <c r="C443" s="5" t="s">
        <v>7661</v>
      </c>
      <c r="D443" t="s">
        <v>7662</v>
      </c>
      <c r="E443" s="5" t="s">
        <v>1713</v>
      </c>
      <c r="F443" s="6">
        <v>46111.34652777778</v>
      </c>
      <c r="G443" s="5" t="s">
        <v>7456</v>
      </c>
      <c r="H443" s="5" t="s">
        <v>8253</v>
      </c>
      <c r="I443" s="5" t="s">
        <v>1528</v>
      </c>
      <c r="J443" s="8">
        <v>96</v>
      </c>
      <c r="K443" s="5" t="s">
        <v>1522</v>
      </c>
      <c r="L443">
        <f t="shared" si="6"/>
        <v>3</v>
      </c>
    </row>
    <row r="444" spans="1:12" hidden="1" x14ac:dyDescent="0.25">
      <c r="A444" s="5">
        <v>47564</v>
      </c>
      <c r="B444" t="s">
        <v>8254</v>
      </c>
      <c r="C444" s="5" t="s">
        <v>1269</v>
      </c>
      <c r="D444" t="s">
        <v>8255</v>
      </c>
      <c r="E444" s="5" t="s">
        <v>6979</v>
      </c>
      <c r="F444" s="6">
        <v>46111.349305555559</v>
      </c>
      <c r="G444" s="5" t="s">
        <v>7456</v>
      </c>
      <c r="H444" s="5" t="s">
        <v>8256</v>
      </c>
      <c r="I444" s="5" t="s">
        <v>1528</v>
      </c>
      <c r="J444" s="8">
        <v>35.71</v>
      </c>
      <c r="K444" s="5" t="s">
        <v>1522</v>
      </c>
      <c r="L444">
        <f t="shared" si="6"/>
        <v>3</v>
      </c>
    </row>
    <row r="445" spans="1:12" hidden="1" x14ac:dyDescent="0.25">
      <c r="A445" s="5">
        <v>47565</v>
      </c>
      <c r="B445" t="s">
        <v>8254</v>
      </c>
      <c r="C445" s="5" t="s">
        <v>1269</v>
      </c>
      <c r="D445" t="s">
        <v>8255</v>
      </c>
      <c r="E445" s="5" t="s">
        <v>6982</v>
      </c>
      <c r="F445" s="6">
        <v>46111.361111111109</v>
      </c>
      <c r="G445" s="5" t="s">
        <v>7456</v>
      </c>
      <c r="H445" s="5" t="s">
        <v>8257</v>
      </c>
      <c r="I445" s="5" t="s">
        <v>1528</v>
      </c>
      <c r="J445" s="8">
        <v>35.71</v>
      </c>
      <c r="K445" s="5" t="s">
        <v>1522</v>
      </c>
      <c r="L445">
        <f t="shared" si="6"/>
        <v>3</v>
      </c>
    </row>
    <row r="446" spans="1:12" hidden="1" x14ac:dyDescent="0.25">
      <c r="A446" s="5">
        <v>47580</v>
      </c>
      <c r="B446" t="s">
        <v>7469</v>
      </c>
      <c r="C446" s="5" t="s">
        <v>7470</v>
      </c>
      <c r="D446" t="s">
        <v>7471</v>
      </c>
      <c r="E446" s="5" t="s">
        <v>3434</v>
      </c>
      <c r="F446" s="6">
        <v>46111.616666666669</v>
      </c>
      <c r="G446" s="5" t="s">
        <v>7456</v>
      </c>
      <c r="H446" s="5" t="s">
        <v>8258</v>
      </c>
      <c r="I446" s="5" t="s">
        <v>1621</v>
      </c>
      <c r="J446" s="8">
        <v>109.25</v>
      </c>
      <c r="K446" s="5" t="s">
        <v>1522</v>
      </c>
      <c r="L446">
        <f t="shared" si="6"/>
        <v>3</v>
      </c>
    </row>
    <row r="447" spans="1:12" hidden="1" x14ac:dyDescent="0.25">
      <c r="A447" s="5">
        <v>47597</v>
      </c>
      <c r="B447" t="s">
        <v>8259</v>
      </c>
      <c r="C447" s="5" t="s">
        <v>8260</v>
      </c>
      <c r="D447" t="s">
        <v>8261</v>
      </c>
      <c r="E447" s="5" t="s">
        <v>2818</v>
      </c>
      <c r="F447" s="6">
        <v>46112.393750000003</v>
      </c>
      <c r="G447" s="5" t="s">
        <v>7456</v>
      </c>
      <c r="H447" s="5" t="s">
        <v>8262</v>
      </c>
      <c r="I447" s="5" t="s">
        <v>1528</v>
      </c>
      <c r="J447" s="8">
        <v>100</v>
      </c>
      <c r="K447" s="5" t="s">
        <v>1522</v>
      </c>
      <c r="L447">
        <f t="shared" si="6"/>
        <v>3</v>
      </c>
    </row>
    <row r="448" spans="1:12" hidden="1" x14ac:dyDescent="0.25">
      <c r="A448" s="5">
        <v>47598</v>
      </c>
      <c r="B448" t="s">
        <v>7559</v>
      </c>
      <c r="C448" s="5" t="s">
        <v>7560</v>
      </c>
      <c r="D448" t="s">
        <v>7561</v>
      </c>
      <c r="E448" s="5" t="s">
        <v>1548</v>
      </c>
      <c r="F448" s="6">
        <v>46112.413888888892</v>
      </c>
      <c r="G448" s="5" t="s">
        <v>7456</v>
      </c>
      <c r="H448" s="5" t="s">
        <v>8263</v>
      </c>
      <c r="I448" s="5" t="s">
        <v>1528</v>
      </c>
      <c r="J448" s="8">
        <v>1368</v>
      </c>
      <c r="K448" s="5" t="s">
        <v>1522</v>
      </c>
      <c r="L448">
        <f t="shared" si="6"/>
        <v>3</v>
      </c>
    </row>
    <row r="449" spans="1:12" hidden="1" x14ac:dyDescent="0.25">
      <c r="A449" s="5">
        <v>47619</v>
      </c>
      <c r="B449" t="s">
        <v>7469</v>
      </c>
      <c r="C449" s="5" t="s">
        <v>7470</v>
      </c>
      <c r="D449" t="s">
        <v>7471</v>
      </c>
      <c r="E449" s="5" t="s">
        <v>3389</v>
      </c>
      <c r="F449" s="6">
        <v>46112.703472222223</v>
      </c>
      <c r="G449" s="5" t="s">
        <v>7456</v>
      </c>
      <c r="H449" s="5" t="s">
        <v>8264</v>
      </c>
      <c r="I449" s="5" t="s">
        <v>1621</v>
      </c>
      <c r="J449" s="8">
        <v>172.8</v>
      </c>
      <c r="K449" s="5" t="s">
        <v>1522</v>
      </c>
      <c r="L449">
        <f t="shared" si="6"/>
        <v>3</v>
      </c>
    </row>
    <row r="450" spans="1:12" hidden="1" x14ac:dyDescent="0.25">
      <c r="A450" s="5">
        <v>47620</v>
      </c>
      <c r="B450" t="s">
        <v>7469</v>
      </c>
      <c r="C450" s="5" t="s">
        <v>7470</v>
      </c>
      <c r="D450" t="s">
        <v>7471</v>
      </c>
      <c r="E450" s="5" t="s">
        <v>3389</v>
      </c>
      <c r="F450" s="6">
        <v>46112.705555555556</v>
      </c>
      <c r="G450" s="5" t="s">
        <v>7456</v>
      </c>
      <c r="H450" s="5" t="s">
        <v>8265</v>
      </c>
      <c r="I450" s="5" t="s">
        <v>1621</v>
      </c>
      <c r="J450" s="8">
        <v>171.3</v>
      </c>
      <c r="K450" s="5" t="s">
        <v>1522</v>
      </c>
      <c r="L450">
        <f t="shared" si="6"/>
        <v>3</v>
      </c>
    </row>
    <row r="451" spans="1:12" hidden="1" x14ac:dyDescent="0.25">
      <c r="A451" s="5">
        <v>47621</v>
      </c>
      <c r="B451" t="s">
        <v>7469</v>
      </c>
      <c r="C451" s="5" t="s">
        <v>7470</v>
      </c>
      <c r="D451" t="s">
        <v>7471</v>
      </c>
      <c r="E451" s="5" t="s">
        <v>5811</v>
      </c>
      <c r="F451" s="6">
        <v>46112.706944444442</v>
      </c>
      <c r="G451" s="5" t="s">
        <v>7456</v>
      </c>
      <c r="H451" s="5" t="s">
        <v>8266</v>
      </c>
      <c r="I451" s="5" t="s">
        <v>1621</v>
      </c>
      <c r="J451" s="8">
        <v>30</v>
      </c>
      <c r="K451" s="5" t="s">
        <v>1522</v>
      </c>
      <c r="L451">
        <f t="shared" ref="L451:L514" si="7">MONTH(F451)</f>
        <v>3</v>
      </c>
    </row>
    <row r="452" spans="1:12" hidden="1" x14ac:dyDescent="0.25">
      <c r="A452" s="5">
        <v>47622</v>
      </c>
      <c r="B452" t="s">
        <v>7469</v>
      </c>
      <c r="C452" s="5" t="s">
        <v>7470</v>
      </c>
      <c r="D452" t="s">
        <v>7471</v>
      </c>
      <c r="E452" s="5" t="s">
        <v>6467</v>
      </c>
      <c r="F452" s="6">
        <v>46112.708333333336</v>
      </c>
      <c r="G452" s="5" t="s">
        <v>7456</v>
      </c>
      <c r="H452" s="5" t="s">
        <v>8267</v>
      </c>
      <c r="I452" s="5" t="s">
        <v>1621</v>
      </c>
      <c r="J452" s="8">
        <v>18</v>
      </c>
      <c r="K452" s="5" t="s">
        <v>1522</v>
      </c>
      <c r="L452">
        <f t="shared" si="7"/>
        <v>3</v>
      </c>
    </row>
    <row r="453" spans="1:12" hidden="1" x14ac:dyDescent="0.25">
      <c r="A453" s="5">
        <v>47623</v>
      </c>
      <c r="B453" t="s">
        <v>8268</v>
      </c>
      <c r="C453" s="5" t="s">
        <v>8269</v>
      </c>
      <c r="D453" t="s">
        <v>8270</v>
      </c>
      <c r="E453" s="5" t="s">
        <v>4053</v>
      </c>
      <c r="F453" s="6">
        <v>46112.711805555555</v>
      </c>
      <c r="G453" s="5" t="s">
        <v>7456</v>
      </c>
      <c r="H453" s="5" t="s">
        <v>8271</v>
      </c>
      <c r="I453" s="5" t="s">
        <v>1528</v>
      </c>
      <c r="J453" s="8">
        <v>250</v>
      </c>
      <c r="K453" s="5" t="s">
        <v>1522</v>
      </c>
      <c r="L453">
        <f t="shared" si="7"/>
        <v>3</v>
      </c>
    </row>
    <row r="454" spans="1:12" hidden="1" x14ac:dyDescent="0.25">
      <c r="A454" s="5">
        <v>47634</v>
      </c>
      <c r="B454" t="s">
        <v>7890</v>
      </c>
      <c r="C454" s="5" t="s">
        <v>8272</v>
      </c>
      <c r="D454" t="s">
        <v>8273</v>
      </c>
      <c r="E454" s="5" t="s">
        <v>3276</v>
      </c>
      <c r="F454" s="6">
        <v>46113.438888888886</v>
      </c>
      <c r="G454" s="5" t="s">
        <v>7456</v>
      </c>
      <c r="H454" s="5" t="s">
        <v>8274</v>
      </c>
      <c r="I454" s="5" t="s">
        <v>1528</v>
      </c>
      <c r="J454" s="8">
        <v>155</v>
      </c>
      <c r="K454" s="5" t="s">
        <v>1522</v>
      </c>
      <c r="L454">
        <f t="shared" si="7"/>
        <v>4</v>
      </c>
    </row>
    <row r="455" spans="1:12" hidden="1" x14ac:dyDescent="0.25">
      <c r="A455" s="5">
        <v>47636</v>
      </c>
      <c r="B455" t="s">
        <v>7461</v>
      </c>
      <c r="C455" s="5" t="s">
        <v>7462</v>
      </c>
      <c r="D455" t="s">
        <v>7463</v>
      </c>
      <c r="E455" s="5" t="s">
        <v>7235</v>
      </c>
      <c r="F455" s="6">
        <v>46113.466666666667</v>
      </c>
      <c r="G455" s="5" t="s">
        <v>7456</v>
      </c>
      <c r="H455" s="5" t="s">
        <v>8275</v>
      </c>
      <c r="I455" s="5" t="s">
        <v>1528</v>
      </c>
      <c r="J455" s="8">
        <v>22</v>
      </c>
      <c r="K455" s="5" t="s">
        <v>1522</v>
      </c>
      <c r="L455">
        <f t="shared" si="7"/>
        <v>4</v>
      </c>
    </row>
    <row r="456" spans="1:12" hidden="1" x14ac:dyDescent="0.25">
      <c r="A456" s="5">
        <v>47648</v>
      </c>
      <c r="B456" t="s">
        <v>7469</v>
      </c>
      <c r="C456" s="5" t="s">
        <v>7470</v>
      </c>
      <c r="D456" t="s">
        <v>7471</v>
      </c>
      <c r="E456" s="5" t="s">
        <v>6467</v>
      </c>
      <c r="F456" s="6">
        <v>46113.666666666664</v>
      </c>
      <c r="G456" s="5" t="s">
        <v>7456</v>
      </c>
      <c r="H456" s="5" t="s">
        <v>8276</v>
      </c>
      <c r="I456" s="5" t="s">
        <v>1621</v>
      </c>
      <c r="J456" s="8">
        <v>24.5</v>
      </c>
      <c r="K456" s="5" t="s">
        <v>1522</v>
      </c>
      <c r="L456">
        <f t="shared" si="7"/>
        <v>4</v>
      </c>
    </row>
    <row r="457" spans="1:12" hidden="1" x14ac:dyDescent="0.25">
      <c r="A457" s="5">
        <v>47650</v>
      </c>
      <c r="B457" t="s">
        <v>7469</v>
      </c>
      <c r="C457" s="5" t="s">
        <v>7470</v>
      </c>
      <c r="D457" t="s">
        <v>7471</v>
      </c>
      <c r="E457" s="5" t="s">
        <v>3434</v>
      </c>
      <c r="F457" s="6">
        <v>46113.668749999997</v>
      </c>
      <c r="G457" s="5" t="s">
        <v>7456</v>
      </c>
      <c r="H457" s="5" t="s">
        <v>8277</v>
      </c>
      <c r="I457" s="5" t="s">
        <v>1621</v>
      </c>
      <c r="J457" s="8">
        <v>66.5</v>
      </c>
      <c r="K457" s="5" t="s">
        <v>1522</v>
      </c>
      <c r="L457">
        <f t="shared" si="7"/>
        <v>4</v>
      </c>
    </row>
    <row r="458" spans="1:12" hidden="1" x14ac:dyDescent="0.25">
      <c r="A458" s="5">
        <v>47651</v>
      </c>
      <c r="B458" t="s">
        <v>8278</v>
      </c>
      <c r="C458" s="5" t="s">
        <v>8279</v>
      </c>
      <c r="D458" t="s">
        <v>8280</v>
      </c>
      <c r="E458" s="5" t="s">
        <v>1548</v>
      </c>
      <c r="F458" s="6">
        <v>46113.670138888891</v>
      </c>
      <c r="G458" s="5" t="s">
        <v>7595</v>
      </c>
      <c r="H458" t="s">
        <v>7482</v>
      </c>
      <c r="I458" s="5" t="s">
        <v>1528</v>
      </c>
      <c r="J458" s="8">
        <v>179</v>
      </c>
      <c r="K458" s="5" t="s">
        <v>1522</v>
      </c>
      <c r="L458">
        <f t="shared" si="7"/>
        <v>4</v>
      </c>
    </row>
    <row r="459" spans="1:12" hidden="1" x14ac:dyDescent="0.25">
      <c r="A459" s="5">
        <v>47652</v>
      </c>
      <c r="B459" t="s">
        <v>8281</v>
      </c>
      <c r="C459" s="5" t="s">
        <v>8282</v>
      </c>
      <c r="D459" t="s">
        <v>8283</v>
      </c>
      <c r="E459" s="5" t="s">
        <v>2625</v>
      </c>
      <c r="F459" s="6">
        <v>46113.683333333334</v>
      </c>
      <c r="G459" s="5" t="s">
        <v>7456</v>
      </c>
      <c r="H459" s="5" t="s">
        <v>8284</v>
      </c>
      <c r="I459" s="5" t="s">
        <v>1528</v>
      </c>
      <c r="J459" s="8">
        <v>438</v>
      </c>
      <c r="K459" s="5" t="s">
        <v>1522</v>
      </c>
      <c r="L459">
        <f t="shared" si="7"/>
        <v>4</v>
      </c>
    </row>
    <row r="460" spans="1:12" hidden="1" x14ac:dyDescent="0.25">
      <c r="A460" s="5">
        <v>47664</v>
      </c>
      <c r="B460" t="s">
        <v>8285</v>
      </c>
      <c r="C460" s="5" t="s">
        <v>7516</v>
      </c>
      <c r="D460" t="s">
        <v>8286</v>
      </c>
      <c r="E460" s="5" t="s">
        <v>7755</v>
      </c>
      <c r="F460" s="6">
        <v>46114.626388888886</v>
      </c>
      <c r="G460" s="5" t="s">
        <v>7595</v>
      </c>
      <c r="H460" t="s">
        <v>7482</v>
      </c>
      <c r="I460" s="5" t="s">
        <v>1528</v>
      </c>
      <c r="J460" s="8">
        <v>1400</v>
      </c>
      <c r="K460" s="5" t="s">
        <v>1522</v>
      </c>
      <c r="L460">
        <f t="shared" si="7"/>
        <v>4</v>
      </c>
    </row>
    <row r="461" spans="1:12" hidden="1" x14ac:dyDescent="0.25">
      <c r="A461" s="5">
        <v>47669</v>
      </c>
      <c r="B461" t="s">
        <v>8287</v>
      </c>
      <c r="C461" s="5" t="s">
        <v>7863</v>
      </c>
      <c r="D461" t="s">
        <v>8288</v>
      </c>
      <c r="E461" s="5" t="s">
        <v>8289</v>
      </c>
      <c r="F461" s="6">
        <v>46114.658333333333</v>
      </c>
      <c r="G461" s="5" t="s">
        <v>7595</v>
      </c>
      <c r="H461" t="s">
        <v>7482</v>
      </c>
      <c r="I461" s="5" t="s">
        <v>1528</v>
      </c>
      <c r="J461" s="8">
        <v>1747.4</v>
      </c>
      <c r="K461" s="5" t="s">
        <v>1522</v>
      </c>
      <c r="L461">
        <f t="shared" si="7"/>
        <v>4</v>
      </c>
    </row>
    <row r="462" spans="1:12" hidden="1" x14ac:dyDescent="0.25">
      <c r="A462" s="5">
        <v>47676</v>
      </c>
      <c r="B462" t="s">
        <v>7469</v>
      </c>
      <c r="C462" s="5" t="s">
        <v>7470</v>
      </c>
      <c r="D462" t="s">
        <v>7471</v>
      </c>
      <c r="E462" s="5" t="s">
        <v>3434</v>
      </c>
      <c r="F462" s="6">
        <v>46114.699305555558</v>
      </c>
      <c r="G462" s="5" t="s">
        <v>7456</v>
      </c>
      <c r="H462" s="5" t="s">
        <v>8290</v>
      </c>
      <c r="I462" s="5" t="s">
        <v>1621</v>
      </c>
      <c r="J462" s="8">
        <v>199.5</v>
      </c>
      <c r="K462" s="5" t="s">
        <v>1522</v>
      </c>
      <c r="L462">
        <f t="shared" si="7"/>
        <v>4</v>
      </c>
    </row>
    <row r="463" spans="1:12" hidden="1" x14ac:dyDescent="0.25">
      <c r="A463" s="5">
        <v>47677</v>
      </c>
      <c r="B463" t="s">
        <v>7469</v>
      </c>
      <c r="C463" s="5" t="s">
        <v>7470</v>
      </c>
      <c r="D463" t="s">
        <v>7471</v>
      </c>
      <c r="E463" s="5" t="s">
        <v>3389</v>
      </c>
      <c r="F463" s="6">
        <v>46114.70208333333</v>
      </c>
      <c r="G463" s="5" t="s">
        <v>7456</v>
      </c>
      <c r="H463" s="5" t="s">
        <v>8291</v>
      </c>
      <c r="I463" s="5" t="s">
        <v>1621</v>
      </c>
      <c r="J463" s="8">
        <v>171.3</v>
      </c>
      <c r="K463" s="5" t="s">
        <v>1522</v>
      </c>
      <c r="L463">
        <f t="shared" si="7"/>
        <v>4</v>
      </c>
    </row>
    <row r="464" spans="1:12" hidden="1" x14ac:dyDescent="0.25">
      <c r="A464" s="5">
        <v>47678</v>
      </c>
      <c r="B464" t="s">
        <v>7469</v>
      </c>
      <c r="C464" s="5" t="s">
        <v>7470</v>
      </c>
      <c r="D464" t="s">
        <v>7471</v>
      </c>
      <c r="E464" s="5" t="s">
        <v>3389</v>
      </c>
      <c r="F464" s="6">
        <v>46114.707638888889</v>
      </c>
      <c r="G464" s="5" t="s">
        <v>7456</v>
      </c>
      <c r="H464" s="5" t="s">
        <v>8292</v>
      </c>
      <c r="I464" s="5" t="s">
        <v>1621</v>
      </c>
      <c r="J464" s="8">
        <v>172.8</v>
      </c>
      <c r="K464" s="5" t="s">
        <v>1522</v>
      </c>
      <c r="L464">
        <f t="shared" si="7"/>
        <v>4</v>
      </c>
    </row>
    <row r="465" spans="1:12" hidden="1" x14ac:dyDescent="0.25">
      <c r="A465" s="5">
        <v>47679</v>
      </c>
      <c r="B465" t="s">
        <v>7469</v>
      </c>
      <c r="C465" s="5" t="s">
        <v>7470</v>
      </c>
      <c r="D465" t="s">
        <v>7471</v>
      </c>
      <c r="E465" s="5" t="s">
        <v>5267</v>
      </c>
      <c r="F465" s="6">
        <v>46114.708333333336</v>
      </c>
      <c r="G465" s="5" t="s">
        <v>7456</v>
      </c>
      <c r="H465" s="5" t="s">
        <v>8293</v>
      </c>
      <c r="I465" s="5" t="s">
        <v>1621</v>
      </c>
      <c r="J465" s="8">
        <v>113.3</v>
      </c>
      <c r="K465" s="5" t="s">
        <v>1522</v>
      </c>
      <c r="L465">
        <f t="shared" si="7"/>
        <v>4</v>
      </c>
    </row>
    <row r="466" spans="1:12" hidden="1" x14ac:dyDescent="0.25">
      <c r="A466" s="5">
        <v>47680</v>
      </c>
      <c r="B466" t="s">
        <v>7469</v>
      </c>
      <c r="C466" s="5" t="s">
        <v>7470</v>
      </c>
      <c r="D466" t="s">
        <v>7471</v>
      </c>
      <c r="E466" s="5" t="s">
        <v>5267</v>
      </c>
      <c r="F466" s="6">
        <v>46114.709722222222</v>
      </c>
      <c r="G466" s="5" t="s">
        <v>7456</v>
      </c>
      <c r="H466" s="5" t="s">
        <v>8294</v>
      </c>
      <c r="I466" s="5" t="s">
        <v>1621</v>
      </c>
      <c r="J466" s="8">
        <v>105</v>
      </c>
      <c r="K466" s="5" t="s">
        <v>1522</v>
      </c>
      <c r="L466">
        <f t="shared" si="7"/>
        <v>4</v>
      </c>
    </row>
    <row r="467" spans="1:12" hidden="1" x14ac:dyDescent="0.25">
      <c r="A467" s="5">
        <v>47681</v>
      </c>
      <c r="B467" t="s">
        <v>7469</v>
      </c>
      <c r="C467" s="5" t="s">
        <v>7470</v>
      </c>
      <c r="D467" t="s">
        <v>7471</v>
      </c>
      <c r="E467" s="5" t="s">
        <v>5267</v>
      </c>
      <c r="F467" s="6">
        <v>46114.713888888888</v>
      </c>
      <c r="G467" s="5" t="s">
        <v>7456</v>
      </c>
      <c r="H467" s="5" t="s">
        <v>8295</v>
      </c>
      <c r="I467" s="5" t="s">
        <v>1621</v>
      </c>
      <c r="J467" s="8">
        <v>113.4</v>
      </c>
      <c r="K467" s="5" t="s">
        <v>1522</v>
      </c>
      <c r="L467">
        <f t="shared" si="7"/>
        <v>4</v>
      </c>
    </row>
    <row r="468" spans="1:12" hidden="1" x14ac:dyDescent="0.25">
      <c r="A468" s="5">
        <v>47682</v>
      </c>
      <c r="B468" t="s">
        <v>7469</v>
      </c>
      <c r="C468" s="5" t="s">
        <v>7470</v>
      </c>
      <c r="D468" t="s">
        <v>7471</v>
      </c>
      <c r="E468" s="5" t="s">
        <v>5811</v>
      </c>
      <c r="F468" s="6">
        <v>46114.715277777781</v>
      </c>
      <c r="G468" s="5" t="s">
        <v>7456</v>
      </c>
      <c r="H468" s="5" t="s">
        <v>8296</v>
      </c>
      <c r="I468" s="5" t="s">
        <v>1621</v>
      </c>
      <c r="J468" s="8">
        <v>30</v>
      </c>
      <c r="K468" s="5" t="s">
        <v>1522</v>
      </c>
      <c r="L468">
        <f t="shared" si="7"/>
        <v>4</v>
      </c>
    </row>
    <row r="469" spans="1:12" hidden="1" x14ac:dyDescent="0.25">
      <c r="A469" s="5">
        <v>47683</v>
      </c>
      <c r="B469" t="s">
        <v>7469</v>
      </c>
      <c r="C469" s="5" t="s">
        <v>7470</v>
      </c>
      <c r="D469" t="s">
        <v>7471</v>
      </c>
      <c r="E469" s="5" t="s">
        <v>5267</v>
      </c>
      <c r="F469" s="6">
        <v>46114.716666666667</v>
      </c>
      <c r="G469" s="5" t="s">
        <v>7456</v>
      </c>
      <c r="H469" s="5" t="s">
        <v>8297</v>
      </c>
      <c r="I469" s="5" t="s">
        <v>1621</v>
      </c>
      <c r="J469" s="8">
        <v>60</v>
      </c>
      <c r="K469" s="5" t="s">
        <v>1522</v>
      </c>
      <c r="L469">
        <f t="shared" si="7"/>
        <v>4</v>
      </c>
    </row>
    <row r="470" spans="1:12" hidden="1" x14ac:dyDescent="0.25">
      <c r="A470" s="5">
        <v>47693</v>
      </c>
      <c r="B470" t="s">
        <v>7575</v>
      </c>
      <c r="C470" s="5" t="s">
        <v>7576</v>
      </c>
      <c r="D470" t="s">
        <v>7577</v>
      </c>
      <c r="E470" s="5" t="s">
        <v>5469</v>
      </c>
      <c r="F470" s="6">
        <v>46118.436805555553</v>
      </c>
      <c r="G470" s="5" t="s">
        <v>7456</v>
      </c>
      <c r="H470" s="5" t="s">
        <v>8298</v>
      </c>
      <c r="I470" s="5" t="s">
        <v>1528</v>
      </c>
      <c r="J470" s="8">
        <v>125</v>
      </c>
      <c r="K470" s="5" t="s">
        <v>1522</v>
      </c>
      <c r="L470">
        <f t="shared" si="7"/>
        <v>4</v>
      </c>
    </row>
    <row r="471" spans="1:12" hidden="1" x14ac:dyDescent="0.25">
      <c r="A471" s="5">
        <v>47695</v>
      </c>
      <c r="B471" t="s">
        <v>7686</v>
      </c>
      <c r="C471" s="5" t="s">
        <v>7795</v>
      </c>
      <c r="D471" t="s">
        <v>7688</v>
      </c>
      <c r="E471" s="5" t="s">
        <v>2230</v>
      </c>
      <c r="F471" s="6">
        <v>46118.478472222225</v>
      </c>
      <c r="G471" s="5" t="s">
        <v>7456</v>
      </c>
      <c r="H471" s="5" t="s">
        <v>8299</v>
      </c>
      <c r="I471" s="5" t="s">
        <v>1528</v>
      </c>
      <c r="J471" s="8">
        <v>900</v>
      </c>
      <c r="K471" s="5" t="s">
        <v>1522</v>
      </c>
      <c r="L471">
        <f t="shared" si="7"/>
        <v>4</v>
      </c>
    </row>
    <row r="472" spans="1:12" hidden="1" x14ac:dyDescent="0.25">
      <c r="A472" s="5">
        <v>47697</v>
      </c>
      <c r="B472" t="s">
        <v>7686</v>
      </c>
      <c r="C472" s="5" t="s">
        <v>7687</v>
      </c>
      <c r="D472" t="s">
        <v>7688</v>
      </c>
      <c r="E472" s="5" t="s">
        <v>1634</v>
      </c>
      <c r="F472" s="6">
        <v>46118.557638888888</v>
      </c>
      <c r="G472" s="5" t="s">
        <v>7456</v>
      </c>
      <c r="H472" s="5" t="s">
        <v>8300</v>
      </c>
      <c r="I472" s="5" t="s">
        <v>1528</v>
      </c>
      <c r="J472" s="8">
        <v>3965</v>
      </c>
      <c r="K472" s="5" t="s">
        <v>1522</v>
      </c>
      <c r="L472">
        <f t="shared" si="7"/>
        <v>4</v>
      </c>
    </row>
    <row r="473" spans="1:12" hidden="1" x14ac:dyDescent="0.25">
      <c r="A473" s="5">
        <v>47702</v>
      </c>
      <c r="B473" t="s">
        <v>8301</v>
      </c>
      <c r="C473" s="5" t="s">
        <v>7503</v>
      </c>
      <c r="D473" t="s">
        <v>7504</v>
      </c>
      <c r="E473" s="5" t="s">
        <v>7197</v>
      </c>
      <c r="F473" s="6">
        <v>46118.698611111111</v>
      </c>
      <c r="G473" s="5" t="s">
        <v>7456</v>
      </c>
      <c r="H473" s="5" t="s">
        <v>8302</v>
      </c>
      <c r="I473" s="5" t="s">
        <v>1528</v>
      </c>
      <c r="J473" s="8">
        <v>25</v>
      </c>
      <c r="K473" s="5" t="s">
        <v>1522</v>
      </c>
      <c r="L473">
        <f t="shared" si="7"/>
        <v>4</v>
      </c>
    </row>
    <row r="474" spans="1:12" hidden="1" x14ac:dyDescent="0.25">
      <c r="A474" s="5">
        <v>47706</v>
      </c>
      <c r="B474" t="s">
        <v>7469</v>
      </c>
      <c r="C474" s="5" t="s">
        <v>7470</v>
      </c>
      <c r="D474" t="s">
        <v>7471</v>
      </c>
      <c r="E474" s="5" t="s">
        <v>3389</v>
      </c>
      <c r="F474" s="6">
        <v>46118.743750000001</v>
      </c>
      <c r="G474" s="5" t="s">
        <v>7595</v>
      </c>
      <c r="H474" s="5" t="s">
        <v>8303</v>
      </c>
      <c r="I474" s="5" t="s">
        <v>1621</v>
      </c>
      <c r="J474" s="8">
        <v>28.8</v>
      </c>
      <c r="K474" s="5" t="s">
        <v>1522</v>
      </c>
      <c r="L474">
        <f t="shared" si="7"/>
        <v>4</v>
      </c>
    </row>
    <row r="475" spans="1:12" hidden="1" x14ac:dyDescent="0.25">
      <c r="A475" s="5">
        <v>47710</v>
      </c>
      <c r="B475" t="s">
        <v>8125</v>
      </c>
      <c r="C475" s="5" t="s">
        <v>8126</v>
      </c>
      <c r="D475" t="s">
        <v>8127</v>
      </c>
      <c r="E475" s="5" t="s">
        <v>1548</v>
      </c>
      <c r="F475" s="6">
        <v>46119.381944444445</v>
      </c>
      <c r="G475" s="5" t="s">
        <v>8128</v>
      </c>
      <c r="H475" t="s">
        <v>7482</v>
      </c>
      <c r="I475" s="5" t="s">
        <v>1528</v>
      </c>
      <c r="J475" s="8">
        <v>1357.2</v>
      </c>
      <c r="K475" s="5" t="s">
        <v>1522</v>
      </c>
      <c r="L475">
        <f t="shared" si="7"/>
        <v>4</v>
      </c>
    </row>
    <row r="476" spans="1:12" hidden="1" x14ac:dyDescent="0.25">
      <c r="A476" s="5">
        <v>47713</v>
      </c>
      <c r="B476" t="s">
        <v>7473</v>
      </c>
      <c r="C476" s="5" t="s">
        <v>7474</v>
      </c>
      <c r="D476" t="s">
        <v>7475</v>
      </c>
      <c r="E476" s="5" t="s">
        <v>4285</v>
      </c>
      <c r="F476" s="6">
        <v>46119.429166666669</v>
      </c>
      <c r="G476" s="5" t="s">
        <v>7456</v>
      </c>
      <c r="H476" s="5" t="s">
        <v>8304</v>
      </c>
      <c r="I476" s="5" t="s">
        <v>1528</v>
      </c>
      <c r="J476" s="8">
        <v>180</v>
      </c>
      <c r="K476" s="5" t="s">
        <v>1522</v>
      </c>
      <c r="L476">
        <f t="shared" si="7"/>
        <v>4</v>
      </c>
    </row>
    <row r="477" spans="1:12" hidden="1" x14ac:dyDescent="0.25">
      <c r="A477" s="5">
        <v>47716</v>
      </c>
      <c r="B477" t="s">
        <v>8305</v>
      </c>
      <c r="C477" s="5" t="s">
        <v>8306</v>
      </c>
      <c r="D477" t="s">
        <v>8307</v>
      </c>
      <c r="E477" s="5" t="s">
        <v>2875</v>
      </c>
      <c r="F477" s="6">
        <v>46119.564583333333</v>
      </c>
      <c r="G477" s="5" t="s">
        <v>7456</v>
      </c>
      <c r="H477" s="5" t="s">
        <v>8308</v>
      </c>
      <c r="I477" s="5" t="s">
        <v>1528</v>
      </c>
      <c r="J477" s="8">
        <v>100</v>
      </c>
      <c r="K477" s="5" t="s">
        <v>1522</v>
      </c>
      <c r="L477">
        <f t="shared" si="7"/>
        <v>4</v>
      </c>
    </row>
    <row r="478" spans="1:12" hidden="1" x14ac:dyDescent="0.25">
      <c r="A478" s="5">
        <v>47741</v>
      </c>
      <c r="B478" t="s">
        <v>8309</v>
      </c>
      <c r="C478" s="5" t="s">
        <v>8310</v>
      </c>
      <c r="D478" t="s">
        <v>8311</v>
      </c>
      <c r="E478" s="5" t="s">
        <v>4666</v>
      </c>
      <c r="F478" s="6">
        <v>46120.486111111109</v>
      </c>
      <c r="G478" s="5" t="s">
        <v>7456</v>
      </c>
      <c r="H478" s="5" t="s">
        <v>8312</v>
      </c>
      <c r="I478" s="5" t="s">
        <v>1528</v>
      </c>
      <c r="J478" s="8">
        <v>176.8</v>
      </c>
      <c r="K478" s="5" t="s">
        <v>1522</v>
      </c>
      <c r="L478">
        <f t="shared" si="7"/>
        <v>4</v>
      </c>
    </row>
    <row r="479" spans="1:12" hidden="1" x14ac:dyDescent="0.25">
      <c r="A479" s="5">
        <v>47759</v>
      </c>
      <c r="B479" t="s">
        <v>7620</v>
      </c>
      <c r="C479" s="5" t="s">
        <v>7621</v>
      </c>
      <c r="D479" t="s">
        <v>7622</v>
      </c>
      <c r="E479" s="5" t="s">
        <v>6029</v>
      </c>
      <c r="F479" s="6">
        <v>46121.359722222223</v>
      </c>
      <c r="G479" s="5" t="s">
        <v>7456</v>
      </c>
      <c r="H479" s="5" t="s">
        <v>8313</v>
      </c>
      <c r="I479" s="5" t="s">
        <v>1528</v>
      </c>
      <c r="J479" s="8">
        <v>36</v>
      </c>
      <c r="K479" s="5" t="s">
        <v>1522</v>
      </c>
      <c r="L479">
        <f t="shared" si="7"/>
        <v>4</v>
      </c>
    </row>
    <row r="480" spans="1:12" hidden="1" x14ac:dyDescent="0.25">
      <c r="A480" s="5">
        <v>47762</v>
      </c>
      <c r="B480" t="s">
        <v>8314</v>
      </c>
      <c r="C480" s="5" t="s">
        <v>8315</v>
      </c>
      <c r="D480" t="s">
        <v>8316</v>
      </c>
      <c r="E480" s="5" t="s">
        <v>2286</v>
      </c>
      <c r="F480" s="6">
        <v>46121.392361111109</v>
      </c>
      <c r="G480" s="5" t="s">
        <v>7456</v>
      </c>
      <c r="H480" s="5" t="s">
        <v>8317</v>
      </c>
      <c r="I480" s="5" t="s">
        <v>1528</v>
      </c>
      <c r="J480" s="8">
        <v>838</v>
      </c>
      <c r="K480" s="5" t="s">
        <v>1522</v>
      </c>
      <c r="L480">
        <f t="shared" si="7"/>
        <v>4</v>
      </c>
    </row>
    <row r="481" spans="1:12" hidden="1" x14ac:dyDescent="0.25">
      <c r="A481" s="5">
        <v>47764</v>
      </c>
      <c r="B481" t="s">
        <v>8318</v>
      </c>
      <c r="C481" s="5" t="s">
        <v>8319</v>
      </c>
      <c r="D481" t="s">
        <v>8320</v>
      </c>
      <c r="E481" s="5" t="s">
        <v>1548</v>
      </c>
      <c r="F481" s="6">
        <v>46121.405555555553</v>
      </c>
      <c r="G481" s="5" t="s">
        <v>7456</v>
      </c>
      <c r="H481" s="5" t="s">
        <v>8321</v>
      </c>
      <c r="I481" s="5" t="s">
        <v>1528</v>
      </c>
      <c r="J481" s="8">
        <v>380</v>
      </c>
      <c r="K481" s="5" t="s">
        <v>1522</v>
      </c>
      <c r="L481">
        <f t="shared" si="7"/>
        <v>4</v>
      </c>
    </row>
    <row r="482" spans="1:12" hidden="1" x14ac:dyDescent="0.25">
      <c r="A482" s="5">
        <v>47765</v>
      </c>
      <c r="B482" t="s">
        <v>8016</v>
      </c>
      <c r="C482" s="5" t="s">
        <v>8322</v>
      </c>
      <c r="D482" t="s">
        <v>8018</v>
      </c>
      <c r="E482" s="5" t="s">
        <v>6765</v>
      </c>
      <c r="F482" s="6">
        <v>46121.407638888886</v>
      </c>
      <c r="G482" s="5" t="s">
        <v>7456</v>
      </c>
      <c r="H482" s="5" t="s">
        <v>8323</v>
      </c>
      <c r="I482" s="5" t="s">
        <v>1528</v>
      </c>
      <c r="J482" s="8">
        <v>48</v>
      </c>
      <c r="K482" s="5" t="s">
        <v>1522</v>
      </c>
      <c r="L482">
        <f t="shared" si="7"/>
        <v>4</v>
      </c>
    </row>
    <row r="483" spans="1:12" hidden="1" x14ac:dyDescent="0.25">
      <c r="A483" s="5">
        <v>47766</v>
      </c>
      <c r="B483" t="s">
        <v>8016</v>
      </c>
      <c r="C483" s="5" t="s">
        <v>8017</v>
      </c>
      <c r="D483" t="s">
        <v>8018</v>
      </c>
      <c r="E483" s="5" t="s">
        <v>1548</v>
      </c>
      <c r="F483" s="6">
        <v>46121.408333333333</v>
      </c>
      <c r="G483" s="5" t="s">
        <v>7672</v>
      </c>
      <c r="H483" t="s">
        <v>7482</v>
      </c>
      <c r="I483" s="5" t="s">
        <v>1528</v>
      </c>
      <c r="J483" s="8">
        <v>58</v>
      </c>
      <c r="K483" s="5" t="s">
        <v>1522</v>
      </c>
      <c r="L483">
        <f t="shared" si="7"/>
        <v>4</v>
      </c>
    </row>
    <row r="484" spans="1:12" hidden="1" x14ac:dyDescent="0.25">
      <c r="A484" s="5">
        <v>47767</v>
      </c>
      <c r="B484" t="s">
        <v>7453</v>
      </c>
      <c r="C484" s="5" t="s">
        <v>7454</v>
      </c>
      <c r="D484" t="s">
        <v>7455</v>
      </c>
      <c r="E484" s="5" t="s">
        <v>3339</v>
      </c>
      <c r="F484" s="6">
        <v>46121.408333333333</v>
      </c>
      <c r="G484" s="5" t="s">
        <v>7456</v>
      </c>
      <c r="H484" s="5" t="s">
        <v>8324</v>
      </c>
      <c r="I484" s="5" t="s">
        <v>1528</v>
      </c>
      <c r="J484" s="8">
        <v>352</v>
      </c>
      <c r="K484" s="5" t="s">
        <v>1522</v>
      </c>
      <c r="L484">
        <f t="shared" si="7"/>
        <v>4</v>
      </c>
    </row>
    <row r="485" spans="1:12" hidden="1" x14ac:dyDescent="0.25">
      <c r="A485" s="5">
        <v>47768</v>
      </c>
      <c r="B485" t="s">
        <v>7453</v>
      </c>
      <c r="C485" s="5" t="s">
        <v>7454</v>
      </c>
      <c r="D485" t="s">
        <v>7455</v>
      </c>
      <c r="E485" s="5" t="s">
        <v>1548</v>
      </c>
      <c r="F485" s="6">
        <v>46121.409722222219</v>
      </c>
      <c r="G485" s="5" t="s">
        <v>7595</v>
      </c>
      <c r="H485" t="s">
        <v>7482</v>
      </c>
      <c r="I485" s="5" t="s">
        <v>1528</v>
      </c>
      <c r="J485" s="8">
        <v>34</v>
      </c>
      <c r="K485" s="5" t="s">
        <v>1522</v>
      </c>
      <c r="L485">
        <f t="shared" si="7"/>
        <v>4</v>
      </c>
    </row>
    <row r="486" spans="1:12" hidden="1" x14ac:dyDescent="0.25">
      <c r="A486" s="5">
        <v>47772</v>
      </c>
      <c r="B486" t="s">
        <v>7469</v>
      </c>
      <c r="C486" s="5" t="s">
        <v>7470</v>
      </c>
      <c r="D486" t="s">
        <v>7471</v>
      </c>
      <c r="E486" s="5" t="s">
        <v>3389</v>
      </c>
      <c r="F486" s="6">
        <v>46121.418055555558</v>
      </c>
      <c r="G486" s="5" t="s">
        <v>7456</v>
      </c>
      <c r="H486" s="5" t="s">
        <v>8325</v>
      </c>
      <c r="I486" s="5" t="s">
        <v>1621</v>
      </c>
      <c r="J486" s="8">
        <v>28.8</v>
      </c>
      <c r="K486" s="5" t="s">
        <v>1522</v>
      </c>
      <c r="L486">
        <f t="shared" si="7"/>
        <v>4</v>
      </c>
    </row>
    <row r="487" spans="1:12" hidden="1" x14ac:dyDescent="0.25">
      <c r="A487" s="5">
        <v>47773</v>
      </c>
      <c r="B487" t="s">
        <v>7831</v>
      </c>
      <c r="C487" s="5" t="s">
        <v>1382</v>
      </c>
      <c r="D487" t="s">
        <v>7832</v>
      </c>
      <c r="E487" s="5" t="s">
        <v>2734</v>
      </c>
      <c r="F487" s="6">
        <v>46121.42291666667</v>
      </c>
      <c r="G487" s="5" t="s">
        <v>7456</v>
      </c>
      <c r="H487" s="5" t="s">
        <v>8326</v>
      </c>
      <c r="I487" s="5" t="s">
        <v>1528</v>
      </c>
      <c r="J487" s="8">
        <v>45.5</v>
      </c>
      <c r="K487" s="5" t="s">
        <v>1522</v>
      </c>
      <c r="L487">
        <f t="shared" si="7"/>
        <v>4</v>
      </c>
    </row>
    <row r="488" spans="1:12" hidden="1" x14ac:dyDescent="0.25">
      <c r="A488" s="5">
        <v>47777</v>
      </c>
      <c r="B488" t="s">
        <v>7469</v>
      </c>
      <c r="C488" s="5" t="s">
        <v>7470</v>
      </c>
      <c r="D488" t="s">
        <v>7471</v>
      </c>
      <c r="E488" s="5" t="s">
        <v>5811</v>
      </c>
      <c r="F488" s="6">
        <v>46121.445833333331</v>
      </c>
      <c r="G488" s="5" t="s">
        <v>7456</v>
      </c>
      <c r="H488" s="5" t="s">
        <v>8327</v>
      </c>
      <c r="I488" s="5" t="s">
        <v>1554</v>
      </c>
      <c r="J488" s="8">
        <v>90</v>
      </c>
      <c r="K488" s="5" t="s">
        <v>1522</v>
      </c>
      <c r="L488">
        <f t="shared" si="7"/>
        <v>4</v>
      </c>
    </row>
    <row r="489" spans="1:12" hidden="1" x14ac:dyDescent="0.25">
      <c r="A489" s="5">
        <v>47778</v>
      </c>
      <c r="B489" t="s">
        <v>8328</v>
      </c>
      <c r="C489" s="5" t="s">
        <v>8093</v>
      </c>
      <c r="D489" t="s">
        <v>8329</v>
      </c>
      <c r="E489" s="5" t="s">
        <v>8330</v>
      </c>
      <c r="F489" s="6">
        <v>46121.447222222225</v>
      </c>
      <c r="G489" s="5" t="s">
        <v>7595</v>
      </c>
      <c r="H489" t="s">
        <v>7482</v>
      </c>
      <c r="I489" s="5" t="s">
        <v>1528</v>
      </c>
      <c r="J489" s="8">
        <v>1039.24</v>
      </c>
      <c r="K489" s="5" t="s">
        <v>1522</v>
      </c>
      <c r="L489">
        <f t="shared" si="7"/>
        <v>4</v>
      </c>
    </row>
    <row r="490" spans="1:12" hidden="1" x14ac:dyDescent="0.25">
      <c r="A490" s="5">
        <v>47779</v>
      </c>
      <c r="B490" t="s">
        <v>8328</v>
      </c>
      <c r="C490" s="5" t="s">
        <v>8093</v>
      </c>
      <c r="D490" t="s">
        <v>8329</v>
      </c>
      <c r="E490" s="5" t="s">
        <v>8331</v>
      </c>
      <c r="F490" s="6">
        <v>46121.455555555556</v>
      </c>
      <c r="G490" s="5" t="s">
        <v>7595</v>
      </c>
      <c r="H490" t="s">
        <v>7482</v>
      </c>
      <c r="I490" s="5" t="s">
        <v>1528</v>
      </c>
      <c r="J490" s="8">
        <v>636.9</v>
      </c>
      <c r="K490" s="5" t="s">
        <v>1522</v>
      </c>
      <c r="L490">
        <f t="shared" si="7"/>
        <v>4</v>
      </c>
    </row>
    <row r="491" spans="1:12" hidden="1" x14ac:dyDescent="0.25">
      <c r="A491" s="5">
        <v>47803</v>
      </c>
      <c r="B491" t="s">
        <v>8158</v>
      </c>
      <c r="C491" s="5" t="s">
        <v>7503</v>
      </c>
      <c r="D491" t="s">
        <v>7542</v>
      </c>
      <c r="E491" s="5" t="s">
        <v>4340</v>
      </c>
      <c r="F491" s="6">
        <v>46122.355555555558</v>
      </c>
      <c r="G491" s="5" t="s">
        <v>7456</v>
      </c>
      <c r="H491" s="5" t="s">
        <v>8332</v>
      </c>
      <c r="I491" s="5" t="s">
        <v>1528</v>
      </c>
      <c r="J491" s="8">
        <v>212</v>
      </c>
      <c r="K491" s="5" t="s">
        <v>1522</v>
      </c>
      <c r="L491">
        <f t="shared" si="7"/>
        <v>4</v>
      </c>
    </row>
    <row r="492" spans="1:12" hidden="1" x14ac:dyDescent="0.25">
      <c r="A492" s="5">
        <v>47806</v>
      </c>
      <c r="B492" t="s">
        <v>7515</v>
      </c>
      <c r="C492" s="5" t="s">
        <v>7516</v>
      </c>
      <c r="D492" t="s">
        <v>7517</v>
      </c>
      <c r="E492" s="5" t="s">
        <v>2981</v>
      </c>
      <c r="F492" s="6">
        <v>46122.393750000003</v>
      </c>
      <c r="G492" s="5" t="s">
        <v>7456</v>
      </c>
      <c r="H492" t="s">
        <v>7482</v>
      </c>
      <c r="I492" s="5" t="s">
        <v>1528</v>
      </c>
      <c r="J492" s="8">
        <v>80</v>
      </c>
      <c r="K492" s="5" t="s">
        <v>1522</v>
      </c>
      <c r="L492">
        <f t="shared" si="7"/>
        <v>4</v>
      </c>
    </row>
    <row r="493" spans="1:12" hidden="1" x14ac:dyDescent="0.25">
      <c r="A493" s="5">
        <v>47808</v>
      </c>
      <c r="B493" t="s">
        <v>7469</v>
      </c>
      <c r="C493" s="5" t="s">
        <v>7470</v>
      </c>
      <c r="D493" t="s">
        <v>7471</v>
      </c>
      <c r="E493" s="5" t="s">
        <v>2467</v>
      </c>
      <c r="F493" s="6">
        <v>46122.420138888891</v>
      </c>
      <c r="G493" s="5" t="s">
        <v>7456</v>
      </c>
      <c r="H493" s="5" t="s">
        <v>8333</v>
      </c>
      <c r="I493" s="5" t="s">
        <v>1621</v>
      </c>
      <c r="J493" s="8">
        <v>171</v>
      </c>
      <c r="K493" s="5" t="s">
        <v>1522</v>
      </c>
      <c r="L493">
        <f t="shared" si="7"/>
        <v>4</v>
      </c>
    </row>
    <row r="494" spans="1:12" hidden="1" x14ac:dyDescent="0.25">
      <c r="A494" s="5">
        <v>47813</v>
      </c>
      <c r="B494" t="s">
        <v>7683</v>
      </c>
      <c r="C494" s="5" t="s">
        <v>7516</v>
      </c>
      <c r="D494" t="s">
        <v>7684</v>
      </c>
      <c r="E494" s="5" t="s">
        <v>1548</v>
      </c>
      <c r="F494" s="6">
        <v>46122.586805555555</v>
      </c>
      <c r="G494" s="5" t="s">
        <v>7456</v>
      </c>
      <c r="H494" s="5" t="s">
        <v>8334</v>
      </c>
      <c r="I494" s="5" t="s">
        <v>1528</v>
      </c>
      <c r="J494" s="8">
        <v>68.8</v>
      </c>
      <c r="K494" s="5" t="s">
        <v>1522</v>
      </c>
      <c r="L494">
        <f t="shared" si="7"/>
        <v>4</v>
      </c>
    </row>
    <row r="495" spans="1:12" hidden="1" x14ac:dyDescent="0.25">
      <c r="A495" s="5">
        <v>47818</v>
      </c>
      <c r="B495" t="s">
        <v>8335</v>
      </c>
      <c r="C495" s="5" t="s">
        <v>8336</v>
      </c>
      <c r="D495" t="s">
        <v>8337</v>
      </c>
      <c r="E495" s="5" t="s">
        <v>1548</v>
      </c>
      <c r="F495" s="6">
        <v>46122.638194444444</v>
      </c>
      <c r="G495" s="5" t="s">
        <v>7595</v>
      </c>
      <c r="H495" t="s">
        <v>7482</v>
      </c>
      <c r="I495" s="5" t="s">
        <v>1528</v>
      </c>
      <c r="J495" s="8">
        <v>3072</v>
      </c>
      <c r="K495" s="5" t="s">
        <v>1522</v>
      </c>
      <c r="L495">
        <f t="shared" si="7"/>
        <v>4</v>
      </c>
    </row>
    <row r="496" spans="1:12" hidden="1" x14ac:dyDescent="0.25">
      <c r="A496" s="5">
        <v>47825</v>
      </c>
      <c r="B496" t="s">
        <v>8259</v>
      </c>
      <c r="C496" s="5" t="s">
        <v>8260</v>
      </c>
      <c r="D496" t="s">
        <v>8261</v>
      </c>
      <c r="E496" s="5" t="s">
        <v>2818</v>
      </c>
      <c r="F496" s="6">
        <v>46125.34652777778</v>
      </c>
      <c r="G496" s="5" t="s">
        <v>7456</v>
      </c>
      <c r="H496" s="5" t="s">
        <v>8338</v>
      </c>
      <c r="I496" s="5" t="s">
        <v>1528</v>
      </c>
      <c r="J496" s="8">
        <v>100</v>
      </c>
      <c r="K496" s="5" t="s">
        <v>1522</v>
      </c>
      <c r="L496">
        <f t="shared" si="7"/>
        <v>4</v>
      </c>
    </row>
    <row r="497" spans="1:12" hidden="1" x14ac:dyDescent="0.25">
      <c r="A497" s="5">
        <v>47832</v>
      </c>
      <c r="B497" t="s">
        <v>7686</v>
      </c>
      <c r="C497" s="5" t="s">
        <v>7795</v>
      </c>
      <c r="D497" t="s">
        <v>7688</v>
      </c>
      <c r="E497" s="5" t="s">
        <v>3192</v>
      </c>
      <c r="F497" s="6">
        <v>46125.425000000003</v>
      </c>
      <c r="G497" s="5" t="s">
        <v>7456</v>
      </c>
      <c r="H497" s="5" t="s">
        <v>8339</v>
      </c>
      <c r="I497" s="5" t="s">
        <v>1528</v>
      </c>
      <c r="J497" s="8">
        <v>396</v>
      </c>
      <c r="K497" s="5" t="s">
        <v>1522</v>
      </c>
      <c r="L497">
        <f t="shared" si="7"/>
        <v>4</v>
      </c>
    </row>
    <row r="498" spans="1:12" hidden="1" x14ac:dyDescent="0.25">
      <c r="A498" s="5">
        <v>47836</v>
      </c>
      <c r="B498" t="s">
        <v>7764</v>
      </c>
      <c r="C498" s="5" t="s">
        <v>7765</v>
      </c>
      <c r="D498" t="s">
        <v>7766</v>
      </c>
      <c r="E498" s="5" t="s">
        <v>1548</v>
      </c>
      <c r="F498" s="6">
        <v>46125.490972222222</v>
      </c>
      <c r="G498" s="5" t="s">
        <v>7456</v>
      </c>
      <c r="H498" t="s">
        <v>7482</v>
      </c>
      <c r="I498" s="5" t="s">
        <v>1528</v>
      </c>
      <c r="J498" s="8">
        <v>30</v>
      </c>
      <c r="K498" s="5" t="s">
        <v>1522</v>
      </c>
      <c r="L498">
        <f t="shared" si="7"/>
        <v>4</v>
      </c>
    </row>
    <row r="499" spans="1:12" hidden="1" x14ac:dyDescent="0.25">
      <c r="A499" s="5">
        <v>47842</v>
      </c>
      <c r="B499" t="s">
        <v>7473</v>
      </c>
      <c r="C499" s="5" t="s">
        <v>7474</v>
      </c>
      <c r="D499" t="s">
        <v>7475</v>
      </c>
      <c r="E499" s="5" t="s">
        <v>4285</v>
      </c>
      <c r="F499" s="6">
        <v>46125.597916666666</v>
      </c>
      <c r="G499" s="5" t="s">
        <v>7456</v>
      </c>
      <c r="H499" s="5" t="s">
        <v>8340</v>
      </c>
      <c r="I499" s="5" t="s">
        <v>1528</v>
      </c>
      <c r="J499" s="8">
        <v>180</v>
      </c>
      <c r="K499" s="5" t="s">
        <v>1522</v>
      </c>
      <c r="L499">
        <f t="shared" si="7"/>
        <v>4</v>
      </c>
    </row>
    <row r="500" spans="1:12" hidden="1" x14ac:dyDescent="0.25">
      <c r="A500" s="5">
        <v>47846</v>
      </c>
      <c r="B500" t="s">
        <v>8341</v>
      </c>
      <c r="C500" s="5" t="s">
        <v>8342</v>
      </c>
      <c r="D500" t="s">
        <v>8343</v>
      </c>
      <c r="E500" s="5" t="s">
        <v>2266</v>
      </c>
      <c r="F500" s="6">
        <v>46125.634722222225</v>
      </c>
      <c r="G500" s="5" t="s">
        <v>7456</v>
      </c>
      <c r="H500" s="5" t="s">
        <v>8344</v>
      </c>
      <c r="I500" s="5" t="s">
        <v>1528</v>
      </c>
      <c r="J500" s="8">
        <v>860.25</v>
      </c>
      <c r="K500" s="5" t="s">
        <v>1522</v>
      </c>
      <c r="L500">
        <f t="shared" si="7"/>
        <v>4</v>
      </c>
    </row>
    <row r="501" spans="1:12" hidden="1" x14ac:dyDescent="0.25">
      <c r="A501" s="5">
        <v>47848</v>
      </c>
      <c r="B501" t="s">
        <v>7515</v>
      </c>
      <c r="C501" s="5" t="s">
        <v>7516</v>
      </c>
      <c r="D501" t="s">
        <v>7517</v>
      </c>
      <c r="E501" s="5" t="s">
        <v>2602</v>
      </c>
      <c r="F501" s="6">
        <v>46125.646527777775</v>
      </c>
      <c r="G501" s="5" t="s">
        <v>7456</v>
      </c>
      <c r="H501" t="s">
        <v>7482</v>
      </c>
      <c r="I501" s="5" t="s">
        <v>1528</v>
      </c>
      <c r="J501" s="8">
        <v>14.7</v>
      </c>
      <c r="K501" s="5" t="s">
        <v>1522</v>
      </c>
      <c r="L501">
        <f t="shared" si="7"/>
        <v>4</v>
      </c>
    </row>
    <row r="502" spans="1:12" hidden="1" x14ac:dyDescent="0.25">
      <c r="A502" s="5">
        <v>47850</v>
      </c>
      <c r="B502" t="s">
        <v>7469</v>
      </c>
      <c r="C502" s="5" t="s">
        <v>7470</v>
      </c>
      <c r="D502" t="s">
        <v>7471</v>
      </c>
      <c r="E502" s="5" t="s">
        <v>5267</v>
      </c>
      <c r="F502" s="6">
        <v>46125.661111111112</v>
      </c>
      <c r="G502" s="5" t="s">
        <v>7456</v>
      </c>
      <c r="H502" s="5" t="s">
        <v>8345</v>
      </c>
      <c r="I502" s="5" t="s">
        <v>1621</v>
      </c>
      <c r="J502" s="8">
        <v>113.4</v>
      </c>
      <c r="K502" s="5" t="s">
        <v>1522</v>
      </c>
      <c r="L502">
        <f t="shared" si="7"/>
        <v>4</v>
      </c>
    </row>
    <row r="503" spans="1:12" hidden="1" x14ac:dyDescent="0.25">
      <c r="A503" s="5">
        <v>47852</v>
      </c>
      <c r="B503" t="s">
        <v>7469</v>
      </c>
      <c r="C503" s="5" t="s">
        <v>7470</v>
      </c>
      <c r="D503" t="s">
        <v>7471</v>
      </c>
      <c r="E503" s="5" t="s">
        <v>5267</v>
      </c>
      <c r="F503" s="6">
        <v>46125.663888888892</v>
      </c>
      <c r="G503" s="5" t="s">
        <v>7456</v>
      </c>
      <c r="H503" s="5" t="s">
        <v>8346</v>
      </c>
      <c r="I503" s="5" t="s">
        <v>1621</v>
      </c>
      <c r="J503" s="8">
        <v>113.4</v>
      </c>
      <c r="K503" s="5" t="s">
        <v>1522</v>
      </c>
      <c r="L503">
        <f t="shared" si="7"/>
        <v>4</v>
      </c>
    </row>
    <row r="504" spans="1:12" hidden="1" x14ac:dyDescent="0.25">
      <c r="A504" s="5">
        <v>47853</v>
      </c>
      <c r="B504" t="s">
        <v>7469</v>
      </c>
      <c r="C504" s="5" t="s">
        <v>7470</v>
      </c>
      <c r="D504" t="s">
        <v>7471</v>
      </c>
      <c r="E504" s="5" t="s">
        <v>6467</v>
      </c>
      <c r="F504" s="6">
        <v>46125.666666666664</v>
      </c>
      <c r="G504" s="5" t="s">
        <v>7456</v>
      </c>
      <c r="H504" s="5" t="s">
        <v>8347</v>
      </c>
      <c r="I504" s="5" t="s">
        <v>1621</v>
      </c>
      <c r="J504" s="8">
        <v>27.9</v>
      </c>
      <c r="K504" s="5" t="s">
        <v>1522</v>
      </c>
      <c r="L504">
        <f t="shared" si="7"/>
        <v>4</v>
      </c>
    </row>
    <row r="505" spans="1:12" hidden="1" x14ac:dyDescent="0.25">
      <c r="A505" s="5">
        <v>47854</v>
      </c>
      <c r="B505" t="s">
        <v>7469</v>
      </c>
      <c r="C505" s="5" t="s">
        <v>7470</v>
      </c>
      <c r="D505" t="s">
        <v>7471</v>
      </c>
      <c r="E505" s="5" t="s">
        <v>6595</v>
      </c>
      <c r="F505" s="6">
        <v>46125.668749999997</v>
      </c>
      <c r="G505" s="5" t="s">
        <v>7456</v>
      </c>
      <c r="H505" s="5" t="s">
        <v>8348</v>
      </c>
      <c r="I505" s="5" t="s">
        <v>1554</v>
      </c>
      <c r="J505" s="8">
        <v>56.88</v>
      </c>
      <c r="K505" s="5" t="s">
        <v>1522</v>
      </c>
      <c r="L505">
        <f t="shared" si="7"/>
        <v>4</v>
      </c>
    </row>
    <row r="506" spans="1:12" hidden="1" x14ac:dyDescent="0.25">
      <c r="A506" s="5">
        <v>47855</v>
      </c>
      <c r="B506" t="s">
        <v>7469</v>
      </c>
      <c r="C506" s="5" t="s">
        <v>7470</v>
      </c>
      <c r="D506" t="s">
        <v>7471</v>
      </c>
      <c r="E506" s="5" t="s">
        <v>3434</v>
      </c>
      <c r="F506" s="6">
        <v>46125.675694444442</v>
      </c>
      <c r="G506" s="5" t="s">
        <v>7456</v>
      </c>
      <c r="H506" s="5" t="s">
        <v>8349</v>
      </c>
      <c r="I506" s="5" t="s">
        <v>1621</v>
      </c>
      <c r="J506" s="8">
        <v>266</v>
      </c>
      <c r="K506" s="5" t="s">
        <v>1522</v>
      </c>
      <c r="L506">
        <f t="shared" si="7"/>
        <v>4</v>
      </c>
    </row>
    <row r="507" spans="1:12" hidden="1" x14ac:dyDescent="0.25">
      <c r="A507" s="5">
        <v>47856</v>
      </c>
      <c r="B507" t="s">
        <v>8103</v>
      </c>
      <c r="C507" s="5" t="s">
        <v>7516</v>
      </c>
      <c r="D507" t="s">
        <v>8104</v>
      </c>
      <c r="E507" s="5" t="s">
        <v>1548</v>
      </c>
      <c r="F507" s="6">
        <v>46125.682638888888</v>
      </c>
      <c r="G507" s="5" t="s">
        <v>7456</v>
      </c>
      <c r="H507" s="5" t="s">
        <v>8350</v>
      </c>
      <c r="I507" s="5" t="s">
        <v>1528</v>
      </c>
      <c r="J507" s="8">
        <v>2885</v>
      </c>
      <c r="K507" s="5" t="s">
        <v>1522</v>
      </c>
      <c r="L507">
        <f t="shared" si="7"/>
        <v>4</v>
      </c>
    </row>
    <row r="508" spans="1:12" hidden="1" x14ac:dyDescent="0.25">
      <c r="A508" s="5">
        <v>47861</v>
      </c>
      <c r="B508" t="s">
        <v>8351</v>
      </c>
      <c r="C508" s="5" t="s">
        <v>8352</v>
      </c>
      <c r="D508" t="s">
        <v>8353</v>
      </c>
      <c r="E508" s="5" t="s">
        <v>1548</v>
      </c>
      <c r="F508" s="6">
        <v>46125.737500000003</v>
      </c>
      <c r="G508" s="5" t="s">
        <v>7595</v>
      </c>
      <c r="H508" t="s">
        <v>7482</v>
      </c>
      <c r="I508" s="5" t="s">
        <v>1528</v>
      </c>
      <c r="J508" s="8">
        <v>1175.1300000000001</v>
      </c>
      <c r="K508" s="5" t="s">
        <v>1522</v>
      </c>
      <c r="L508">
        <f t="shared" si="7"/>
        <v>4</v>
      </c>
    </row>
    <row r="509" spans="1:12" hidden="1" x14ac:dyDescent="0.25">
      <c r="A509" s="5">
        <v>47864</v>
      </c>
      <c r="B509" t="s">
        <v>7683</v>
      </c>
      <c r="C509" s="5" t="s">
        <v>7516</v>
      </c>
      <c r="D509" t="s">
        <v>7684</v>
      </c>
      <c r="E509" s="5" t="s">
        <v>1548</v>
      </c>
      <c r="F509" s="6">
        <v>46126.359027777777</v>
      </c>
      <c r="G509" s="5" t="s">
        <v>7456</v>
      </c>
      <c r="H509" s="5" t="s">
        <v>8354</v>
      </c>
      <c r="I509" s="5" t="s">
        <v>1528</v>
      </c>
      <c r="J509" s="8">
        <v>74.8</v>
      </c>
      <c r="K509" s="5" t="s">
        <v>1522</v>
      </c>
      <c r="L509">
        <f t="shared" si="7"/>
        <v>4</v>
      </c>
    </row>
    <row r="510" spans="1:12" hidden="1" x14ac:dyDescent="0.25">
      <c r="A510" s="5">
        <v>47865</v>
      </c>
      <c r="B510" t="s">
        <v>8355</v>
      </c>
      <c r="C510" s="5" t="s">
        <v>8356</v>
      </c>
      <c r="D510" t="s">
        <v>7644</v>
      </c>
      <c r="E510" s="5" t="s">
        <v>8357</v>
      </c>
      <c r="F510" s="6">
        <v>46126.364583333336</v>
      </c>
      <c r="G510" s="5" t="s">
        <v>7595</v>
      </c>
      <c r="H510" t="s">
        <v>7482</v>
      </c>
      <c r="I510" s="5" t="s">
        <v>1554</v>
      </c>
      <c r="J510" s="8">
        <v>1760</v>
      </c>
      <c r="K510" s="5" t="s">
        <v>1522</v>
      </c>
      <c r="L510">
        <f t="shared" si="7"/>
        <v>4</v>
      </c>
    </row>
    <row r="511" spans="1:12" hidden="1" x14ac:dyDescent="0.25">
      <c r="A511" s="5">
        <v>47883</v>
      </c>
      <c r="B511" t="s">
        <v>7799</v>
      </c>
      <c r="C511" s="5" t="s">
        <v>7800</v>
      </c>
      <c r="D511" t="s">
        <v>7801</v>
      </c>
      <c r="E511" s="5" t="s">
        <v>3120</v>
      </c>
      <c r="F511" s="6">
        <v>46126.615972222222</v>
      </c>
      <c r="G511" s="5" t="s">
        <v>7456</v>
      </c>
      <c r="H511" s="5" t="s">
        <v>8358</v>
      </c>
      <c r="I511" s="5" t="s">
        <v>1528</v>
      </c>
      <c r="J511" s="8">
        <v>414.9</v>
      </c>
      <c r="K511" s="5" t="s">
        <v>1522</v>
      </c>
      <c r="L511">
        <f t="shared" si="7"/>
        <v>4</v>
      </c>
    </row>
    <row r="512" spans="1:12" hidden="1" x14ac:dyDescent="0.25">
      <c r="A512" s="5">
        <v>47887</v>
      </c>
      <c r="B512" t="s">
        <v>8359</v>
      </c>
      <c r="C512" s="5" t="s">
        <v>8360</v>
      </c>
      <c r="D512" t="s">
        <v>8361</v>
      </c>
      <c r="E512" s="5" t="s">
        <v>2625</v>
      </c>
      <c r="F512" s="6">
        <v>46126.667361111111</v>
      </c>
      <c r="G512" s="5" t="s">
        <v>7456</v>
      </c>
      <c r="H512" s="5" t="s">
        <v>8362</v>
      </c>
      <c r="I512" s="5" t="s">
        <v>1528</v>
      </c>
      <c r="J512" s="8">
        <v>269.97000000000003</v>
      </c>
      <c r="K512" s="5" t="s">
        <v>1522</v>
      </c>
      <c r="L512">
        <f t="shared" si="7"/>
        <v>4</v>
      </c>
    </row>
    <row r="513" spans="1:12" hidden="1" x14ac:dyDescent="0.25">
      <c r="A513" s="5">
        <v>47896</v>
      </c>
      <c r="B513" t="s">
        <v>7620</v>
      </c>
      <c r="C513" s="5" t="s">
        <v>7621</v>
      </c>
      <c r="D513" t="s">
        <v>7622</v>
      </c>
      <c r="E513" s="5" t="s">
        <v>6029</v>
      </c>
      <c r="F513" s="6">
        <v>46127.356944444444</v>
      </c>
      <c r="G513" s="5" t="s">
        <v>7456</v>
      </c>
      <c r="H513" t="s">
        <v>7482</v>
      </c>
      <c r="I513" s="5" t="s">
        <v>1528</v>
      </c>
      <c r="J513" s="8">
        <v>288.75</v>
      </c>
      <c r="K513" s="5" t="s">
        <v>1522</v>
      </c>
      <c r="L513">
        <f t="shared" si="7"/>
        <v>4</v>
      </c>
    </row>
    <row r="514" spans="1:12" hidden="1" x14ac:dyDescent="0.25">
      <c r="A514" s="5">
        <v>47900</v>
      </c>
      <c r="B514" t="s">
        <v>8363</v>
      </c>
      <c r="C514" s="5" t="s">
        <v>8364</v>
      </c>
      <c r="D514" t="s">
        <v>8365</v>
      </c>
      <c r="E514" s="5" t="s">
        <v>8366</v>
      </c>
      <c r="F514" s="6">
        <v>46127.385416666664</v>
      </c>
      <c r="G514" s="5" t="s">
        <v>7595</v>
      </c>
      <c r="H514" t="s">
        <v>7482</v>
      </c>
      <c r="I514" s="5" t="s">
        <v>1528</v>
      </c>
      <c r="J514" s="8">
        <v>533</v>
      </c>
      <c r="K514" s="5" t="s">
        <v>1522</v>
      </c>
      <c r="L514">
        <f t="shared" si="7"/>
        <v>4</v>
      </c>
    </row>
    <row r="515" spans="1:12" hidden="1" x14ac:dyDescent="0.25">
      <c r="A515" s="5">
        <v>47903</v>
      </c>
      <c r="B515" t="s">
        <v>7469</v>
      </c>
      <c r="C515" s="5" t="s">
        <v>7470</v>
      </c>
      <c r="D515" t="s">
        <v>7471</v>
      </c>
      <c r="E515" s="5" t="s">
        <v>3389</v>
      </c>
      <c r="F515" s="6">
        <v>46127.460416666669</v>
      </c>
      <c r="G515" s="5" t="s">
        <v>7456</v>
      </c>
      <c r="H515" s="5" t="s">
        <v>8367</v>
      </c>
      <c r="I515" s="5" t="s">
        <v>1621</v>
      </c>
      <c r="J515" s="8">
        <v>5.76</v>
      </c>
      <c r="K515" s="5" t="s">
        <v>1522</v>
      </c>
      <c r="L515">
        <f t="shared" ref="L515:L578" si="8">MONTH(F515)</f>
        <v>4</v>
      </c>
    </row>
    <row r="516" spans="1:12" hidden="1" x14ac:dyDescent="0.25">
      <c r="A516" s="5">
        <v>47904</v>
      </c>
      <c r="B516" t="s">
        <v>7469</v>
      </c>
      <c r="C516" s="5" t="s">
        <v>7470</v>
      </c>
      <c r="D516" t="s">
        <v>7471</v>
      </c>
      <c r="E516" s="5" t="s">
        <v>3389</v>
      </c>
      <c r="F516" s="6">
        <v>46127.462500000001</v>
      </c>
      <c r="G516" s="5" t="s">
        <v>7456</v>
      </c>
      <c r="H516" s="5" t="s">
        <v>8368</v>
      </c>
      <c r="I516" s="5" t="s">
        <v>1621</v>
      </c>
      <c r="J516" s="8">
        <v>57.6</v>
      </c>
      <c r="K516" s="5" t="s">
        <v>1522</v>
      </c>
      <c r="L516">
        <f t="shared" si="8"/>
        <v>4</v>
      </c>
    </row>
    <row r="517" spans="1:12" hidden="1" x14ac:dyDescent="0.25">
      <c r="A517" s="5">
        <v>47905</v>
      </c>
      <c r="B517" t="s">
        <v>8355</v>
      </c>
      <c r="C517" s="5" t="s">
        <v>8356</v>
      </c>
      <c r="D517" t="s">
        <v>7644</v>
      </c>
      <c r="E517" s="5" t="s">
        <v>2554</v>
      </c>
      <c r="F517" s="6">
        <v>46127.476388888892</v>
      </c>
      <c r="G517" s="5" t="s">
        <v>7456</v>
      </c>
      <c r="H517" s="5" t="s">
        <v>8369</v>
      </c>
      <c r="I517" s="5" t="s">
        <v>1528</v>
      </c>
      <c r="J517" s="8">
        <v>640</v>
      </c>
      <c r="K517" s="5" t="s">
        <v>1522</v>
      </c>
      <c r="L517">
        <f t="shared" si="8"/>
        <v>4</v>
      </c>
    </row>
    <row r="518" spans="1:12" hidden="1" x14ac:dyDescent="0.25">
      <c r="A518" s="5">
        <v>47911</v>
      </c>
      <c r="B518" t="s">
        <v>7473</v>
      </c>
      <c r="C518" s="5" t="s">
        <v>7474</v>
      </c>
      <c r="D518" t="s">
        <v>7475</v>
      </c>
      <c r="E518" s="5" t="s">
        <v>3216</v>
      </c>
      <c r="F518" s="6">
        <v>46127.616666666669</v>
      </c>
      <c r="G518" s="5" t="s">
        <v>7456</v>
      </c>
      <c r="H518" s="5" t="s">
        <v>8370</v>
      </c>
      <c r="I518" s="5" t="s">
        <v>1528</v>
      </c>
      <c r="J518" s="8">
        <v>392.85</v>
      </c>
      <c r="K518" s="5" t="s">
        <v>1522</v>
      </c>
      <c r="L518">
        <f t="shared" si="8"/>
        <v>4</v>
      </c>
    </row>
    <row r="519" spans="1:12" hidden="1" x14ac:dyDescent="0.25">
      <c r="A519" s="5">
        <v>47913</v>
      </c>
      <c r="B519" t="s">
        <v>8371</v>
      </c>
      <c r="C519" s="5" t="s">
        <v>8372</v>
      </c>
      <c r="D519" t="s">
        <v>8373</v>
      </c>
      <c r="E519" s="5" t="s">
        <v>1548</v>
      </c>
      <c r="F519" s="6">
        <v>46127.631944444445</v>
      </c>
      <c r="G519" s="5" t="s">
        <v>7456</v>
      </c>
      <c r="H519" s="5" t="s">
        <v>8374</v>
      </c>
      <c r="I519" s="5" t="s">
        <v>1528</v>
      </c>
      <c r="J519" s="8">
        <v>158</v>
      </c>
      <c r="K519" s="5" t="s">
        <v>1522</v>
      </c>
      <c r="L519">
        <f t="shared" si="8"/>
        <v>4</v>
      </c>
    </row>
    <row r="520" spans="1:12" hidden="1" x14ac:dyDescent="0.25">
      <c r="A520" s="5">
        <v>47916</v>
      </c>
      <c r="B520" t="s">
        <v>8375</v>
      </c>
      <c r="C520" s="5" t="s">
        <v>8244</v>
      </c>
      <c r="D520" t="s">
        <v>8376</v>
      </c>
      <c r="E520" s="5" t="s">
        <v>1548</v>
      </c>
      <c r="F520" s="6">
        <v>46127.651388888888</v>
      </c>
      <c r="G520" s="5" t="s">
        <v>7595</v>
      </c>
      <c r="H520" t="s">
        <v>7482</v>
      </c>
      <c r="I520" s="5" t="s">
        <v>1528</v>
      </c>
      <c r="J520" s="8">
        <v>447.95</v>
      </c>
      <c r="K520" s="5" t="s">
        <v>1522</v>
      </c>
      <c r="L520">
        <f t="shared" si="8"/>
        <v>4</v>
      </c>
    </row>
    <row r="521" spans="1:12" hidden="1" x14ac:dyDescent="0.25">
      <c r="A521" s="5">
        <v>47924</v>
      </c>
      <c r="B521" t="s">
        <v>8377</v>
      </c>
      <c r="C521" s="5" t="s">
        <v>8378</v>
      </c>
      <c r="D521" t="s">
        <v>8379</v>
      </c>
      <c r="E521" s="5" t="s">
        <v>8380</v>
      </c>
      <c r="F521" s="6">
        <v>46128.35833333333</v>
      </c>
      <c r="G521" s="5" t="s">
        <v>7595</v>
      </c>
      <c r="H521" t="s">
        <v>7482</v>
      </c>
      <c r="I521" s="5" t="s">
        <v>1528</v>
      </c>
      <c r="J521" s="8">
        <v>185</v>
      </c>
      <c r="K521" s="5" t="s">
        <v>1522</v>
      </c>
      <c r="L521">
        <f t="shared" si="8"/>
        <v>4</v>
      </c>
    </row>
    <row r="522" spans="1:12" hidden="1" x14ac:dyDescent="0.25">
      <c r="A522" s="5">
        <v>47925</v>
      </c>
      <c r="B522" t="s">
        <v>7559</v>
      </c>
      <c r="C522" s="5" t="s">
        <v>7560</v>
      </c>
      <c r="D522" t="s">
        <v>7561</v>
      </c>
      <c r="E522" s="5" t="s">
        <v>2983</v>
      </c>
      <c r="F522" s="6">
        <v>46121.486111111109</v>
      </c>
      <c r="G522" s="5" t="s">
        <v>7595</v>
      </c>
      <c r="H522" s="5" t="s">
        <v>8381</v>
      </c>
      <c r="I522" s="5" t="s">
        <v>1528</v>
      </c>
      <c r="J522" s="8">
        <v>0</v>
      </c>
      <c r="K522" s="5" t="s">
        <v>1522</v>
      </c>
      <c r="L522">
        <f t="shared" si="8"/>
        <v>4</v>
      </c>
    </row>
    <row r="523" spans="1:12" hidden="1" x14ac:dyDescent="0.25">
      <c r="A523" s="5">
        <v>47926</v>
      </c>
      <c r="B523" t="s">
        <v>7559</v>
      </c>
      <c r="C523" s="5" t="s">
        <v>7560</v>
      </c>
      <c r="D523" t="s">
        <v>7561</v>
      </c>
      <c r="E523" s="5" t="s">
        <v>2983</v>
      </c>
      <c r="F523" s="6">
        <v>46128.372916666667</v>
      </c>
      <c r="G523" s="5" t="s">
        <v>7456</v>
      </c>
      <c r="H523" s="5" t="s">
        <v>8382</v>
      </c>
      <c r="I523" s="5" t="s">
        <v>1528</v>
      </c>
      <c r="J523" s="8">
        <v>460</v>
      </c>
      <c r="K523" s="5" t="s">
        <v>1522</v>
      </c>
      <c r="L523">
        <f t="shared" si="8"/>
        <v>4</v>
      </c>
    </row>
    <row r="524" spans="1:12" hidden="1" x14ac:dyDescent="0.25">
      <c r="A524" s="5">
        <v>47928</v>
      </c>
      <c r="B524" t="s">
        <v>8383</v>
      </c>
      <c r="C524" s="5" t="s">
        <v>7516</v>
      </c>
      <c r="D524" t="s">
        <v>8384</v>
      </c>
      <c r="E524" s="5" t="s">
        <v>1548</v>
      </c>
      <c r="F524" s="6">
        <v>46128.463194444441</v>
      </c>
      <c r="G524" s="5" t="s">
        <v>7595</v>
      </c>
      <c r="H524" t="s">
        <v>7482</v>
      </c>
      <c r="I524" s="5" t="s">
        <v>1528</v>
      </c>
      <c r="J524" s="8">
        <v>1595</v>
      </c>
      <c r="K524" s="5" t="s">
        <v>1522</v>
      </c>
      <c r="L524">
        <f t="shared" si="8"/>
        <v>4</v>
      </c>
    </row>
    <row r="525" spans="1:12" hidden="1" x14ac:dyDescent="0.25">
      <c r="A525" s="5">
        <v>47929</v>
      </c>
      <c r="B525" t="s">
        <v>8385</v>
      </c>
      <c r="C525" s="5" t="s">
        <v>8386</v>
      </c>
      <c r="D525" t="s">
        <v>8387</v>
      </c>
      <c r="E525" s="5" t="s">
        <v>1698</v>
      </c>
      <c r="F525" s="6">
        <v>46128.464583333334</v>
      </c>
      <c r="G525" s="5" t="s">
        <v>7456</v>
      </c>
      <c r="H525" s="5" t="s">
        <v>8388</v>
      </c>
      <c r="I525" s="5" t="s">
        <v>1528</v>
      </c>
      <c r="J525" s="8">
        <v>2880.8</v>
      </c>
      <c r="K525" s="5" t="s">
        <v>1522</v>
      </c>
      <c r="L525">
        <f t="shared" si="8"/>
        <v>4</v>
      </c>
    </row>
    <row r="526" spans="1:12" hidden="1" x14ac:dyDescent="0.25">
      <c r="A526" s="5">
        <v>47936</v>
      </c>
      <c r="B526" t="s">
        <v>7483</v>
      </c>
      <c r="C526" s="5" t="s">
        <v>7484</v>
      </c>
      <c r="D526" t="s">
        <v>7485</v>
      </c>
      <c r="E526" s="5" t="s">
        <v>1548</v>
      </c>
      <c r="F526" s="6">
        <v>46128.628472222219</v>
      </c>
      <c r="G526" s="5" t="s">
        <v>7456</v>
      </c>
      <c r="H526" t="s">
        <v>7482</v>
      </c>
      <c r="I526" s="5" t="s">
        <v>1528</v>
      </c>
      <c r="J526" s="8">
        <v>23.4</v>
      </c>
      <c r="K526" s="5" t="s">
        <v>1522</v>
      </c>
      <c r="L526">
        <f t="shared" si="8"/>
        <v>4</v>
      </c>
    </row>
    <row r="527" spans="1:12" hidden="1" x14ac:dyDescent="0.25">
      <c r="A527" s="5">
        <v>47949</v>
      </c>
      <c r="B527" t="s">
        <v>7759</v>
      </c>
      <c r="C527" s="5" t="s">
        <v>8389</v>
      </c>
      <c r="D527" t="s">
        <v>7760</v>
      </c>
      <c r="E527" s="5" t="s">
        <v>3488</v>
      </c>
      <c r="F527" s="6">
        <v>46128.688194444447</v>
      </c>
      <c r="G527" s="5" t="s">
        <v>7456</v>
      </c>
      <c r="H527" s="5" t="s">
        <v>8390</v>
      </c>
      <c r="I527" s="5" t="s">
        <v>1528</v>
      </c>
      <c r="J527" s="8">
        <v>320</v>
      </c>
      <c r="K527" s="5" t="s">
        <v>1522</v>
      </c>
      <c r="L527">
        <f t="shared" si="8"/>
        <v>4</v>
      </c>
    </row>
    <row r="528" spans="1:12" hidden="1" x14ac:dyDescent="0.25">
      <c r="A528" s="5">
        <v>47951</v>
      </c>
      <c r="B528" t="s">
        <v>7469</v>
      </c>
      <c r="C528" s="5" t="s">
        <v>7470</v>
      </c>
      <c r="D528" t="s">
        <v>7471</v>
      </c>
      <c r="E528" s="5" t="s">
        <v>5267</v>
      </c>
      <c r="F528" s="6">
        <v>46128.699305555558</v>
      </c>
      <c r="G528" s="5" t="s">
        <v>7456</v>
      </c>
      <c r="H528" s="5" t="s">
        <v>8391</v>
      </c>
      <c r="I528" s="5" t="s">
        <v>1621</v>
      </c>
      <c r="J528" s="8">
        <v>116.47</v>
      </c>
      <c r="K528" s="5" t="s">
        <v>1522</v>
      </c>
      <c r="L528">
        <f t="shared" si="8"/>
        <v>4</v>
      </c>
    </row>
    <row r="529" spans="1:12" hidden="1" x14ac:dyDescent="0.25">
      <c r="A529" s="5">
        <v>47953</v>
      </c>
      <c r="B529" t="s">
        <v>7469</v>
      </c>
      <c r="C529" s="5" t="s">
        <v>7470</v>
      </c>
      <c r="D529" t="s">
        <v>7471</v>
      </c>
      <c r="E529" s="5" t="s">
        <v>5267</v>
      </c>
      <c r="F529" s="6">
        <v>46128.70208333333</v>
      </c>
      <c r="G529" s="5" t="s">
        <v>7456</v>
      </c>
      <c r="H529" s="5" t="s">
        <v>8392</v>
      </c>
      <c r="I529" s="5" t="s">
        <v>1621</v>
      </c>
      <c r="J529" s="8">
        <v>116.47</v>
      </c>
      <c r="K529" s="5" t="s">
        <v>1522</v>
      </c>
      <c r="L529">
        <f t="shared" si="8"/>
        <v>4</v>
      </c>
    </row>
    <row r="530" spans="1:12" hidden="1" x14ac:dyDescent="0.25">
      <c r="A530" s="5">
        <v>47954</v>
      </c>
      <c r="B530" t="s">
        <v>7469</v>
      </c>
      <c r="C530" s="5" t="s">
        <v>7470</v>
      </c>
      <c r="D530" t="s">
        <v>7471</v>
      </c>
      <c r="E530" s="5" t="s">
        <v>5267</v>
      </c>
      <c r="F530" s="6">
        <v>46128.706250000003</v>
      </c>
      <c r="G530" s="5" t="s">
        <v>7456</v>
      </c>
      <c r="H530" s="5" t="s">
        <v>8393</v>
      </c>
      <c r="I530" s="5" t="s">
        <v>1621</v>
      </c>
      <c r="J530" s="8">
        <v>113.4</v>
      </c>
      <c r="K530" s="5" t="s">
        <v>1522</v>
      </c>
      <c r="L530">
        <f t="shared" si="8"/>
        <v>4</v>
      </c>
    </row>
    <row r="531" spans="1:12" hidden="1" x14ac:dyDescent="0.25">
      <c r="A531" s="5">
        <v>47955</v>
      </c>
      <c r="B531" t="s">
        <v>7469</v>
      </c>
      <c r="C531" s="5" t="s">
        <v>7470</v>
      </c>
      <c r="D531" t="s">
        <v>7471</v>
      </c>
      <c r="E531" s="5" t="s">
        <v>5267</v>
      </c>
      <c r="F531" s="6">
        <v>46128.707638888889</v>
      </c>
      <c r="G531" s="5" t="s">
        <v>7456</v>
      </c>
      <c r="H531" s="5" t="s">
        <v>8394</v>
      </c>
      <c r="I531" s="5" t="s">
        <v>1621</v>
      </c>
      <c r="J531" s="8">
        <v>113.4</v>
      </c>
      <c r="K531" s="5" t="s">
        <v>1522</v>
      </c>
      <c r="L531">
        <f t="shared" si="8"/>
        <v>4</v>
      </c>
    </row>
    <row r="532" spans="1:12" hidden="1" x14ac:dyDescent="0.25">
      <c r="A532" s="5">
        <v>47956</v>
      </c>
      <c r="B532" t="s">
        <v>7469</v>
      </c>
      <c r="C532" s="5" t="s">
        <v>7470</v>
      </c>
      <c r="D532" t="s">
        <v>7471</v>
      </c>
      <c r="E532" s="5" t="s">
        <v>3434</v>
      </c>
      <c r="F532" s="6">
        <v>46128.709027777775</v>
      </c>
      <c r="G532" s="5" t="s">
        <v>7456</v>
      </c>
      <c r="H532" s="5" t="s">
        <v>8395</v>
      </c>
      <c r="I532" s="5" t="s">
        <v>1621</v>
      </c>
      <c r="J532" s="8">
        <v>239.4</v>
      </c>
      <c r="K532" s="5" t="s">
        <v>1522</v>
      </c>
      <c r="L532">
        <f t="shared" si="8"/>
        <v>4</v>
      </c>
    </row>
    <row r="533" spans="1:12" hidden="1" x14ac:dyDescent="0.25">
      <c r="A533" s="5">
        <v>47957</v>
      </c>
      <c r="B533" t="s">
        <v>7469</v>
      </c>
      <c r="C533" s="5" t="s">
        <v>7470</v>
      </c>
      <c r="D533" t="s">
        <v>7471</v>
      </c>
      <c r="E533" s="5" t="s">
        <v>3434</v>
      </c>
      <c r="F533" s="6">
        <v>46128.709722222222</v>
      </c>
      <c r="G533" s="5" t="s">
        <v>7456</v>
      </c>
      <c r="H533" s="5" t="s">
        <v>8396</v>
      </c>
      <c r="I533" s="5" t="s">
        <v>1621</v>
      </c>
      <c r="J533" s="8">
        <v>302.10000000000002</v>
      </c>
      <c r="K533" s="5" t="s">
        <v>1522</v>
      </c>
      <c r="L533">
        <f t="shared" si="8"/>
        <v>4</v>
      </c>
    </row>
    <row r="534" spans="1:12" hidden="1" x14ac:dyDescent="0.25">
      <c r="A534" s="5">
        <v>47958</v>
      </c>
      <c r="B534" t="s">
        <v>7469</v>
      </c>
      <c r="C534" s="5" t="s">
        <v>7470</v>
      </c>
      <c r="D534" t="s">
        <v>7471</v>
      </c>
      <c r="E534" s="5" t="s">
        <v>6467</v>
      </c>
      <c r="F534" s="6">
        <v>46128.711111111108</v>
      </c>
      <c r="G534" s="5" t="s">
        <v>7456</v>
      </c>
      <c r="H534" s="5" t="s">
        <v>8397</v>
      </c>
      <c r="I534" s="5" t="s">
        <v>1621</v>
      </c>
      <c r="J534" s="8">
        <v>23.4</v>
      </c>
      <c r="K534" s="5" t="s">
        <v>1522</v>
      </c>
      <c r="L534">
        <f t="shared" si="8"/>
        <v>4</v>
      </c>
    </row>
    <row r="535" spans="1:12" hidden="1" x14ac:dyDescent="0.25">
      <c r="A535" s="5">
        <v>47959</v>
      </c>
      <c r="B535" t="s">
        <v>7469</v>
      </c>
      <c r="C535" s="5" t="s">
        <v>7470</v>
      </c>
      <c r="D535" t="s">
        <v>7471</v>
      </c>
      <c r="E535" s="5" t="s">
        <v>5811</v>
      </c>
      <c r="F535" s="6">
        <v>46128.713194444441</v>
      </c>
      <c r="G535" s="5" t="s">
        <v>7456</v>
      </c>
      <c r="H535" s="5" t="s">
        <v>8398</v>
      </c>
      <c r="I535" s="5" t="s">
        <v>1621</v>
      </c>
      <c r="J535" s="8">
        <v>60</v>
      </c>
      <c r="K535" s="5" t="s">
        <v>1522</v>
      </c>
      <c r="L535">
        <f t="shared" si="8"/>
        <v>4</v>
      </c>
    </row>
    <row r="536" spans="1:12" hidden="1" x14ac:dyDescent="0.25">
      <c r="A536" s="5">
        <v>47960</v>
      </c>
      <c r="B536" t="s">
        <v>7469</v>
      </c>
      <c r="C536" s="5" t="s">
        <v>7470</v>
      </c>
      <c r="D536" t="s">
        <v>7471</v>
      </c>
      <c r="E536" s="5" t="s">
        <v>3389</v>
      </c>
      <c r="F536" s="6">
        <v>46128.713888888888</v>
      </c>
      <c r="G536" s="5" t="s">
        <v>7456</v>
      </c>
      <c r="H536" s="5" t="s">
        <v>8399</v>
      </c>
      <c r="I536" s="5" t="s">
        <v>1621</v>
      </c>
      <c r="J536" s="8">
        <v>172.8</v>
      </c>
      <c r="K536" s="5" t="s">
        <v>1522</v>
      </c>
      <c r="L536">
        <f t="shared" si="8"/>
        <v>4</v>
      </c>
    </row>
    <row r="537" spans="1:12" hidden="1" x14ac:dyDescent="0.25">
      <c r="A537" s="5">
        <v>47962</v>
      </c>
      <c r="B537" t="s">
        <v>7469</v>
      </c>
      <c r="C537" s="5" t="s">
        <v>7470</v>
      </c>
      <c r="D537" t="s">
        <v>7471</v>
      </c>
      <c r="E537" s="5" t="s">
        <v>3389</v>
      </c>
      <c r="F537" s="6">
        <v>46128.718055555553</v>
      </c>
      <c r="G537" s="5" t="s">
        <v>7456</v>
      </c>
      <c r="H537" s="5" t="s">
        <v>8400</v>
      </c>
      <c r="I537" s="5" t="s">
        <v>1621</v>
      </c>
      <c r="J537" s="8">
        <v>171.3</v>
      </c>
      <c r="K537" s="5" t="s">
        <v>1522</v>
      </c>
      <c r="L537">
        <f t="shared" si="8"/>
        <v>4</v>
      </c>
    </row>
    <row r="538" spans="1:12" hidden="1" x14ac:dyDescent="0.25">
      <c r="A538" s="5">
        <v>47963</v>
      </c>
      <c r="B538" t="s">
        <v>7469</v>
      </c>
      <c r="C538" s="5" t="s">
        <v>7470</v>
      </c>
      <c r="D538" t="s">
        <v>7471</v>
      </c>
      <c r="E538" s="5" t="s">
        <v>3389</v>
      </c>
      <c r="F538" s="6">
        <v>46128.720833333333</v>
      </c>
      <c r="G538" s="5" t="s">
        <v>7456</v>
      </c>
      <c r="H538" s="5" t="s">
        <v>8401</v>
      </c>
      <c r="I538" s="5" t="s">
        <v>1621</v>
      </c>
      <c r="J538" s="8">
        <v>28.8</v>
      </c>
      <c r="K538" s="5" t="s">
        <v>1522</v>
      </c>
      <c r="L538">
        <f t="shared" si="8"/>
        <v>4</v>
      </c>
    </row>
    <row r="539" spans="1:12" hidden="1" x14ac:dyDescent="0.25">
      <c r="A539" s="5">
        <v>47964</v>
      </c>
      <c r="B539" t="s">
        <v>7469</v>
      </c>
      <c r="C539" s="5" t="s">
        <v>7470</v>
      </c>
      <c r="D539" t="s">
        <v>7471</v>
      </c>
      <c r="E539" s="5" t="s">
        <v>3389</v>
      </c>
      <c r="F539" s="6">
        <v>46128.724999999999</v>
      </c>
      <c r="G539" s="5" t="s">
        <v>7456</v>
      </c>
      <c r="H539" s="5" t="s">
        <v>8402</v>
      </c>
      <c r="I539" s="5" t="s">
        <v>1621</v>
      </c>
      <c r="J539" s="8">
        <v>57.6</v>
      </c>
      <c r="K539" s="5" t="s">
        <v>1522</v>
      </c>
      <c r="L539">
        <f t="shared" si="8"/>
        <v>4</v>
      </c>
    </row>
    <row r="540" spans="1:12" hidden="1" x14ac:dyDescent="0.25">
      <c r="A540" s="5">
        <v>47965</v>
      </c>
      <c r="B540" t="s">
        <v>7469</v>
      </c>
      <c r="C540" s="5" t="s">
        <v>7470</v>
      </c>
      <c r="D540" t="s">
        <v>7471</v>
      </c>
      <c r="E540" s="5" t="s">
        <v>3389</v>
      </c>
      <c r="F540" s="6">
        <v>46128.727777777778</v>
      </c>
      <c r="G540" s="5" t="s">
        <v>7456</v>
      </c>
      <c r="H540" s="5" t="s">
        <v>8403</v>
      </c>
      <c r="I540" s="5" t="s">
        <v>1621</v>
      </c>
      <c r="J540" s="8">
        <v>230.4</v>
      </c>
      <c r="K540" s="5" t="s">
        <v>1522</v>
      </c>
      <c r="L540">
        <f t="shared" si="8"/>
        <v>4</v>
      </c>
    </row>
    <row r="541" spans="1:12" hidden="1" x14ac:dyDescent="0.25">
      <c r="A541" s="5">
        <v>47969</v>
      </c>
      <c r="B541" t="s">
        <v>7515</v>
      </c>
      <c r="C541" s="5" t="s">
        <v>7516</v>
      </c>
      <c r="D541" t="s">
        <v>7517</v>
      </c>
      <c r="E541" s="5" t="s">
        <v>6026</v>
      </c>
      <c r="F541" s="6">
        <v>46129.376388888886</v>
      </c>
      <c r="G541" s="5" t="s">
        <v>7456</v>
      </c>
      <c r="H541" s="5" t="s">
        <v>8404</v>
      </c>
      <c r="I541" s="5" t="s">
        <v>1528</v>
      </c>
      <c r="J541" s="8">
        <v>93.45</v>
      </c>
      <c r="K541" s="5" t="s">
        <v>1522</v>
      </c>
      <c r="L541">
        <f t="shared" si="8"/>
        <v>4</v>
      </c>
    </row>
    <row r="542" spans="1:12" hidden="1" x14ac:dyDescent="0.25">
      <c r="A542" s="5">
        <v>47970</v>
      </c>
      <c r="B542" t="s">
        <v>7642</v>
      </c>
      <c r="C542" s="5" t="s">
        <v>7643</v>
      </c>
      <c r="D542" t="s">
        <v>7644</v>
      </c>
      <c r="E542" s="5" t="s">
        <v>2890</v>
      </c>
      <c r="F542" s="6">
        <v>46129.405555555553</v>
      </c>
      <c r="G542" s="5" t="s">
        <v>7456</v>
      </c>
      <c r="H542" s="5" t="s">
        <v>8405</v>
      </c>
      <c r="I542" s="5" t="s">
        <v>1528</v>
      </c>
      <c r="J542" s="8">
        <v>90</v>
      </c>
      <c r="K542" s="5" t="s">
        <v>1522</v>
      </c>
      <c r="L542">
        <f t="shared" si="8"/>
        <v>4</v>
      </c>
    </row>
    <row r="543" spans="1:12" hidden="1" x14ac:dyDescent="0.25">
      <c r="A543" s="5">
        <v>47971</v>
      </c>
      <c r="B543" t="s">
        <v>8287</v>
      </c>
      <c r="C543" s="5" t="s">
        <v>7863</v>
      </c>
      <c r="D543" t="s">
        <v>8288</v>
      </c>
      <c r="E543" s="5" t="s">
        <v>1548</v>
      </c>
      <c r="F543" s="6">
        <v>46129.440972222219</v>
      </c>
      <c r="G543" s="5" t="s">
        <v>7595</v>
      </c>
      <c r="H543" t="s">
        <v>7482</v>
      </c>
      <c r="I543" s="5" t="s">
        <v>1528</v>
      </c>
      <c r="J543" s="8">
        <v>512.4</v>
      </c>
      <c r="K543" s="5" t="s">
        <v>1522</v>
      </c>
      <c r="L543">
        <f t="shared" si="8"/>
        <v>4</v>
      </c>
    </row>
    <row r="544" spans="1:12" hidden="1" x14ac:dyDescent="0.25">
      <c r="A544" s="5">
        <v>47983</v>
      </c>
      <c r="B544" t="s">
        <v>8042</v>
      </c>
      <c r="C544" s="5" t="s">
        <v>8043</v>
      </c>
      <c r="D544" t="s">
        <v>8044</v>
      </c>
      <c r="E544" s="5" t="s">
        <v>1548</v>
      </c>
      <c r="F544" s="6">
        <v>46129.625694444447</v>
      </c>
      <c r="G544" s="5" t="s">
        <v>7456</v>
      </c>
      <c r="H544" t="s">
        <v>7482</v>
      </c>
      <c r="I544" s="5" t="s">
        <v>1528</v>
      </c>
      <c r="J544" s="8">
        <v>1474.71</v>
      </c>
      <c r="K544" s="5" t="s">
        <v>1522</v>
      </c>
      <c r="L544">
        <f t="shared" si="8"/>
        <v>4</v>
      </c>
    </row>
    <row r="545" spans="1:12" hidden="1" x14ac:dyDescent="0.25">
      <c r="A545" s="5">
        <v>47988</v>
      </c>
      <c r="B545" t="s">
        <v>8234</v>
      </c>
      <c r="C545" s="5" t="s">
        <v>7503</v>
      </c>
      <c r="D545" t="s">
        <v>8235</v>
      </c>
      <c r="E545" s="5" t="s">
        <v>8406</v>
      </c>
      <c r="F545" s="6">
        <v>46129.663888888892</v>
      </c>
      <c r="G545" s="5" t="s">
        <v>7595</v>
      </c>
      <c r="H545" t="s">
        <v>7482</v>
      </c>
      <c r="I545" s="5" t="s">
        <v>1528</v>
      </c>
      <c r="J545" s="8">
        <v>465</v>
      </c>
      <c r="K545" s="5" t="s">
        <v>1522</v>
      </c>
      <c r="L545">
        <f t="shared" si="8"/>
        <v>4</v>
      </c>
    </row>
    <row r="546" spans="1:12" hidden="1" x14ac:dyDescent="0.25">
      <c r="A546" s="5">
        <v>47989</v>
      </c>
      <c r="B546" t="s">
        <v>8407</v>
      </c>
      <c r="C546" s="5" t="s">
        <v>8408</v>
      </c>
      <c r="D546" t="s">
        <v>8409</v>
      </c>
      <c r="E546" s="5" t="s">
        <v>7755</v>
      </c>
      <c r="F546" s="6">
        <v>46129.67083333333</v>
      </c>
      <c r="G546" s="5" t="s">
        <v>8410</v>
      </c>
      <c r="H546" t="s">
        <v>7482</v>
      </c>
      <c r="I546" s="5" t="s">
        <v>1528</v>
      </c>
      <c r="J546" s="8">
        <v>11000</v>
      </c>
      <c r="K546" s="5" t="s">
        <v>1522</v>
      </c>
      <c r="L546">
        <f t="shared" si="8"/>
        <v>4</v>
      </c>
    </row>
    <row r="547" spans="1:12" hidden="1" x14ac:dyDescent="0.25">
      <c r="A547" s="5">
        <v>47992</v>
      </c>
      <c r="B547" t="s">
        <v>7453</v>
      </c>
      <c r="C547" s="5" t="s">
        <v>7928</v>
      </c>
      <c r="D547" t="s">
        <v>7455</v>
      </c>
      <c r="E547" s="5" t="s">
        <v>8411</v>
      </c>
      <c r="F547" s="6">
        <v>46134.63958333333</v>
      </c>
      <c r="G547" s="5" t="s">
        <v>7595</v>
      </c>
      <c r="H547" t="s">
        <v>7482</v>
      </c>
      <c r="I547" s="5" t="s">
        <v>1528</v>
      </c>
      <c r="J547" s="8">
        <v>2419.91</v>
      </c>
      <c r="K547" s="5" t="s">
        <v>1522</v>
      </c>
      <c r="L547">
        <f t="shared" si="8"/>
        <v>4</v>
      </c>
    </row>
    <row r="548" spans="1:12" hidden="1" x14ac:dyDescent="0.25">
      <c r="A548" s="5">
        <v>47994</v>
      </c>
      <c r="B548" t="s">
        <v>8412</v>
      </c>
      <c r="C548" s="5" t="s">
        <v>8413</v>
      </c>
      <c r="D548" t="s">
        <v>8414</v>
      </c>
      <c r="E548" s="5" t="s">
        <v>1548</v>
      </c>
      <c r="F548" s="6">
        <v>46132.362500000003</v>
      </c>
      <c r="G548" s="5" t="s">
        <v>7456</v>
      </c>
      <c r="H548" t="s">
        <v>7482</v>
      </c>
      <c r="I548" s="5" t="s">
        <v>1528</v>
      </c>
      <c r="J548" s="8">
        <v>60</v>
      </c>
      <c r="K548" s="5" t="s">
        <v>1522</v>
      </c>
      <c r="L548">
        <f t="shared" si="8"/>
        <v>4</v>
      </c>
    </row>
    <row r="549" spans="1:12" hidden="1" x14ac:dyDescent="0.25">
      <c r="A549" s="5">
        <v>47999</v>
      </c>
      <c r="B549" t="s">
        <v>7469</v>
      </c>
      <c r="C549" s="5" t="s">
        <v>7470</v>
      </c>
      <c r="D549" t="s">
        <v>7471</v>
      </c>
      <c r="E549" s="5" t="s">
        <v>2467</v>
      </c>
      <c r="F549" s="6">
        <v>46132.52847222222</v>
      </c>
      <c r="G549" s="5" t="s">
        <v>7456</v>
      </c>
      <c r="H549" s="5" t="s">
        <v>8415</v>
      </c>
      <c r="I549" s="5" t="s">
        <v>1621</v>
      </c>
      <c r="J549" s="8">
        <v>456</v>
      </c>
      <c r="K549" s="5" t="s">
        <v>1522</v>
      </c>
      <c r="L549">
        <f t="shared" si="8"/>
        <v>4</v>
      </c>
    </row>
    <row r="550" spans="1:12" hidden="1" x14ac:dyDescent="0.25">
      <c r="A550" s="5">
        <v>48003</v>
      </c>
      <c r="B550" t="s">
        <v>8000</v>
      </c>
      <c r="C550" s="5" t="s">
        <v>8001</v>
      </c>
      <c r="D550" t="s">
        <v>8002</v>
      </c>
      <c r="E550" s="5" t="s">
        <v>1548</v>
      </c>
      <c r="F550" s="6">
        <v>46132.615277777775</v>
      </c>
      <c r="G550" s="5" t="s">
        <v>7456</v>
      </c>
      <c r="H550" s="5" t="s">
        <v>8416</v>
      </c>
      <c r="I550" s="5" t="s">
        <v>1528</v>
      </c>
      <c r="J550" s="8">
        <v>975</v>
      </c>
      <c r="K550" s="5" t="s">
        <v>1522</v>
      </c>
      <c r="L550">
        <f t="shared" si="8"/>
        <v>4</v>
      </c>
    </row>
    <row r="551" spans="1:12" hidden="1" x14ac:dyDescent="0.25">
      <c r="A551" s="5">
        <v>48011</v>
      </c>
      <c r="B551" t="s">
        <v>7469</v>
      </c>
      <c r="C551" s="5" t="s">
        <v>7470</v>
      </c>
      <c r="D551" t="s">
        <v>7471</v>
      </c>
      <c r="E551" s="5" t="s">
        <v>3434</v>
      </c>
      <c r="F551" s="6">
        <v>46132.678472222222</v>
      </c>
      <c r="G551" s="5" t="s">
        <v>7456</v>
      </c>
      <c r="H551" s="5" t="s">
        <v>8417</v>
      </c>
      <c r="I551" s="5" t="s">
        <v>1621</v>
      </c>
      <c r="J551" s="8">
        <v>302.10000000000002</v>
      </c>
      <c r="K551" s="5" t="s">
        <v>1522</v>
      </c>
      <c r="L551">
        <f t="shared" si="8"/>
        <v>4</v>
      </c>
    </row>
    <row r="552" spans="1:12" hidden="1" x14ac:dyDescent="0.25">
      <c r="A552" s="5">
        <v>48012</v>
      </c>
      <c r="B552" t="s">
        <v>7469</v>
      </c>
      <c r="C552" s="5" t="s">
        <v>7470</v>
      </c>
      <c r="D552" t="s">
        <v>7471</v>
      </c>
      <c r="E552" s="5" t="s">
        <v>3434</v>
      </c>
      <c r="F552" s="6">
        <v>46132.684027777781</v>
      </c>
      <c r="G552" s="5" t="s">
        <v>7456</v>
      </c>
      <c r="H552" s="5" t="s">
        <v>8418</v>
      </c>
      <c r="I552" s="5" t="s">
        <v>1621</v>
      </c>
      <c r="J552" s="8">
        <v>266</v>
      </c>
      <c r="K552" s="5" t="s">
        <v>1522</v>
      </c>
      <c r="L552">
        <f t="shared" si="8"/>
        <v>4</v>
      </c>
    </row>
    <row r="553" spans="1:12" hidden="1" x14ac:dyDescent="0.25">
      <c r="A553" s="5">
        <v>48013</v>
      </c>
      <c r="B553" t="s">
        <v>7469</v>
      </c>
      <c r="C553" s="5" t="s">
        <v>7470</v>
      </c>
      <c r="D553" t="s">
        <v>7471</v>
      </c>
      <c r="E553" s="5" t="s">
        <v>6467</v>
      </c>
      <c r="F553" s="6">
        <v>46132.6875</v>
      </c>
      <c r="G553" s="5" t="s">
        <v>7456</v>
      </c>
      <c r="H553" s="5" t="s">
        <v>8419</v>
      </c>
      <c r="I553" s="5" t="s">
        <v>1621</v>
      </c>
      <c r="J553" s="8">
        <v>29.7</v>
      </c>
      <c r="K553" s="5" t="s">
        <v>1522</v>
      </c>
      <c r="L553">
        <f t="shared" si="8"/>
        <v>4</v>
      </c>
    </row>
    <row r="554" spans="1:12" hidden="1" x14ac:dyDescent="0.25">
      <c r="A554" s="5">
        <v>48014</v>
      </c>
      <c r="B554" t="s">
        <v>7469</v>
      </c>
      <c r="C554" s="5" t="s">
        <v>7470</v>
      </c>
      <c r="D554" t="s">
        <v>7471</v>
      </c>
      <c r="E554" s="5" t="s">
        <v>5811</v>
      </c>
      <c r="F554" s="6">
        <v>46132.691666666666</v>
      </c>
      <c r="G554" s="5" t="s">
        <v>7456</v>
      </c>
      <c r="H554" s="5" t="s">
        <v>8420</v>
      </c>
      <c r="I554" s="5" t="s">
        <v>1621</v>
      </c>
      <c r="J554" s="8">
        <v>60</v>
      </c>
      <c r="K554" s="5" t="s">
        <v>1522</v>
      </c>
      <c r="L554">
        <f t="shared" si="8"/>
        <v>4</v>
      </c>
    </row>
    <row r="555" spans="1:12" hidden="1" x14ac:dyDescent="0.25">
      <c r="A555" s="5">
        <v>48015</v>
      </c>
      <c r="B555" t="s">
        <v>7469</v>
      </c>
      <c r="C555" s="5" t="s">
        <v>7470</v>
      </c>
      <c r="D555" t="s">
        <v>7471</v>
      </c>
      <c r="E555" s="5" t="s">
        <v>5267</v>
      </c>
      <c r="F555" s="6">
        <v>46132.693749999999</v>
      </c>
      <c r="G555" s="5" t="s">
        <v>7456</v>
      </c>
      <c r="H555" s="5" t="s">
        <v>8421</v>
      </c>
      <c r="I555" s="5" t="s">
        <v>1621</v>
      </c>
      <c r="J555" s="8">
        <v>115.5</v>
      </c>
      <c r="K555" s="5" t="s">
        <v>1522</v>
      </c>
      <c r="L555">
        <f t="shared" si="8"/>
        <v>4</v>
      </c>
    </row>
    <row r="556" spans="1:12" hidden="1" x14ac:dyDescent="0.25">
      <c r="A556" s="5">
        <v>48016</v>
      </c>
      <c r="B556" t="s">
        <v>7469</v>
      </c>
      <c r="C556" s="5" t="s">
        <v>7470</v>
      </c>
      <c r="D556" t="s">
        <v>7471</v>
      </c>
      <c r="E556" s="5" t="s">
        <v>5267</v>
      </c>
      <c r="F556" s="6">
        <v>46132.695833333331</v>
      </c>
      <c r="G556" s="5" t="s">
        <v>7456</v>
      </c>
      <c r="H556" s="5" t="s">
        <v>8422</v>
      </c>
      <c r="I556" s="5" t="s">
        <v>1621</v>
      </c>
      <c r="J556" s="8">
        <v>113.4</v>
      </c>
      <c r="K556" s="5" t="s">
        <v>1522</v>
      </c>
      <c r="L556">
        <f t="shared" si="8"/>
        <v>4</v>
      </c>
    </row>
    <row r="557" spans="1:12" hidden="1" x14ac:dyDescent="0.25">
      <c r="A557" s="5">
        <v>48018</v>
      </c>
      <c r="B557" t="s">
        <v>7469</v>
      </c>
      <c r="C557" s="5" t="s">
        <v>7470</v>
      </c>
      <c r="D557" t="s">
        <v>7471</v>
      </c>
      <c r="E557" s="5" t="s">
        <v>6467</v>
      </c>
      <c r="F557" s="6">
        <v>46132.698611111111</v>
      </c>
      <c r="G557" s="5" t="s">
        <v>7456</v>
      </c>
      <c r="H557" s="5" t="s">
        <v>8423</v>
      </c>
      <c r="I557" s="5" t="s">
        <v>1621</v>
      </c>
      <c r="J557" s="8">
        <v>35</v>
      </c>
      <c r="K557" s="5" t="s">
        <v>1522</v>
      </c>
      <c r="L557">
        <f t="shared" si="8"/>
        <v>4</v>
      </c>
    </row>
    <row r="558" spans="1:12" hidden="1" x14ac:dyDescent="0.25">
      <c r="A558" s="5">
        <v>48023</v>
      </c>
      <c r="B558" t="s">
        <v>8424</v>
      </c>
      <c r="C558" s="5" t="s">
        <v>7516</v>
      </c>
      <c r="D558" t="s">
        <v>8425</v>
      </c>
      <c r="E558" s="5" t="s">
        <v>4053</v>
      </c>
      <c r="F558" s="6">
        <v>46134.393055555556</v>
      </c>
      <c r="G558" s="5" t="s">
        <v>7456</v>
      </c>
      <c r="H558" s="5" t="s">
        <v>8426</v>
      </c>
      <c r="I558" s="5" t="s">
        <v>1528</v>
      </c>
      <c r="J558" s="8">
        <v>150</v>
      </c>
      <c r="K558" s="5" t="s">
        <v>1522</v>
      </c>
      <c r="L558">
        <f t="shared" si="8"/>
        <v>4</v>
      </c>
    </row>
    <row r="559" spans="1:12" hidden="1" x14ac:dyDescent="0.25">
      <c r="A559" s="5">
        <v>48026</v>
      </c>
      <c r="B559" t="s">
        <v>8427</v>
      </c>
      <c r="C559" s="5" t="s">
        <v>8428</v>
      </c>
      <c r="D559" t="s">
        <v>8429</v>
      </c>
      <c r="E559" s="5" t="s">
        <v>8430</v>
      </c>
      <c r="F559" s="6">
        <v>46134.414583333331</v>
      </c>
      <c r="G559" s="5" t="s">
        <v>7456</v>
      </c>
      <c r="H559" t="s">
        <v>7482</v>
      </c>
      <c r="I559" s="5" t="s">
        <v>1528</v>
      </c>
      <c r="J559" s="8">
        <v>55</v>
      </c>
      <c r="K559" s="5" t="s">
        <v>1522</v>
      </c>
      <c r="L559">
        <f t="shared" si="8"/>
        <v>4</v>
      </c>
    </row>
    <row r="560" spans="1:12" hidden="1" x14ac:dyDescent="0.25">
      <c r="A560" s="5">
        <v>48027</v>
      </c>
      <c r="B560" t="s">
        <v>8431</v>
      </c>
      <c r="C560" s="5" t="s">
        <v>7516</v>
      </c>
      <c r="D560" t="s">
        <v>8432</v>
      </c>
      <c r="E560" s="5" t="s">
        <v>8433</v>
      </c>
      <c r="F560" s="6">
        <v>46134.421527777777</v>
      </c>
      <c r="G560" s="5" t="s">
        <v>8410</v>
      </c>
      <c r="H560" t="s">
        <v>7482</v>
      </c>
      <c r="I560" s="5" t="s">
        <v>1528</v>
      </c>
      <c r="J560" s="8">
        <v>384.8</v>
      </c>
      <c r="K560" s="5" t="s">
        <v>1522</v>
      </c>
      <c r="L560">
        <f t="shared" si="8"/>
        <v>4</v>
      </c>
    </row>
    <row r="561" spans="1:12" hidden="1" x14ac:dyDescent="0.25">
      <c r="A561" s="5">
        <v>48043</v>
      </c>
      <c r="B561" t="s">
        <v>7469</v>
      </c>
      <c r="C561" s="5" t="s">
        <v>7470</v>
      </c>
      <c r="D561" t="s">
        <v>7471</v>
      </c>
      <c r="E561" s="5" t="s">
        <v>3389</v>
      </c>
      <c r="F561" s="6">
        <v>46134.713888888888</v>
      </c>
      <c r="G561" s="5" t="s">
        <v>7456</v>
      </c>
      <c r="H561" s="5" t="s">
        <v>8434</v>
      </c>
      <c r="I561" s="5" t="s">
        <v>1621</v>
      </c>
      <c r="J561" s="8">
        <v>345.6</v>
      </c>
      <c r="K561" s="5" t="s">
        <v>1522</v>
      </c>
      <c r="L561">
        <f t="shared" si="8"/>
        <v>4</v>
      </c>
    </row>
    <row r="562" spans="1:12" hidden="1" x14ac:dyDescent="0.25">
      <c r="A562" s="5">
        <v>48044</v>
      </c>
      <c r="B562" t="s">
        <v>7469</v>
      </c>
      <c r="C562" s="5" t="s">
        <v>7470</v>
      </c>
      <c r="D562" t="s">
        <v>7471</v>
      </c>
      <c r="E562" s="5" t="s">
        <v>5267</v>
      </c>
      <c r="F562" s="6">
        <v>46134.720833333333</v>
      </c>
      <c r="G562" s="5" t="s">
        <v>7456</v>
      </c>
      <c r="H562" s="5" t="s">
        <v>8435</v>
      </c>
      <c r="I562" s="5" t="s">
        <v>1621</v>
      </c>
      <c r="J562" s="8">
        <v>113.4</v>
      </c>
      <c r="K562" s="5" t="s">
        <v>1522</v>
      </c>
      <c r="L562">
        <f t="shared" si="8"/>
        <v>4</v>
      </c>
    </row>
    <row r="563" spans="1:12" hidden="1" x14ac:dyDescent="0.25">
      <c r="A563" s="5">
        <v>48045</v>
      </c>
      <c r="B563" t="s">
        <v>7469</v>
      </c>
      <c r="C563" s="5" t="s">
        <v>7470</v>
      </c>
      <c r="D563" t="s">
        <v>7471</v>
      </c>
      <c r="E563" s="5" t="s">
        <v>5267</v>
      </c>
      <c r="F563" s="6">
        <v>46134.722222222219</v>
      </c>
      <c r="G563" s="5" t="s">
        <v>7456</v>
      </c>
      <c r="H563" s="5" t="s">
        <v>8436</v>
      </c>
      <c r="I563" s="5" t="s">
        <v>1621</v>
      </c>
      <c r="J563" s="8">
        <v>113.4</v>
      </c>
      <c r="K563" s="5" t="s">
        <v>1522</v>
      </c>
      <c r="L563">
        <f t="shared" si="8"/>
        <v>4</v>
      </c>
    </row>
    <row r="564" spans="1:12" hidden="1" x14ac:dyDescent="0.25">
      <c r="A564" s="5">
        <v>48046</v>
      </c>
      <c r="B564" t="s">
        <v>7469</v>
      </c>
      <c r="C564" s="5" t="s">
        <v>7470</v>
      </c>
      <c r="D564" t="s">
        <v>7471</v>
      </c>
      <c r="E564" s="5" t="s">
        <v>5267</v>
      </c>
      <c r="F564" s="6">
        <v>46134.723611111112</v>
      </c>
      <c r="G564" s="5" t="s">
        <v>7456</v>
      </c>
      <c r="H564" s="5" t="s">
        <v>8437</v>
      </c>
      <c r="I564" s="5" t="s">
        <v>1621</v>
      </c>
      <c r="J564" s="8">
        <v>113.4</v>
      </c>
      <c r="K564" s="5" t="s">
        <v>1522</v>
      </c>
      <c r="L564">
        <f t="shared" si="8"/>
        <v>4</v>
      </c>
    </row>
    <row r="565" spans="1:12" hidden="1" x14ac:dyDescent="0.25">
      <c r="A565" s="5">
        <v>48047</v>
      </c>
      <c r="B565" t="s">
        <v>7469</v>
      </c>
      <c r="C565" s="5" t="s">
        <v>7470</v>
      </c>
      <c r="D565" t="s">
        <v>7471</v>
      </c>
      <c r="E565" s="5" t="s">
        <v>5267</v>
      </c>
      <c r="F565" s="6">
        <v>46134.724999999999</v>
      </c>
      <c r="G565" s="5" t="s">
        <v>7456</v>
      </c>
      <c r="H565" s="5" t="s">
        <v>8438</v>
      </c>
      <c r="I565" s="5" t="s">
        <v>1621</v>
      </c>
      <c r="J565" s="8">
        <v>113.4</v>
      </c>
      <c r="K565" s="5" t="s">
        <v>1522</v>
      </c>
      <c r="L565">
        <f t="shared" si="8"/>
        <v>4</v>
      </c>
    </row>
    <row r="566" spans="1:12" hidden="1" x14ac:dyDescent="0.25">
      <c r="A566" s="5">
        <v>48049</v>
      </c>
      <c r="B566" t="s">
        <v>7469</v>
      </c>
      <c r="C566" s="5" t="s">
        <v>7470</v>
      </c>
      <c r="D566" t="s">
        <v>7471</v>
      </c>
      <c r="E566" s="5" t="s">
        <v>5986</v>
      </c>
      <c r="F566" s="6">
        <v>46134.726388888892</v>
      </c>
      <c r="G566" s="5" t="s">
        <v>7456</v>
      </c>
      <c r="H566" s="5" t="s">
        <v>8439</v>
      </c>
      <c r="I566" s="5" t="s">
        <v>1621</v>
      </c>
      <c r="J566" s="8">
        <v>37</v>
      </c>
      <c r="K566" s="5" t="s">
        <v>1522</v>
      </c>
      <c r="L566">
        <f t="shared" si="8"/>
        <v>4</v>
      </c>
    </row>
    <row r="567" spans="1:12" hidden="1" x14ac:dyDescent="0.25">
      <c r="A567" s="5">
        <v>48050</v>
      </c>
      <c r="B567" t="s">
        <v>7469</v>
      </c>
      <c r="C567" s="5" t="s">
        <v>7470</v>
      </c>
      <c r="D567" t="s">
        <v>7471</v>
      </c>
      <c r="E567" s="5" t="s">
        <v>5267</v>
      </c>
      <c r="F567" s="6">
        <v>46134.731249999997</v>
      </c>
      <c r="G567" s="5" t="s">
        <v>7456</v>
      </c>
      <c r="H567" s="5" t="s">
        <v>8440</v>
      </c>
      <c r="I567" s="5" t="s">
        <v>1621</v>
      </c>
      <c r="J567" s="8">
        <v>17.5</v>
      </c>
      <c r="K567" s="5" t="s">
        <v>1522</v>
      </c>
      <c r="L567">
        <f t="shared" si="8"/>
        <v>4</v>
      </c>
    </row>
    <row r="568" spans="1:12" hidden="1" x14ac:dyDescent="0.25">
      <c r="A568" s="5">
        <v>48051</v>
      </c>
      <c r="B568" t="s">
        <v>7469</v>
      </c>
      <c r="C568" s="5" t="s">
        <v>7470</v>
      </c>
      <c r="D568" t="s">
        <v>7471</v>
      </c>
      <c r="E568" s="5" t="s">
        <v>3434</v>
      </c>
      <c r="F568" s="6">
        <v>46134.732638888891</v>
      </c>
      <c r="G568" s="5" t="s">
        <v>7456</v>
      </c>
      <c r="H568" s="5" t="s">
        <v>8441</v>
      </c>
      <c r="I568" s="5" t="s">
        <v>1621</v>
      </c>
      <c r="J568" s="8">
        <v>266</v>
      </c>
      <c r="K568" s="5" t="s">
        <v>1522</v>
      </c>
      <c r="L568">
        <f t="shared" si="8"/>
        <v>4</v>
      </c>
    </row>
    <row r="569" spans="1:12" hidden="1" x14ac:dyDescent="0.25">
      <c r="A569" s="5">
        <v>48052</v>
      </c>
      <c r="B569" t="s">
        <v>7469</v>
      </c>
      <c r="C569" s="5" t="s">
        <v>7470</v>
      </c>
      <c r="D569" t="s">
        <v>7471</v>
      </c>
      <c r="E569" s="5" t="s">
        <v>2467</v>
      </c>
      <c r="F569" s="6">
        <v>46134.734027777777</v>
      </c>
      <c r="G569" s="5" t="s">
        <v>7456</v>
      </c>
      <c r="H569" s="5" t="s">
        <v>8442</v>
      </c>
      <c r="I569" s="5" t="s">
        <v>1621</v>
      </c>
      <c r="J569" s="8">
        <v>349.6</v>
      </c>
      <c r="K569" s="5" t="s">
        <v>1522</v>
      </c>
      <c r="L569">
        <f t="shared" si="8"/>
        <v>4</v>
      </c>
    </row>
    <row r="570" spans="1:12" hidden="1" x14ac:dyDescent="0.25">
      <c r="A570" s="5">
        <v>48054</v>
      </c>
      <c r="B570" t="s">
        <v>8318</v>
      </c>
      <c r="C570" s="5" t="s">
        <v>8319</v>
      </c>
      <c r="D570" t="s">
        <v>8320</v>
      </c>
      <c r="E570" s="5" t="s">
        <v>4160</v>
      </c>
      <c r="F570" s="6">
        <v>46134.75</v>
      </c>
      <c r="G570" s="5" t="s">
        <v>7672</v>
      </c>
      <c r="H570" t="s">
        <v>7482</v>
      </c>
      <c r="I570" s="5" t="s">
        <v>1528</v>
      </c>
      <c r="J570" s="8">
        <v>3036.2</v>
      </c>
      <c r="K570" s="5" t="s">
        <v>1522</v>
      </c>
      <c r="L570">
        <f t="shared" si="8"/>
        <v>4</v>
      </c>
    </row>
    <row r="571" spans="1:12" hidden="1" x14ac:dyDescent="0.25">
      <c r="A571" s="5">
        <v>48055</v>
      </c>
      <c r="B571" t="s">
        <v>7959</v>
      </c>
      <c r="C571" s="5" t="s">
        <v>7960</v>
      </c>
      <c r="D571" t="s">
        <v>7961</v>
      </c>
      <c r="E571" s="5" t="s">
        <v>2734</v>
      </c>
      <c r="F571" s="6">
        <v>46135.378472222219</v>
      </c>
      <c r="G571" s="5" t="s">
        <v>7456</v>
      </c>
      <c r="H571" s="5" t="s">
        <v>8443</v>
      </c>
      <c r="I571" s="5" t="s">
        <v>1528</v>
      </c>
      <c r="J571" s="8">
        <v>97.2</v>
      </c>
      <c r="K571" s="5" t="s">
        <v>1522</v>
      </c>
      <c r="L571">
        <f t="shared" si="8"/>
        <v>4</v>
      </c>
    </row>
    <row r="572" spans="1:12" hidden="1" x14ac:dyDescent="0.25">
      <c r="A572" s="5">
        <v>48056</v>
      </c>
      <c r="B572" t="s">
        <v>7660</v>
      </c>
      <c r="C572" s="5" t="s">
        <v>7661</v>
      </c>
      <c r="D572" t="s">
        <v>7662</v>
      </c>
      <c r="E572" s="5" t="s">
        <v>1713</v>
      </c>
      <c r="F572" s="6">
        <v>46135.380555555559</v>
      </c>
      <c r="G572" s="5" t="s">
        <v>7456</v>
      </c>
      <c r="H572" s="5" t="s">
        <v>8444</v>
      </c>
      <c r="I572" s="5" t="s">
        <v>1528</v>
      </c>
      <c r="J572" s="8">
        <v>85</v>
      </c>
      <c r="K572" s="5" t="s">
        <v>1522</v>
      </c>
      <c r="L572">
        <f t="shared" si="8"/>
        <v>4</v>
      </c>
    </row>
    <row r="573" spans="1:12" hidden="1" x14ac:dyDescent="0.25">
      <c r="A573" s="5">
        <v>48065</v>
      </c>
      <c r="B573" t="s">
        <v>8234</v>
      </c>
      <c r="C573" s="5" t="s">
        <v>7503</v>
      </c>
      <c r="D573" t="s">
        <v>8235</v>
      </c>
      <c r="E573" s="5" t="s">
        <v>2348</v>
      </c>
      <c r="F573" s="6">
        <v>46135.511111111111</v>
      </c>
      <c r="G573" s="5" t="s">
        <v>7456</v>
      </c>
      <c r="H573" s="5" t="s">
        <v>8445</v>
      </c>
      <c r="I573" s="5" t="s">
        <v>1528</v>
      </c>
      <c r="J573" s="8">
        <v>796.8</v>
      </c>
      <c r="K573" s="5" t="s">
        <v>1522</v>
      </c>
      <c r="L573">
        <f t="shared" si="8"/>
        <v>4</v>
      </c>
    </row>
    <row r="574" spans="1:12" hidden="1" x14ac:dyDescent="0.25">
      <c r="A574" s="5">
        <v>48084</v>
      </c>
      <c r="B574" t="s">
        <v>8158</v>
      </c>
      <c r="C574" s="5" t="s">
        <v>7503</v>
      </c>
      <c r="D574" t="s">
        <v>7542</v>
      </c>
      <c r="E574" s="5" t="s">
        <v>6732</v>
      </c>
      <c r="F574" s="6">
        <v>46136.363888888889</v>
      </c>
      <c r="G574" s="5" t="s">
        <v>7456</v>
      </c>
      <c r="H574" s="5" t="s">
        <v>8446</v>
      </c>
      <c r="I574" s="5" t="s">
        <v>1528</v>
      </c>
      <c r="J574" s="8">
        <v>50</v>
      </c>
      <c r="K574" s="5" t="s">
        <v>1522</v>
      </c>
      <c r="L574">
        <f t="shared" si="8"/>
        <v>4</v>
      </c>
    </row>
    <row r="575" spans="1:12" hidden="1" x14ac:dyDescent="0.25">
      <c r="A575" s="5">
        <v>48085</v>
      </c>
      <c r="B575" t="s">
        <v>8158</v>
      </c>
      <c r="C575" s="5" t="s">
        <v>7503</v>
      </c>
      <c r="D575" t="s">
        <v>7542</v>
      </c>
      <c r="E575" s="5" t="s">
        <v>4300</v>
      </c>
      <c r="F575" s="6">
        <v>46136.392361111109</v>
      </c>
      <c r="G575" s="5" t="s">
        <v>7456</v>
      </c>
      <c r="H575" s="5" t="s">
        <v>8447</v>
      </c>
      <c r="I575" s="5" t="s">
        <v>1528</v>
      </c>
      <c r="J575" s="8">
        <v>220</v>
      </c>
      <c r="K575" s="5" t="s">
        <v>1522</v>
      </c>
      <c r="L575">
        <f t="shared" si="8"/>
        <v>4</v>
      </c>
    </row>
    <row r="576" spans="1:12" hidden="1" x14ac:dyDescent="0.25">
      <c r="A576" s="5">
        <v>48086</v>
      </c>
      <c r="B576" t="s">
        <v>7875</v>
      </c>
      <c r="C576" s="5" t="s">
        <v>7503</v>
      </c>
      <c r="D576" t="s">
        <v>7876</v>
      </c>
      <c r="E576" s="5" t="s">
        <v>7000</v>
      </c>
      <c r="F576" s="6">
        <v>46136.402777777781</v>
      </c>
      <c r="G576" s="5" t="s">
        <v>7456</v>
      </c>
      <c r="H576" s="5" t="s">
        <v>8448</v>
      </c>
      <c r="I576" s="5" t="s">
        <v>1528</v>
      </c>
      <c r="J576" s="8">
        <v>35</v>
      </c>
      <c r="K576" s="5" t="s">
        <v>1522</v>
      </c>
      <c r="L576">
        <f t="shared" si="8"/>
        <v>4</v>
      </c>
    </row>
    <row r="577" spans="1:12" hidden="1" x14ac:dyDescent="0.25">
      <c r="A577" s="5">
        <v>48087</v>
      </c>
      <c r="B577" t="s">
        <v>8301</v>
      </c>
      <c r="C577" s="5" t="s">
        <v>7503</v>
      </c>
      <c r="D577" t="s">
        <v>7504</v>
      </c>
      <c r="E577" s="5" t="s">
        <v>8449</v>
      </c>
      <c r="F577" s="6">
        <v>46136.422222222223</v>
      </c>
      <c r="G577" s="5" t="s">
        <v>7672</v>
      </c>
      <c r="H577" t="s">
        <v>7482</v>
      </c>
      <c r="I577" s="5" t="s">
        <v>1528</v>
      </c>
      <c r="J577" s="8">
        <v>1710</v>
      </c>
      <c r="K577" s="5" t="s">
        <v>1522</v>
      </c>
      <c r="L577">
        <f t="shared" si="8"/>
        <v>4</v>
      </c>
    </row>
    <row r="578" spans="1:12" hidden="1" x14ac:dyDescent="0.25">
      <c r="A578" s="5">
        <v>48094</v>
      </c>
      <c r="B578" t="s">
        <v>7469</v>
      </c>
      <c r="C578" s="5" t="s">
        <v>7470</v>
      </c>
      <c r="D578" t="s">
        <v>7471</v>
      </c>
      <c r="E578" s="5" t="s">
        <v>5267</v>
      </c>
      <c r="F578" s="6">
        <v>46136.611111111109</v>
      </c>
      <c r="G578" s="5" t="s">
        <v>7456</v>
      </c>
      <c r="H578" s="5" t="s">
        <v>8450</v>
      </c>
      <c r="I578" s="5" t="s">
        <v>1621</v>
      </c>
      <c r="J578" s="8">
        <v>18.39</v>
      </c>
      <c r="K578" s="5" t="s">
        <v>1522</v>
      </c>
      <c r="L578">
        <f t="shared" si="8"/>
        <v>4</v>
      </c>
    </row>
    <row r="579" spans="1:12" hidden="1" x14ac:dyDescent="0.25">
      <c r="A579" s="5">
        <v>48098</v>
      </c>
      <c r="B579" t="s">
        <v>7473</v>
      </c>
      <c r="C579" s="5" t="s">
        <v>7474</v>
      </c>
      <c r="D579" t="s">
        <v>7475</v>
      </c>
      <c r="E579" s="5" t="s">
        <v>3896</v>
      </c>
      <c r="F579" s="6">
        <v>46136.630555555559</v>
      </c>
      <c r="G579" s="5" t="s">
        <v>7456</v>
      </c>
      <c r="H579" s="5" t="s">
        <v>8451</v>
      </c>
      <c r="I579" s="5" t="s">
        <v>1528</v>
      </c>
      <c r="J579" s="8">
        <v>270.73</v>
      </c>
      <c r="K579" s="5" t="s">
        <v>1522</v>
      </c>
      <c r="L579">
        <f t="shared" ref="L579:L642" si="9">MONTH(F579)</f>
        <v>4</v>
      </c>
    </row>
    <row r="580" spans="1:12" hidden="1" x14ac:dyDescent="0.25">
      <c r="A580" s="5">
        <v>48099</v>
      </c>
      <c r="B580" t="s">
        <v>8287</v>
      </c>
      <c r="C580" s="5" t="s">
        <v>7863</v>
      </c>
      <c r="D580" t="s">
        <v>8288</v>
      </c>
      <c r="E580" s="5" t="s">
        <v>8380</v>
      </c>
      <c r="F580" s="6">
        <v>46136.634027777778</v>
      </c>
      <c r="G580" s="5" t="s">
        <v>7672</v>
      </c>
      <c r="H580" t="s">
        <v>7482</v>
      </c>
      <c r="I580" s="5" t="s">
        <v>1528</v>
      </c>
      <c r="J580" s="8">
        <v>135</v>
      </c>
      <c r="K580" s="5" t="s">
        <v>1522</v>
      </c>
      <c r="L580">
        <f t="shared" si="9"/>
        <v>4</v>
      </c>
    </row>
    <row r="581" spans="1:12" hidden="1" x14ac:dyDescent="0.25">
      <c r="A581" s="5">
        <v>48109</v>
      </c>
      <c r="B581" t="s">
        <v>8452</v>
      </c>
      <c r="C581" s="5" t="s">
        <v>8453</v>
      </c>
      <c r="D581" t="s">
        <v>8454</v>
      </c>
      <c r="E581" s="5" t="s">
        <v>1548</v>
      </c>
      <c r="F581" s="6">
        <v>46139.395833333336</v>
      </c>
      <c r="G581" s="5" t="s">
        <v>7672</v>
      </c>
      <c r="H581" t="s">
        <v>7482</v>
      </c>
      <c r="I581" s="5" t="s">
        <v>1528</v>
      </c>
      <c r="J581" s="8">
        <v>100</v>
      </c>
      <c r="K581" s="5" t="s">
        <v>1522</v>
      </c>
      <c r="L581">
        <f t="shared" si="9"/>
        <v>4</v>
      </c>
    </row>
    <row r="582" spans="1:12" hidden="1" x14ac:dyDescent="0.25">
      <c r="A582" s="5">
        <v>48111</v>
      </c>
      <c r="B582" t="s">
        <v>7694</v>
      </c>
      <c r="C582" s="5" t="s">
        <v>7695</v>
      </c>
      <c r="D582" t="s">
        <v>7696</v>
      </c>
      <c r="E582" s="5" t="s">
        <v>8455</v>
      </c>
      <c r="F582" s="6">
        <v>46139.425000000003</v>
      </c>
      <c r="G582" s="5" t="s">
        <v>7456</v>
      </c>
      <c r="H582" t="s">
        <v>7482</v>
      </c>
      <c r="I582" s="5" t="s">
        <v>1528</v>
      </c>
      <c r="J582" s="8">
        <v>5177.5</v>
      </c>
      <c r="K582" s="5" t="s">
        <v>1522</v>
      </c>
      <c r="L582">
        <f t="shared" si="9"/>
        <v>4</v>
      </c>
    </row>
    <row r="583" spans="1:12" hidden="1" x14ac:dyDescent="0.25">
      <c r="A583" s="5">
        <v>48113</v>
      </c>
      <c r="B583" t="s">
        <v>8239</v>
      </c>
      <c r="C583" s="5" t="s">
        <v>8240</v>
      </c>
      <c r="D583" t="s">
        <v>8241</v>
      </c>
      <c r="E583" s="5" t="s">
        <v>4835</v>
      </c>
      <c r="F583" s="6">
        <v>46139.47152777778</v>
      </c>
      <c r="G583" s="5" t="s">
        <v>7456</v>
      </c>
      <c r="H583" s="5" t="s">
        <v>8456</v>
      </c>
      <c r="I583" s="5" t="s">
        <v>1528</v>
      </c>
      <c r="J583" s="8">
        <v>164.5</v>
      </c>
      <c r="K583" s="5" t="s">
        <v>1522</v>
      </c>
      <c r="L583">
        <f t="shared" si="9"/>
        <v>4</v>
      </c>
    </row>
    <row r="584" spans="1:12" hidden="1" x14ac:dyDescent="0.25">
      <c r="A584" s="5">
        <v>48114</v>
      </c>
      <c r="B584" t="s">
        <v>7834</v>
      </c>
      <c r="C584" s="5" t="s">
        <v>7835</v>
      </c>
      <c r="D584" t="s">
        <v>7836</v>
      </c>
      <c r="E584" s="5" t="s">
        <v>3132</v>
      </c>
      <c r="F584" s="6">
        <v>46139.475694444445</v>
      </c>
      <c r="G584" s="5" t="s">
        <v>7456</v>
      </c>
      <c r="H584" s="5" t="s">
        <v>8457</v>
      </c>
      <c r="I584" s="5" t="s">
        <v>1528</v>
      </c>
      <c r="J584" s="8">
        <v>410</v>
      </c>
      <c r="K584" s="5" t="s">
        <v>1522</v>
      </c>
      <c r="L584">
        <f t="shared" si="9"/>
        <v>4</v>
      </c>
    </row>
    <row r="585" spans="1:12" hidden="1" x14ac:dyDescent="0.25">
      <c r="A585" s="5">
        <v>48121</v>
      </c>
      <c r="B585" t="s">
        <v>7469</v>
      </c>
      <c r="C585" s="5" t="s">
        <v>7470</v>
      </c>
      <c r="D585" t="s">
        <v>7471</v>
      </c>
      <c r="E585" s="5" t="s">
        <v>3434</v>
      </c>
      <c r="F585" s="6">
        <v>46139.622916666667</v>
      </c>
      <c r="G585" s="5" t="s">
        <v>7456</v>
      </c>
      <c r="H585" s="5" t="s">
        <v>8458</v>
      </c>
      <c r="I585" s="5" t="s">
        <v>1621</v>
      </c>
      <c r="J585" s="8">
        <v>308.16000000000003</v>
      </c>
      <c r="K585" s="5" t="s">
        <v>1522</v>
      </c>
      <c r="L585">
        <f t="shared" si="9"/>
        <v>4</v>
      </c>
    </row>
    <row r="586" spans="1:12" hidden="1" x14ac:dyDescent="0.25">
      <c r="A586" s="5">
        <v>48123</v>
      </c>
      <c r="B586" t="s">
        <v>7469</v>
      </c>
      <c r="C586" s="5" t="s">
        <v>7470</v>
      </c>
      <c r="D586" t="s">
        <v>7471</v>
      </c>
      <c r="E586" s="5" t="s">
        <v>3434</v>
      </c>
      <c r="F586" s="6">
        <v>46139.626388888886</v>
      </c>
      <c r="G586" s="5" t="s">
        <v>7456</v>
      </c>
      <c r="H586" s="5" t="s">
        <v>8459</v>
      </c>
      <c r="I586" s="5" t="s">
        <v>1621</v>
      </c>
      <c r="J586" s="8">
        <v>266</v>
      </c>
      <c r="K586" s="5" t="s">
        <v>1522</v>
      </c>
      <c r="L586">
        <f t="shared" si="9"/>
        <v>4</v>
      </c>
    </row>
    <row r="587" spans="1:12" hidden="1" x14ac:dyDescent="0.25">
      <c r="A587" s="5">
        <v>48124</v>
      </c>
      <c r="B587" t="s">
        <v>7469</v>
      </c>
      <c r="C587" s="5" t="s">
        <v>7470</v>
      </c>
      <c r="D587" t="s">
        <v>7471</v>
      </c>
      <c r="E587" s="5" t="s">
        <v>6467</v>
      </c>
      <c r="F587" s="6">
        <v>46139.628472222219</v>
      </c>
      <c r="G587" s="5" t="s">
        <v>7456</v>
      </c>
      <c r="H587" s="5" t="s">
        <v>8460</v>
      </c>
      <c r="I587" s="5" t="s">
        <v>1621</v>
      </c>
      <c r="J587" s="8">
        <v>10.8</v>
      </c>
      <c r="K587" s="5" t="s">
        <v>1522</v>
      </c>
      <c r="L587">
        <f t="shared" si="9"/>
        <v>4</v>
      </c>
    </row>
    <row r="588" spans="1:12" hidden="1" x14ac:dyDescent="0.25">
      <c r="A588" s="5">
        <v>48125</v>
      </c>
      <c r="B588" t="s">
        <v>7469</v>
      </c>
      <c r="C588" s="5" t="s">
        <v>7470</v>
      </c>
      <c r="D588" t="s">
        <v>7471</v>
      </c>
      <c r="E588" s="5" t="s">
        <v>5811</v>
      </c>
      <c r="F588" s="6">
        <v>46139.629861111112</v>
      </c>
      <c r="G588" s="5" t="s">
        <v>7456</v>
      </c>
      <c r="H588" s="5" t="s">
        <v>8461</v>
      </c>
      <c r="I588" s="5" t="s">
        <v>1621</v>
      </c>
      <c r="J588" s="8">
        <v>60</v>
      </c>
      <c r="K588" s="5" t="s">
        <v>1522</v>
      </c>
      <c r="L588">
        <f t="shared" si="9"/>
        <v>4</v>
      </c>
    </row>
    <row r="589" spans="1:12" hidden="1" x14ac:dyDescent="0.25">
      <c r="A589" s="5">
        <v>48126</v>
      </c>
      <c r="B589" t="s">
        <v>7469</v>
      </c>
      <c r="C589" s="5" t="s">
        <v>7470</v>
      </c>
      <c r="D589" t="s">
        <v>7471</v>
      </c>
      <c r="E589" s="5" t="s">
        <v>5267</v>
      </c>
      <c r="F589" s="6">
        <v>46139.631249999999</v>
      </c>
      <c r="G589" s="5" t="s">
        <v>7456</v>
      </c>
      <c r="H589" s="5" t="s">
        <v>8462</v>
      </c>
      <c r="I589" s="5" t="s">
        <v>1621</v>
      </c>
      <c r="J589" s="8">
        <v>119</v>
      </c>
      <c r="K589" s="5" t="s">
        <v>1522</v>
      </c>
      <c r="L589">
        <f t="shared" si="9"/>
        <v>4</v>
      </c>
    </row>
    <row r="590" spans="1:12" hidden="1" x14ac:dyDescent="0.25">
      <c r="A590" s="5">
        <v>48127</v>
      </c>
      <c r="B590" t="s">
        <v>7469</v>
      </c>
      <c r="C590" s="5" t="s">
        <v>7470</v>
      </c>
      <c r="D590" t="s">
        <v>7471</v>
      </c>
      <c r="E590" s="5" t="s">
        <v>5267</v>
      </c>
      <c r="F590" s="6">
        <v>46139.632638888892</v>
      </c>
      <c r="G590" s="5" t="s">
        <v>7456</v>
      </c>
      <c r="H590" s="5" t="s">
        <v>8463</v>
      </c>
      <c r="I590" s="5" t="s">
        <v>1621</v>
      </c>
      <c r="J590" s="8">
        <v>113.4</v>
      </c>
      <c r="K590" s="5" t="s">
        <v>1522</v>
      </c>
      <c r="L590">
        <f t="shared" si="9"/>
        <v>4</v>
      </c>
    </row>
    <row r="591" spans="1:12" hidden="1" x14ac:dyDescent="0.25">
      <c r="A591" s="5">
        <v>48128</v>
      </c>
      <c r="B591" t="s">
        <v>7469</v>
      </c>
      <c r="C591" s="5" t="s">
        <v>7470</v>
      </c>
      <c r="D591" t="s">
        <v>7471</v>
      </c>
      <c r="E591" s="5" t="s">
        <v>5267</v>
      </c>
      <c r="F591" s="6">
        <v>46139.634027777778</v>
      </c>
      <c r="G591" s="5" t="s">
        <v>7456</v>
      </c>
      <c r="H591" s="5" t="s">
        <v>8464</v>
      </c>
      <c r="I591" s="5" t="s">
        <v>1621</v>
      </c>
      <c r="J591" s="8">
        <v>113.4</v>
      </c>
      <c r="K591" s="5" t="s">
        <v>1522</v>
      </c>
      <c r="L591">
        <f t="shared" si="9"/>
        <v>4</v>
      </c>
    </row>
    <row r="592" spans="1:12" hidden="1" x14ac:dyDescent="0.25">
      <c r="A592" s="5">
        <v>48129</v>
      </c>
      <c r="B592" t="s">
        <v>7469</v>
      </c>
      <c r="C592" s="5" t="s">
        <v>7470</v>
      </c>
      <c r="D592" t="s">
        <v>7471</v>
      </c>
      <c r="E592" s="5" t="s">
        <v>5267</v>
      </c>
      <c r="F592" s="6">
        <v>46139.637499999997</v>
      </c>
      <c r="G592" s="5" t="s">
        <v>7456</v>
      </c>
      <c r="H592" s="5" t="s">
        <v>8465</v>
      </c>
      <c r="I592" s="5" t="s">
        <v>1621</v>
      </c>
      <c r="J592" s="8">
        <v>113.4</v>
      </c>
      <c r="K592" s="5" t="s">
        <v>1522</v>
      </c>
      <c r="L592">
        <f t="shared" si="9"/>
        <v>4</v>
      </c>
    </row>
    <row r="593" spans="1:12" hidden="1" x14ac:dyDescent="0.25">
      <c r="A593" s="5">
        <v>48130</v>
      </c>
      <c r="B593" t="s">
        <v>7469</v>
      </c>
      <c r="C593" s="5" t="s">
        <v>7470</v>
      </c>
      <c r="D593" t="s">
        <v>7471</v>
      </c>
      <c r="E593" s="5" t="s">
        <v>5267</v>
      </c>
      <c r="F593" s="6">
        <v>46139.638888888891</v>
      </c>
      <c r="G593" s="5" t="s">
        <v>7456</v>
      </c>
      <c r="H593" s="5" t="s">
        <v>8466</v>
      </c>
      <c r="I593" s="5" t="s">
        <v>1621</v>
      </c>
      <c r="J593" s="8">
        <v>116.47</v>
      </c>
      <c r="K593" s="5" t="s">
        <v>1522</v>
      </c>
      <c r="L593">
        <f t="shared" si="9"/>
        <v>4</v>
      </c>
    </row>
    <row r="594" spans="1:12" hidden="1" x14ac:dyDescent="0.25">
      <c r="A594" s="5">
        <v>48131</v>
      </c>
      <c r="B594" t="s">
        <v>7469</v>
      </c>
      <c r="C594" s="5" t="s">
        <v>7470</v>
      </c>
      <c r="D594" t="s">
        <v>7471</v>
      </c>
      <c r="E594" s="5" t="s">
        <v>5267</v>
      </c>
      <c r="F594" s="6">
        <v>46139.64166666667</v>
      </c>
      <c r="G594" s="5" t="s">
        <v>7456</v>
      </c>
      <c r="H594" s="5" t="s">
        <v>8467</v>
      </c>
      <c r="I594" s="5" t="s">
        <v>1621</v>
      </c>
      <c r="J594" s="8">
        <v>116.47</v>
      </c>
      <c r="K594" s="5" t="s">
        <v>1522</v>
      </c>
      <c r="L594">
        <f t="shared" si="9"/>
        <v>4</v>
      </c>
    </row>
    <row r="595" spans="1:12" hidden="1" x14ac:dyDescent="0.25">
      <c r="A595" s="5">
        <v>48137</v>
      </c>
      <c r="B595" t="s">
        <v>8468</v>
      </c>
      <c r="C595" s="5" t="s">
        <v>394</v>
      </c>
      <c r="D595" t="s">
        <v>8469</v>
      </c>
      <c r="E595" s="5" t="s">
        <v>1548</v>
      </c>
      <c r="F595" s="6">
        <v>46139.681944444441</v>
      </c>
      <c r="G595" s="5" t="s">
        <v>7456</v>
      </c>
      <c r="H595" s="5" t="s">
        <v>8470</v>
      </c>
      <c r="I595" s="5" t="s">
        <v>1528</v>
      </c>
      <c r="J595" s="8">
        <v>360</v>
      </c>
      <c r="K595" s="5" t="s">
        <v>1522</v>
      </c>
      <c r="L595">
        <f t="shared" si="9"/>
        <v>4</v>
      </c>
    </row>
    <row r="596" spans="1:12" hidden="1" x14ac:dyDescent="0.25">
      <c r="A596" s="5">
        <v>48139</v>
      </c>
      <c r="B596" t="s">
        <v>7515</v>
      </c>
      <c r="C596" s="5" t="s">
        <v>7516</v>
      </c>
      <c r="D596" t="s">
        <v>7517</v>
      </c>
      <c r="E596" s="5" t="s">
        <v>1886</v>
      </c>
      <c r="F596" s="6">
        <v>46139.691666666666</v>
      </c>
      <c r="G596" s="5" t="s">
        <v>7456</v>
      </c>
      <c r="H596" s="5" t="s">
        <v>8471</v>
      </c>
      <c r="I596" s="5" t="s">
        <v>1528</v>
      </c>
      <c r="J596" s="8">
        <v>1671</v>
      </c>
      <c r="K596" s="5" t="s">
        <v>1522</v>
      </c>
      <c r="L596">
        <f t="shared" si="9"/>
        <v>4</v>
      </c>
    </row>
    <row r="597" spans="1:12" hidden="1" x14ac:dyDescent="0.25">
      <c r="A597" s="5">
        <v>48149</v>
      </c>
      <c r="B597" t="s">
        <v>7469</v>
      </c>
      <c r="C597" s="5" t="s">
        <v>7470</v>
      </c>
      <c r="D597" t="s">
        <v>7471</v>
      </c>
      <c r="E597" s="5" t="s">
        <v>5811</v>
      </c>
      <c r="F597" s="6">
        <v>46139.748611111114</v>
      </c>
      <c r="G597" s="5" t="s">
        <v>7456</v>
      </c>
      <c r="H597" s="5" t="s">
        <v>8472</v>
      </c>
      <c r="I597" s="5" t="s">
        <v>1621</v>
      </c>
      <c r="J597" s="8">
        <v>60</v>
      </c>
      <c r="K597" s="5" t="s">
        <v>1522</v>
      </c>
      <c r="L597">
        <f t="shared" si="9"/>
        <v>4</v>
      </c>
    </row>
    <row r="598" spans="1:12" hidden="1" x14ac:dyDescent="0.25">
      <c r="A598" s="5">
        <v>48150</v>
      </c>
      <c r="B598" t="s">
        <v>7469</v>
      </c>
      <c r="C598" s="5" t="s">
        <v>7470</v>
      </c>
      <c r="D598" t="s">
        <v>7471</v>
      </c>
      <c r="E598" s="5" t="s">
        <v>5267</v>
      </c>
      <c r="F598" s="6">
        <v>46139.749305555553</v>
      </c>
      <c r="G598" s="5" t="s">
        <v>7456</v>
      </c>
      <c r="H598" s="5" t="s">
        <v>8473</v>
      </c>
      <c r="I598" s="5" t="s">
        <v>1621</v>
      </c>
      <c r="J598" s="8">
        <v>115.5</v>
      </c>
      <c r="K598" s="5" t="s">
        <v>1522</v>
      </c>
      <c r="L598">
        <f t="shared" si="9"/>
        <v>4</v>
      </c>
    </row>
    <row r="599" spans="1:12" hidden="1" x14ac:dyDescent="0.25">
      <c r="A599" s="5">
        <v>48151</v>
      </c>
      <c r="B599" t="s">
        <v>7469</v>
      </c>
      <c r="C599" s="5" t="s">
        <v>7470</v>
      </c>
      <c r="D599" t="s">
        <v>7471</v>
      </c>
      <c r="E599" s="5" t="s">
        <v>5267</v>
      </c>
      <c r="F599" s="6">
        <v>46139.750694444447</v>
      </c>
      <c r="G599" s="5" t="s">
        <v>7456</v>
      </c>
      <c r="H599" s="5" t="s">
        <v>8474</v>
      </c>
      <c r="I599" s="5" t="s">
        <v>1621</v>
      </c>
      <c r="J599" s="8">
        <v>113.4</v>
      </c>
      <c r="K599" s="5" t="s">
        <v>1522</v>
      </c>
      <c r="L599">
        <f t="shared" si="9"/>
        <v>4</v>
      </c>
    </row>
    <row r="600" spans="1:12" hidden="1" x14ac:dyDescent="0.25">
      <c r="A600" s="5">
        <v>48152</v>
      </c>
      <c r="B600" t="s">
        <v>7469</v>
      </c>
      <c r="C600" s="5" t="s">
        <v>7470</v>
      </c>
      <c r="D600" t="s">
        <v>7471</v>
      </c>
      <c r="E600" s="5" t="s">
        <v>5267</v>
      </c>
      <c r="F600" s="6">
        <v>46139.75277777778</v>
      </c>
      <c r="G600" s="5" t="s">
        <v>7456</v>
      </c>
      <c r="H600" s="5" t="s">
        <v>8475</v>
      </c>
      <c r="I600" s="5" t="s">
        <v>1621</v>
      </c>
      <c r="J600" s="8">
        <v>113.4</v>
      </c>
      <c r="K600" s="5" t="s">
        <v>1522</v>
      </c>
      <c r="L600">
        <f t="shared" si="9"/>
        <v>4</v>
      </c>
    </row>
    <row r="601" spans="1:12" hidden="1" x14ac:dyDescent="0.25">
      <c r="A601" s="5">
        <v>48153</v>
      </c>
      <c r="B601" t="s">
        <v>7469</v>
      </c>
      <c r="C601" s="5" t="s">
        <v>7470</v>
      </c>
      <c r="D601" t="s">
        <v>7471</v>
      </c>
      <c r="E601" s="5" t="s">
        <v>5267</v>
      </c>
      <c r="F601" s="6">
        <v>46139.755555555559</v>
      </c>
      <c r="G601" s="5" t="s">
        <v>7456</v>
      </c>
      <c r="H601" s="5" t="s">
        <v>8476</v>
      </c>
      <c r="I601" s="5" t="s">
        <v>1621</v>
      </c>
      <c r="J601" s="8">
        <v>113.4</v>
      </c>
      <c r="K601" s="5" t="s">
        <v>1522</v>
      </c>
      <c r="L601">
        <f t="shared" si="9"/>
        <v>4</v>
      </c>
    </row>
    <row r="602" spans="1:12" hidden="1" x14ac:dyDescent="0.25">
      <c r="A602" s="5">
        <v>48154</v>
      </c>
      <c r="B602" t="s">
        <v>7469</v>
      </c>
      <c r="C602" s="5" t="s">
        <v>7470</v>
      </c>
      <c r="D602" t="s">
        <v>7471</v>
      </c>
      <c r="E602" s="5" t="s">
        <v>5267</v>
      </c>
      <c r="F602" s="6">
        <v>46139.756249999999</v>
      </c>
      <c r="G602" s="5" t="s">
        <v>7456</v>
      </c>
      <c r="H602" s="5" t="s">
        <v>8477</v>
      </c>
      <c r="I602" s="5" t="s">
        <v>1621</v>
      </c>
      <c r="J602" s="8">
        <v>113.3</v>
      </c>
      <c r="K602" s="5" t="s">
        <v>1522</v>
      </c>
      <c r="L602">
        <f t="shared" si="9"/>
        <v>4</v>
      </c>
    </row>
    <row r="603" spans="1:12" hidden="1" x14ac:dyDescent="0.25">
      <c r="A603" s="5">
        <v>48155</v>
      </c>
      <c r="B603" t="s">
        <v>7469</v>
      </c>
      <c r="C603" s="5" t="s">
        <v>7470</v>
      </c>
      <c r="D603" t="s">
        <v>7471</v>
      </c>
      <c r="E603" s="5" t="s">
        <v>5267</v>
      </c>
      <c r="F603" s="6">
        <v>46139.757638888892</v>
      </c>
      <c r="G603" s="5" t="s">
        <v>7456</v>
      </c>
      <c r="H603" s="5" t="s">
        <v>8478</v>
      </c>
      <c r="I603" s="5" t="s">
        <v>1621</v>
      </c>
      <c r="J603" s="8">
        <v>92.4</v>
      </c>
      <c r="K603" s="5" t="s">
        <v>1522</v>
      </c>
      <c r="L603">
        <f t="shared" si="9"/>
        <v>4</v>
      </c>
    </row>
    <row r="604" spans="1:12" hidden="1" x14ac:dyDescent="0.25">
      <c r="A604" s="5">
        <v>48156</v>
      </c>
      <c r="B604" t="s">
        <v>7469</v>
      </c>
      <c r="C604" s="5" t="s">
        <v>7470</v>
      </c>
      <c r="D604" t="s">
        <v>7471</v>
      </c>
      <c r="E604" s="5" t="s">
        <v>3389</v>
      </c>
      <c r="F604" s="6">
        <v>46139.759722222225</v>
      </c>
      <c r="G604" s="5" t="s">
        <v>7456</v>
      </c>
      <c r="H604" s="5" t="s">
        <v>8479</v>
      </c>
      <c r="I604" s="5" t="s">
        <v>1621</v>
      </c>
      <c r="J604" s="8">
        <v>171.3</v>
      </c>
      <c r="K604" s="5" t="s">
        <v>1522</v>
      </c>
      <c r="L604">
        <f t="shared" si="9"/>
        <v>4</v>
      </c>
    </row>
    <row r="605" spans="1:12" hidden="1" x14ac:dyDescent="0.25">
      <c r="A605" s="5">
        <v>48158</v>
      </c>
      <c r="B605" t="s">
        <v>7683</v>
      </c>
      <c r="C605" s="5" t="s">
        <v>7516</v>
      </c>
      <c r="D605" t="s">
        <v>7684</v>
      </c>
      <c r="E605" s="5" t="s">
        <v>6302</v>
      </c>
      <c r="F605" s="6">
        <v>46140.349305555559</v>
      </c>
      <c r="G605" s="5" t="s">
        <v>7456</v>
      </c>
      <c r="H605" s="5" t="s">
        <v>8480</v>
      </c>
      <c r="I605" s="5" t="s">
        <v>1528</v>
      </c>
      <c r="J605" s="8">
        <v>74.8</v>
      </c>
      <c r="K605" s="5" t="s">
        <v>1522</v>
      </c>
      <c r="L605">
        <f t="shared" si="9"/>
        <v>4</v>
      </c>
    </row>
    <row r="606" spans="1:12" hidden="1" x14ac:dyDescent="0.25">
      <c r="A606" s="5">
        <v>48159</v>
      </c>
      <c r="B606" t="s">
        <v>7575</v>
      </c>
      <c r="C606" s="5" t="s">
        <v>7576</v>
      </c>
      <c r="D606" t="s">
        <v>7577</v>
      </c>
      <c r="E606" s="5" t="s">
        <v>2289</v>
      </c>
      <c r="F606" s="6">
        <v>46140.356249999997</v>
      </c>
      <c r="G606" s="5" t="s">
        <v>7456</v>
      </c>
      <c r="H606" s="5" t="s">
        <v>8481</v>
      </c>
      <c r="I606" s="5" t="s">
        <v>1528</v>
      </c>
      <c r="J606" s="8">
        <v>835.65</v>
      </c>
      <c r="K606" s="5" t="s">
        <v>1522</v>
      </c>
      <c r="L606">
        <f t="shared" si="9"/>
        <v>4</v>
      </c>
    </row>
    <row r="607" spans="1:12" hidden="1" x14ac:dyDescent="0.25">
      <c r="A607" s="5">
        <v>48160</v>
      </c>
      <c r="B607" t="s">
        <v>8482</v>
      </c>
      <c r="C607" s="5" t="s">
        <v>7931</v>
      </c>
      <c r="D607" t="s">
        <v>8483</v>
      </c>
      <c r="E607" s="5" t="s">
        <v>4752</v>
      </c>
      <c r="F607" s="6">
        <v>46140.37222222222</v>
      </c>
      <c r="G607" s="5" t="s">
        <v>7456</v>
      </c>
      <c r="H607" t="s">
        <v>7482</v>
      </c>
      <c r="I607" s="5" t="s">
        <v>1528</v>
      </c>
      <c r="J607" s="8">
        <v>273</v>
      </c>
      <c r="K607" s="5" t="s">
        <v>1522</v>
      </c>
      <c r="L607">
        <f t="shared" si="9"/>
        <v>4</v>
      </c>
    </row>
    <row r="608" spans="1:12" hidden="1" x14ac:dyDescent="0.25">
      <c r="A608" s="5">
        <v>48162</v>
      </c>
      <c r="B608" t="s">
        <v>8484</v>
      </c>
      <c r="C608" s="5" t="s">
        <v>486</v>
      </c>
      <c r="D608" t="s">
        <v>8485</v>
      </c>
      <c r="E608" s="5" t="s">
        <v>1548</v>
      </c>
      <c r="F608" s="6">
        <v>46140.429861111108</v>
      </c>
      <c r="G608" s="5" t="s">
        <v>7456</v>
      </c>
      <c r="H608" s="5" t="s">
        <v>8486</v>
      </c>
      <c r="I608" s="5" t="s">
        <v>1528</v>
      </c>
      <c r="J608" s="8">
        <v>725</v>
      </c>
      <c r="K608" s="5" t="s">
        <v>1522</v>
      </c>
      <c r="L608">
        <f t="shared" si="9"/>
        <v>4</v>
      </c>
    </row>
    <row r="609" spans="1:12" hidden="1" x14ac:dyDescent="0.25">
      <c r="A609" s="5">
        <v>48163</v>
      </c>
      <c r="B609" t="s">
        <v>7515</v>
      </c>
      <c r="C609" s="5" t="s">
        <v>7516</v>
      </c>
      <c r="D609" t="s">
        <v>7517</v>
      </c>
      <c r="E609" s="5" t="s">
        <v>4391</v>
      </c>
      <c r="F609" s="6">
        <v>46140.481249999997</v>
      </c>
      <c r="G609" s="5" t="s">
        <v>7456</v>
      </c>
      <c r="H609" s="5" t="s">
        <v>8487</v>
      </c>
      <c r="I609" s="5" t="s">
        <v>1528</v>
      </c>
      <c r="J609" s="8">
        <v>202.5</v>
      </c>
      <c r="K609" s="5" t="s">
        <v>1522</v>
      </c>
      <c r="L609">
        <f t="shared" si="9"/>
        <v>4</v>
      </c>
    </row>
    <row r="610" spans="1:12" hidden="1" x14ac:dyDescent="0.25">
      <c r="A610" s="5">
        <v>48176</v>
      </c>
      <c r="B610" t="s">
        <v>7620</v>
      </c>
      <c r="C610" s="5" t="s">
        <v>7621</v>
      </c>
      <c r="D610" t="s">
        <v>7622</v>
      </c>
      <c r="E610" s="5" t="s">
        <v>3979</v>
      </c>
      <c r="F610" s="6">
        <v>46141.387499999997</v>
      </c>
      <c r="G610" s="5" t="s">
        <v>7456</v>
      </c>
      <c r="H610" s="5" t="s">
        <v>8488</v>
      </c>
      <c r="I610" s="5" t="s">
        <v>1528</v>
      </c>
      <c r="J610" s="8">
        <v>132</v>
      </c>
      <c r="K610" s="5" t="s">
        <v>1522</v>
      </c>
      <c r="L610">
        <f t="shared" si="9"/>
        <v>4</v>
      </c>
    </row>
    <row r="611" spans="1:12" hidden="1" x14ac:dyDescent="0.25">
      <c r="A611" s="5">
        <v>48177</v>
      </c>
      <c r="B611" t="s">
        <v>8489</v>
      </c>
      <c r="C611" s="5" t="s">
        <v>484</v>
      </c>
      <c r="D611" t="s">
        <v>8490</v>
      </c>
      <c r="E611" s="5" t="s">
        <v>5621</v>
      </c>
      <c r="F611" s="6">
        <v>46141.398611111108</v>
      </c>
      <c r="G611" s="5" t="s">
        <v>7456</v>
      </c>
      <c r="H611" s="5" t="s">
        <v>8491</v>
      </c>
      <c r="I611" s="5" t="s">
        <v>1528</v>
      </c>
      <c r="J611" s="8">
        <v>114.54</v>
      </c>
      <c r="K611" s="5" t="s">
        <v>1522</v>
      </c>
      <c r="L611">
        <f t="shared" si="9"/>
        <v>4</v>
      </c>
    </row>
    <row r="612" spans="1:12" hidden="1" x14ac:dyDescent="0.25">
      <c r="A612" s="5">
        <v>48178</v>
      </c>
      <c r="B612" t="s">
        <v>8239</v>
      </c>
      <c r="C612" s="5" t="s">
        <v>8240</v>
      </c>
      <c r="D612" t="s">
        <v>8241</v>
      </c>
      <c r="E612" s="5" t="s">
        <v>5034</v>
      </c>
      <c r="F612" s="6">
        <v>46141.414583333331</v>
      </c>
      <c r="G612" s="5" t="s">
        <v>7456</v>
      </c>
      <c r="H612" s="5" t="s">
        <v>8492</v>
      </c>
      <c r="I612" s="5" t="s">
        <v>1528</v>
      </c>
      <c r="J612" s="8">
        <v>150.30000000000001</v>
      </c>
      <c r="K612" s="5" t="s">
        <v>1522</v>
      </c>
      <c r="L612">
        <f t="shared" si="9"/>
        <v>4</v>
      </c>
    </row>
    <row r="613" spans="1:12" hidden="1" x14ac:dyDescent="0.25">
      <c r="A613" s="5">
        <v>48182</v>
      </c>
      <c r="B613" t="s">
        <v>7536</v>
      </c>
      <c r="C613" s="5" t="s">
        <v>7537</v>
      </c>
      <c r="D613" t="s">
        <v>7538</v>
      </c>
      <c r="E613" s="5" t="s">
        <v>1548</v>
      </c>
      <c r="F613" s="6">
        <v>46141.47152777778</v>
      </c>
      <c r="G613" s="5" t="s">
        <v>7456</v>
      </c>
      <c r="H613" s="5" t="s">
        <v>8493</v>
      </c>
      <c r="I613" s="5" t="s">
        <v>1528</v>
      </c>
      <c r="J613" s="8">
        <v>40</v>
      </c>
      <c r="K613" s="5" t="s">
        <v>1522</v>
      </c>
      <c r="L613">
        <f t="shared" si="9"/>
        <v>4</v>
      </c>
    </row>
    <row r="614" spans="1:12" hidden="1" x14ac:dyDescent="0.25">
      <c r="A614" s="5">
        <v>48184</v>
      </c>
      <c r="B614" t="s">
        <v>8071</v>
      </c>
      <c r="C614" s="5" t="s">
        <v>8072</v>
      </c>
      <c r="D614" t="s">
        <v>8073</v>
      </c>
      <c r="E614" s="5" t="s">
        <v>1666</v>
      </c>
      <c r="F614" s="6">
        <v>46141.496527777781</v>
      </c>
      <c r="G614" s="5" t="s">
        <v>7456</v>
      </c>
      <c r="H614" s="5" t="s">
        <v>8494</v>
      </c>
      <c r="I614" s="5" t="s">
        <v>1528</v>
      </c>
      <c r="J614" s="8">
        <v>430</v>
      </c>
      <c r="K614" s="5" t="s">
        <v>1522</v>
      </c>
      <c r="L614">
        <f t="shared" si="9"/>
        <v>4</v>
      </c>
    </row>
    <row r="615" spans="1:12" hidden="1" x14ac:dyDescent="0.25">
      <c r="A615" s="5">
        <v>48188</v>
      </c>
      <c r="B615" t="s">
        <v>7875</v>
      </c>
      <c r="C615" s="5" t="s">
        <v>8495</v>
      </c>
      <c r="D615" t="s">
        <v>7876</v>
      </c>
      <c r="E615" s="5" t="s">
        <v>2254</v>
      </c>
      <c r="F615" s="6">
        <v>46141.652777777781</v>
      </c>
      <c r="G615" s="5" t="s">
        <v>7456</v>
      </c>
      <c r="H615" s="5" t="s">
        <v>8496</v>
      </c>
      <c r="I615" s="5" t="s">
        <v>1528</v>
      </c>
      <c r="J615" s="8">
        <v>874</v>
      </c>
      <c r="K615" s="5" t="s">
        <v>1522</v>
      </c>
      <c r="L615">
        <f t="shared" si="9"/>
        <v>4</v>
      </c>
    </row>
    <row r="616" spans="1:12" hidden="1" x14ac:dyDescent="0.25">
      <c r="A616" s="5">
        <v>48189</v>
      </c>
      <c r="B616" t="s">
        <v>7994</v>
      </c>
      <c r="C616" s="5" t="s">
        <v>7503</v>
      </c>
      <c r="D616" t="s">
        <v>7995</v>
      </c>
      <c r="E616" s="5" t="s">
        <v>6892</v>
      </c>
      <c r="F616" s="6">
        <v>46141.65625</v>
      </c>
      <c r="G616" s="5" t="s">
        <v>7456</v>
      </c>
      <c r="H616" s="5" t="s">
        <v>8497</v>
      </c>
      <c r="I616" s="5" t="s">
        <v>1528</v>
      </c>
      <c r="J616" s="8">
        <v>40</v>
      </c>
      <c r="K616" s="5" t="s">
        <v>1522</v>
      </c>
      <c r="L616">
        <f t="shared" si="9"/>
        <v>4</v>
      </c>
    </row>
    <row r="617" spans="1:12" hidden="1" x14ac:dyDescent="0.25">
      <c r="A617" s="5">
        <v>48193</v>
      </c>
      <c r="B617" t="s">
        <v>8498</v>
      </c>
      <c r="C617" s="5" t="s">
        <v>8499</v>
      </c>
      <c r="D617" t="s">
        <v>8500</v>
      </c>
      <c r="E617" s="5" t="s">
        <v>8501</v>
      </c>
      <c r="F617" s="6">
        <v>46141.689583333333</v>
      </c>
      <c r="G617" s="5" t="s">
        <v>7672</v>
      </c>
      <c r="H617" t="s">
        <v>7482</v>
      </c>
      <c r="I617" s="5" t="s">
        <v>1528</v>
      </c>
      <c r="J617" s="8">
        <v>1828</v>
      </c>
      <c r="K617" s="5" t="s">
        <v>1522</v>
      </c>
      <c r="L617">
        <f t="shared" si="9"/>
        <v>4</v>
      </c>
    </row>
    <row r="618" spans="1:12" hidden="1" x14ac:dyDescent="0.25">
      <c r="A618" s="5">
        <v>48196</v>
      </c>
      <c r="B618" t="s">
        <v>7469</v>
      </c>
      <c r="C618" s="5" t="s">
        <v>7470</v>
      </c>
      <c r="D618" t="s">
        <v>7471</v>
      </c>
      <c r="E618" s="5" t="s">
        <v>2467</v>
      </c>
      <c r="F618" s="6">
        <v>46141.70416666667</v>
      </c>
      <c r="G618" s="5" t="s">
        <v>7456</v>
      </c>
      <c r="H618" s="5" t="s">
        <v>8502</v>
      </c>
      <c r="I618" s="5" t="s">
        <v>1621</v>
      </c>
      <c r="J618" s="8">
        <v>159.6</v>
      </c>
      <c r="K618" s="5" t="s">
        <v>1522</v>
      </c>
      <c r="L618">
        <f t="shared" si="9"/>
        <v>4</v>
      </c>
    </row>
    <row r="619" spans="1:12" hidden="1" x14ac:dyDescent="0.25">
      <c r="A619" s="5">
        <v>48197</v>
      </c>
      <c r="B619" t="s">
        <v>7469</v>
      </c>
      <c r="C619" s="5" t="s">
        <v>7470</v>
      </c>
      <c r="D619" t="s">
        <v>7471</v>
      </c>
      <c r="E619" s="5" t="s">
        <v>5267</v>
      </c>
      <c r="F619" s="6">
        <v>46141.705555555556</v>
      </c>
      <c r="G619" s="5" t="s">
        <v>7456</v>
      </c>
      <c r="H619" s="5" t="s">
        <v>8503</v>
      </c>
      <c r="I619" s="5" t="s">
        <v>1621</v>
      </c>
      <c r="J619" s="8">
        <v>113.4</v>
      </c>
      <c r="K619" s="5" t="s">
        <v>1522</v>
      </c>
      <c r="L619">
        <f t="shared" si="9"/>
        <v>4</v>
      </c>
    </row>
    <row r="620" spans="1:12" hidden="1" x14ac:dyDescent="0.25">
      <c r="A620" s="5">
        <v>48198</v>
      </c>
      <c r="B620" t="s">
        <v>7469</v>
      </c>
      <c r="C620" s="5" t="s">
        <v>7470</v>
      </c>
      <c r="D620" t="s">
        <v>7471</v>
      </c>
      <c r="E620" s="5" t="s">
        <v>5267</v>
      </c>
      <c r="F620" s="6">
        <v>46141.706944444442</v>
      </c>
      <c r="G620" s="5" t="s">
        <v>7456</v>
      </c>
      <c r="H620" s="5" t="s">
        <v>8504</v>
      </c>
      <c r="I620" s="5" t="s">
        <v>1621</v>
      </c>
      <c r="J620" s="8">
        <v>113.4</v>
      </c>
      <c r="K620" s="5" t="s">
        <v>1522</v>
      </c>
      <c r="L620">
        <f t="shared" si="9"/>
        <v>4</v>
      </c>
    </row>
    <row r="621" spans="1:12" hidden="1" x14ac:dyDescent="0.25">
      <c r="A621" s="5">
        <v>48199</v>
      </c>
      <c r="B621" t="s">
        <v>7469</v>
      </c>
      <c r="C621" s="5" t="s">
        <v>7470</v>
      </c>
      <c r="D621" t="s">
        <v>7471</v>
      </c>
      <c r="E621" s="5" t="s">
        <v>5267</v>
      </c>
      <c r="F621" s="6">
        <v>46141.708333333336</v>
      </c>
      <c r="G621" s="5" t="s">
        <v>7456</v>
      </c>
      <c r="H621" s="5" t="s">
        <v>8505</v>
      </c>
      <c r="I621" s="5" t="s">
        <v>1621</v>
      </c>
      <c r="J621" s="8">
        <v>113.4</v>
      </c>
      <c r="K621" s="5" t="s">
        <v>1522</v>
      </c>
      <c r="L621">
        <f t="shared" si="9"/>
        <v>4</v>
      </c>
    </row>
    <row r="622" spans="1:12" hidden="1" x14ac:dyDescent="0.25">
      <c r="A622" s="5">
        <v>48200</v>
      </c>
      <c r="B622" t="s">
        <v>7469</v>
      </c>
      <c r="C622" s="5" t="s">
        <v>7470</v>
      </c>
      <c r="D622" t="s">
        <v>7471</v>
      </c>
      <c r="E622" s="5" t="s">
        <v>5267</v>
      </c>
      <c r="F622" s="6">
        <v>46141.710416666669</v>
      </c>
      <c r="G622" s="5" t="s">
        <v>7456</v>
      </c>
      <c r="H622" s="5" t="s">
        <v>8506</v>
      </c>
      <c r="I622" s="5" t="s">
        <v>1621</v>
      </c>
      <c r="J622" s="8">
        <v>113.4</v>
      </c>
      <c r="K622" s="5" t="s">
        <v>1522</v>
      </c>
      <c r="L622">
        <f t="shared" si="9"/>
        <v>4</v>
      </c>
    </row>
    <row r="623" spans="1:12" hidden="1" x14ac:dyDescent="0.25">
      <c r="A623" s="5">
        <v>48201</v>
      </c>
      <c r="B623" t="s">
        <v>7469</v>
      </c>
      <c r="C623" s="5" t="s">
        <v>7470</v>
      </c>
      <c r="D623" t="s">
        <v>7471</v>
      </c>
      <c r="E623" s="5" t="s">
        <v>5267</v>
      </c>
      <c r="F623" s="6">
        <v>46141.711805555555</v>
      </c>
      <c r="G623" s="5" t="s">
        <v>7456</v>
      </c>
      <c r="H623" s="5" t="s">
        <v>8507</v>
      </c>
      <c r="I623" s="5" t="s">
        <v>1621</v>
      </c>
      <c r="J623" s="8">
        <v>113.3</v>
      </c>
      <c r="K623" s="5" t="s">
        <v>1522</v>
      </c>
      <c r="L623">
        <f t="shared" si="9"/>
        <v>4</v>
      </c>
    </row>
    <row r="624" spans="1:12" hidden="1" x14ac:dyDescent="0.25">
      <c r="A624" s="5">
        <v>48202</v>
      </c>
      <c r="B624" t="s">
        <v>7469</v>
      </c>
      <c r="C624" s="5" t="s">
        <v>7470</v>
      </c>
      <c r="D624" t="s">
        <v>7471</v>
      </c>
      <c r="E624" s="5" t="s">
        <v>3389</v>
      </c>
      <c r="F624" s="6">
        <v>46141.713194444441</v>
      </c>
      <c r="G624" s="5" t="s">
        <v>7456</v>
      </c>
      <c r="H624" s="5" t="s">
        <v>8508</v>
      </c>
      <c r="I624" s="5" t="s">
        <v>1621</v>
      </c>
      <c r="J624" s="8">
        <v>230.4</v>
      </c>
      <c r="K624" s="5" t="s">
        <v>1522</v>
      </c>
      <c r="L624">
        <f t="shared" si="9"/>
        <v>4</v>
      </c>
    </row>
    <row r="625" spans="1:12" hidden="1" x14ac:dyDescent="0.25">
      <c r="A625" s="5">
        <v>48203</v>
      </c>
      <c r="B625" t="s">
        <v>7469</v>
      </c>
      <c r="C625" s="5" t="s">
        <v>7470</v>
      </c>
      <c r="D625" t="s">
        <v>7471</v>
      </c>
      <c r="E625" s="5" t="s">
        <v>3434</v>
      </c>
      <c r="F625" s="6">
        <v>46141.714583333334</v>
      </c>
      <c r="G625" s="5" t="s">
        <v>7456</v>
      </c>
      <c r="H625" s="5" t="s">
        <v>8509</v>
      </c>
      <c r="I625" s="5" t="s">
        <v>1621</v>
      </c>
      <c r="J625" s="8">
        <v>285</v>
      </c>
      <c r="K625" s="5" t="s">
        <v>1522</v>
      </c>
      <c r="L625">
        <f t="shared" si="9"/>
        <v>4</v>
      </c>
    </row>
    <row r="626" spans="1:12" hidden="1" x14ac:dyDescent="0.25">
      <c r="A626" s="5">
        <v>48204</v>
      </c>
      <c r="B626" t="s">
        <v>7469</v>
      </c>
      <c r="C626" s="5" t="s">
        <v>7470</v>
      </c>
      <c r="D626" t="s">
        <v>7471</v>
      </c>
      <c r="E626" s="5" t="s">
        <v>3434</v>
      </c>
      <c r="F626" s="6">
        <v>46141.71597222222</v>
      </c>
      <c r="G626" s="5" t="s">
        <v>7456</v>
      </c>
      <c r="H626" s="5" t="s">
        <v>8510</v>
      </c>
      <c r="I626" s="5" t="s">
        <v>1621</v>
      </c>
      <c r="J626" s="8">
        <v>266</v>
      </c>
      <c r="K626" s="5" t="s">
        <v>1522</v>
      </c>
      <c r="L626">
        <f t="shared" si="9"/>
        <v>4</v>
      </c>
    </row>
    <row r="627" spans="1:12" hidden="1" x14ac:dyDescent="0.25">
      <c r="A627" s="5">
        <v>48205</v>
      </c>
      <c r="B627" t="s">
        <v>7469</v>
      </c>
      <c r="C627" s="5" t="s">
        <v>7470</v>
      </c>
      <c r="D627" t="s">
        <v>7471</v>
      </c>
      <c r="E627" s="5" t="s">
        <v>3389</v>
      </c>
      <c r="F627" s="6">
        <v>46141.717361111114</v>
      </c>
      <c r="G627" s="5" t="s">
        <v>7456</v>
      </c>
      <c r="H627" s="5" t="s">
        <v>8511</v>
      </c>
      <c r="I627" s="5" t="s">
        <v>1621</v>
      </c>
      <c r="J627" s="8">
        <v>57.6</v>
      </c>
      <c r="K627" s="5" t="s">
        <v>1522</v>
      </c>
      <c r="L627">
        <f t="shared" si="9"/>
        <v>4</v>
      </c>
    </row>
    <row r="628" spans="1:12" hidden="1" x14ac:dyDescent="0.25">
      <c r="A628" s="5">
        <v>48208</v>
      </c>
      <c r="B628" t="s">
        <v>8287</v>
      </c>
      <c r="C628" s="5" t="s">
        <v>7863</v>
      </c>
      <c r="D628" t="s">
        <v>8288</v>
      </c>
      <c r="E628" s="5" t="s">
        <v>1548</v>
      </c>
      <c r="F628" s="6">
        <v>46142.414583333331</v>
      </c>
      <c r="G628" s="5" t="s">
        <v>7672</v>
      </c>
      <c r="H628" t="s">
        <v>7482</v>
      </c>
      <c r="I628" s="5" t="s">
        <v>1528</v>
      </c>
      <c r="J628" s="8">
        <v>1230.7</v>
      </c>
      <c r="K628" s="5" t="s">
        <v>1522</v>
      </c>
      <c r="L628">
        <f t="shared" si="9"/>
        <v>4</v>
      </c>
    </row>
    <row r="629" spans="1:12" hidden="1" x14ac:dyDescent="0.25">
      <c r="A629" s="5">
        <v>48210</v>
      </c>
      <c r="B629" t="s">
        <v>8512</v>
      </c>
      <c r="C629" s="5" t="s">
        <v>8513</v>
      </c>
      <c r="D629" t="s">
        <v>8514</v>
      </c>
      <c r="E629" s="5" t="s">
        <v>2818</v>
      </c>
      <c r="F629" s="6">
        <v>46142.470138888886</v>
      </c>
      <c r="G629" s="5" t="s">
        <v>7456</v>
      </c>
      <c r="H629" s="5" t="s">
        <v>8515</v>
      </c>
      <c r="I629" s="5" t="s">
        <v>1528</v>
      </c>
      <c r="J629" s="8">
        <v>350</v>
      </c>
      <c r="K629" s="5" t="s">
        <v>1522</v>
      </c>
      <c r="L629">
        <f t="shared" si="9"/>
        <v>4</v>
      </c>
    </row>
    <row r="630" spans="1:12" hidden="1" x14ac:dyDescent="0.25">
      <c r="A630" s="5">
        <v>48221</v>
      </c>
      <c r="B630" t="s">
        <v>8103</v>
      </c>
      <c r="C630" s="5" t="s">
        <v>7516</v>
      </c>
      <c r="D630" t="s">
        <v>8104</v>
      </c>
      <c r="E630" s="5" t="s">
        <v>1548</v>
      </c>
      <c r="F630" s="6">
        <v>46142.675694444442</v>
      </c>
      <c r="G630" s="5" t="s">
        <v>7456</v>
      </c>
      <c r="H630" s="5" t="s">
        <v>8516</v>
      </c>
      <c r="I630" s="5" t="s">
        <v>1528</v>
      </c>
      <c r="J630" s="8">
        <v>240</v>
      </c>
      <c r="K630" s="5" t="s">
        <v>1522</v>
      </c>
      <c r="L630">
        <f t="shared" si="9"/>
        <v>4</v>
      </c>
    </row>
    <row r="631" spans="1:12" hidden="1" x14ac:dyDescent="0.25">
      <c r="A631" s="5">
        <v>48226</v>
      </c>
      <c r="B631" t="s">
        <v>7469</v>
      </c>
      <c r="C631" s="5" t="s">
        <v>7470</v>
      </c>
      <c r="D631" t="s">
        <v>7471</v>
      </c>
      <c r="E631" s="5" t="s">
        <v>5267</v>
      </c>
      <c r="F631" s="6">
        <v>46142.704861111109</v>
      </c>
      <c r="G631" s="5" t="s">
        <v>7456</v>
      </c>
      <c r="H631" s="5" t="s">
        <v>8517</v>
      </c>
      <c r="I631" s="5" t="s">
        <v>1621</v>
      </c>
      <c r="J631" s="8">
        <v>113.4</v>
      </c>
      <c r="K631" s="5" t="s">
        <v>1522</v>
      </c>
      <c r="L631">
        <f t="shared" si="9"/>
        <v>4</v>
      </c>
    </row>
    <row r="632" spans="1:12" hidden="1" x14ac:dyDescent="0.25">
      <c r="A632" s="5">
        <v>48227</v>
      </c>
      <c r="B632" t="s">
        <v>7469</v>
      </c>
      <c r="C632" s="5" t="s">
        <v>7470</v>
      </c>
      <c r="D632" t="s">
        <v>7471</v>
      </c>
      <c r="E632" s="5" t="s">
        <v>3389</v>
      </c>
      <c r="F632" s="6">
        <v>46142.723611111112</v>
      </c>
      <c r="G632" s="5" t="s">
        <v>7456</v>
      </c>
      <c r="H632" s="5" t="s">
        <v>8518</v>
      </c>
      <c r="I632" s="5" t="s">
        <v>1621</v>
      </c>
      <c r="J632" s="8">
        <v>171.3</v>
      </c>
      <c r="K632" s="5" t="s">
        <v>1522</v>
      </c>
      <c r="L632">
        <f t="shared" si="9"/>
        <v>4</v>
      </c>
    </row>
    <row r="633" spans="1:12" hidden="1" x14ac:dyDescent="0.25">
      <c r="A633" s="5">
        <v>48228</v>
      </c>
      <c r="B633" t="s">
        <v>7620</v>
      </c>
      <c r="C633" s="5" t="s">
        <v>7621</v>
      </c>
      <c r="D633" t="s">
        <v>7622</v>
      </c>
      <c r="E633" s="5" t="s">
        <v>3979</v>
      </c>
      <c r="F633" s="6">
        <v>46146.598611111112</v>
      </c>
      <c r="G633" s="5" t="s">
        <v>7456</v>
      </c>
      <c r="H633" s="5" t="s">
        <v>8519</v>
      </c>
      <c r="I633" s="5" t="s">
        <v>1528</v>
      </c>
      <c r="J633" s="8">
        <v>260</v>
      </c>
      <c r="K633" s="5" t="s">
        <v>1522</v>
      </c>
      <c r="L633">
        <f t="shared" si="9"/>
        <v>5</v>
      </c>
    </row>
    <row r="634" spans="1:12" hidden="1" x14ac:dyDescent="0.25">
      <c r="A634" s="5">
        <v>48230</v>
      </c>
      <c r="B634" t="s">
        <v>8520</v>
      </c>
      <c r="C634" s="5" t="s">
        <v>8521</v>
      </c>
      <c r="D634" t="s">
        <v>8522</v>
      </c>
      <c r="E634" s="5" t="s">
        <v>1548</v>
      </c>
      <c r="F634" s="6">
        <v>46146.62777777778</v>
      </c>
      <c r="G634" s="5" t="s">
        <v>7456</v>
      </c>
      <c r="H634" s="5" t="s">
        <v>8523</v>
      </c>
      <c r="I634" s="5" t="s">
        <v>1528</v>
      </c>
      <c r="J634" s="8">
        <v>79.900000000000006</v>
      </c>
      <c r="K634" s="5" t="s">
        <v>1522</v>
      </c>
      <c r="L634">
        <f t="shared" si="9"/>
        <v>5</v>
      </c>
    </row>
    <row r="635" spans="1:12" hidden="1" x14ac:dyDescent="0.25">
      <c r="A635" s="5">
        <v>48231</v>
      </c>
      <c r="B635" t="s">
        <v>7469</v>
      </c>
      <c r="C635" s="5" t="s">
        <v>7470</v>
      </c>
      <c r="D635" t="s">
        <v>7471</v>
      </c>
      <c r="E635" s="5" t="s">
        <v>5267</v>
      </c>
      <c r="F635" s="6">
        <v>46146.627083333333</v>
      </c>
      <c r="G635" s="5" t="s">
        <v>7456</v>
      </c>
      <c r="H635" s="5" t="s">
        <v>8524</v>
      </c>
      <c r="I635" s="5" t="s">
        <v>1621</v>
      </c>
      <c r="J635" s="8">
        <v>115.5</v>
      </c>
      <c r="K635" s="5" t="s">
        <v>1522</v>
      </c>
      <c r="L635">
        <f t="shared" si="9"/>
        <v>5</v>
      </c>
    </row>
    <row r="636" spans="1:12" hidden="1" x14ac:dyDescent="0.25">
      <c r="A636" s="5">
        <v>48232</v>
      </c>
      <c r="B636" t="s">
        <v>7764</v>
      </c>
      <c r="C636" s="5" t="s">
        <v>7765</v>
      </c>
      <c r="D636" t="s">
        <v>7766</v>
      </c>
      <c r="E636" s="5" t="s">
        <v>1548</v>
      </c>
      <c r="F636" s="6">
        <v>46146.629166666666</v>
      </c>
      <c r="G636" s="5" t="s">
        <v>7456</v>
      </c>
      <c r="H636" s="5" t="s">
        <v>8525</v>
      </c>
      <c r="I636" s="5" t="s">
        <v>1528</v>
      </c>
      <c r="J636" s="8">
        <v>10</v>
      </c>
      <c r="K636" s="5" t="s">
        <v>1522</v>
      </c>
      <c r="L636">
        <f t="shared" si="9"/>
        <v>5</v>
      </c>
    </row>
    <row r="637" spans="1:12" hidden="1" x14ac:dyDescent="0.25">
      <c r="A637" s="5">
        <v>48233</v>
      </c>
      <c r="B637" t="s">
        <v>7469</v>
      </c>
      <c r="C637" s="5" t="s">
        <v>7470</v>
      </c>
      <c r="D637" t="s">
        <v>7471</v>
      </c>
      <c r="E637" s="5" t="s">
        <v>3434</v>
      </c>
      <c r="F637" s="6">
        <v>46146.632638888892</v>
      </c>
      <c r="G637" s="5" t="s">
        <v>7456</v>
      </c>
      <c r="H637" s="5" t="s">
        <v>8526</v>
      </c>
      <c r="I637" s="5" t="s">
        <v>1621</v>
      </c>
      <c r="J637" s="8">
        <v>291.2</v>
      </c>
      <c r="K637" s="5" t="s">
        <v>1522</v>
      </c>
      <c r="L637">
        <f t="shared" si="9"/>
        <v>5</v>
      </c>
    </row>
    <row r="638" spans="1:12" hidden="1" x14ac:dyDescent="0.25">
      <c r="A638" s="5">
        <v>48234</v>
      </c>
      <c r="B638" t="s">
        <v>7469</v>
      </c>
      <c r="C638" s="5" t="s">
        <v>7470</v>
      </c>
      <c r="D638" t="s">
        <v>7471</v>
      </c>
      <c r="E638" s="5" t="s">
        <v>5811</v>
      </c>
      <c r="F638" s="6">
        <v>46146.636111111111</v>
      </c>
      <c r="G638" s="5" t="s">
        <v>7456</v>
      </c>
      <c r="H638" s="5" t="s">
        <v>8527</v>
      </c>
      <c r="I638" s="5" t="s">
        <v>1621</v>
      </c>
      <c r="J638" s="8">
        <v>106</v>
      </c>
      <c r="K638" s="5" t="s">
        <v>1522</v>
      </c>
      <c r="L638">
        <f t="shared" si="9"/>
        <v>5</v>
      </c>
    </row>
    <row r="639" spans="1:12" hidden="1" x14ac:dyDescent="0.25">
      <c r="A639" s="5">
        <v>48235</v>
      </c>
      <c r="B639" t="s">
        <v>7469</v>
      </c>
      <c r="C639" s="5" t="s">
        <v>7470</v>
      </c>
      <c r="D639" t="s">
        <v>7471</v>
      </c>
      <c r="E639" s="5" t="s">
        <v>5267</v>
      </c>
      <c r="F639" s="6">
        <v>46146.637499999997</v>
      </c>
      <c r="G639" s="5" t="s">
        <v>7456</v>
      </c>
      <c r="H639" s="5" t="s">
        <v>8528</v>
      </c>
      <c r="I639" s="5" t="s">
        <v>1621</v>
      </c>
      <c r="J639" s="8">
        <v>113.4</v>
      </c>
      <c r="K639" s="5" t="s">
        <v>1522</v>
      </c>
      <c r="L639">
        <f t="shared" si="9"/>
        <v>5</v>
      </c>
    </row>
    <row r="640" spans="1:12" hidden="1" x14ac:dyDescent="0.25">
      <c r="A640" s="5">
        <v>48236</v>
      </c>
      <c r="B640" t="s">
        <v>7483</v>
      </c>
      <c r="C640" s="5" t="s">
        <v>7484</v>
      </c>
      <c r="D640" t="s">
        <v>7485</v>
      </c>
      <c r="E640" s="5" t="s">
        <v>2731</v>
      </c>
      <c r="F640" s="6">
        <v>46146.636805555558</v>
      </c>
      <c r="G640" s="5" t="s">
        <v>7456</v>
      </c>
      <c r="H640" s="5" t="s">
        <v>8529</v>
      </c>
      <c r="I640" s="5" t="s">
        <v>1528</v>
      </c>
      <c r="J640" s="8">
        <v>546</v>
      </c>
      <c r="K640" s="5" t="s">
        <v>1522</v>
      </c>
      <c r="L640">
        <f t="shared" si="9"/>
        <v>5</v>
      </c>
    </row>
    <row r="641" spans="1:12" hidden="1" x14ac:dyDescent="0.25">
      <c r="A641" s="5">
        <v>48237</v>
      </c>
      <c r="B641" t="s">
        <v>7469</v>
      </c>
      <c r="C641" s="5" t="s">
        <v>7470</v>
      </c>
      <c r="D641" t="s">
        <v>7471</v>
      </c>
      <c r="E641" s="5" t="s">
        <v>5267</v>
      </c>
      <c r="F641" s="6">
        <v>46146.638888888891</v>
      </c>
      <c r="G641" s="5" t="s">
        <v>7456</v>
      </c>
      <c r="H641" s="5" t="s">
        <v>8530</v>
      </c>
      <c r="I641" s="5" t="s">
        <v>1621</v>
      </c>
      <c r="J641" s="8">
        <v>132.30000000000001</v>
      </c>
      <c r="K641" s="5" t="s">
        <v>1522</v>
      </c>
      <c r="L641">
        <f t="shared" si="9"/>
        <v>5</v>
      </c>
    </row>
    <row r="642" spans="1:12" hidden="1" x14ac:dyDescent="0.25">
      <c r="A642" s="5">
        <v>48238</v>
      </c>
      <c r="B642" t="s">
        <v>7469</v>
      </c>
      <c r="C642" s="5" t="s">
        <v>7470</v>
      </c>
      <c r="D642" t="s">
        <v>7471</v>
      </c>
      <c r="E642" s="5" t="s">
        <v>6467</v>
      </c>
      <c r="F642" s="6">
        <v>46146.640277777777</v>
      </c>
      <c r="G642" s="5" t="s">
        <v>7456</v>
      </c>
      <c r="H642" s="5" t="s">
        <v>8531</v>
      </c>
      <c r="I642" s="5" t="s">
        <v>1621</v>
      </c>
      <c r="J642" s="8">
        <v>56.3</v>
      </c>
      <c r="K642" s="5" t="s">
        <v>1522</v>
      </c>
      <c r="L642">
        <f t="shared" si="9"/>
        <v>5</v>
      </c>
    </row>
    <row r="643" spans="1:12" hidden="1" x14ac:dyDescent="0.25">
      <c r="A643" s="5">
        <v>48255</v>
      </c>
      <c r="B643" t="s">
        <v>7490</v>
      </c>
      <c r="C643" s="5" t="s">
        <v>7491</v>
      </c>
      <c r="D643" t="s">
        <v>7492</v>
      </c>
      <c r="E643" s="5" t="s">
        <v>3016</v>
      </c>
      <c r="F643" s="6">
        <v>46146.727777777778</v>
      </c>
      <c r="G643" s="5" t="s">
        <v>7456</v>
      </c>
      <c r="H643" s="5" t="s">
        <v>8532</v>
      </c>
      <c r="I643" s="5" t="s">
        <v>1528</v>
      </c>
      <c r="J643" s="8">
        <v>450</v>
      </c>
      <c r="K643" s="5" t="s">
        <v>1522</v>
      </c>
      <c r="L643">
        <f t="shared" ref="L643:L706" si="10">MONTH(F643)</f>
        <v>5</v>
      </c>
    </row>
    <row r="644" spans="1:12" hidden="1" x14ac:dyDescent="0.25">
      <c r="A644" s="5">
        <v>48259</v>
      </c>
      <c r="B644" t="s">
        <v>7469</v>
      </c>
      <c r="C644" s="5" t="s">
        <v>7470</v>
      </c>
      <c r="D644" t="s">
        <v>7471</v>
      </c>
      <c r="E644" s="5" t="s">
        <v>5986</v>
      </c>
      <c r="F644" s="6">
        <v>46147.495833333334</v>
      </c>
      <c r="G644" s="5" t="s">
        <v>7456</v>
      </c>
      <c r="H644" s="5" t="s">
        <v>8533</v>
      </c>
      <c r="I644" s="5" t="s">
        <v>1621</v>
      </c>
      <c r="J644" s="8">
        <v>95.58</v>
      </c>
      <c r="K644" s="5" t="s">
        <v>1522</v>
      </c>
      <c r="L644">
        <f t="shared" si="10"/>
        <v>5</v>
      </c>
    </row>
    <row r="645" spans="1:12" hidden="1" x14ac:dyDescent="0.25">
      <c r="A645" s="5">
        <v>48267</v>
      </c>
      <c r="B645" t="s">
        <v>8534</v>
      </c>
      <c r="C645" s="5" t="s">
        <v>175</v>
      </c>
      <c r="D645" t="s">
        <v>8535</v>
      </c>
      <c r="E645" s="5" t="s">
        <v>6235</v>
      </c>
      <c r="F645" s="6">
        <v>46147.642361111109</v>
      </c>
      <c r="G645" s="5" t="s">
        <v>7456</v>
      </c>
      <c r="H645" s="5" t="s">
        <v>8536</v>
      </c>
      <c r="I645" s="5" t="s">
        <v>1528</v>
      </c>
      <c r="J645" s="8">
        <v>79.069999999999993</v>
      </c>
      <c r="K645" s="5" t="s">
        <v>1522</v>
      </c>
      <c r="L645">
        <f t="shared" si="10"/>
        <v>5</v>
      </c>
    </row>
    <row r="646" spans="1:12" hidden="1" x14ac:dyDescent="0.25">
      <c r="A646" s="5">
        <v>48271</v>
      </c>
      <c r="B646" t="s">
        <v>7878</v>
      </c>
      <c r="C646" s="5" t="s">
        <v>7503</v>
      </c>
      <c r="D646" t="s">
        <v>7879</v>
      </c>
      <c r="E646" s="5" t="s">
        <v>5508</v>
      </c>
      <c r="F646" s="6">
        <v>46147.667361111111</v>
      </c>
      <c r="G646" s="5" t="s">
        <v>7456</v>
      </c>
      <c r="H646" s="5" t="s">
        <v>8537</v>
      </c>
      <c r="I646" s="5" t="s">
        <v>1528</v>
      </c>
      <c r="J646" s="8">
        <v>120.8</v>
      </c>
      <c r="K646" s="5" t="s">
        <v>1522</v>
      </c>
      <c r="L646">
        <f t="shared" si="10"/>
        <v>5</v>
      </c>
    </row>
    <row r="647" spans="1:12" hidden="1" x14ac:dyDescent="0.25">
      <c r="A647" s="5">
        <v>48272</v>
      </c>
      <c r="B647" t="s">
        <v>7469</v>
      </c>
      <c r="C647" s="5" t="s">
        <v>7470</v>
      </c>
      <c r="D647" t="s">
        <v>7471</v>
      </c>
      <c r="E647" s="5" t="s">
        <v>2467</v>
      </c>
      <c r="F647" s="6">
        <v>46147.663888888892</v>
      </c>
      <c r="G647" s="5" t="s">
        <v>7456</v>
      </c>
      <c r="H647" s="5" t="s">
        <v>8538</v>
      </c>
      <c r="I647" s="5" t="s">
        <v>1621</v>
      </c>
      <c r="J647" s="8">
        <v>349.6</v>
      </c>
      <c r="K647" s="5" t="s">
        <v>1522</v>
      </c>
      <c r="L647">
        <f t="shared" si="10"/>
        <v>5</v>
      </c>
    </row>
    <row r="648" spans="1:12" hidden="1" x14ac:dyDescent="0.25">
      <c r="A648" s="5">
        <v>48290</v>
      </c>
      <c r="B648" t="s">
        <v>8539</v>
      </c>
      <c r="C648" s="5" t="s">
        <v>8093</v>
      </c>
      <c r="D648" t="s">
        <v>8540</v>
      </c>
      <c r="E648" s="5" t="s">
        <v>1548</v>
      </c>
      <c r="F648" s="6">
        <v>46148.579861111109</v>
      </c>
      <c r="G648" s="5" t="s">
        <v>7456</v>
      </c>
      <c r="H648" s="5" t="s">
        <v>8541</v>
      </c>
      <c r="I648" s="5" t="s">
        <v>1528</v>
      </c>
      <c r="J648" s="8">
        <v>136.5</v>
      </c>
      <c r="K648" s="5" t="s">
        <v>1522</v>
      </c>
      <c r="L648">
        <f t="shared" si="10"/>
        <v>5</v>
      </c>
    </row>
    <row r="649" spans="1:12" hidden="1" x14ac:dyDescent="0.25">
      <c r="A649" s="5">
        <v>48295</v>
      </c>
      <c r="B649" t="s">
        <v>7469</v>
      </c>
      <c r="C649" s="5" t="s">
        <v>7470</v>
      </c>
      <c r="D649" t="s">
        <v>7471</v>
      </c>
      <c r="E649" s="5" t="s">
        <v>5267</v>
      </c>
      <c r="F649" s="6">
        <v>46148.602777777778</v>
      </c>
      <c r="G649" s="5" t="s">
        <v>7456</v>
      </c>
      <c r="H649" s="5" t="s">
        <v>8542</v>
      </c>
      <c r="I649" s="5" t="s">
        <v>1621</v>
      </c>
      <c r="J649" s="8">
        <v>132.47999999999999</v>
      </c>
      <c r="K649" s="5" t="s">
        <v>1522</v>
      </c>
      <c r="L649">
        <f t="shared" si="10"/>
        <v>5</v>
      </c>
    </row>
    <row r="650" spans="1:12" hidden="1" x14ac:dyDescent="0.25">
      <c r="A650" s="5">
        <v>48296</v>
      </c>
      <c r="B650" t="s">
        <v>7469</v>
      </c>
      <c r="C650" s="5" t="s">
        <v>7470</v>
      </c>
      <c r="D650" t="s">
        <v>7471</v>
      </c>
      <c r="E650" s="5" t="s">
        <v>3434</v>
      </c>
      <c r="F650" s="6">
        <v>46148.60833333333</v>
      </c>
      <c r="G650" s="5" t="s">
        <v>7456</v>
      </c>
      <c r="H650" s="5" t="s">
        <v>8543</v>
      </c>
      <c r="I650" s="5" t="s">
        <v>1621</v>
      </c>
      <c r="J650" s="8">
        <v>330.72</v>
      </c>
      <c r="K650" s="5" t="s">
        <v>1522</v>
      </c>
      <c r="L650">
        <f t="shared" si="10"/>
        <v>5</v>
      </c>
    </row>
    <row r="651" spans="1:12" hidden="1" x14ac:dyDescent="0.25">
      <c r="A651" s="5">
        <v>48297</v>
      </c>
      <c r="B651" t="s">
        <v>7469</v>
      </c>
      <c r="C651" s="5" t="s">
        <v>7470</v>
      </c>
      <c r="D651" t="s">
        <v>7471</v>
      </c>
      <c r="E651" s="5" t="s">
        <v>5267</v>
      </c>
      <c r="F651" s="6">
        <v>46148.611805555556</v>
      </c>
      <c r="G651" s="5" t="s">
        <v>7456</v>
      </c>
      <c r="H651" s="5" t="s">
        <v>8544</v>
      </c>
      <c r="I651" s="5" t="s">
        <v>1621</v>
      </c>
      <c r="J651" s="8">
        <v>132.30000000000001</v>
      </c>
      <c r="K651" s="5" t="s">
        <v>1522</v>
      </c>
      <c r="L651">
        <f t="shared" si="10"/>
        <v>5</v>
      </c>
    </row>
    <row r="652" spans="1:12" hidden="1" x14ac:dyDescent="0.25">
      <c r="A652" s="5">
        <v>48298</v>
      </c>
      <c r="B652" t="s">
        <v>8151</v>
      </c>
      <c r="C652" s="5" t="s">
        <v>8545</v>
      </c>
      <c r="D652" t="s">
        <v>8546</v>
      </c>
      <c r="E652" s="5" t="s">
        <v>6894</v>
      </c>
      <c r="F652" s="6">
        <v>46148.613888888889</v>
      </c>
      <c r="G652" s="5" t="s">
        <v>7456</v>
      </c>
      <c r="H652" s="5" t="s">
        <v>8547</v>
      </c>
      <c r="I652" s="5" t="s">
        <v>1554</v>
      </c>
      <c r="J652" s="8">
        <v>40</v>
      </c>
      <c r="K652" s="5" t="s">
        <v>1522</v>
      </c>
      <c r="L652">
        <f t="shared" si="10"/>
        <v>5</v>
      </c>
    </row>
    <row r="653" spans="1:12" hidden="1" x14ac:dyDescent="0.25">
      <c r="A653" s="5">
        <v>48314</v>
      </c>
      <c r="B653" t="s">
        <v>7608</v>
      </c>
      <c r="C653" s="5" t="s">
        <v>7609</v>
      </c>
      <c r="D653" t="s">
        <v>7610</v>
      </c>
      <c r="E653" s="5" t="s">
        <v>1548</v>
      </c>
      <c r="F653" s="6">
        <v>46149.463888888888</v>
      </c>
      <c r="G653" s="5" t="s">
        <v>7672</v>
      </c>
      <c r="H653" t="s">
        <v>7482</v>
      </c>
      <c r="I653" s="5" t="s">
        <v>1528</v>
      </c>
      <c r="J653" s="8">
        <v>1141.5</v>
      </c>
      <c r="K653" s="5" t="s">
        <v>1522</v>
      </c>
      <c r="L653">
        <f t="shared" si="10"/>
        <v>5</v>
      </c>
    </row>
    <row r="654" spans="1:12" hidden="1" x14ac:dyDescent="0.25">
      <c r="A654" s="5">
        <v>48315</v>
      </c>
      <c r="B654" t="s">
        <v>8207</v>
      </c>
      <c r="C654" s="5" t="s">
        <v>8208</v>
      </c>
      <c r="D654" t="s">
        <v>8209</v>
      </c>
      <c r="E654" s="5" t="s">
        <v>1548</v>
      </c>
      <c r="F654" s="6">
        <v>46149.555555555555</v>
      </c>
      <c r="G654" s="5" t="s">
        <v>7456</v>
      </c>
      <c r="H654" s="5" t="s">
        <v>8548</v>
      </c>
      <c r="I654" s="5" t="s">
        <v>1528</v>
      </c>
      <c r="J654" s="8">
        <v>500</v>
      </c>
      <c r="K654" s="5" t="s">
        <v>1522</v>
      </c>
      <c r="L654">
        <f t="shared" si="10"/>
        <v>5</v>
      </c>
    </row>
    <row r="655" spans="1:12" hidden="1" x14ac:dyDescent="0.25">
      <c r="A655" s="5">
        <v>48316</v>
      </c>
      <c r="B655" t="s">
        <v>7770</v>
      </c>
      <c r="C655" s="5">
        <v>1</v>
      </c>
      <c r="D655" t="s">
        <v>7772</v>
      </c>
      <c r="E655" s="5" t="s">
        <v>8549</v>
      </c>
      <c r="F655" s="6">
        <v>46149.569444444445</v>
      </c>
      <c r="G655" s="5" t="s">
        <v>7672</v>
      </c>
      <c r="H655" t="s">
        <v>7482</v>
      </c>
      <c r="I655" s="5" t="s">
        <v>1528</v>
      </c>
      <c r="J655" s="8">
        <v>277</v>
      </c>
      <c r="K655" s="5" t="s">
        <v>1522</v>
      </c>
      <c r="L655">
        <f t="shared" si="10"/>
        <v>5</v>
      </c>
    </row>
    <row r="656" spans="1:12" hidden="1" x14ac:dyDescent="0.25">
      <c r="A656" s="5">
        <v>48317</v>
      </c>
      <c r="B656" t="s">
        <v>8550</v>
      </c>
      <c r="C656" s="5" t="s">
        <v>8551</v>
      </c>
      <c r="D656" t="s">
        <v>8552</v>
      </c>
      <c r="E656" s="5" t="s">
        <v>5465</v>
      </c>
      <c r="F656" s="6">
        <v>46149.582638888889</v>
      </c>
      <c r="G656" s="5" t="s">
        <v>7456</v>
      </c>
      <c r="H656" s="5" t="s">
        <v>8553</v>
      </c>
      <c r="I656" s="5" t="s">
        <v>1528</v>
      </c>
      <c r="J656" s="8">
        <v>125.82</v>
      </c>
      <c r="K656" s="5" t="s">
        <v>1522</v>
      </c>
      <c r="L656">
        <f t="shared" si="10"/>
        <v>5</v>
      </c>
    </row>
    <row r="657" spans="1:12" hidden="1" x14ac:dyDescent="0.25">
      <c r="A657" s="5">
        <v>48324</v>
      </c>
      <c r="B657" t="s">
        <v>7473</v>
      </c>
      <c r="C657" s="5" t="s">
        <v>7474</v>
      </c>
      <c r="D657" t="s">
        <v>7475</v>
      </c>
      <c r="E657" s="5" t="s">
        <v>3157</v>
      </c>
      <c r="F657" s="6">
        <v>46149.633333333331</v>
      </c>
      <c r="G657" s="5" t="s">
        <v>7456</v>
      </c>
      <c r="H657" s="5" t="s">
        <v>8554</v>
      </c>
      <c r="I657" s="5" t="s">
        <v>1528</v>
      </c>
      <c r="J657" s="8">
        <v>110</v>
      </c>
      <c r="K657" s="5" t="s">
        <v>1522</v>
      </c>
      <c r="L657">
        <f t="shared" si="10"/>
        <v>5</v>
      </c>
    </row>
    <row r="658" spans="1:12" hidden="1" x14ac:dyDescent="0.25">
      <c r="A658" s="5">
        <v>48325</v>
      </c>
      <c r="B658" t="s">
        <v>8281</v>
      </c>
      <c r="C658" s="5" t="s">
        <v>8282</v>
      </c>
      <c r="D658" t="s">
        <v>8283</v>
      </c>
      <c r="E658" s="5" t="s">
        <v>2625</v>
      </c>
      <c r="F658" s="6">
        <v>46149.636805555558</v>
      </c>
      <c r="G658" s="5" t="s">
        <v>7456</v>
      </c>
      <c r="H658" s="5" t="s">
        <v>8555</v>
      </c>
      <c r="I658" s="5" t="s">
        <v>1528</v>
      </c>
      <c r="J658" s="8">
        <v>594</v>
      </c>
      <c r="K658" s="5" t="s">
        <v>1522</v>
      </c>
      <c r="L658">
        <f t="shared" si="10"/>
        <v>5</v>
      </c>
    </row>
    <row r="659" spans="1:12" hidden="1" x14ac:dyDescent="0.25">
      <c r="A659" s="5">
        <v>48339</v>
      </c>
      <c r="B659" t="s">
        <v>8556</v>
      </c>
      <c r="C659" s="5" t="s">
        <v>8557</v>
      </c>
      <c r="D659" t="s">
        <v>8558</v>
      </c>
      <c r="E659" s="5" t="s">
        <v>2320</v>
      </c>
      <c r="F659" s="6">
        <v>46150.351388888892</v>
      </c>
      <c r="G659" s="5" t="s">
        <v>7456</v>
      </c>
      <c r="H659" s="5" t="s">
        <v>8559</v>
      </c>
      <c r="I659" s="5" t="s">
        <v>1528</v>
      </c>
      <c r="J659" s="8">
        <v>812.5</v>
      </c>
      <c r="K659" s="5" t="s">
        <v>1522</v>
      </c>
      <c r="L659">
        <f t="shared" si="10"/>
        <v>5</v>
      </c>
    </row>
    <row r="660" spans="1:12" hidden="1" x14ac:dyDescent="0.25">
      <c r="A660" s="5">
        <v>48341</v>
      </c>
      <c r="B660" t="s">
        <v>7816</v>
      </c>
      <c r="C660" s="5" t="s">
        <v>7817</v>
      </c>
      <c r="D660" t="s">
        <v>7818</v>
      </c>
      <c r="E660" s="5" t="s">
        <v>7089</v>
      </c>
      <c r="F660" s="6">
        <v>46150.388888888891</v>
      </c>
      <c r="G660" s="5" t="s">
        <v>7456</v>
      </c>
      <c r="H660" s="5" t="s">
        <v>8560</v>
      </c>
      <c r="I660" s="5" t="s">
        <v>1528</v>
      </c>
      <c r="J660" s="8">
        <v>30</v>
      </c>
      <c r="K660" s="5" t="s">
        <v>1522</v>
      </c>
      <c r="L660">
        <f t="shared" si="10"/>
        <v>5</v>
      </c>
    </row>
    <row r="661" spans="1:12" hidden="1" x14ac:dyDescent="0.25">
      <c r="A661" s="5">
        <v>48342</v>
      </c>
      <c r="B661" t="s">
        <v>7575</v>
      </c>
      <c r="C661" s="5" t="s">
        <v>7576</v>
      </c>
      <c r="D661" t="s">
        <v>7577</v>
      </c>
      <c r="E661" s="5" t="s">
        <v>2275</v>
      </c>
      <c r="F661" s="6">
        <v>46150.415277777778</v>
      </c>
      <c r="G661" s="5" t="s">
        <v>7456</v>
      </c>
      <c r="H661" s="5" t="s">
        <v>8561</v>
      </c>
      <c r="I661" s="5" t="s">
        <v>1528</v>
      </c>
      <c r="J661" s="8">
        <v>173.5</v>
      </c>
      <c r="K661" s="5" t="s">
        <v>1522</v>
      </c>
      <c r="L661">
        <f t="shared" si="10"/>
        <v>5</v>
      </c>
    </row>
    <row r="662" spans="1:12" hidden="1" x14ac:dyDescent="0.25">
      <c r="A662" s="5">
        <v>48344</v>
      </c>
      <c r="B662" t="s">
        <v>8207</v>
      </c>
      <c r="C662" s="5" t="s">
        <v>8208</v>
      </c>
      <c r="D662" t="s">
        <v>8209</v>
      </c>
      <c r="E662" s="5" t="s">
        <v>5865</v>
      </c>
      <c r="F662" s="6">
        <v>46150.497916666667</v>
      </c>
      <c r="G662" s="5" t="s">
        <v>7456</v>
      </c>
      <c r="H662" s="5" t="s">
        <v>8562</v>
      </c>
      <c r="I662" s="5" t="s">
        <v>1528</v>
      </c>
      <c r="J662" s="8">
        <v>104</v>
      </c>
      <c r="K662" s="5" t="s">
        <v>1522</v>
      </c>
      <c r="L662">
        <f t="shared" si="10"/>
        <v>5</v>
      </c>
    </row>
    <row r="663" spans="1:12" hidden="1" x14ac:dyDescent="0.25">
      <c r="A663" s="5">
        <v>48347</v>
      </c>
      <c r="B663" t="s">
        <v>7620</v>
      </c>
      <c r="C663" s="5" t="s">
        <v>7621</v>
      </c>
      <c r="D663" t="s">
        <v>7622</v>
      </c>
      <c r="E663" s="5" t="s">
        <v>1652</v>
      </c>
      <c r="F663" s="6">
        <v>46150.613888888889</v>
      </c>
      <c r="G663" s="5" t="s">
        <v>7456</v>
      </c>
      <c r="H663" s="5" t="s">
        <v>8563</v>
      </c>
      <c r="I663" s="5" t="s">
        <v>1528</v>
      </c>
      <c r="J663" s="8">
        <v>3322</v>
      </c>
      <c r="K663" s="5" t="s">
        <v>1522</v>
      </c>
      <c r="L663">
        <f t="shared" si="10"/>
        <v>5</v>
      </c>
    </row>
    <row r="664" spans="1:12" hidden="1" x14ac:dyDescent="0.25">
      <c r="A664" s="5">
        <v>48349</v>
      </c>
      <c r="B664" t="s">
        <v>8328</v>
      </c>
      <c r="C664" s="5" t="s">
        <v>8093</v>
      </c>
      <c r="D664" t="s">
        <v>8329</v>
      </c>
      <c r="E664" s="5" t="s">
        <v>6109</v>
      </c>
      <c r="F664" s="6">
        <v>46150.62777777778</v>
      </c>
      <c r="G664" s="5" t="s">
        <v>7456</v>
      </c>
      <c r="H664" s="5" t="s">
        <v>7522</v>
      </c>
      <c r="I664" s="5" t="s">
        <v>1528</v>
      </c>
      <c r="J664" s="8">
        <v>88</v>
      </c>
      <c r="K664" s="5" t="s">
        <v>1522</v>
      </c>
      <c r="L664">
        <f t="shared" si="10"/>
        <v>5</v>
      </c>
    </row>
    <row r="665" spans="1:12" hidden="1" x14ac:dyDescent="0.25">
      <c r="A665" s="5">
        <v>48370</v>
      </c>
      <c r="B665" t="s">
        <v>7469</v>
      </c>
      <c r="C665" s="5" t="s">
        <v>7470</v>
      </c>
      <c r="D665" t="s">
        <v>7471</v>
      </c>
      <c r="E665" s="5" t="s">
        <v>6467</v>
      </c>
      <c r="F665" s="6">
        <v>46153.625</v>
      </c>
      <c r="G665" s="5" t="s">
        <v>7456</v>
      </c>
      <c r="H665" s="5" t="s">
        <v>8564</v>
      </c>
      <c r="I665" s="5" t="s">
        <v>1621</v>
      </c>
      <c r="J665" s="8">
        <v>37.799999999999997</v>
      </c>
      <c r="K665" s="5" t="s">
        <v>1522</v>
      </c>
      <c r="L665">
        <f t="shared" si="10"/>
        <v>5</v>
      </c>
    </row>
    <row r="666" spans="1:12" hidden="1" x14ac:dyDescent="0.25">
      <c r="A666" s="5">
        <v>48382</v>
      </c>
      <c r="B666" t="s">
        <v>8565</v>
      </c>
      <c r="C666" s="5" t="s">
        <v>71</v>
      </c>
      <c r="D666" t="s">
        <v>8566</v>
      </c>
      <c r="E666" s="5" t="s">
        <v>1548</v>
      </c>
      <c r="F666" s="6">
        <v>46154.363888888889</v>
      </c>
      <c r="G666" s="5" t="s">
        <v>7456</v>
      </c>
      <c r="H666" s="5" t="s">
        <v>8567</v>
      </c>
      <c r="I666" s="5" t="s">
        <v>1528</v>
      </c>
      <c r="J666" s="8">
        <v>200</v>
      </c>
      <c r="K666" s="5" t="s">
        <v>1522</v>
      </c>
      <c r="L666">
        <f t="shared" si="10"/>
        <v>5</v>
      </c>
    </row>
    <row r="667" spans="1:12" hidden="1" x14ac:dyDescent="0.25">
      <c r="A667" s="5">
        <v>48385</v>
      </c>
      <c r="B667" t="s">
        <v>8568</v>
      </c>
      <c r="C667" s="5" t="s">
        <v>8569</v>
      </c>
      <c r="D667" t="s">
        <v>8570</v>
      </c>
      <c r="E667" s="5" t="s">
        <v>1548</v>
      </c>
      <c r="F667" s="6">
        <v>46154.406944444447</v>
      </c>
      <c r="G667" s="5" t="s">
        <v>7672</v>
      </c>
      <c r="H667" t="s">
        <v>7482</v>
      </c>
      <c r="I667" s="5" t="s">
        <v>1528</v>
      </c>
      <c r="J667" s="8">
        <v>110</v>
      </c>
      <c r="K667" s="5" t="s">
        <v>1522</v>
      </c>
      <c r="L667">
        <f t="shared" si="10"/>
        <v>5</v>
      </c>
    </row>
    <row r="668" spans="1:12" hidden="1" x14ac:dyDescent="0.25">
      <c r="A668" s="5">
        <v>48389</v>
      </c>
      <c r="B668" t="s">
        <v>7875</v>
      </c>
      <c r="C668" s="5" t="s">
        <v>7503</v>
      </c>
      <c r="D668" t="s">
        <v>7876</v>
      </c>
      <c r="E668" s="5" t="s">
        <v>5932</v>
      </c>
      <c r="F668" s="6">
        <v>46154.457638888889</v>
      </c>
      <c r="G668" s="5" t="s">
        <v>7456</v>
      </c>
      <c r="H668" s="5" t="s">
        <v>8571</v>
      </c>
      <c r="I668" s="5" t="s">
        <v>1528</v>
      </c>
      <c r="J668" s="8">
        <v>100</v>
      </c>
      <c r="K668" s="5" t="s">
        <v>1522</v>
      </c>
      <c r="L668">
        <f t="shared" si="10"/>
        <v>5</v>
      </c>
    </row>
    <row r="669" spans="1:12" hidden="1" x14ac:dyDescent="0.25">
      <c r="A669" s="5">
        <v>48391</v>
      </c>
      <c r="B669" t="s">
        <v>7473</v>
      </c>
      <c r="C669" s="5" t="s">
        <v>7474</v>
      </c>
      <c r="D669" t="s">
        <v>7475</v>
      </c>
      <c r="E669" s="5" t="s">
        <v>3157</v>
      </c>
      <c r="F669" s="6">
        <v>46154.468055555553</v>
      </c>
      <c r="G669" s="5" t="s">
        <v>7456</v>
      </c>
      <c r="H669" s="5" t="s">
        <v>8572</v>
      </c>
      <c r="I669" s="5" t="s">
        <v>1528</v>
      </c>
      <c r="J669" s="8">
        <v>26</v>
      </c>
      <c r="K669" s="5" t="s">
        <v>1522</v>
      </c>
      <c r="L669">
        <f t="shared" si="10"/>
        <v>5</v>
      </c>
    </row>
    <row r="670" spans="1:12" hidden="1" x14ac:dyDescent="0.25">
      <c r="A670" s="5">
        <v>48400</v>
      </c>
      <c r="B670" t="s">
        <v>8468</v>
      </c>
      <c r="C670" s="5" t="s">
        <v>394</v>
      </c>
      <c r="D670" t="s">
        <v>8469</v>
      </c>
      <c r="E670" s="5" t="s">
        <v>1548</v>
      </c>
      <c r="F670" s="6">
        <v>46154.647916666669</v>
      </c>
      <c r="G670" s="5" t="s">
        <v>7456</v>
      </c>
      <c r="H670" t="s">
        <v>7482</v>
      </c>
      <c r="I670" s="5" t="s">
        <v>1528</v>
      </c>
      <c r="J670" s="8">
        <v>740</v>
      </c>
      <c r="K670" s="5" t="s">
        <v>1522</v>
      </c>
      <c r="L670">
        <f t="shared" si="10"/>
        <v>5</v>
      </c>
    </row>
    <row r="671" spans="1:12" hidden="1" x14ac:dyDescent="0.25">
      <c r="A671" s="5">
        <v>48403</v>
      </c>
      <c r="B671" t="s">
        <v>8573</v>
      </c>
      <c r="C671" s="5" t="s">
        <v>8574</v>
      </c>
      <c r="D671" t="s">
        <v>8575</v>
      </c>
      <c r="E671" s="5" t="s">
        <v>5521</v>
      </c>
      <c r="F671" s="6">
        <v>46154.65347222222</v>
      </c>
      <c r="G671" s="5" t="s">
        <v>7456</v>
      </c>
      <c r="H671" s="5" t="s">
        <v>8576</v>
      </c>
      <c r="I671" s="5" t="s">
        <v>1528</v>
      </c>
      <c r="J671" s="8">
        <v>120</v>
      </c>
      <c r="K671" s="5" t="s">
        <v>1522</v>
      </c>
      <c r="L671">
        <f t="shared" si="10"/>
        <v>5</v>
      </c>
    </row>
    <row r="672" spans="1:12" hidden="1" x14ac:dyDescent="0.25">
      <c r="A672" s="5">
        <v>48412</v>
      </c>
      <c r="B672" t="s">
        <v>7935</v>
      </c>
      <c r="C672" s="5" t="s">
        <v>7936</v>
      </c>
      <c r="D672" t="s">
        <v>7937</v>
      </c>
      <c r="E672" s="5" t="s">
        <v>1548</v>
      </c>
      <c r="F672" s="6">
        <v>46155.336111111108</v>
      </c>
      <c r="G672" s="5" t="s">
        <v>7456</v>
      </c>
      <c r="H672" s="5" t="s">
        <v>8577</v>
      </c>
      <c r="I672" s="5" t="s">
        <v>1528</v>
      </c>
      <c r="J672" s="8">
        <v>440</v>
      </c>
      <c r="K672" s="5" t="s">
        <v>1522</v>
      </c>
      <c r="L672">
        <f t="shared" si="10"/>
        <v>5</v>
      </c>
    </row>
    <row r="673" spans="1:12" hidden="1" x14ac:dyDescent="0.25">
      <c r="A673" s="5">
        <v>48417</v>
      </c>
      <c r="B673" t="s">
        <v>7483</v>
      </c>
      <c r="C673" s="5" t="s">
        <v>7484</v>
      </c>
      <c r="D673" t="s">
        <v>7485</v>
      </c>
      <c r="E673" s="5" t="s">
        <v>1548</v>
      </c>
      <c r="F673" s="6">
        <v>46155.40625</v>
      </c>
      <c r="G673" s="5" t="s">
        <v>7456</v>
      </c>
      <c r="H673" s="5" t="s">
        <v>8578</v>
      </c>
      <c r="I673" s="5" t="s">
        <v>1528</v>
      </c>
      <c r="J673" s="8">
        <v>764.9</v>
      </c>
      <c r="K673" s="5" t="s">
        <v>1522</v>
      </c>
      <c r="L673">
        <f t="shared" si="10"/>
        <v>5</v>
      </c>
    </row>
    <row r="674" spans="1:12" hidden="1" x14ac:dyDescent="0.25">
      <c r="A674" s="5">
        <v>48419</v>
      </c>
      <c r="B674" t="s">
        <v>7683</v>
      </c>
      <c r="C674" s="5" t="s">
        <v>7516</v>
      </c>
      <c r="D674" t="s">
        <v>7684</v>
      </c>
      <c r="E674" s="5" t="s">
        <v>1548</v>
      </c>
      <c r="F674" s="6">
        <v>46155.390277777777</v>
      </c>
      <c r="G674" s="5" t="s">
        <v>7456</v>
      </c>
      <c r="H674" s="5" t="s">
        <v>8579</v>
      </c>
      <c r="I674" s="5" t="s">
        <v>1528</v>
      </c>
      <c r="J674" s="8">
        <v>49.3</v>
      </c>
      <c r="K674" s="5" t="s">
        <v>1522</v>
      </c>
      <c r="L674">
        <f t="shared" si="10"/>
        <v>5</v>
      </c>
    </row>
    <row r="675" spans="1:12" hidden="1" x14ac:dyDescent="0.25">
      <c r="A675" s="5">
        <v>48424</v>
      </c>
      <c r="B675" t="s">
        <v>8580</v>
      </c>
      <c r="C675" s="5" t="s">
        <v>8581</v>
      </c>
      <c r="D675" t="s">
        <v>8582</v>
      </c>
      <c r="E675" s="5" t="s">
        <v>2875</v>
      </c>
      <c r="F675" s="6">
        <v>46155.465277777781</v>
      </c>
      <c r="G675" s="5" t="s">
        <v>7456</v>
      </c>
      <c r="H675" t="s">
        <v>7482</v>
      </c>
      <c r="I675" s="5" t="s">
        <v>1528</v>
      </c>
      <c r="J675" s="8">
        <v>985</v>
      </c>
      <c r="K675" s="5" t="s">
        <v>1522</v>
      </c>
      <c r="L675">
        <f t="shared" si="10"/>
        <v>5</v>
      </c>
    </row>
    <row r="676" spans="1:12" hidden="1" x14ac:dyDescent="0.25">
      <c r="A676" s="5">
        <v>48438</v>
      </c>
      <c r="B676" t="s">
        <v>7469</v>
      </c>
      <c r="C676" s="5" t="s">
        <v>7470</v>
      </c>
      <c r="D676" t="s">
        <v>7471</v>
      </c>
      <c r="E676" s="5" t="s">
        <v>6467</v>
      </c>
      <c r="F676" s="6">
        <v>46155.607638888891</v>
      </c>
      <c r="G676" s="5" t="s">
        <v>7456</v>
      </c>
      <c r="H676" s="5" t="s">
        <v>8583</v>
      </c>
      <c r="I676" s="5" t="s">
        <v>1621</v>
      </c>
      <c r="J676" s="8">
        <v>27</v>
      </c>
      <c r="K676" s="5" t="s">
        <v>1522</v>
      </c>
      <c r="L676">
        <f t="shared" si="10"/>
        <v>5</v>
      </c>
    </row>
    <row r="677" spans="1:12" hidden="1" x14ac:dyDescent="0.25">
      <c r="A677" s="5">
        <v>48451</v>
      </c>
      <c r="B677" t="s">
        <v>8584</v>
      </c>
      <c r="C677" s="5" t="s">
        <v>7516</v>
      </c>
      <c r="D677" t="s">
        <v>8585</v>
      </c>
      <c r="E677" s="5" t="s">
        <v>1548</v>
      </c>
      <c r="F677" s="6">
        <v>46156.364583333336</v>
      </c>
      <c r="G677" s="5" t="s">
        <v>7456</v>
      </c>
      <c r="H677" s="5" t="s">
        <v>8586</v>
      </c>
      <c r="I677" s="5" t="s">
        <v>1528</v>
      </c>
      <c r="J677" s="8">
        <v>410</v>
      </c>
      <c r="K677" s="5" t="s">
        <v>1522</v>
      </c>
      <c r="L677">
        <f t="shared" si="10"/>
        <v>5</v>
      </c>
    </row>
    <row r="678" spans="1:12" hidden="1" x14ac:dyDescent="0.25">
      <c r="A678" s="5">
        <v>48452</v>
      </c>
      <c r="B678" t="s">
        <v>8482</v>
      </c>
      <c r="C678" s="5" t="s">
        <v>7931</v>
      </c>
      <c r="D678" t="s">
        <v>8483</v>
      </c>
      <c r="E678" s="5" t="s">
        <v>4752</v>
      </c>
      <c r="F678" s="6">
        <v>46156.366666666669</v>
      </c>
      <c r="G678" s="5" t="s">
        <v>7456</v>
      </c>
      <c r="H678" s="5" t="s">
        <v>8587</v>
      </c>
      <c r="I678" s="5" t="s">
        <v>1528</v>
      </c>
      <c r="J678" s="8">
        <v>171.6</v>
      </c>
      <c r="K678" s="5" t="s">
        <v>1522</v>
      </c>
      <c r="L678">
        <f t="shared" si="10"/>
        <v>5</v>
      </c>
    </row>
    <row r="679" spans="1:12" hidden="1" x14ac:dyDescent="0.25">
      <c r="A679" s="5">
        <v>48453</v>
      </c>
      <c r="B679" t="s">
        <v>7453</v>
      </c>
      <c r="C679" s="5" t="s">
        <v>7928</v>
      </c>
      <c r="D679" t="s">
        <v>7455</v>
      </c>
      <c r="E679" s="5" t="s">
        <v>1548</v>
      </c>
      <c r="F679" s="6">
        <v>46156.39166666667</v>
      </c>
      <c r="G679" s="5" t="s">
        <v>7456</v>
      </c>
      <c r="H679" s="5" t="s">
        <v>8588</v>
      </c>
      <c r="I679" s="5" t="s">
        <v>1528</v>
      </c>
      <c r="J679" s="8">
        <v>65</v>
      </c>
      <c r="K679" s="5" t="s">
        <v>1522</v>
      </c>
      <c r="L679">
        <f t="shared" si="10"/>
        <v>5</v>
      </c>
    </row>
    <row r="680" spans="1:12" hidden="1" x14ac:dyDescent="0.25">
      <c r="A680" s="5">
        <v>48462</v>
      </c>
      <c r="B680" t="s">
        <v>7575</v>
      </c>
      <c r="C680" s="5" t="s">
        <v>7576</v>
      </c>
      <c r="D680" t="s">
        <v>7577</v>
      </c>
      <c r="E680" s="5" t="s">
        <v>2275</v>
      </c>
      <c r="F680" s="6">
        <v>46156.615972222222</v>
      </c>
      <c r="G680" s="5" t="s">
        <v>7456</v>
      </c>
      <c r="H680" s="5" t="s">
        <v>8589</v>
      </c>
      <c r="I680" s="5" t="s">
        <v>1528</v>
      </c>
      <c r="J680" s="8">
        <v>850</v>
      </c>
      <c r="K680" s="5" t="s">
        <v>1522</v>
      </c>
      <c r="L680">
        <f t="shared" si="10"/>
        <v>5</v>
      </c>
    </row>
    <row r="681" spans="1:12" hidden="1" x14ac:dyDescent="0.25">
      <c r="A681" s="5">
        <v>48463</v>
      </c>
      <c r="B681" t="s">
        <v>8287</v>
      </c>
      <c r="C681" s="5" t="s">
        <v>7914</v>
      </c>
      <c r="D681" t="s">
        <v>8288</v>
      </c>
      <c r="E681" s="5" t="s">
        <v>1895</v>
      </c>
      <c r="F681" s="6">
        <v>46156.622916666667</v>
      </c>
      <c r="G681" s="5" t="s">
        <v>7456</v>
      </c>
      <c r="H681" s="5" t="s">
        <v>8590</v>
      </c>
      <c r="I681" s="5" t="s">
        <v>1528</v>
      </c>
      <c r="J681" s="8">
        <v>1620</v>
      </c>
      <c r="K681" s="5" t="s">
        <v>1522</v>
      </c>
      <c r="L681">
        <f t="shared" si="10"/>
        <v>5</v>
      </c>
    </row>
    <row r="682" spans="1:12" hidden="1" x14ac:dyDescent="0.25">
      <c r="A682" s="5">
        <v>48467</v>
      </c>
      <c r="B682" t="s">
        <v>7575</v>
      </c>
      <c r="C682" s="5" t="s">
        <v>7576</v>
      </c>
      <c r="D682" t="s">
        <v>7577</v>
      </c>
      <c r="E682" s="5" t="s">
        <v>2184</v>
      </c>
      <c r="F682" s="6">
        <v>46156.64166666667</v>
      </c>
      <c r="G682" s="5" t="s">
        <v>7456</v>
      </c>
      <c r="H682" s="5" t="s">
        <v>8591</v>
      </c>
      <c r="I682" s="5" t="s">
        <v>1528</v>
      </c>
      <c r="J682" s="8">
        <v>965</v>
      </c>
      <c r="K682" s="5" t="s">
        <v>1522</v>
      </c>
      <c r="L682">
        <f t="shared" si="10"/>
        <v>5</v>
      </c>
    </row>
    <row r="683" spans="1:12" hidden="1" x14ac:dyDescent="0.25">
      <c r="A683" s="5">
        <v>48469</v>
      </c>
      <c r="B683" t="s">
        <v>7683</v>
      </c>
      <c r="C683" s="5" t="s">
        <v>7516</v>
      </c>
      <c r="D683" t="s">
        <v>7684</v>
      </c>
      <c r="E683" s="5" t="s">
        <v>2734</v>
      </c>
      <c r="F683" s="6">
        <v>46156.659722222219</v>
      </c>
      <c r="G683" s="5" t="s">
        <v>7456</v>
      </c>
      <c r="H683" s="5" t="s">
        <v>8592</v>
      </c>
      <c r="I683" s="5" t="s">
        <v>1528</v>
      </c>
      <c r="J683" s="8">
        <v>545.79999999999995</v>
      </c>
      <c r="K683" s="5" t="s">
        <v>1522</v>
      </c>
      <c r="L683">
        <f t="shared" si="10"/>
        <v>5</v>
      </c>
    </row>
    <row r="684" spans="1:12" hidden="1" x14ac:dyDescent="0.25">
      <c r="A684" s="5">
        <v>48472</v>
      </c>
      <c r="B684" t="s">
        <v>8593</v>
      </c>
      <c r="C684" s="5" t="s">
        <v>8594</v>
      </c>
      <c r="D684" t="s">
        <v>8595</v>
      </c>
      <c r="E684" s="5" t="s">
        <v>1548</v>
      </c>
      <c r="F684" s="6">
        <v>46157.369444444441</v>
      </c>
      <c r="G684" s="5" t="s">
        <v>7672</v>
      </c>
      <c r="H684" t="s">
        <v>7482</v>
      </c>
      <c r="I684" s="5" t="s">
        <v>1528</v>
      </c>
      <c r="J684" s="8">
        <v>474</v>
      </c>
      <c r="K684" s="5" t="s">
        <v>1522</v>
      </c>
      <c r="L684">
        <f t="shared" si="10"/>
        <v>5</v>
      </c>
    </row>
    <row r="685" spans="1:12" hidden="1" x14ac:dyDescent="0.25">
      <c r="A685" s="5">
        <v>48476</v>
      </c>
      <c r="B685" t="s">
        <v>8596</v>
      </c>
      <c r="C685" s="5" t="s">
        <v>8597</v>
      </c>
      <c r="D685" t="s">
        <v>8598</v>
      </c>
      <c r="E685" s="5" t="s">
        <v>1548</v>
      </c>
      <c r="F685" s="6">
        <v>46157.427083333336</v>
      </c>
      <c r="G685" s="5" t="s">
        <v>7456</v>
      </c>
      <c r="H685" s="5" t="s">
        <v>8599</v>
      </c>
      <c r="I685" s="5" t="s">
        <v>1528</v>
      </c>
      <c r="J685" s="8">
        <v>90.5</v>
      </c>
      <c r="K685" s="5" t="s">
        <v>1522</v>
      </c>
      <c r="L685">
        <f t="shared" si="10"/>
        <v>5</v>
      </c>
    </row>
    <row r="686" spans="1:12" hidden="1" x14ac:dyDescent="0.25">
      <c r="A686" s="5">
        <v>48477</v>
      </c>
      <c r="B686" t="s">
        <v>8318</v>
      </c>
      <c r="C686" s="5" t="s">
        <v>8319</v>
      </c>
      <c r="D686" t="s">
        <v>8320</v>
      </c>
      <c r="E686" s="5" t="s">
        <v>1548</v>
      </c>
      <c r="F686" s="6">
        <v>46157.433333333334</v>
      </c>
      <c r="G686" s="5" t="s">
        <v>7456</v>
      </c>
      <c r="H686" s="5" t="s">
        <v>8600</v>
      </c>
      <c r="I686" s="5" t="s">
        <v>1528</v>
      </c>
      <c r="J686" s="8">
        <v>27.5</v>
      </c>
      <c r="K686" s="5" t="s">
        <v>1522</v>
      </c>
      <c r="L686">
        <f t="shared" si="10"/>
        <v>5</v>
      </c>
    </row>
    <row r="687" spans="1:12" hidden="1" x14ac:dyDescent="0.25">
      <c r="A687" s="5">
        <v>48506</v>
      </c>
      <c r="B687" t="s">
        <v>8601</v>
      </c>
      <c r="C687" s="5" t="s">
        <v>8602</v>
      </c>
      <c r="D687" t="s">
        <v>8603</v>
      </c>
      <c r="E687" s="5" t="s">
        <v>1548</v>
      </c>
      <c r="F687" s="6">
        <v>46160.479861111111</v>
      </c>
      <c r="G687" s="5" t="s">
        <v>7672</v>
      </c>
      <c r="H687" t="s">
        <v>7482</v>
      </c>
      <c r="I687" s="5" t="s">
        <v>1528</v>
      </c>
      <c r="J687" s="8">
        <v>186</v>
      </c>
      <c r="K687" s="5" t="s">
        <v>1522</v>
      </c>
      <c r="L687">
        <f t="shared" si="10"/>
        <v>5</v>
      </c>
    </row>
    <row r="688" spans="1:12" hidden="1" x14ac:dyDescent="0.25">
      <c r="A688" s="5">
        <v>48524</v>
      </c>
      <c r="B688" t="s">
        <v>8604</v>
      </c>
      <c r="C688" s="5" t="s">
        <v>8605</v>
      </c>
      <c r="D688" t="s">
        <v>8606</v>
      </c>
      <c r="E688" s="5" t="s">
        <v>1548</v>
      </c>
      <c r="F688" s="6">
        <v>46161.383333333331</v>
      </c>
      <c r="G688" s="5" t="s">
        <v>7456</v>
      </c>
      <c r="H688" s="5" t="s">
        <v>8607</v>
      </c>
      <c r="I688" s="5" t="s">
        <v>1528</v>
      </c>
      <c r="J688" s="8">
        <v>120.15</v>
      </c>
      <c r="K688" s="5" t="s">
        <v>1522</v>
      </c>
      <c r="L688">
        <f t="shared" si="10"/>
        <v>5</v>
      </c>
    </row>
    <row r="689" spans="1:12" hidden="1" x14ac:dyDescent="0.25">
      <c r="A689" s="5">
        <v>48526</v>
      </c>
      <c r="B689" t="s">
        <v>7642</v>
      </c>
      <c r="C689" s="5" t="s">
        <v>7643</v>
      </c>
      <c r="D689" t="s">
        <v>7644</v>
      </c>
      <c r="E689" s="5" t="s">
        <v>8608</v>
      </c>
      <c r="F689" s="6">
        <v>46161.397916666669</v>
      </c>
      <c r="G689" s="5" t="s">
        <v>7672</v>
      </c>
      <c r="H689" t="s">
        <v>7482</v>
      </c>
      <c r="I689" s="5" t="s">
        <v>1528</v>
      </c>
      <c r="J689" s="8">
        <v>1098</v>
      </c>
      <c r="K689" s="5" t="s">
        <v>1522</v>
      </c>
      <c r="L689">
        <f t="shared" si="10"/>
        <v>5</v>
      </c>
    </row>
    <row r="690" spans="1:12" hidden="1" x14ac:dyDescent="0.25">
      <c r="A690" s="5">
        <v>48530</v>
      </c>
      <c r="B690" t="s">
        <v>7473</v>
      </c>
      <c r="C690" s="5" t="s">
        <v>7474</v>
      </c>
      <c r="D690" t="s">
        <v>7475</v>
      </c>
      <c r="E690" s="5" t="s">
        <v>3216</v>
      </c>
      <c r="F690" s="6">
        <v>46161.423611111109</v>
      </c>
      <c r="G690" s="5" t="s">
        <v>7456</v>
      </c>
      <c r="H690" s="5" t="s">
        <v>8609</v>
      </c>
      <c r="I690" s="5" t="s">
        <v>1528</v>
      </c>
      <c r="J690" s="8">
        <v>52.05</v>
      </c>
      <c r="K690" s="5" t="s">
        <v>1522</v>
      </c>
      <c r="L690">
        <f t="shared" si="10"/>
        <v>5</v>
      </c>
    </row>
    <row r="691" spans="1:12" hidden="1" x14ac:dyDescent="0.25">
      <c r="A691" s="5">
        <v>48533</v>
      </c>
      <c r="B691" t="s">
        <v>8610</v>
      </c>
      <c r="C691" s="5" t="s">
        <v>8611</v>
      </c>
      <c r="D691" t="s">
        <v>7644</v>
      </c>
      <c r="E691" s="5" t="s">
        <v>6123</v>
      </c>
      <c r="F691" s="6">
        <v>46161.459722222222</v>
      </c>
      <c r="G691" s="5" t="s">
        <v>7456</v>
      </c>
      <c r="H691" s="5" t="s">
        <v>8612</v>
      </c>
      <c r="I691" s="5" t="s">
        <v>1621</v>
      </c>
      <c r="J691" s="8">
        <v>0</v>
      </c>
      <c r="K691" s="5" t="s">
        <v>1522</v>
      </c>
      <c r="L691">
        <f t="shared" si="10"/>
        <v>5</v>
      </c>
    </row>
    <row r="692" spans="1:12" hidden="1" x14ac:dyDescent="0.25">
      <c r="A692" s="5">
        <v>48550</v>
      </c>
      <c r="B692" t="s">
        <v>8239</v>
      </c>
      <c r="C692" s="5" t="s">
        <v>8240</v>
      </c>
      <c r="D692" t="s">
        <v>8613</v>
      </c>
      <c r="E692" s="5" t="s">
        <v>8614</v>
      </c>
      <c r="F692" s="6">
        <v>46161.657638888886</v>
      </c>
      <c r="G692" s="5" t="s">
        <v>7672</v>
      </c>
      <c r="H692" t="s">
        <v>7482</v>
      </c>
      <c r="I692" s="5" t="s">
        <v>1528</v>
      </c>
      <c r="J692" s="8">
        <v>1158</v>
      </c>
      <c r="K692" s="5" t="s">
        <v>1522</v>
      </c>
      <c r="L692">
        <f t="shared" si="10"/>
        <v>5</v>
      </c>
    </row>
    <row r="693" spans="1:12" hidden="1" x14ac:dyDescent="0.25">
      <c r="A693" s="5">
        <v>48573</v>
      </c>
      <c r="B693" t="s">
        <v>7882</v>
      </c>
      <c r="C693" s="5" t="s">
        <v>7883</v>
      </c>
      <c r="D693" t="s">
        <v>7884</v>
      </c>
      <c r="E693" s="5" t="s">
        <v>8615</v>
      </c>
      <c r="F693" s="6">
        <v>46162.443749999999</v>
      </c>
      <c r="G693" s="5" t="s">
        <v>7456</v>
      </c>
      <c r="H693" t="s">
        <v>7482</v>
      </c>
      <c r="I693" s="5" t="s">
        <v>1528</v>
      </c>
      <c r="J693" s="8">
        <v>36</v>
      </c>
      <c r="K693" s="5" t="s">
        <v>1522</v>
      </c>
      <c r="L693">
        <f t="shared" si="10"/>
        <v>5</v>
      </c>
    </row>
    <row r="694" spans="1:12" hidden="1" x14ac:dyDescent="0.25">
      <c r="A694" s="5">
        <v>48579</v>
      </c>
      <c r="B694" t="s">
        <v>7990</v>
      </c>
      <c r="C694" s="5" t="s">
        <v>7991</v>
      </c>
      <c r="D694" t="s">
        <v>7992</v>
      </c>
      <c r="E694" s="5" t="s">
        <v>2142</v>
      </c>
      <c r="F694" s="6">
        <v>46162.52847222222</v>
      </c>
      <c r="G694" s="5" t="s">
        <v>7456</v>
      </c>
      <c r="H694" s="5" t="s">
        <v>8616</v>
      </c>
      <c r="I694" s="5" t="s">
        <v>1528</v>
      </c>
      <c r="J694" s="8">
        <v>500</v>
      </c>
      <c r="K694" s="5" t="s">
        <v>1522</v>
      </c>
      <c r="L694">
        <f t="shared" si="10"/>
        <v>5</v>
      </c>
    </row>
    <row r="695" spans="1:12" hidden="1" x14ac:dyDescent="0.25">
      <c r="A695" s="5">
        <v>48581</v>
      </c>
      <c r="B695" t="s">
        <v>7469</v>
      </c>
      <c r="C695" s="5" t="s">
        <v>7470</v>
      </c>
      <c r="D695" t="s">
        <v>7471</v>
      </c>
      <c r="E695" s="5" t="s">
        <v>3389</v>
      </c>
      <c r="F695" s="6">
        <v>46162.601388888892</v>
      </c>
      <c r="G695" s="5" t="s">
        <v>7456</v>
      </c>
      <c r="H695" s="5" t="s">
        <v>8617</v>
      </c>
      <c r="I695" s="5" t="s">
        <v>1621</v>
      </c>
      <c r="J695" s="8">
        <v>14.89</v>
      </c>
      <c r="K695" s="5" t="s">
        <v>1522</v>
      </c>
      <c r="L695">
        <f t="shared" si="10"/>
        <v>5</v>
      </c>
    </row>
    <row r="696" spans="1:12" hidden="1" x14ac:dyDescent="0.25">
      <c r="A696" s="5">
        <v>48586</v>
      </c>
      <c r="B696" t="s">
        <v>7624</v>
      </c>
      <c r="C696" s="5" t="s">
        <v>7822</v>
      </c>
      <c r="D696" t="s">
        <v>7626</v>
      </c>
      <c r="E696" s="5" t="s">
        <v>5433</v>
      </c>
      <c r="F696" s="6">
        <v>46162.686805555553</v>
      </c>
      <c r="G696" s="5" t="s">
        <v>7456</v>
      </c>
      <c r="H696" s="5" t="s">
        <v>8618</v>
      </c>
      <c r="I696" s="5" t="s">
        <v>1528</v>
      </c>
      <c r="J696" s="8">
        <v>128</v>
      </c>
      <c r="K696" s="5" t="s">
        <v>1522</v>
      </c>
      <c r="L696">
        <f t="shared" si="10"/>
        <v>5</v>
      </c>
    </row>
    <row r="697" spans="1:12" hidden="1" x14ac:dyDescent="0.25">
      <c r="A697" s="5">
        <v>48595</v>
      </c>
      <c r="B697" t="s">
        <v>8363</v>
      </c>
      <c r="C697" s="5" t="s">
        <v>8619</v>
      </c>
      <c r="D697" t="s">
        <v>8365</v>
      </c>
      <c r="E697" s="5" t="s">
        <v>2712</v>
      </c>
      <c r="F697" s="6">
        <v>46163.401388888888</v>
      </c>
      <c r="G697" s="5" t="s">
        <v>7456</v>
      </c>
      <c r="H697" s="5" t="s">
        <v>8620</v>
      </c>
      <c r="I697" s="5" t="s">
        <v>1528</v>
      </c>
      <c r="J697" s="8">
        <v>555</v>
      </c>
      <c r="K697" s="5" t="s">
        <v>1522</v>
      </c>
      <c r="L697">
        <f t="shared" si="10"/>
        <v>5</v>
      </c>
    </row>
    <row r="698" spans="1:12" hidden="1" x14ac:dyDescent="0.25">
      <c r="A698" s="5">
        <v>48596</v>
      </c>
      <c r="B698" t="s">
        <v>8621</v>
      </c>
      <c r="C698" s="5" t="s">
        <v>8619</v>
      </c>
      <c r="D698" t="s">
        <v>8365</v>
      </c>
      <c r="E698" s="5" t="s">
        <v>2570</v>
      </c>
      <c r="F698" s="6">
        <v>46163.404861111114</v>
      </c>
      <c r="G698" s="5" t="s">
        <v>7456</v>
      </c>
      <c r="H698" s="5" t="s">
        <v>8622</v>
      </c>
      <c r="I698" s="5" t="s">
        <v>1528</v>
      </c>
      <c r="J698" s="8">
        <v>625</v>
      </c>
      <c r="K698" s="5" t="s">
        <v>1522</v>
      </c>
      <c r="L698">
        <f t="shared" si="10"/>
        <v>5</v>
      </c>
    </row>
    <row r="699" spans="1:12" hidden="1" x14ac:dyDescent="0.25">
      <c r="A699" s="5">
        <v>48597</v>
      </c>
      <c r="B699" t="s">
        <v>8363</v>
      </c>
      <c r="C699" s="5" t="s">
        <v>8619</v>
      </c>
      <c r="D699" t="s">
        <v>8365</v>
      </c>
      <c r="E699" s="5" t="s">
        <v>2821</v>
      </c>
      <c r="F699" s="6">
        <v>46163.415972222225</v>
      </c>
      <c r="G699" s="5" t="s">
        <v>7456</v>
      </c>
      <c r="H699" s="5" t="s">
        <v>8623</v>
      </c>
      <c r="I699" s="5" t="s">
        <v>1528</v>
      </c>
      <c r="J699" s="8">
        <v>515</v>
      </c>
      <c r="K699" s="5" t="s">
        <v>1522</v>
      </c>
      <c r="L699">
        <f t="shared" si="10"/>
        <v>5</v>
      </c>
    </row>
    <row r="700" spans="1:12" hidden="1" x14ac:dyDescent="0.25">
      <c r="A700" s="5">
        <v>48599</v>
      </c>
      <c r="B700" t="s">
        <v>8363</v>
      </c>
      <c r="C700" s="5" t="s">
        <v>8364</v>
      </c>
      <c r="D700" t="s">
        <v>8365</v>
      </c>
      <c r="E700" s="5" t="s">
        <v>2422</v>
      </c>
      <c r="F700" s="6">
        <v>46163.429166666669</v>
      </c>
      <c r="G700" s="5" t="s">
        <v>7456</v>
      </c>
      <c r="H700" s="5" t="s">
        <v>8624</v>
      </c>
      <c r="I700" s="5" t="s">
        <v>1528</v>
      </c>
      <c r="J700" s="8">
        <v>725</v>
      </c>
      <c r="K700" s="5" t="s">
        <v>1522</v>
      </c>
      <c r="L700">
        <f t="shared" si="10"/>
        <v>5</v>
      </c>
    </row>
    <row r="701" spans="1:12" hidden="1" x14ac:dyDescent="0.25">
      <c r="A701" s="5">
        <v>48600</v>
      </c>
      <c r="B701" t="s">
        <v>8363</v>
      </c>
      <c r="C701" s="5" t="s">
        <v>8364</v>
      </c>
      <c r="D701" t="s">
        <v>8365</v>
      </c>
      <c r="E701" s="5" t="s">
        <v>8625</v>
      </c>
      <c r="F701" s="6">
        <v>46163.430555555555</v>
      </c>
      <c r="G701" s="5" t="s">
        <v>7672</v>
      </c>
      <c r="H701" t="s">
        <v>8626</v>
      </c>
      <c r="I701" s="5" t="s">
        <v>1528</v>
      </c>
      <c r="J701" s="8">
        <v>725</v>
      </c>
      <c r="K701" s="5" t="s">
        <v>1522</v>
      </c>
      <c r="L701">
        <f t="shared" si="10"/>
        <v>5</v>
      </c>
    </row>
    <row r="702" spans="1:12" hidden="1" x14ac:dyDescent="0.25">
      <c r="A702" s="5">
        <v>48601</v>
      </c>
      <c r="B702" t="s">
        <v>8627</v>
      </c>
      <c r="C702" s="5" t="s">
        <v>8619</v>
      </c>
      <c r="D702" t="s">
        <v>8365</v>
      </c>
      <c r="E702" s="5" t="s">
        <v>2425</v>
      </c>
      <c r="F702" s="6">
        <v>46163.431944444441</v>
      </c>
      <c r="G702" s="5" t="s">
        <v>7456</v>
      </c>
      <c r="H702" s="5" t="s">
        <v>8628</v>
      </c>
      <c r="I702" s="5" t="s">
        <v>1528</v>
      </c>
      <c r="J702" s="8">
        <v>725</v>
      </c>
      <c r="K702" s="5" t="s">
        <v>1522</v>
      </c>
      <c r="L702">
        <f t="shared" si="10"/>
        <v>5</v>
      </c>
    </row>
    <row r="703" spans="1:12" hidden="1" x14ac:dyDescent="0.25">
      <c r="A703" s="5">
        <v>48602</v>
      </c>
      <c r="B703" t="s">
        <v>8627</v>
      </c>
      <c r="C703" s="5" t="s">
        <v>8619</v>
      </c>
      <c r="D703" t="s">
        <v>8365</v>
      </c>
      <c r="E703" s="5" t="s">
        <v>2823</v>
      </c>
      <c r="F703" s="6">
        <v>46163.432638888888</v>
      </c>
      <c r="G703" s="5" t="s">
        <v>7456</v>
      </c>
      <c r="H703" s="5" t="s">
        <v>8629</v>
      </c>
      <c r="I703" s="5" t="s">
        <v>1528</v>
      </c>
      <c r="J703" s="8">
        <v>515</v>
      </c>
      <c r="K703" s="5" t="s">
        <v>1522</v>
      </c>
      <c r="L703">
        <f t="shared" si="10"/>
        <v>5</v>
      </c>
    </row>
    <row r="704" spans="1:12" hidden="1" x14ac:dyDescent="0.25">
      <c r="A704" s="5">
        <v>48603</v>
      </c>
      <c r="B704" t="s">
        <v>8630</v>
      </c>
      <c r="C704" s="5" t="s">
        <v>8619</v>
      </c>
      <c r="D704" t="s">
        <v>8365</v>
      </c>
      <c r="E704" s="5" t="s">
        <v>2686</v>
      </c>
      <c r="F704" s="6">
        <v>46163.434027777781</v>
      </c>
      <c r="G704" s="5" t="s">
        <v>7456</v>
      </c>
      <c r="H704" s="5" t="s">
        <v>8631</v>
      </c>
      <c r="I704" s="5" t="s">
        <v>1528</v>
      </c>
      <c r="J704" s="8">
        <v>570</v>
      </c>
      <c r="K704" s="5" t="s">
        <v>1522</v>
      </c>
      <c r="L704">
        <f t="shared" si="10"/>
        <v>5</v>
      </c>
    </row>
    <row r="705" spans="1:12" hidden="1" x14ac:dyDescent="0.25">
      <c r="A705" s="5">
        <v>48604</v>
      </c>
      <c r="B705" t="s">
        <v>8627</v>
      </c>
      <c r="C705" s="5" t="s">
        <v>8619</v>
      </c>
      <c r="D705" t="s">
        <v>8365</v>
      </c>
      <c r="E705" s="5" t="s">
        <v>2714</v>
      </c>
      <c r="F705" s="6">
        <v>46163.435416666667</v>
      </c>
      <c r="G705" s="5" t="s">
        <v>7456</v>
      </c>
      <c r="H705" s="5" t="s">
        <v>8632</v>
      </c>
      <c r="I705" s="5" t="s">
        <v>1528</v>
      </c>
      <c r="J705" s="8">
        <v>555</v>
      </c>
      <c r="K705" s="5" t="s">
        <v>1522</v>
      </c>
      <c r="L705">
        <f t="shared" si="10"/>
        <v>5</v>
      </c>
    </row>
    <row r="706" spans="1:12" hidden="1" x14ac:dyDescent="0.25">
      <c r="A706" s="5">
        <v>48605</v>
      </c>
      <c r="B706" t="s">
        <v>8627</v>
      </c>
      <c r="C706" s="5" t="s">
        <v>8619</v>
      </c>
      <c r="D706" t="s">
        <v>8365</v>
      </c>
      <c r="E706" s="5" t="s">
        <v>2427</v>
      </c>
      <c r="F706" s="6">
        <v>46163.436111111114</v>
      </c>
      <c r="G706" s="5" t="s">
        <v>7456</v>
      </c>
      <c r="H706" s="5" t="s">
        <v>8633</v>
      </c>
      <c r="I706" s="5" t="s">
        <v>1528</v>
      </c>
      <c r="J706" s="8">
        <v>725</v>
      </c>
      <c r="K706" s="5" t="s">
        <v>1522</v>
      </c>
      <c r="L706">
        <f t="shared" si="10"/>
        <v>5</v>
      </c>
    </row>
    <row r="707" spans="1:12" hidden="1" x14ac:dyDescent="0.25">
      <c r="A707" s="5">
        <v>48606</v>
      </c>
      <c r="B707" t="s">
        <v>8363</v>
      </c>
      <c r="C707" s="5" t="s">
        <v>8364</v>
      </c>
      <c r="D707" t="s">
        <v>8365</v>
      </c>
      <c r="E707" s="5" t="s">
        <v>2311</v>
      </c>
      <c r="F707" s="6">
        <v>46163.440972222219</v>
      </c>
      <c r="G707" s="5" t="s">
        <v>7456</v>
      </c>
      <c r="H707" s="5" t="s">
        <v>8634</v>
      </c>
      <c r="I707" s="5" t="s">
        <v>1528</v>
      </c>
      <c r="J707" s="8">
        <v>826</v>
      </c>
      <c r="K707" s="5" t="s">
        <v>1522</v>
      </c>
      <c r="L707">
        <f t="shared" ref="L707:L770" si="11">MONTH(F707)</f>
        <v>5</v>
      </c>
    </row>
    <row r="708" spans="1:12" hidden="1" x14ac:dyDescent="0.25">
      <c r="A708" s="5">
        <v>48607</v>
      </c>
      <c r="B708" t="s">
        <v>7660</v>
      </c>
      <c r="C708" s="5" t="s">
        <v>7661</v>
      </c>
      <c r="D708" t="s">
        <v>7662</v>
      </c>
      <c r="E708" s="5" t="s">
        <v>6502</v>
      </c>
      <c r="F708" s="6">
        <v>46163.494444444441</v>
      </c>
      <c r="G708" s="5" t="s">
        <v>7456</v>
      </c>
      <c r="H708" s="5" t="s">
        <v>8635</v>
      </c>
      <c r="I708" s="5" t="s">
        <v>1528</v>
      </c>
      <c r="J708" s="8">
        <v>62</v>
      </c>
      <c r="K708" s="5" t="s">
        <v>1522</v>
      </c>
      <c r="L708">
        <f t="shared" si="11"/>
        <v>5</v>
      </c>
    </row>
    <row r="709" spans="1:12" hidden="1" x14ac:dyDescent="0.25">
      <c r="A709" s="5">
        <v>48611</v>
      </c>
      <c r="B709" t="s">
        <v>7469</v>
      </c>
      <c r="C709" s="5" t="s">
        <v>7470</v>
      </c>
      <c r="D709" t="s">
        <v>7471</v>
      </c>
      <c r="E709" s="5" t="s">
        <v>2467</v>
      </c>
      <c r="F709" s="6">
        <v>46163.602083333331</v>
      </c>
      <c r="G709" s="5" t="s">
        <v>7456</v>
      </c>
      <c r="H709" s="5" t="s">
        <v>8636</v>
      </c>
      <c r="I709" s="5" t="s">
        <v>1621</v>
      </c>
      <c r="J709" s="8">
        <v>174.8</v>
      </c>
      <c r="K709" s="5" t="s">
        <v>1522</v>
      </c>
      <c r="L709">
        <f t="shared" si="11"/>
        <v>5</v>
      </c>
    </row>
    <row r="710" spans="1:12" hidden="1" x14ac:dyDescent="0.25">
      <c r="A710" s="5">
        <v>48612</v>
      </c>
      <c r="B710" t="s">
        <v>7469</v>
      </c>
      <c r="C710" s="5" t="s">
        <v>7470</v>
      </c>
      <c r="D710" t="s">
        <v>7471</v>
      </c>
      <c r="E710" s="5" t="s">
        <v>6467</v>
      </c>
      <c r="F710" s="6">
        <v>46163.60833333333</v>
      </c>
      <c r="G710" s="5" t="s">
        <v>7456</v>
      </c>
      <c r="H710" s="5" t="s">
        <v>8637</v>
      </c>
      <c r="I710" s="5" t="s">
        <v>1621</v>
      </c>
      <c r="J710" s="8">
        <v>44.1</v>
      </c>
      <c r="K710" s="5" t="s">
        <v>1522</v>
      </c>
      <c r="L710">
        <f t="shared" si="11"/>
        <v>5</v>
      </c>
    </row>
    <row r="711" spans="1:12" hidden="1" x14ac:dyDescent="0.25">
      <c r="A711" s="5">
        <v>48619</v>
      </c>
      <c r="B711" t="s">
        <v>7473</v>
      </c>
      <c r="C711" s="5" t="s">
        <v>7474</v>
      </c>
      <c r="D711" t="s">
        <v>7475</v>
      </c>
      <c r="E711" s="5" t="s">
        <v>4676</v>
      </c>
      <c r="F711" s="6">
        <v>46163.654166666667</v>
      </c>
      <c r="G711" s="5" t="s">
        <v>7456</v>
      </c>
      <c r="H711" s="5" t="s">
        <v>8638</v>
      </c>
      <c r="I711" s="5" t="s">
        <v>1528</v>
      </c>
      <c r="J711" s="8">
        <v>175.05</v>
      </c>
      <c r="K711" s="5" t="s">
        <v>1522</v>
      </c>
      <c r="L711">
        <f t="shared" si="11"/>
        <v>5</v>
      </c>
    </row>
    <row r="712" spans="1:12" hidden="1" x14ac:dyDescent="0.25">
      <c r="A712" s="5">
        <v>48621</v>
      </c>
      <c r="B712" t="s">
        <v>7620</v>
      </c>
      <c r="C712" s="5" t="s">
        <v>7621</v>
      </c>
      <c r="D712" t="s">
        <v>7622</v>
      </c>
      <c r="E712" s="5" t="s">
        <v>3716</v>
      </c>
      <c r="F712" s="6">
        <v>46163.672222222223</v>
      </c>
      <c r="G712" s="5" t="s">
        <v>7456</v>
      </c>
      <c r="H712" s="5" t="s">
        <v>8639</v>
      </c>
      <c r="I712" s="5" t="s">
        <v>1528</v>
      </c>
      <c r="J712" s="8">
        <v>297</v>
      </c>
      <c r="K712" s="5" t="s">
        <v>1522</v>
      </c>
      <c r="L712">
        <f t="shared" si="11"/>
        <v>5</v>
      </c>
    </row>
    <row r="713" spans="1:12" hidden="1" x14ac:dyDescent="0.25">
      <c r="A713" s="5">
        <v>48626</v>
      </c>
      <c r="B713" t="s">
        <v>8092</v>
      </c>
      <c r="C713" s="5" t="s">
        <v>8093</v>
      </c>
      <c r="D713" t="s">
        <v>8094</v>
      </c>
      <c r="E713" s="5" t="s">
        <v>3702</v>
      </c>
      <c r="F713" s="6">
        <v>46163.699305555558</v>
      </c>
      <c r="G713" s="5" t="s">
        <v>7456</v>
      </c>
      <c r="H713" s="5" t="s">
        <v>8640</v>
      </c>
      <c r="I713" s="5" t="s">
        <v>1528</v>
      </c>
      <c r="J713" s="8">
        <v>300</v>
      </c>
      <c r="K713" s="5" t="s">
        <v>1522</v>
      </c>
      <c r="L713">
        <f t="shared" si="11"/>
        <v>5</v>
      </c>
    </row>
    <row r="714" spans="1:12" hidden="1" x14ac:dyDescent="0.25">
      <c r="A714" s="5">
        <v>48629</v>
      </c>
      <c r="B714" t="s">
        <v>8641</v>
      </c>
      <c r="C714" s="5" t="s">
        <v>8642</v>
      </c>
      <c r="D714" t="s">
        <v>8643</v>
      </c>
      <c r="E714" s="5" t="s">
        <v>4785</v>
      </c>
      <c r="F714" s="6">
        <v>46164.365277777775</v>
      </c>
      <c r="G714" s="5" t="s">
        <v>7456</v>
      </c>
      <c r="H714" s="5" t="s">
        <v>8644</v>
      </c>
      <c r="I714" s="5" t="s">
        <v>1528</v>
      </c>
      <c r="J714" s="8">
        <v>170</v>
      </c>
      <c r="K714" s="5" t="s">
        <v>1522</v>
      </c>
      <c r="L714">
        <f t="shared" si="11"/>
        <v>5</v>
      </c>
    </row>
    <row r="715" spans="1:12" hidden="1" x14ac:dyDescent="0.25">
      <c r="A715" s="5">
        <v>48632</v>
      </c>
      <c r="B715" t="s">
        <v>8645</v>
      </c>
      <c r="C715" s="5" t="s">
        <v>8545</v>
      </c>
      <c r="D715" t="s">
        <v>7644</v>
      </c>
      <c r="E715" s="5" t="s">
        <v>1776</v>
      </c>
      <c r="F715" s="6">
        <v>46164.396527777775</v>
      </c>
      <c r="G715" s="5" t="s">
        <v>7456</v>
      </c>
      <c r="H715" s="5" t="s">
        <v>8646</v>
      </c>
      <c r="I715" s="5" t="s">
        <v>1554</v>
      </c>
      <c r="J715" s="8">
        <v>2250</v>
      </c>
      <c r="K715" s="5" t="s">
        <v>1522</v>
      </c>
      <c r="L715">
        <f t="shared" si="11"/>
        <v>5</v>
      </c>
    </row>
    <row r="716" spans="1:12" hidden="1" x14ac:dyDescent="0.25">
      <c r="A716" s="5">
        <v>48634</v>
      </c>
      <c r="B716" t="s">
        <v>8239</v>
      </c>
      <c r="C716" s="5" t="s">
        <v>8240</v>
      </c>
      <c r="D716" t="s">
        <v>8613</v>
      </c>
      <c r="E716" s="5" t="s">
        <v>5433</v>
      </c>
      <c r="F716" s="6">
        <v>46164.40902777778</v>
      </c>
      <c r="G716" s="5" t="s">
        <v>7672</v>
      </c>
      <c r="H716" t="s">
        <v>7482</v>
      </c>
      <c r="I716" s="5" t="s">
        <v>1528</v>
      </c>
      <c r="J716" s="8">
        <v>215.35</v>
      </c>
      <c r="K716" s="5" t="s">
        <v>1522</v>
      </c>
      <c r="L716">
        <f t="shared" si="11"/>
        <v>5</v>
      </c>
    </row>
    <row r="717" spans="1:12" hidden="1" x14ac:dyDescent="0.25">
      <c r="A717" s="5">
        <v>48637</v>
      </c>
      <c r="B717" t="s">
        <v>8125</v>
      </c>
      <c r="C717" s="5" t="s">
        <v>8647</v>
      </c>
      <c r="D717" t="s">
        <v>8127</v>
      </c>
      <c r="E717" s="5" t="s">
        <v>8648</v>
      </c>
      <c r="F717" s="6">
        <v>46164.427777777775</v>
      </c>
      <c r="G717" s="5" t="s">
        <v>7672</v>
      </c>
      <c r="H717" t="s">
        <v>7482</v>
      </c>
      <c r="I717" s="5" t="s">
        <v>1528</v>
      </c>
      <c r="J717" s="8">
        <v>2195</v>
      </c>
      <c r="K717" s="5" t="s">
        <v>1522</v>
      </c>
      <c r="L717">
        <f t="shared" si="11"/>
        <v>5</v>
      </c>
    </row>
    <row r="718" spans="1:12" hidden="1" x14ac:dyDescent="0.25">
      <c r="A718" s="5">
        <v>48644</v>
      </c>
      <c r="B718" t="s">
        <v>7469</v>
      </c>
      <c r="C718" s="5" t="s">
        <v>7470</v>
      </c>
      <c r="D718" t="s">
        <v>7471</v>
      </c>
      <c r="E718" s="5" t="s">
        <v>5267</v>
      </c>
      <c r="F718" s="6">
        <v>46164.501388888886</v>
      </c>
      <c r="G718" s="5" t="s">
        <v>7456</v>
      </c>
      <c r="H718" s="5" t="s">
        <v>8649</v>
      </c>
      <c r="I718" s="5" t="s">
        <v>1621</v>
      </c>
      <c r="J718" s="8">
        <v>132</v>
      </c>
      <c r="K718" s="5" t="s">
        <v>1522</v>
      </c>
      <c r="L718">
        <f t="shared" si="11"/>
        <v>5</v>
      </c>
    </row>
    <row r="719" spans="1:12" hidden="1" x14ac:dyDescent="0.25">
      <c r="A719" s="5">
        <v>48652</v>
      </c>
      <c r="B719" t="s">
        <v>7547</v>
      </c>
      <c r="C719" s="5" t="s">
        <v>7503</v>
      </c>
      <c r="D719" t="s">
        <v>7548</v>
      </c>
      <c r="E719" s="5" t="s">
        <v>5456</v>
      </c>
      <c r="F719" s="6">
        <v>46164.611805555556</v>
      </c>
      <c r="G719" s="5" t="s">
        <v>7456</v>
      </c>
      <c r="H719" s="5" t="s">
        <v>8650</v>
      </c>
      <c r="I719" s="5" t="s">
        <v>1528</v>
      </c>
      <c r="J719" s="8">
        <v>126.67</v>
      </c>
      <c r="K719" s="5" t="s">
        <v>1522</v>
      </c>
      <c r="L719">
        <f t="shared" si="11"/>
        <v>5</v>
      </c>
    </row>
    <row r="720" spans="1:12" hidden="1" x14ac:dyDescent="0.25">
      <c r="A720" s="5">
        <v>48656</v>
      </c>
      <c r="B720" t="s">
        <v>7469</v>
      </c>
      <c r="C720" s="5" t="s">
        <v>7470</v>
      </c>
      <c r="D720" t="s">
        <v>7471</v>
      </c>
      <c r="E720" s="5" t="s">
        <v>5267</v>
      </c>
      <c r="F720" s="6">
        <v>46164.668749999997</v>
      </c>
      <c r="G720" s="5" t="s">
        <v>7456</v>
      </c>
      <c r="H720" s="5" t="s">
        <v>8651</v>
      </c>
      <c r="I720" s="5" t="s">
        <v>1621</v>
      </c>
      <c r="J720" s="8">
        <v>135.85</v>
      </c>
      <c r="K720" s="5" t="s">
        <v>1522</v>
      </c>
      <c r="L720">
        <f t="shared" si="11"/>
        <v>5</v>
      </c>
    </row>
    <row r="721" spans="1:12" hidden="1" x14ac:dyDescent="0.25">
      <c r="A721" s="5">
        <v>48657</v>
      </c>
      <c r="B721" t="s">
        <v>7469</v>
      </c>
      <c r="C721" s="5" t="s">
        <v>7470</v>
      </c>
      <c r="D721" t="s">
        <v>7471</v>
      </c>
      <c r="E721" s="5" t="s">
        <v>5267</v>
      </c>
      <c r="F721" s="6">
        <v>46164.673611111109</v>
      </c>
      <c r="G721" s="5" t="s">
        <v>7456</v>
      </c>
      <c r="H721" s="5" t="s">
        <v>8652</v>
      </c>
      <c r="I721" s="5" t="s">
        <v>1621</v>
      </c>
      <c r="J721" s="8">
        <v>135.85</v>
      </c>
      <c r="K721" s="5" t="s">
        <v>1522</v>
      </c>
      <c r="L721">
        <f t="shared" si="11"/>
        <v>5</v>
      </c>
    </row>
    <row r="722" spans="1:12" hidden="1" x14ac:dyDescent="0.25">
      <c r="A722" s="5">
        <v>48662</v>
      </c>
      <c r="B722" t="s">
        <v>7930</v>
      </c>
      <c r="C722" s="5" t="s">
        <v>7931</v>
      </c>
      <c r="D722" t="s">
        <v>7932</v>
      </c>
      <c r="E722" s="5" t="s">
        <v>8653</v>
      </c>
      <c r="F722" s="6">
        <v>46164.702777777777</v>
      </c>
      <c r="G722" s="5" t="s">
        <v>7456</v>
      </c>
      <c r="H722" t="s">
        <v>7482</v>
      </c>
      <c r="I722" s="5" t="s">
        <v>1528</v>
      </c>
      <c r="J722" s="8">
        <v>57750</v>
      </c>
      <c r="K722" s="5" t="s">
        <v>1522</v>
      </c>
      <c r="L722">
        <f t="shared" si="11"/>
        <v>5</v>
      </c>
    </row>
    <row r="723" spans="1:12" hidden="1" x14ac:dyDescent="0.25">
      <c r="A723" s="5">
        <v>48698</v>
      </c>
      <c r="B723" t="s">
        <v>7469</v>
      </c>
      <c r="C723" s="5" t="s">
        <v>7470</v>
      </c>
      <c r="D723" t="s">
        <v>7471</v>
      </c>
      <c r="E723" s="5" t="s">
        <v>5267</v>
      </c>
      <c r="F723" s="6">
        <v>46167.709027777775</v>
      </c>
      <c r="G723" s="5" t="s">
        <v>7456</v>
      </c>
      <c r="H723" s="5" t="s">
        <v>8654</v>
      </c>
      <c r="I723" s="5" t="s">
        <v>1554</v>
      </c>
      <c r="J723" s="8">
        <v>132.30000000000001</v>
      </c>
      <c r="K723" s="5" t="s">
        <v>1522</v>
      </c>
      <c r="L723">
        <f t="shared" si="11"/>
        <v>5</v>
      </c>
    </row>
    <row r="724" spans="1:12" hidden="1" x14ac:dyDescent="0.25">
      <c r="A724" s="5">
        <v>48708</v>
      </c>
      <c r="B724" t="s">
        <v>8655</v>
      </c>
      <c r="C724" s="5" t="s">
        <v>8656</v>
      </c>
      <c r="D724" t="s">
        <v>8657</v>
      </c>
      <c r="E724" s="5" t="s">
        <v>3099</v>
      </c>
      <c r="F724" s="6">
        <v>46168.447916666664</v>
      </c>
      <c r="G724" s="5" t="s">
        <v>7456</v>
      </c>
      <c r="H724" s="5" t="s">
        <v>8658</v>
      </c>
      <c r="I724" s="5" t="s">
        <v>1528</v>
      </c>
      <c r="J724" s="8">
        <v>420</v>
      </c>
      <c r="K724" s="5" t="s">
        <v>1522</v>
      </c>
      <c r="L724">
        <f t="shared" si="11"/>
        <v>5</v>
      </c>
    </row>
    <row r="725" spans="1:12" hidden="1" x14ac:dyDescent="0.25">
      <c r="A725" s="5">
        <v>48728</v>
      </c>
      <c r="B725" t="s">
        <v>7683</v>
      </c>
      <c r="C725" s="5" t="s">
        <v>7516</v>
      </c>
      <c r="D725" t="s">
        <v>7684</v>
      </c>
      <c r="E725" s="5" t="s">
        <v>3276</v>
      </c>
      <c r="F725" s="6">
        <v>46168.714583333334</v>
      </c>
      <c r="G725" s="5" t="s">
        <v>7456</v>
      </c>
      <c r="H725" s="5" t="s">
        <v>8659</v>
      </c>
      <c r="I725" s="5" t="s">
        <v>1528</v>
      </c>
      <c r="J725" s="8">
        <v>375</v>
      </c>
      <c r="K725" s="5" t="s">
        <v>1522</v>
      </c>
      <c r="L725">
        <f t="shared" si="11"/>
        <v>5</v>
      </c>
    </row>
    <row r="726" spans="1:12" hidden="1" x14ac:dyDescent="0.25">
      <c r="A726" s="5">
        <v>48732</v>
      </c>
      <c r="B726" t="s">
        <v>7894</v>
      </c>
      <c r="C726" s="5" t="s">
        <v>7895</v>
      </c>
      <c r="D726" t="s">
        <v>7896</v>
      </c>
      <c r="E726" s="5" t="s">
        <v>1552</v>
      </c>
      <c r="F726" s="6">
        <v>46168.741666666669</v>
      </c>
      <c r="G726" s="5" t="s">
        <v>7456</v>
      </c>
      <c r="H726" s="5" t="s">
        <v>8660</v>
      </c>
      <c r="I726" s="5" t="s">
        <v>1554</v>
      </c>
      <c r="J726" s="8">
        <v>5448</v>
      </c>
      <c r="K726" s="5" t="s">
        <v>1522</v>
      </c>
      <c r="L726">
        <f t="shared" si="11"/>
        <v>5</v>
      </c>
    </row>
    <row r="727" spans="1:12" hidden="1" x14ac:dyDescent="0.25">
      <c r="A727" s="5">
        <v>48733</v>
      </c>
      <c r="B727" t="s">
        <v>7624</v>
      </c>
      <c r="C727" s="5" t="s">
        <v>7625</v>
      </c>
      <c r="D727" t="s">
        <v>7626</v>
      </c>
      <c r="E727" s="5" t="s">
        <v>5830</v>
      </c>
      <c r="F727" s="6">
        <v>46168.734722222223</v>
      </c>
      <c r="G727" s="5" t="s">
        <v>7456</v>
      </c>
      <c r="H727" s="5" t="s">
        <v>8661</v>
      </c>
      <c r="I727" s="5" t="s">
        <v>1528</v>
      </c>
      <c r="J727" s="8">
        <v>105</v>
      </c>
      <c r="K727" s="5" t="s">
        <v>1522</v>
      </c>
      <c r="L727">
        <f t="shared" si="11"/>
        <v>5</v>
      </c>
    </row>
    <row r="728" spans="1:12" hidden="1" x14ac:dyDescent="0.25">
      <c r="A728" s="5">
        <v>48737</v>
      </c>
      <c r="B728" t="s">
        <v>8662</v>
      </c>
      <c r="C728" s="5" t="s">
        <v>8663</v>
      </c>
      <c r="D728" t="s">
        <v>8664</v>
      </c>
      <c r="E728" s="5" t="s">
        <v>1548</v>
      </c>
      <c r="F728" s="6">
        <v>46169.445833333331</v>
      </c>
      <c r="G728" s="5" t="s">
        <v>7672</v>
      </c>
      <c r="H728" t="s">
        <v>7482</v>
      </c>
      <c r="I728" s="5" t="s">
        <v>1528</v>
      </c>
      <c r="J728" s="8">
        <v>144</v>
      </c>
      <c r="K728" s="5" t="s">
        <v>1522</v>
      </c>
      <c r="L728">
        <f t="shared" si="11"/>
        <v>5</v>
      </c>
    </row>
    <row r="729" spans="1:12" hidden="1" x14ac:dyDescent="0.25">
      <c r="A729" s="5">
        <v>48739</v>
      </c>
      <c r="B729" t="s">
        <v>8042</v>
      </c>
      <c r="C729" s="5" t="s">
        <v>8043</v>
      </c>
      <c r="D729" t="s">
        <v>8044</v>
      </c>
      <c r="E729" s="5" t="s">
        <v>1548</v>
      </c>
      <c r="F729" s="6">
        <v>46169.504861111112</v>
      </c>
      <c r="G729" s="5" t="s">
        <v>7456</v>
      </c>
      <c r="H729" s="5" t="s">
        <v>8665</v>
      </c>
      <c r="I729" s="5" t="s">
        <v>1528</v>
      </c>
      <c r="J729" s="8">
        <v>124.6</v>
      </c>
      <c r="K729" s="5" t="s">
        <v>1522</v>
      </c>
      <c r="L729">
        <f t="shared" si="11"/>
        <v>5</v>
      </c>
    </row>
    <row r="730" spans="1:12" hidden="1" x14ac:dyDescent="0.25">
      <c r="A730" s="5">
        <v>48752</v>
      </c>
      <c r="B730" t="s">
        <v>8666</v>
      </c>
      <c r="C730" s="5" t="s">
        <v>8667</v>
      </c>
      <c r="D730" t="s">
        <v>8668</v>
      </c>
      <c r="E730" s="5" t="s">
        <v>8669</v>
      </c>
      <c r="F730" s="6">
        <v>46169.633333333331</v>
      </c>
      <c r="G730" s="5" t="s">
        <v>7456</v>
      </c>
      <c r="H730" s="5" t="s">
        <v>8670</v>
      </c>
      <c r="I730" s="5" t="s">
        <v>1528</v>
      </c>
      <c r="J730" s="8">
        <v>3002.61</v>
      </c>
      <c r="K730" s="5" t="s">
        <v>1522</v>
      </c>
      <c r="L730">
        <f t="shared" si="11"/>
        <v>5</v>
      </c>
    </row>
    <row r="731" spans="1:12" hidden="1" x14ac:dyDescent="0.25">
      <c r="A731" s="5">
        <v>48754</v>
      </c>
      <c r="B731" t="s">
        <v>7453</v>
      </c>
      <c r="C731" s="5" t="s">
        <v>7928</v>
      </c>
      <c r="D731" t="s">
        <v>7455</v>
      </c>
      <c r="E731" s="5" t="s">
        <v>2376</v>
      </c>
      <c r="F731" s="6">
        <v>46169.636805555558</v>
      </c>
      <c r="G731" s="5" t="s">
        <v>7456</v>
      </c>
      <c r="H731" s="5" t="s">
        <v>8671</v>
      </c>
      <c r="I731" s="5" t="s">
        <v>1528</v>
      </c>
      <c r="J731" s="8">
        <v>773.9</v>
      </c>
      <c r="K731" s="5" t="s">
        <v>1522</v>
      </c>
      <c r="L731">
        <f t="shared" si="11"/>
        <v>5</v>
      </c>
    </row>
    <row r="732" spans="1:12" hidden="1" x14ac:dyDescent="0.25">
      <c r="A732" s="5">
        <v>48755</v>
      </c>
      <c r="B732" t="s">
        <v>7469</v>
      </c>
      <c r="C732" s="5" t="s">
        <v>7470</v>
      </c>
      <c r="D732" t="s">
        <v>7471</v>
      </c>
      <c r="E732" s="5" t="s">
        <v>6467</v>
      </c>
      <c r="F732" s="6">
        <v>46169.640972222223</v>
      </c>
      <c r="G732" s="5" t="s">
        <v>7456</v>
      </c>
      <c r="H732" s="5" t="s">
        <v>8672</v>
      </c>
      <c r="I732" s="5" t="s">
        <v>3243</v>
      </c>
      <c r="J732" s="8">
        <v>21.6</v>
      </c>
      <c r="K732" s="5" t="s">
        <v>1522</v>
      </c>
      <c r="L732">
        <f t="shared" si="11"/>
        <v>5</v>
      </c>
    </row>
    <row r="733" spans="1:12" hidden="1" x14ac:dyDescent="0.25">
      <c r="A733" s="5">
        <v>48756</v>
      </c>
      <c r="B733" t="s">
        <v>7461</v>
      </c>
      <c r="C733" s="5" t="s">
        <v>7462</v>
      </c>
      <c r="D733" t="s">
        <v>7463</v>
      </c>
      <c r="E733" s="5" t="s">
        <v>2488</v>
      </c>
      <c r="F733" s="6">
        <v>46169.643055555556</v>
      </c>
      <c r="G733" s="5" t="s">
        <v>7456</v>
      </c>
      <c r="H733" s="5" t="s">
        <v>8673</v>
      </c>
      <c r="I733" s="5" t="s">
        <v>1528</v>
      </c>
      <c r="J733" s="8">
        <v>42</v>
      </c>
      <c r="K733" s="5" t="s">
        <v>1522</v>
      </c>
      <c r="L733">
        <f t="shared" si="11"/>
        <v>5</v>
      </c>
    </row>
    <row r="734" spans="1:12" hidden="1" x14ac:dyDescent="0.25">
      <c r="A734" s="5">
        <v>48757</v>
      </c>
      <c r="B734" t="s">
        <v>7469</v>
      </c>
      <c r="C734" s="5" t="s">
        <v>7470</v>
      </c>
      <c r="D734" t="s">
        <v>7471</v>
      </c>
      <c r="E734" s="5" t="s">
        <v>5267</v>
      </c>
      <c r="F734" s="6">
        <v>46169.65</v>
      </c>
      <c r="G734" s="5" t="s">
        <v>7456</v>
      </c>
      <c r="H734" s="5" t="s">
        <v>8674</v>
      </c>
      <c r="I734" s="5" t="s">
        <v>1554</v>
      </c>
      <c r="J734" s="8">
        <v>121.44</v>
      </c>
      <c r="K734" s="5" t="s">
        <v>1522</v>
      </c>
      <c r="L734">
        <f t="shared" si="11"/>
        <v>5</v>
      </c>
    </row>
    <row r="735" spans="1:12" hidden="1" x14ac:dyDescent="0.25">
      <c r="A735" s="5">
        <v>48761</v>
      </c>
      <c r="B735" t="s">
        <v>8385</v>
      </c>
      <c r="C735" s="5" t="s">
        <v>8386</v>
      </c>
      <c r="D735" t="s">
        <v>8387</v>
      </c>
      <c r="E735" s="5" t="s">
        <v>1698</v>
      </c>
      <c r="F735" s="6">
        <v>46169.691666666666</v>
      </c>
      <c r="G735" s="5" t="s">
        <v>7456</v>
      </c>
      <c r="H735" t="s">
        <v>7482</v>
      </c>
      <c r="I735" s="5" t="s">
        <v>1528</v>
      </c>
      <c r="J735" s="8">
        <v>370</v>
      </c>
      <c r="K735" s="5" t="s">
        <v>1522</v>
      </c>
      <c r="L735">
        <f t="shared" si="11"/>
        <v>5</v>
      </c>
    </row>
    <row r="736" spans="1:12" hidden="1" x14ac:dyDescent="0.25">
      <c r="A736" s="5">
        <v>48763</v>
      </c>
      <c r="B736" t="s">
        <v>7483</v>
      </c>
      <c r="C736" s="5" t="s">
        <v>7484</v>
      </c>
      <c r="D736" t="s">
        <v>7485</v>
      </c>
      <c r="E736" s="5" t="s">
        <v>7181</v>
      </c>
      <c r="F736" s="6">
        <v>46169.710416666669</v>
      </c>
      <c r="G736" s="5" t="s">
        <v>7456</v>
      </c>
      <c r="H736" s="5" t="s">
        <v>8675</v>
      </c>
      <c r="I736" s="5" t="s">
        <v>1528</v>
      </c>
      <c r="J736" s="8">
        <v>26</v>
      </c>
      <c r="K736" s="5" t="s">
        <v>1522</v>
      </c>
      <c r="L736">
        <f t="shared" si="11"/>
        <v>5</v>
      </c>
    </row>
    <row r="737" spans="1:12" hidden="1" x14ac:dyDescent="0.25">
      <c r="A737" s="5">
        <v>48766</v>
      </c>
      <c r="B737" t="s">
        <v>7536</v>
      </c>
      <c r="C737" s="5" t="s">
        <v>7537</v>
      </c>
      <c r="D737" t="s">
        <v>7538</v>
      </c>
      <c r="E737" s="5" t="s">
        <v>1560</v>
      </c>
      <c r="F737" s="6">
        <v>46169.745138888888</v>
      </c>
      <c r="G737" s="5" t="s">
        <v>7456</v>
      </c>
      <c r="H737" t="s">
        <v>7482</v>
      </c>
      <c r="I737" s="5" t="s">
        <v>1528</v>
      </c>
      <c r="J737" s="8">
        <v>3199.6</v>
      </c>
      <c r="K737" s="5" t="s">
        <v>1522</v>
      </c>
      <c r="L737">
        <f t="shared" si="11"/>
        <v>5</v>
      </c>
    </row>
    <row r="738" spans="1:12" hidden="1" x14ac:dyDescent="0.25">
      <c r="A738" s="5">
        <v>48767</v>
      </c>
      <c r="B738" t="s">
        <v>7536</v>
      </c>
      <c r="C738" s="5" t="s">
        <v>7537</v>
      </c>
      <c r="D738" t="s">
        <v>7538</v>
      </c>
      <c r="E738" s="5" t="s">
        <v>8676</v>
      </c>
      <c r="F738" s="6">
        <v>46169.759027777778</v>
      </c>
      <c r="G738" s="5" t="s">
        <v>7456</v>
      </c>
      <c r="H738" t="s">
        <v>7482</v>
      </c>
      <c r="I738" s="5" t="s">
        <v>1528</v>
      </c>
      <c r="J738" s="8">
        <v>11000</v>
      </c>
      <c r="K738" s="5" t="s">
        <v>1522</v>
      </c>
      <c r="L738">
        <f t="shared" si="11"/>
        <v>5</v>
      </c>
    </row>
    <row r="739" spans="1:12" hidden="1" x14ac:dyDescent="0.25">
      <c r="A739" s="5">
        <v>48769</v>
      </c>
      <c r="B739" t="s">
        <v>8677</v>
      </c>
      <c r="C739" s="5" t="s">
        <v>8678</v>
      </c>
      <c r="D739" t="s">
        <v>8679</v>
      </c>
      <c r="E739" s="5" t="s">
        <v>1767</v>
      </c>
      <c r="F739" s="6">
        <v>46169.775000000001</v>
      </c>
      <c r="G739" s="5" t="s">
        <v>7456</v>
      </c>
      <c r="H739" s="5" t="s">
        <v>8680</v>
      </c>
      <c r="I739" s="5" t="s">
        <v>1528</v>
      </c>
      <c r="J739" s="8">
        <v>2270.4</v>
      </c>
      <c r="K739" s="5" t="s">
        <v>1522</v>
      </c>
      <c r="L739">
        <f t="shared" si="11"/>
        <v>5</v>
      </c>
    </row>
    <row r="740" spans="1:12" hidden="1" x14ac:dyDescent="0.25">
      <c r="A740" s="5">
        <v>48770</v>
      </c>
      <c r="B740" t="s">
        <v>8681</v>
      </c>
      <c r="C740" s="5" t="s">
        <v>7560</v>
      </c>
      <c r="D740" t="s">
        <v>8682</v>
      </c>
      <c r="E740" s="5" t="s">
        <v>1548</v>
      </c>
      <c r="F740" s="6">
        <v>46169.785416666666</v>
      </c>
      <c r="G740" s="5" t="s">
        <v>7456</v>
      </c>
      <c r="H740" s="5" t="s">
        <v>8683</v>
      </c>
      <c r="I740" s="5" t="s">
        <v>1528</v>
      </c>
      <c r="J740" s="8">
        <v>168</v>
      </c>
      <c r="K740" s="5" t="s">
        <v>1522</v>
      </c>
      <c r="L740">
        <f t="shared" si="11"/>
        <v>5</v>
      </c>
    </row>
    <row r="741" spans="1:12" hidden="1" x14ac:dyDescent="0.25">
      <c r="A741" s="5">
        <v>48772</v>
      </c>
      <c r="B741" t="s">
        <v>8684</v>
      </c>
      <c r="C741" s="5" t="s">
        <v>8685</v>
      </c>
      <c r="D741" t="s">
        <v>8686</v>
      </c>
      <c r="E741" s="5" t="s">
        <v>3172</v>
      </c>
      <c r="F741" s="6">
        <v>46170.392361111109</v>
      </c>
      <c r="G741" s="5" t="s">
        <v>7456</v>
      </c>
      <c r="H741" s="5" t="s">
        <v>8687</v>
      </c>
      <c r="I741" s="5" t="s">
        <v>1528</v>
      </c>
      <c r="J741" s="8">
        <v>400</v>
      </c>
      <c r="K741" s="5" t="s">
        <v>1522</v>
      </c>
      <c r="L741">
        <f t="shared" si="11"/>
        <v>5</v>
      </c>
    </row>
    <row r="742" spans="1:12" hidden="1" x14ac:dyDescent="0.25">
      <c r="A742" s="5">
        <v>48776</v>
      </c>
      <c r="B742" t="s">
        <v>7469</v>
      </c>
      <c r="C742" s="5" t="s">
        <v>7470</v>
      </c>
      <c r="D742" t="s">
        <v>7471</v>
      </c>
      <c r="E742" s="5" t="s">
        <v>3389</v>
      </c>
      <c r="F742" s="6">
        <v>46170.597222222219</v>
      </c>
      <c r="G742" s="5" t="s">
        <v>7456</v>
      </c>
      <c r="H742" s="5" t="s">
        <v>8688</v>
      </c>
      <c r="I742" s="5" t="s">
        <v>1554</v>
      </c>
      <c r="J742" s="8">
        <v>14.89</v>
      </c>
      <c r="K742" s="5" t="s">
        <v>1522</v>
      </c>
      <c r="L742">
        <f t="shared" si="11"/>
        <v>5</v>
      </c>
    </row>
    <row r="743" spans="1:12" hidden="1" x14ac:dyDescent="0.25">
      <c r="A743" s="5">
        <v>48779</v>
      </c>
      <c r="B743" t="s">
        <v>7469</v>
      </c>
      <c r="C743" s="5" t="s">
        <v>7470</v>
      </c>
      <c r="D743" t="s">
        <v>7471</v>
      </c>
      <c r="E743" s="5" t="s">
        <v>2467</v>
      </c>
      <c r="F743" s="6">
        <v>46170.640277777777</v>
      </c>
      <c r="G743" s="5" t="s">
        <v>7456</v>
      </c>
      <c r="H743" s="5" t="s">
        <v>8689</v>
      </c>
      <c r="I743" s="5" t="s">
        <v>1621</v>
      </c>
      <c r="J743" s="8">
        <v>456</v>
      </c>
      <c r="K743" s="5" t="s">
        <v>1522</v>
      </c>
      <c r="L743">
        <f t="shared" si="11"/>
        <v>5</v>
      </c>
    </row>
    <row r="744" spans="1:12" hidden="1" x14ac:dyDescent="0.25">
      <c r="A744" s="5">
        <v>48782</v>
      </c>
      <c r="B744" t="s">
        <v>8690</v>
      </c>
      <c r="C744" s="5" t="s">
        <v>7516</v>
      </c>
      <c r="D744" t="s">
        <v>8691</v>
      </c>
      <c r="E744" s="5" t="s">
        <v>1548</v>
      </c>
      <c r="F744" s="6">
        <v>46170.661111111112</v>
      </c>
      <c r="G744" s="5" t="s">
        <v>7456</v>
      </c>
      <c r="H744" s="5" t="s">
        <v>8692</v>
      </c>
      <c r="I744" s="5" t="s">
        <v>1528</v>
      </c>
      <c r="J744" s="8">
        <v>315.39999999999998</v>
      </c>
      <c r="K744" s="5" t="s">
        <v>1522</v>
      </c>
      <c r="L744">
        <f t="shared" si="11"/>
        <v>5</v>
      </c>
    </row>
    <row r="745" spans="1:12" hidden="1" x14ac:dyDescent="0.25">
      <c r="A745" s="5">
        <v>48787</v>
      </c>
      <c r="B745" t="s">
        <v>7628</v>
      </c>
      <c r="C745" s="5" t="s">
        <v>7516</v>
      </c>
      <c r="D745" t="s">
        <v>7629</v>
      </c>
      <c r="E745" s="5" t="s">
        <v>1548</v>
      </c>
      <c r="F745" s="6">
        <v>46170.688194444447</v>
      </c>
      <c r="G745" s="5" t="s">
        <v>7456</v>
      </c>
      <c r="H745" s="5" t="s">
        <v>8693</v>
      </c>
      <c r="I745" s="5" t="s">
        <v>1528</v>
      </c>
      <c r="J745" s="8">
        <v>176.6</v>
      </c>
      <c r="K745" s="5" t="s">
        <v>1522</v>
      </c>
      <c r="L745">
        <f t="shared" si="11"/>
        <v>5</v>
      </c>
    </row>
    <row r="746" spans="1:12" hidden="1" x14ac:dyDescent="0.25">
      <c r="A746" s="5">
        <v>48793</v>
      </c>
      <c r="B746" t="s">
        <v>7483</v>
      </c>
      <c r="C746" s="5" t="s">
        <v>7484</v>
      </c>
      <c r="D746" t="s">
        <v>7485</v>
      </c>
      <c r="E746" s="5" t="s">
        <v>3587</v>
      </c>
      <c r="F746" s="6">
        <v>46170.76666666667</v>
      </c>
      <c r="G746" s="5" t="s">
        <v>7456</v>
      </c>
      <c r="H746" s="5" t="s">
        <v>8694</v>
      </c>
      <c r="I746" s="5" t="s">
        <v>1528</v>
      </c>
      <c r="J746" s="8">
        <v>312</v>
      </c>
      <c r="K746" s="5" t="s">
        <v>1522</v>
      </c>
      <c r="L746">
        <f t="shared" si="11"/>
        <v>5</v>
      </c>
    </row>
    <row r="747" spans="1:12" x14ac:dyDescent="0.25">
      <c r="A747" s="5">
        <v>45786</v>
      </c>
      <c r="B747" t="s">
        <v>8695</v>
      </c>
      <c r="C747" s="5" t="s">
        <v>7746</v>
      </c>
      <c r="D747" t="s">
        <v>8696</v>
      </c>
      <c r="E747" s="5" t="s">
        <v>1570</v>
      </c>
      <c r="F747" s="6">
        <v>46027.40902777778</v>
      </c>
      <c r="G747" s="5" t="s">
        <v>7456</v>
      </c>
      <c r="H747" s="5" t="s">
        <v>8697</v>
      </c>
      <c r="I747" s="5" t="s">
        <v>1535</v>
      </c>
      <c r="J747" s="8">
        <v>286.5</v>
      </c>
      <c r="K747" s="5" t="s">
        <v>4</v>
      </c>
      <c r="L747">
        <f t="shared" si="11"/>
        <v>1</v>
      </c>
    </row>
    <row r="748" spans="1:12" x14ac:dyDescent="0.25">
      <c r="A748" s="5">
        <v>45787</v>
      </c>
      <c r="B748" t="s">
        <v>8698</v>
      </c>
      <c r="C748" s="5" t="s">
        <v>8699</v>
      </c>
      <c r="D748" t="s">
        <v>8700</v>
      </c>
      <c r="E748" s="5" t="s">
        <v>1548</v>
      </c>
      <c r="F748" s="6">
        <v>46027.423611111109</v>
      </c>
      <c r="G748" s="5" t="s">
        <v>7456</v>
      </c>
      <c r="H748" s="5" t="s">
        <v>8701</v>
      </c>
      <c r="I748" s="5" t="s">
        <v>1564</v>
      </c>
      <c r="J748" s="8">
        <v>399.1</v>
      </c>
      <c r="K748" s="5" t="s">
        <v>4</v>
      </c>
      <c r="L748">
        <f t="shared" si="11"/>
        <v>1</v>
      </c>
    </row>
    <row r="749" spans="1:12" x14ac:dyDescent="0.25">
      <c r="A749" s="5">
        <v>45788</v>
      </c>
      <c r="B749" t="s">
        <v>8702</v>
      </c>
      <c r="C749" s="5" t="s">
        <v>8703</v>
      </c>
      <c r="D749" t="s">
        <v>8704</v>
      </c>
      <c r="E749" s="5" t="s">
        <v>1548</v>
      </c>
      <c r="F749" s="6">
        <v>46027.447222222225</v>
      </c>
      <c r="G749" s="5" t="s">
        <v>7456</v>
      </c>
      <c r="H749" s="5" t="s">
        <v>8705</v>
      </c>
      <c r="I749" s="5" t="s">
        <v>1564</v>
      </c>
      <c r="J749" s="8">
        <v>140.6</v>
      </c>
      <c r="K749" s="5" t="s">
        <v>4</v>
      </c>
      <c r="L749">
        <f t="shared" si="11"/>
        <v>1</v>
      </c>
    </row>
    <row r="750" spans="1:12" x14ac:dyDescent="0.25">
      <c r="A750" s="5">
        <v>45789</v>
      </c>
      <c r="B750" t="s">
        <v>8706</v>
      </c>
      <c r="C750" s="5" t="s">
        <v>8707</v>
      </c>
      <c r="D750" t="s">
        <v>8708</v>
      </c>
      <c r="E750" s="5" t="s">
        <v>2875</v>
      </c>
      <c r="F750" s="6">
        <v>46027.452777777777</v>
      </c>
      <c r="G750" s="5" t="s">
        <v>7456</v>
      </c>
      <c r="H750" s="5" t="s">
        <v>8709</v>
      </c>
      <c r="I750" s="5" t="s">
        <v>1535</v>
      </c>
      <c r="J750" s="8">
        <v>320</v>
      </c>
      <c r="K750" s="5" t="s">
        <v>4</v>
      </c>
      <c r="L750">
        <f t="shared" si="11"/>
        <v>1</v>
      </c>
    </row>
    <row r="751" spans="1:12" x14ac:dyDescent="0.25">
      <c r="A751" s="5">
        <v>45790</v>
      </c>
      <c r="B751" t="s">
        <v>8710</v>
      </c>
      <c r="C751" s="5" t="s">
        <v>7516</v>
      </c>
      <c r="D751" t="s">
        <v>8711</v>
      </c>
      <c r="E751" s="5" t="s">
        <v>1548</v>
      </c>
      <c r="F751" s="6">
        <v>46027.455555555556</v>
      </c>
      <c r="G751" s="5" t="s">
        <v>7456</v>
      </c>
      <c r="H751" s="5" t="s">
        <v>8712</v>
      </c>
      <c r="I751" s="5" t="s">
        <v>1564</v>
      </c>
      <c r="J751" s="8">
        <v>364</v>
      </c>
      <c r="K751" s="5" t="s">
        <v>4</v>
      </c>
      <c r="L751">
        <f t="shared" si="11"/>
        <v>1</v>
      </c>
    </row>
    <row r="752" spans="1:12" x14ac:dyDescent="0.25">
      <c r="A752" s="5">
        <v>45792</v>
      </c>
      <c r="B752" t="s">
        <v>8713</v>
      </c>
      <c r="C752" s="5" t="s">
        <v>8714</v>
      </c>
      <c r="D752" t="s">
        <v>8715</v>
      </c>
      <c r="E752" s="5" t="s">
        <v>1548</v>
      </c>
      <c r="F752" s="6">
        <v>46027.479166666664</v>
      </c>
      <c r="G752" s="5" t="s">
        <v>7456</v>
      </c>
      <c r="H752" t="s">
        <v>7482</v>
      </c>
      <c r="I752" s="5" t="s">
        <v>1564</v>
      </c>
      <c r="J752" s="8">
        <v>165</v>
      </c>
      <c r="K752" s="5" t="s">
        <v>4</v>
      </c>
      <c r="L752">
        <f t="shared" si="11"/>
        <v>1</v>
      </c>
    </row>
    <row r="753" spans="1:12" x14ac:dyDescent="0.25">
      <c r="A753" s="5">
        <v>45793</v>
      </c>
      <c r="B753" t="s">
        <v>8716</v>
      </c>
      <c r="C753" s="5" t="s">
        <v>8717</v>
      </c>
      <c r="D753" t="s">
        <v>8718</v>
      </c>
      <c r="E753" s="5" t="s">
        <v>1548</v>
      </c>
      <c r="F753" s="6">
        <v>46027.521527777775</v>
      </c>
      <c r="G753" s="5" t="s">
        <v>7456</v>
      </c>
      <c r="H753" t="s">
        <v>7482</v>
      </c>
      <c r="I753" s="5" t="s">
        <v>1564</v>
      </c>
      <c r="J753" s="8">
        <v>350</v>
      </c>
      <c r="K753" s="5" t="s">
        <v>4</v>
      </c>
      <c r="L753">
        <f t="shared" si="11"/>
        <v>1</v>
      </c>
    </row>
    <row r="754" spans="1:12" x14ac:dyDescent="0.25">
      <c r="A754" s="5">
        <v>45794</v>
      </c>
      <c r="B754" t="s">
        <v>8719</v>
      </c>
      <c r="C754" s="5" t="s">
        <v>7960</v>
      </c>
      <c r="D754" t="s">
        <v>8720</v>
      </c>
      <c r="E754" s="5" t="s">
        <v>4915</v>
      </c>
      <c r="F754" s="6">
        <v>46027.568055555559</v>
      </c>
      <c r="G754" s="5" t="s">
        <v>7456</v>
      </c>
      <c r="H754" s="5" t="s">
        <v>8721</v>
      </c>
      <c r="I754" s="5" t="s">
        <v>1535</v>
      </c>
      <c r="J754" s="8">
        <v>158</v>
      </c>
      <c r="K754" s="5" t="s">
        <v>4</v>
      </c>
      <c r="L754">
        <f t="shared" si="11"/>
        <v>1</v>
      </c>
    </row>
    <row r="755" spans="1:12" x14ac:dyDescent="0.25">
      <c r="A755" s="5">
        <v>45795</v>
      </c>
      <c r="B755" t="s">
        <v>8722</v>
      </c>
      <c r="C755" s="5" t="s">
        <v>8723</v>
      </c>
      <c r="D755" t="s">
        <v>8724</v>
      </c>
      <c r="E755" s="5" t="s">
        <v>1548</v>
      </c>
      <c r="F755" s="6">
        <v>46027.613194444442</v>
      </c>
      <c r="G755" s="5" t="s">
        <v>7456</v>
      </c>
      <c r="H755" t="s">
        <v>7482</v>
      </c>
      <c r="I755" s="5" t="s">
        <v>1564</v>
      </c>
      <c r="J755" s="8">
        <v>703</v>
      </c>
      <c r="K755" s="5" t="s">
        <v>4</v>
      </c>
      <c r="L755">
        <f t="shared" si="11"/>
        <v>1</v>
      </c>
    </row>
    <row r="756" spans="1:12" x14ac:dyDescent="0.25">
      <c r="A756" s="5">
        <v>45796</v>
      </c>
      <c r="B756" t="s">
        <v>8725</v>
      </c>
      <c r="C756" s="5" t="s">
        <v>8726</v>
      </c>
      <c r="D756" t="s">
        <v>8727</v>
      </c>
      <c r="E756" s="5" t="s">
        <v>1548</v>
      </c>
      <c r="F756" s="6">
        <v>46027.632638888892</v>
      </c>
      <c r="G756" s="5" t="s">
        <v>7456</v>
      </c>
      <c r="H756" s="5" t="s">
        <v>8728</v>
      </c>
      <c r="I756" s="5" t="s">
        <v>1564</v>
      </c>
      <c r="J756" s="8">
        <v>249.5</v>
      </c>
      <c r="K756" s="5" t="s">
        <v>4</v>
      </c>
      <c r="L756">
        <f t="shared" si="11"/>
        <v>1</v>
      </c>
    </row>
    <row r="757" spans="1:12" x14ac:dyDescent="0.25">
      <c r="A757" s="5">
        <v>45797</v>
      </c>
      <c r="B757" t="s">
        <v>8729</v>
      </c>
      <c r="C757" s="5" t="s">
        <v>1056</v>
      </c>
      <c r="D757" t="s">
        <v>8730</v>
      </c>
      <c r="E757" s="5" t="s">
        <v>1548</v>
      </c>
      <c r="F757" s="6">
        <v>46027.647916666669</v>
      </c>
      <c r="G757" s="5" t="s">
        <v>7456</v>
      </c>
      <c r="H757" s="5" t="s">
        <v>8731</v>
      </c>
      <c r="I757" s="5" t="s">
        <v>1564</v>
      </c>
      <c r="J757" s="8">
        <v>499.2</v>
      </c>
      <c r="K757" s="5" t="s">
        <v>4</v>
      </c>
      <c r="L757">
        <f t="shared" si="11"/>
        <v>1</v>
      </c>
    </row>
    <row r="758" spans="1:12" x14ac:dyDescent="0.25">
      <c r="A758" s="5">
        <v>45798</v>
      </c>
      <c r="B758" t="s">
        <v>8732</v>
      </c>
      <c r="C758" s="5" t="s">
        <v>8733</v>
      </c>
      <c r="D758" t="s">
        <v>8734</v>
      </c>
      <c r="E758" s="5" t="s">
        <v>1548</v>
      </c>
      <c r="F758" s="6">
        <v>46027.655555555553</v>
      </c>
      <c r="G758" s="5" t="s">
        <v>7456</v>
      </c>
      <c r="H758" t="s">
        <v>7482</v>
      </c>
      <c r="I758" s="5" t="s">
        <v>1564</v>
      </c>
      <c r="J758" s="8">
        <v>813</v>
      </c>
      <c r="K758" s="5" t="s">
        <v>4</v>
      </c>
      <c r="L758">
        <f t="shared" si="11"/>
        <v>1</v>
      </c>
    </row>
    <row r="759" spans="1:12" x14ac:dyDescent="0.25">
      <c r="A759" s="5">
        <v>45799</v>
      </c>
      <c r="B759" t="s">
        <v>8735</v>
      </c>
      <c r="C759" s="5" t="s">
        <v>8736</v>
      </c>
      <c r="D759" t="s">
        <v>8737</v>
      </c>
      <c r="E759" s="5" t="s">
        <v>8738</v>
      </c>
      <c r="F759" s="6">
        <v>46027.654861111114</v>
      </c>
      <c r="G759" s="5" t="s">
        <v>7456</v>
      </c>
      <c r="H759" s="5" t="s">
        <v>8739</v>
      </c>
      <c r="I759" s="5" t="s">
        <v>1621</v>
      </c>
      <c r="J759" s="8">
        <v>0</v>
      </c>
      <c r="K759" s="5" t="s">
        <v>4</v>
      </c>
      <c r="L759">
        <f t="shared" si="11"/>
        <v>1</v>
      </c>
    </row>
    <row r="760" spans="1:12" x14ac:dyDescent="0.25">
      <c r="A760" s="5">
        <v>45800</v>
      </c>
      <c r="B760" t="s">
        <v>8740</v>
      </c>
      <c r="C760" s="5" t="s">
        <v>8741</v>
      </c>
      <c r="D760" t="s">
        <v>8742</v>
      </c>
      <c r="E760" s="5" t="s">
        <v>1532</v>
      </c>
      <c r="F760" s="6">
        <v>46027.661805555559</v>
      </c>
      <c r="G760" s="5" t="s">
        <v>7456</v>
      </c>
      <c r="H760" s="5" t="s">
        <v>8743</v>
      </c>
      <c r="I760" s="5" t="s">
        <v>1535</v>
      </c>
      <c r="J760" s="8">
        <v>0</v>
      </c>
      <c r="K760" s="5" t="s">
        <v>4</v>
      </c>
      <c r="L760">
        <f t="shared" si="11"/>
        <v>1</v>
      </c>
    </row>
    <row r="761" spans="1:12" x14ac:dyDescent="0.25">
      <c r="A761" s="5">
        <v>45801</v>
      </c>
      <c r="B761" t="s">
        <v>8744</v>
      </c>
      <c r="C761" s="5" t="s">
        <v>8745</v>
      </c>
      <c r="D761" t="s">
        <v>8746</v>
      </c>
      <c r="E761" s="5" t="s">
        <v>1548</v>
      </c>
      <c r="F761" s="6">
        <v>46027.672222222223</v>
      </c>
      <c r="G761" s="5" t="s">
        <v>7456</v>
      </c>
      <c r="H761" t="s">
        <v>7482</v>
      </c>
      <c r="I761" s="5" t="s">
        <v>1564</v>
      </c>
      <c r="J761" s="8">
        <v>4224</v>
      </c>
      <c r="K761" s="5" t="s">
        <v>4</v>
      </c>
      <c r="L761">
        <f t="shared" si="11"/>
        <v>1</v>
      </c>
    </row>
    <row r="762" spans="1:12" x14ac:dyDescent="0.25">
      <c r="A762" s="5">
        <v>45803</v>
      </c>
      <c r="B762" t="s">
        <v>8747</v>
      </c>
      <c r="C762" s="5" t="s">
        <v>1158</v>
      </c>
      <c r="D762" t="s">
        <v>8748</v>
      </c>
      <c r="E762" s="5" t="s">
        <v>7044</v>
      </c>
      <c r="F762" s="6">
        <v>46027.686805555553</v>
      </c>
      <c r="G762" s="5" t="s">
        <v>7456</v>
      </c>
      <c r="H762" s="5" t="s">
        <v>8749</v>
      </c>
      <c r="I762" s="5" t="s">
        <v>1621</v>
      </c>
      <c r="J762" s="8">
        <v>31.93</v>
      </c>
      <c r="K762" s="5" t="s">
        <v>4</v>
      </c>
      <c r="L762">
        <f t="shared" si="11"/>
        <v>1</v>
      </c>
    </row>
    <row r="763" spans="1:12" x14ac:dyDescent="0.25">
      <c r="A763" s="5">
        <v>45804</v>
      </c>
      <c r="B763" t="s">
        <v>8750</v>
      </c>
      <c r="C763" s="5" t="s">
        <v>60</v>
      </c>
      <c r="D763" t="s">
        <v>8751</v>
      </c>
      <c r="E763" s="5" t="s">
        <v>3538</v>
      </c>
      <c r="F763" s="6">
        <v>46027.697222222225</v>
      </c>
      <c r="G763" s="5" t="s">
        <v>7456</v>
      </c>
      <c r="H763" s="5" t="s">
        <v>8752</v>
      </c>
      <c r="I763" s="5" t="s">
        <v>1621</v>
      </c>
      <c r="J763" s="8">
        <v>318.54000000000002</v>
      </c>
      <c r="K763" s="5" t="s">
        <v>4</v>
      </c>
      <c r="L763">
        <f t="shared" si="11"/>
        <v>1</v>
      </c>
    </row>
    <row r="764" spans="1:12" x14ac:dyDescent="0.25">
      <c r="A764" s="5">
        <v>45806</v>
      </c>
      <c r="B764" t="s">
        <v>8753</v>
      </c>
      <c r="C764" s="5" t="s">
        <v>236</v>
      </c>
      <c r="D764" t="s">
        <v>8754</v>
      </c>
      <c r="E764" s="5" t="s">
        <v>6833</v>
      </c>
      <c r="F764" s="6">
        <v>46027.704861111109</v>
      </c>
      <c r="G764" s="5" t="s">
        <v>7456</v>
      </c>
      <c r="H764" s="5" t="s">
        <v>8755</v>
      </c>
      <c r="I764" s="5" t="s">
        <v>1621</v>
      </c>
      <c r="J764" s="8">
        <v>42.88</v>
      </c>
      <c r="K764" s="5" t="s">
        <v>4</v>
      </c>
      <c r="L764">
        <f t="shared" si="11"/>
        <v>1</v>
      </c>
    </row>
    <row r="765" spans="1:12" x14ac:dyDescent="0.25">
      <c r="A765" s="5">
        <v>45807</v>
      </c>
      <c r="B765" t="s">
        <v>8756</v>
      </c>
      <c r="C765" s="5" t="s">
        <v>402</v>
      </c>
      <c r="D765" t="s">
        <v>8757</v>
      </c>
      <c r="E765" s="5" t="s">
        <v>6625</v>
      </c>
      <c r="F765" s="6">
        <v>46027.712500000001</v>
      </c>
      <c r="G765" s="5" t="s">
        <v>7456</v>
      </c>
      <c r="H765" s="5" t="s">
        <v>8758</v>
      </c>
      <c r="I765" s="5" t="s">
        <v>1621</v>
      </c>
      <c r="J765" s="8">
        <v>53.97</v>
      </c>
      <c r="K765" s="5" t="s">
        <v>4</v>
      </c>
      <c r="L765">
        <f t="shared" si="11"/>
        <v>1</v>
      </c>
    </row>
    <row r="766" spans="1:12" x14ac:dyDescent="0.25">
      <c r="A766" s="5">
        <v>45808</v>
      </c>
      <c r="B766" t="s">
        <v>8759</v>
      </c>
      <c r="C766" s="5" t="s">
        <v>7516</v>
      </c>
      <c r="D766" t="s">
        <v>7644</v>
      </c>
      <c r="E766" s="5" t="s">
        <v>1548</v>
      </c>
      <c r="F766" s="6">
        <v>46027.724999999999</v>
      </c>
      <c r="G766" s="5" t="s">
        <v>7456</v>
      </c>
      <c r="H766" s="5" t="s">
        <v>7522</v>
      </c>
      <c r="I766" s="5" t="s">
        <v>1535</v>
      </c>
      <c r="J766" s="8">
        <v>1321</v>
      </c>
      <c r="K766" s="5" t="s">
        <v>4</v>
      </c>
      <c r="L766">
        <f t="shared" si="11"/>
        <v>1</v>
      </c>
    </row>
    <row r="767" spans="1:12" x14ac:dyDescent="0.25">
      <c r="A767" s="5">
        <v>45810</v>
      </c>
      <c r="B767" t="s">
        <v>8760</v>
      </c>
      <c r="C767" s="5" t="s">
        <v>830</v>
      </c>
      <c r="D767" t="s">
        <v>8761</v>
      </c>
      <c r="E767" s="5" t="s">
        <v>7104</v>
      </c>
      <c r="F767" s="6">
        <v>46027.738888888889</v>
      </c>
      <c r="G767" s="5" t="s">
        <v>7456</v>
      </c>
      <c r="H767" s="5" t="s">
        <v>8762</v>
      </c>
      <c r="I767" s="5" t="s">
        <v>1621</v>
      </c>
      <c r="J767" s="8">
        <v>29.83</v>
      </c>
      <c r="K767" s="5" t="s">
        <v>4</v>
      </c>
      <c r="L767">
        <f t="shared" si="11"/>
        <v>1</v>
      </c>
    </row>
    <row r="768" spans="1:12" x14ac:dyDescent="0.25">
      <c r="A768" s="5">
        <v>45811</v>
      </c>
      <c r="B768" t="s">
        <v>8763</v>
      </c>
      <c r="C768" s="5" t="s">
        <v>8764</v>
      </c>
      <c r="D768" t="s">
        <v>7644</v>
      </c>
      <c r="E768" s="5" t="s">
        <v>7251</v>
      </c>
      <c r="F768" s="6">
        <v>46027.743750000001</v>
      </c>
      <c r="G768" s="5" t="s">
        <v>7456</v>
      </c>
      <c r="H768" s="5" t="s">
        <v>8765</v>
      </c>
      <c r="I768" s="5" t="s">
        <v>1621</v>
      </c>
      <c r="J768" s="8">
        <v>21.5</v>
      </c>
      <c r="K768" s="5" t="s">
        <v>4</v>
      </c>
      <c r="L768">
        <f t="shared" si="11"/>
        <v>1</v>
      </c>
    </row>
    <row r="769" spans="1:12" x14ac:dyDescent="0.25">
      <c r="A769" s="5">
        <v>45812</v>
      </c>
      <c r="B769" t="s">
        <v>8766</v>
      </c>
      <c r="C769" s="5" t="s">
        <v>8767</v>
      </c>
      <c r="D769" t="s">
        <v>8768</v>
      </c>
      <c r="E769" s="5" t="s">
        <v>1548</v>
      </c>
      <c r="F769" s="6">
        <v>46027.75277777778</v>
      </c>
      <c r="G769" s="5" t="s">
        <v>7456</v>
      </c>
      <c r="H769" t="s">
        <v>7482</v>
      </c>
      <c r="I769" s="5" t="s">
        <v>1564</v>
      </c>
      <c r="J769" s="8">
        <v>795</v>
      </c>
      <c r="K769" s="5" t="s">
        <v>4</v>
      </c>
      <c r="L769">
        <f t="shared" si="11"/>
        <v>1</v>
      </c>
    </row>
    <row r="770" spans="1:12" x14ac:dyDescent="0.25">
      <c r="A770" s="5">
        <v>45813</v>
      </c>
      <c r="B770" t="s">
        <v>8769</v>
      </c>
      <c r="C770" s="5" t="s">
        <v>776</v>
      </c>
      <c r="D770" t="s">
        <v>8770</v>
      </c>
      <c r="E770" s="5" t="s">
        <v>6805</v>
      </c>
      <c r="F770" s="6">
        <v>46027.75</v>
      </c>
      <c r="G770" s="5" t="s">
        <v>7456</v>
      </c>
      <c r="H770" s="5" t="s">
        <v>8771</v>
      </c>
      <c r="I770" s="5" t="s">
        <v>1621</v>
      </c>
      <c r="J770" s="8">
        <v>43.69</v>
      </c>
      <c r="K770" s="5" t="s">
        <v>4</v>
      </c>
      <c r="L770">
        <f t="shared" si="11"/>
        <v>1</v>
      </c>
    </row>
    <row r="771" spans="1:12" x14ac:dyDescent="0.25">
      <c r="A771" s="5">
        <v>45814</v>
      </c>
      <c r="B771" t="s">
        <v>8772</v>
      </c>
      <c r="C771" s="5" t="s">
        <v>89</v>
      </c>
      <c r="D771" t="s">
        <v>8773</v>
      </c>
      <c r="E771" s="5" t="s">
        <v>7279</v>
      </c>
      <c r="F771" s="6">
        <v>46027.762499999997</v>
      </c>
      <c r="G771" s="5" t="s">
        <v>7456</v>
      </c>
      <c r="H771" s="5" t="s">
        <v>8774</v>
      </c>
      <c r="I771" s="5" t="s">
        <v>1621</v>
      </c>
      <c r="J771" s="8">
        <v>19.79</v>
      </c>
      <c r="K771" s="5" t="s">
        <v>4</v>
      </c>
      <c r="L771">
        <f t="shared" ref="L771:L834" si="12">MONTH(F771)</f>
        <v>1</v>
      </c>
    </row>
    <row r="772" spans="1:12" x14ac:dyDescent="0.25">
      <c r="A772" s="5">
        <v>45815</v>
      </c>
      <c r="B772" t="s">
        <v>8775</v>
      </c>
      <c r="C772" s="5" t="s">
        <v>8776</v>
      </c>
      <c r="D772" t="s">
        <v>8777</v>
      </c>
      <c r="E772" s="5" t="s">
        <v>4035</v>
      </c>
      <c r="F772" s="6">
        <v>46028.354861111111</v>
      </c>
      <c r="G772" s="5" t="s">
        <v>7456</v>
      </c>
      <c r="H772" s="5" t="s">
        <v>8778</v>
      </c>
      <c r="I772" s="5" t="s">
        <v>1621</v>
      </c>
      <c r="J772" s="8">
        <v>252.88</v>
      </c>
      <c r="K772" s="5" t="s">
        <v>4</v>
      </c>
      <c r="L772">
        <f t="shared" si="12"/>
        <v>1</v>
      </c>
    </row>
    <row r="773" spans="1:12" x14ac:dyDescent="0.25">
      <c r="A773" s="5">
        <v>45816</v>
      </c>
      <c r="B773" t="s">
        <v>8779</v>
      </c>
      <c r="C773" s="5" t="s">
        <v>8780</v>
      </c>
      <c r="D773" t="s">
        <v>8781</v>
      </c>
      <c r="E773" s="5" t="s">
        <v>1548</v>
      </c>
      <c r="F773" s="6">
        <v>46028.36041666667</v>
      </c>
      <c r="G773" s="5" t="s">
        <v>7456</v>
      </c>
      <c r="H773" t="s">
        <v>7482</v>
      </c>
      <c r="I773" s="5" t="s">
        <v>1564</v>
      </c>
      <c r="J773" s="8">
        <v>1042.5</v>
      </c>
      <c r="K773" s="5" t="s">
        <v>4</v>
      </c>
      <c r="L773">
        <f t="shared" si="12"/>
        <v>1</v>
      </c>
    </row>
    <row r="774" spans="1:12" x14ac:dyDescent="0.25">
      <c r="A774" s="5">
        <v>45817</v>
      </c>
      <c r="B774" t="s">
        <v>8782</v>
      </c>
      <c r="C774" s="5" t="s">
        <v>824</v>
      </c>
      <c r="D774" t="s">
        <v>8783</v>
      </c>
      <c r="E774" s="5" t="s">
        <v>5569</v>
      </c>
      <c r="F774" s="6">
        <v>46028.362500000003</v>
      </c>
      <c r="G774" s="5" t="s">
        <v>7456</v>
      </c>
      <c r="H774" s="5" t="s">
        <v>8784</v>
      </c>
      <c r="I774" s="5" t="s">
        <v>1621</v>
      </c>
      <c r="J774" s="8">
        <v>117.06</v>
      </c>
      <c r="K774" s="5" t="s">
        <v>4</v>
      </c>
      <c r="L774">
        <f t="shared" si="12"/>
        <v>1</v>
      </c>
    </row>
    <row r="775" spans="1:12" x14ac:dyDescent="0.25">
      <c r="A775" s="5">
        <v>45818</v>
      </c>
      <c r="B775" t="s">
        <v>8779</v>
      </c>
      <c r="C775" s="5" t="s">
        <v>8780</v>
      </c>
      <c r="D775" t="s">
        <v>8781</v>
      </c>
      <c r="E775" s="5" t="s">
        <v>1548</v>
      </c>
      <c r="F775" s="6">
        <v>46028.365277777775</v>
      </c>
      <c r="G775" s="5" t="s">
        <v>7456</v>
      </c>
      <c r="H775" s="5" t="s">
        <v>8785</v>
      </c>
      <c r="I775" s="5" t="s">
        <v>1564</v>
      </c>
      <c r="J775" s="8">
        <v>1552.5</v>
      </c>
      <c r="K775" s="5" t="s">
        <v>4</v>
      </c>
      <c r="L775">
        <f t="shared" si="12"/>
        <v>1</v>
      </c>
    </row>
    <row r="776" spans="1:12" x14ac:dyDescent="0.25">
      <c r="A776" s="5">
        <v>45819</v>
      </c>
      <c r="B776" t="s">
        <v>8786</v>
      </c>
      <c r="C776" s="5" t="s">
        <v>8569</v>
      </c>
      <c r="D776" t="s">
        <v>8787</v>
      </c>
      <c r="E776" s="5" t="s">
        <v>1548</v>
      </c>
      <c r="F776" s="6">
        <v>46028.368750000001</v>
      </c>
      <c r="G776" s="5" t="s">
        <v>7456</v>
      </c>
      <c r="H776" s="5" t="s">
        <v>8788</v>
      </c>
      <c r="I776" s="5" t="s">
        <v>1535</v>
      </c>
      <c r="J776" s="8">
        <v>89</v>
      </c>
      <c r="K776" s="5" t="s">
        <v>4</v>
      </c>
      <c r="L776">
        <f t="shared" si="12"/>
        <v>1</v>
      </c>
    </row>
    <row r="777" spans="1:12" x14ac:dyDescent="0.25">
      <c r="A777" s="5">
        <v>45820</v>
      </c>
      <c r="B777" t="s">
        <v>8789</v>
      </c>
      <c r="C777" s="5" t="s">
        <v>8790</v>
      </c>
      <c r="D777" t="s">
        <v>8791</v>
      </c>
      <c r="E777" s="5" t="s">
        <v>3608</v>
      </c>
      <c r="F777" s="6">
        <v>46028.369444444441</v>
      </c>
      <c r="G777" s="5" t="s">
        <v>7456</v>
      </c>
      <c r="H777" s="5" t="s">
        <v>8792</v>
      </c>
      <c r="I777" s="5" t="s">
        <v>1621</v>
      </c>
      <c r="J777" s="8">
        <v>309.3</v>
      </c>
      <c r="K777" s="5" t="s">
        <v>4</v>
      </c>
      <c r="L777">
        <f t="shared" si="12"/>
        <v>1</v>
      </c>
    </row>
    <row r="778" spans="1:12" x14ac:dyDescent="0.25">
      <c r="A778" s="5">
        <v>45821</v>
      </c>
      <c r="B778" t="s">
        <v>8793</v>
      </c>
      <c r="C778" s="5" t="s">
        <v>8147</v>
      </c>
      <c r="D778" t="s">
        <v>8794</v>
      </c>
      <c r="E778" s="5" t="s">
        <v>1548</v>
      </c>
      <c r="F778" s="6">
        <v>46028.386111111111</v>
      </c>
      <c r="G778" s="5" t="s">
        <v>7595</v>
      </c>
      <c r="H778" t="s">
        <v>7482</v>
      </c>
      <c r="I778" s="5" t="s">
        <v>1535</v>
      </c>
      <c r="J778" s="8">
        <v>1681.5</v>
      </c>
      <c r="K778" s="5" t="s">
        <v>4</v>
      </c>
      <c r="L778">
        <f t="shared" si="12"/>
        <v>1</v>
      </c>
    </row>
    <row r="779" spans="1:12" x14ac:dyDescent="0.25">
      <c r="A779" s="5">
        <v>45822</v>
      </c>
      <c r="B779" t="s">
        <v>8795</v>
      </c>
      <c r="C779" s="5" t="s">
        <v>8796</v>
      </c>
      <c r="D779" t="s">
        <v>8797</v>
      </c>
      <c r="E779" s="5" t="s">
        <v>1548</v>
      </c>
      <c r="F779" s="6">
        <v>46028.390972222223</v>
      </c>
      <c r="G779" s="5" t="s">
        <v>7456</v>
      </c>
      <c r="H779" t="s">
        <v>7482</v>
      </c>
      <c r="I779" s="5" t="s">
        <v>1564</v>
      </c>
      <c r="J779" s="8">
        <v>8558</v>
      </c>
      <c r="K779" s="5" t="s">
        <v>4</v>
      </c>
      <c r="L779">
        <f t="shared" si="12"/>
        <v>1</v>
      </c>
    </row>
    <row r="780" spans="1:12" x14ac:dyDescent="0.25">
      <c r="A780" s="5">
        <v>45823</v>
      </c>
      <c r="B780" t="s">
        <v>8798</v>
      </c>
      <c r="C780" s="5" t="s">
        <v>8799</v>
      </c>
      <c r="D780" t="s">
        <v>8800</v>
      </c>
      <c r="E780" s="5" t="s">
        <v>1548</v>
      </c>
      <c r="F780" s="6">
        <v>46028.434027777781</v>
      </c>
      <c r="G780" s="5" t="s">
        <v>7456</v>
      </c>
      <c r="H780" s="5" t="s">
        <v>8801</v>
      </c>
      <c r="I780" s="5" t="s">
        <v>1564</v>
      </c>
      <c r="J780" s="8">
        <v>203.3</v>
      </c>
      <c r="K780" s="5" t="s">
        <v>4</v>
      </c>
      <c r="L780">
        <f t="shared" si="12"/>
        <v>1</v>
      </c>
    </row>
    <row r="781" spans="1:12" x14ac:dyDescent="0.25">
      <c r="A781" s="5">
        <v>45824</v>
      </c>
      <c r="B781" t="s">
        <v>8802</v>
      </c>
      <c r="C781" s="5" t="s">
        <v>1408</v>
      </c>
      <c r="D781" t="s">
        <v>8803</v>
      </c>
      <c r="E781" s="5" t="s">
        <v>1548</v>
      </c>
      <c r="F781" s="6">
        <v>46028.467361111114</v>
      </c>
      <c r="G781" s="5" t="s">
        <v>7456</v>
      </c>
      <c r="H781" s="5" t="s">
        <v>8804</v>
      </c>
      <c r="I781" s="5" t="s">
        <v>1564</v>
      </c>
      <c r="J781" s="8">
        <v>69.900000000000006</v>
      </c>
      <c r="K781" s="5" t="s">
        <v>4</v>
      </c>
      <c r="L781">
        <f t="shared" si="12"/>
        <v>1</v>
      </c>
    </row>
    <row r="782" spans="1:12" x14ac:dyDescent="0.25">
      <c r="A782" s="5">
        <v>45827</v>
      </c>
      <c r="B782" t="s">
        <v>8805</v>
      </c>
      <c r="C782" s="5" t="s">
        <v>8806</v>
      </c>
      <c r="D782" t="s">
        <v>8807</v>
      </c>
      <c r="E782" s="5" t="s">
        <v>1548</v>
      </c>
      <c r="F782" s="6">
        <v>46028.521527777775</v>
      </c>
      <c r="G782" s="5" t="s">
        <v>7456</v>
      </c>
      <c r="H782" s="5" t="s">
        <v>8808</v>
      </c>
      <c r="I782" s="5" t="s">
        <v>1564</v>
      </c>
      <c r="J782" s="8">
        <v>188.5</v>
      </c>
      <c r="K782" s="5" t="s">
        <v>4</v>
      </c>
      <c r="L782">
        <f t="shared" si="12"/>
        <v>1</v>
      </c>
    </row>
    <row r="783" spans="1:12" x14ac:dyDescent="0.25">
      <c r="A783" s="5">
        <v>45828</v>
      </c>
      <c r="B783" t="s">
        <v>8809</v>
      </c>
      <c r="C783" s="5" t="s">
        <v>7746</v>
      </c>
      <c r="D783" t="s">
        <v>8810</v>
      </c>
      <c r="E783" s="5" t="s">
        <v>1813</v>
      </c>
      <c r="F783" s="6">
        <v>46028.578472222223</v>
      </c>
      <c r="G783" s="5" t="s">
        <v>7595</v>
      </c>
      <c r="H783" t="s">
        <v>7482</v>
      </c>
      <c r="I783" s="5" t="s">
        <v>1535</v>
      </c>
      <c r="J783" s="8">
        <v>1985</v>
      </c>
      <c r="K783" s="5" t="s">
        <v>4</v>
      </c>
      <c r="L783">
        <f t="shared" si="12"/>
        <v>1</v>
      </c>
    </row>
    <row r="784" spans="1:12" x14ac:dyDescent="0.25">
      <c r="A784" s="5">
        <v>45829</v>
      </c>
      <c r="B784" t="s">
        <v>8695</v>
      </c>
      <c r="C784" s="5" t="s">
        <v>7746</v>
      </c>
      <c r="D784" t="s">
        <v>8696</v>
      </c>
      <c r="E784" s="5" t="s">
        <v>1570</v>
      </c>
      <c r="F784" s="6">
        <v>46028.597222222219</v>
      </c>
      <c r="G784" s="5" t="s">
        <v>7456</v>
      </c>
      <c r="H784" s="5" t="s">
        <v>8811</v>
      </c>
      <c r="I784" s="5" t="s">
        <v>1535</v>
      </c>
      <c r="J784" s="8">
        <v>494.7</v>
      </c>
      <c r="K784" s="5" t="s">
        <v>4</v>
      </c>
      <c r="L784">
        <f t="shared" si="12"/>
        <v>1</v>
      </c>
    </row>
    <row r="785" spans="1:12" x14ac:dyDescent="0.25">
      <c r="A785" s="5">
        <v>45830</v>
      </c>
      <c r="B785" t="s">
        <v>8812</v>
      </c>
      <c r="C785" s="5" t="s">
        <v>682</v>
      </c>
      <c r="D785" t="s">
        <v>8813</v>
      </c>
      <c r="E785" s="5" t="s">
        <v>1813</v>
      </c>
      <c r="F785" s="6">
        <v>46028.609027777777</v>
      </c>
      <c r="G785" s="5" t="s">
        <v>7456</v>
      </c>
      <c r="H785" s="5" t="s">
        <v>8814</v>
      </c>
      <c r="I785" s="5" t="s">
        <v>1535</v>
      </c>
      <c r="J785" s="8">
        <v>78</v>
      </c>
      <c r="K785" s="5" t="s">
        <v>4</v>
      </c>
      <c r="L785">
        <f t="shared" si="12"/>
        <v>1</v>
      </c>
    </row>
    <row r="786" spans="1:12" x14ac:dyDescent="0.25">
      <c r="A786" s="5">
        <v>45831</v>
      </c>
      <c r="B786" t="s">
        <v>8815</v>
      </c>
      <c r="C786" s="5" t="s">
        <v>7516</v>
      </c>
      <c r="D786" t="s">
        <v>8816</v>
      </c>
      <c r="E786" s="5" t="s">
        <v>4874</v>
      </c>
      <c r="F786" s="6">
        <v>46028.584027777775</v>
      </c>
      <c r="G786" s="5" t="s">
        <v>7456</v>
      </c>
      <c r="H786" s="5" t="s">
        <v>8817</v>
      </c>
      <c r="I786" s="5" t="s">
        <v>1621</v>
      </c>
      <c r="J786" s="8">
        <v>160.71</v>
      </c>
      <c r="K786" s="5" t="s">
        <v>4</v>
      </c>
      <c r="L786">
        <f t="shared" si="12"/>
        <v>1</v>
      </c>
    </row>
    <row r="787" spans="1:12" x14ac:dyDescent="0.25">
      <c r="A787" s="5">
        <v>45832</v>
      </c>
      <c r="B787" t="s">
        <v>8818</v>
      </c>
      <c r="C787" s="5" t="s">
        <v>131</v>
      </c>
      <c r="D787" t="s">
        <v>8819</v>
      </c>
      <c r="E787" s="5" t="s">
        <v>2875</v>
      </c>
      <c r="F787" s="6">
        <v>46028.620138888888</v>
      </c>
      <c r="G787" s="5" t="s">
        <v>7456</v>
      </c>
      <c r="H787" s="5" t="s">
        <v>8820</v>
      </c>
      <c r="I787" s="5" t="s">
        <v>1535</v>
      </c>
      <c r="J787" s="8">
        <v>182.4</v>
      </c>
      <c r="K787" s="5" t="s">
        <v>4</v>
      </c>
      <c r="L787">
        <f t="shared" si="12"/>
        <v>1</v>
      </c>
    </row>
    <row r="788" spans="1:12" x14ac:dyDescent="0.25">
      <c r="A788" s="5">
        <v>45833</v>
      </c>
      <c r="B788" t="s">
        <v>8821</v>
      </c>
      <c r="C788" s="5" t="s">
        <v>8822</v>
      </c>
      <c r="D788" t="s">
        <v>8823</v>
      </c>
      <c r="E788" s="5" t="s">
        <v>6706</v>
      </c>
      <c r="F788" s="6">
        <v>46028.613888888889</v>
      </c>
      <c r="G788" s="5" t="s">
        <v>7456</v>
      </c>
      <c r="H788" s="5" t="s">
        <v>8824</v>
      </c>
      <c r="I788" s="5" t="s">
        <v>1621</v>
      </c>
      <c r="J788" s="8">
        <v>51.97</v>
      </c>
      <c r="K788" s="5" t="s">
        <v>4</v>
      </c>
      <c r="L788">
        <f t="shared" si="12"/>
        <v>1</v>
      </c>
    </row>
    <row r="789" spans="1:12" x14ac:dyDescent="0.25">
      <c r="A789" s="5">
        <v>45834</v>
      </c>
      <c r="B789" t="s">
        <v>8825</v>
      </c>
      <c r="C789" s="5" t="s">
        <v>7516</v>
      </c>
      <c r="D789" t="s">
        <v>8826</v>
      </c>
      <c r="E789" s="5" t="s">
        <v>1532</v>
      </c>
      <c r="F789" s="6">
        <v>46028.623611111114</v>
      </c>
      <c r="G789" s="5" t="s">
        <v>7456</v>
      </c>
      <c r="H789" s="5" t="s">
        <v>7522</v>
      </c>
      <c r="I789" s="5" t="s">
        <v>1535</v>
      </c>
      <c r="J789" s="8">
        <v>372.5</v>
      </c>
      <c r="K789" s="5" t="s">
        <v>4</v>
      </c>
      <c r="L789">
        <f t="shared" si="12"/>
        <v>1</v>
      </c>
    </row>
    <row r="790" spans="1:12" x14ac:dyDescent="0.25">
      <c r="A790" s="5">
        <v>45835</v>
      </c>
      <c r="B790" t="s">
        <v>8827</v>
      </c>
      <c r="C790" s="5" t="s">
        <v>7516</v>
      </c>
      <c r="D790" t="s">
        <v>8828</v>
      </c>
      <c r="E790" s="5" t="s">
        <v>1548</v>
      </c>
      <c r="F790" s="6">
        <v>46028.627083333333</v>
      </c>
      <c r="G790" s="5" t="s">
        <v>7456</v>
      </c>
      <c r="H790" s="5" t="s">
        <v>7522</v>
      </c>
      <c r="I790" s="5" t="s">
        <v>1564</v>
      </c>
      <c r="J790" s="8">
        <v>615</v>
      </c>
      <c r="K790" s="5" t="s">
        <v>4</v>
      </c>
      <c r="L790">
        <f t="shared" si="12"/>
        <v>1</v>
      </c>
    </row>
    <row r="791" spans="1:12" x14ac:dyDescent="0.25">
      <c r="A791" s="5">
        <v>45836</v>
      </c>
      <c r="B791" t="s">
        <v>8829</v>
      </c>
      <c r="C791" s="5" t="s">
        <v>8830</v>
      </c>
      <c r="D791" t="s">
        <v>8831</v>
      </c>
      <c r="E791" s="5" t="s">
        <v>4157</v>
      </c>
      <c r="F791" s="6">
        <v>46028.630555555559</v>
      </c>
      <c r="G791" s="5" t="s">
        <v>7456</v>
      </c>
      <c r="H791" s="5" t="s">
        <v>8832</v>
      </c>
      <c r="I791" s="5" t="s">
        <v>1535</v>
      </c>
      <c r="J791" s="8">
        <v>234.5</v>
      </c>
      <c r="K791" s="5" t="s">
        <v>4</v>
      </c>
      <c r="L791">
        <f t="shared" si="12"/>
        <v>1</v>
      </c>
    </row>
    <row r="792" spans="1:12" x14ac:dyDescent="0.25">
      <c r="A792" s="5">
        <v>45837</v>
      </c>
      <c r="B792" t="s">
        <v>8833</v>
      </c>
      <c r="C792" s="5" t="s">
        <v>8834</v>
      </c>
      <c r="D792" t="s">
        <v>8835</v>
      </c>
      <c r="E792" s="5" t="s">
        <v>1548</v>
      </c>
      <c r="F792" s="6">
        <v>46028.642361111109</v>
      </c>
      <c r="G792" s="5" t="s">
        <v>7456</v>
      </c>
      <c r="H792" s="5" t="s">
        <v>8836</v>
      </c>
      <c r="I792" s="5" t="s">
        <v>1564</v>
      </c>
      <c r="J792" s="8">
        <v>52.8</v>
      </c>
      <c r="K792" s="5" t="s">
        <v>4</v>
      </c>
      <c r="L792">
        <f t="shared" si="12"/>
        <v>1</v>
      </c>
    </row>
    <row r="793" spans="1:12" x14ac:dyDescent="0.25">
      <c r="A793" s="5">
        <v>45839</v>
      </c>
      <c r="B793" t="s">
        <v>8837</v>
      </c>
      <c r="C793" s="5" t="s">
        <v>1156</v>
      </c>
      <c r="D793" t="s">
        <v>8838</v>
      </c>
      <c r="E793" s="5" t="s">
        <v>6104</v>
      </c>
      <c r="F793" s="6">
        <v>46028.631249999999</v>
      </c>
      <c r="G793" s="5" t="s">
        <v>7595</v>
      </c>
      <c r="H793" s="5" t="s">
        <v>8839</v>
      </c>
      <c r="I793" s="5" t="s">
        <v>1621</v>
      </c>
      <c r="J793" s="8">
        <v>88.65</v>
      </c>
      <c r="K793" s="5" t="s">
        <v>4</v>
      </c>
      <c r="L793">
        <f t="shared" si="12"/>
        <v>1</v>
      </c>
    </row>
    <row r="794" spans="1:12" x14ac:dyDescent="0.25">
      <c r="A794" s="5">
        <v>45840</v>
      </c>
      <c r="B794" t="s">
        <v>8840</v>
      </c>
      <c r="C794" s="5" t="s">
        <v>8841</v>
      </c>
      <c r="D794" t="s">
        <v>8842</v>
      </c>
      <c r="E794" s="5" t="s">
        <v>1548</v>
      </c>
      <c r="F794" s="6">
        <v>46028.661111111112</v>
      </c>
      <c r="G794" s="5" t="s">
        <v>7456</v>
      </c>
      <c r="H794" s="5" t="s">
        <v>8843</v>
      </c>
      <c r="I794" s="5" t="s">
        <v>1564</v>
      </c>
      <c r="J794" s="8">
        <v>243</v>
      </c>
      <c r="K794" s="5" t="s">
        <v>4</v>
      </c>
      <c r="L794">
        <f t="shared" si="12"/>
        <v>1</v>
      </c>
    </row>
    <row r="795" spans="1:12" x14ac:dyDescent="0.25">
      <c r="A795" s="5">
        <v>45841</v>
      </c>
      <c r="B795" t="s">
        <v>8844</v>
      </c>
      <c r="C795" s="5" t="s">
        <v>8845</v>
      </c>
      <c r="D795" t="s">
        <v>8846</v>
      </c>
      <c r="E795" s="5" t="s">
        <v>3424</v>
      </c>
      <c r="F795" s="6">
        <v>46028.663194444445</v>
      </c>
      <c r="G795" s="5" t="s">
        <v>7456</v>
      </c>
      <c r="H795" s="5" t="s">
        <v>8847</v>
      </c>
      <c r="I795" s="5" t="s">
        <v>1621</v>
      </c>
      <c r="J795" s="8">
        <v>333.21</v>
      </c>
      <c r="K795" s="5" t="s">
        <v>4</v>
      </c>
      <c r="L795">
        <f t="shared" si="12"/>
        <v>1</v>
      </c>
    </row>
    <row r="796" spans="1:12" x14ac:dyDescent="0.25">
      <c r="A796" s="5">
        <v>45842</v>
      </c>
      <c r="B796" t="s">
        <v>8848</v>
      </c>
      <c r="C796" s="5" t="s">
        <v>8849</v>
      </c>
      <c r="D796" t="s">
        <v>8850</v>
      </c>
      <c r="E796" s="5" t="s">
        <v>1548</v>
      </c>
      <c r="F796" s="6">
        <v>46028.680555555555</v>
      </c>
      <c r="G796" s="5" t="s">
        <v>7456</v>
      </c>
      <c r="H796" s="5" t="s">
        <v>8851</v>
      </c>
      <c r="I796" s="5" t="s">
        <v>1564</v>
      </c>
      <c r="J796" s="8">
        <v>613</v>
      </c>
      <c r="K796" s="5" t="s">
        <v>4</v>
      </c>
      <c r="L796">
        <f t="shared" si="12"/>
        <v>1</v>
      </c>
    </row>
    <row r="797" spans="1:12" x14ac:dyDescent="0.25">
      <c r="A797" s="5">
        <v>45843</v>
      </c>
      <c r="B797" t="s">
        <v>8852</v>
      </c>
      <c r="C797" s="5" t="s">
        <v>8853</v>
      </c>
      <c r="D797" t="s">
        <v>8854</v>
      </c>
      <c r="E797" s="5" t="s">
        <v>1532</v>
      </c>
      <c r="F797" s="6">
        <v>46028.684027777781</v>
      </c>
      <c r="G797" s="5" t="s">
        <v>7456</v>
      </c>
      <c r="H797" s="5" t="s">
        <v>8855</v>
      </c>
      <c r="I797" s="5" t="s">
        <v>1535</v>
      </c>
      <c r="J797" s="8">
        <v>162</v>
      </c>
      <c r="K797" s="5" t="s">
        <v>4</v>
      </c>
      <c r="L797">
        <f t="shared" si="12"/>
        <v>1</v>
      </c>
    </row>
    <row r="798" spans="1:12" x14ac:dyDescent="0.25">
      <c r="A798" s="5">
        <v>45846</v>
      </c>
      <c r="B798" t="s">
        <v>8856</v>
      </c>
      <c r="C798" s="5" t="s">
        <v>8857</v>
      </c>
      <c r="D798" t="s">
        <v>8858</v>
      </c>
      <c r="E798" s="5" t="s">
        <v>1548</v>
      </c>
      <c r="F798" s="6">
        <v>46028.725694444445</v>
      </c>
      <c r="G798" s="5" t="s">
        <v>7456</v>
      </c>
      <c r="H798" s="5" t="s">
        <v>8859</v>
      </c>
      <c r="I798" s="5" t="s">
        <v>1564</v>
      </c>
      <c r="J798" s="8">
        <v>312</v>
      </c>
      <c r="K798" s="5" t="s">
        <v>4</v>
      </c>
      <c r="L798">
        <f t="shared" si="12"/>
        <v>1</v>
      </c>
    </row>
    <row r="799" spans="1:12" x14ac:dyDescent="0.25">
      <c r="A799" s="5">
        <v>45847</v>
      </c>
      <c r="B799" t="s">
        <v>8860</v>
      </c>
      <c r="C799" s="5" t="s">
        <v>1266</v>
      </c>
      <c r="D799" t="s">
        <v>8861</v>
      </c>
      <c r="E799" s="5" t="s">
        <v>1548</v>
      </c>
      <c r="F799" s="6">
        <v>46029.342361111114</v>
      </c>
      <c r="G799" s="5" t="s">
        <v>7456</v>
      </c>
      <c r="H799" s="5" t="s">
        <v>8862</v>
      </c>
      <c r="I799" s="5" t="s">
        <v>1564</v>
      </c>
      <c r="J799" s="8">
        <v>55</v>
      </c>
      <c r="K799" s="5" t="s">
        <v>4</v>
      </c>
      <c r="L799">
        <f t="shared" si="12"/>
        <v>1</v>
      </c>
    </row>
    <row r="800" spans="1:12" x14ac:dyDescent="0.25">
      <c r="A800" s="5">
        <v>45848</v>
      </c>
      <c r="B800" t="s">
        <v>8863</v>
      </c>
      <c r="C800" s="5" t="s">
        <v>8864</v>
      </c>
      <c r="D800" t="s">
        <v>8865</v>
      </c>
      <c r="E800" s="5" t="s">
        <v>1813</v>
      </c>
      <c r="F800" s="6">
        <v>46029.352777777778</v>
      </c>
      <c r="G800" s="5" t="s">
        <v>7456</v>
      </c>
      <c r="H800" s="5" t="s">
        <v>8866</v>
      </c>
      <c r="I800" s="5" t="s">
        <v>1535</v>
      </c>
      <c r="J800" s="8">
        <v>148.4</v>
      </c>
      <c r="K800" s="5" t="s">
        <v>4</v>
      </c>
      <c r="L800">
        <f t="shared" si="12"/>
        <v>1</v>
      </c>
    </row>
    <row r="801" spans="1:12" x14ac:dyDescent="0.25">
      <c r="A801" s="5">
        <v>45849</v>
      </c>
      <c r="B801" t="s">
        <v>8867</v>
      </c>
      <c r="C801" s="5" t="s">
        <v>8868</v>
      </c>
      <c r="D801" t="s">
        <v>7644</v>
      </c>
      <c r="E801" s="5" t="s">
        <v>1813</v>
      </c>
      <c r="F801" s="6">
        <v>46029.361111111109</v>
      </c>
      <c r="G801" s="5" t="s">
        <v>7456</v>
      </c>
      <c r="H801" s="5" t="s">
        <v>8869</v>
      </c>
      <c r="I801" s="5" t="s">
        <v>1535</v>
      </c>
      <c r="J801" s="8">
        <v>115.9</v>
      </c>
      <c r="K801" s="5" t="s">
        <v>4</v>
      </c>
      <c r="L801">
        <f t="shared" si="12"/>
        <v>1</v>
      </c>
    </row>
    <row r="802" spans="1:12" x14ac:dyDescent="0.25">
      <c r="A802" s="5">
        <v>45850</v>
      </c>
      <c r="B802" t="s">
        <v>8870</v>
      </c>
      <c r="C802" s="5" t="s">
        <v>8871</v>
      </c>
      <c r="D802" t="s">
        <v>8872</v>
      </c>
      <c r="E802" s="5" t="s">
        <v>3983</v>
      </c>
      <c r="F802" s="6">
        <v>46029.404861111114</v>
      </c>
      <c r="G802" s="5" t="s">
        <v>7456</v>
      </c>
      <c r="H802" s="5" t="s">
        <v>8873</v>
      </c>
      <c r="I802" s="5" t="s">
        <v>1564</v>
      </c>
      <c r="J802" s="8">
        <v>260</v>
      </c>
      <c r="K802" s="5" t="s">
        <v>4</v>
      </c>
      <c r="L802">
        <f t="shared" si="12"/>
        <v>1</v>
      </c>
    </row>
    <row r="803" spans="1:12" x14ac:dyDescent="0.25">
      <c r="A803" s="5">
        <v>45851</v>
      </c>
      <c r="B803" t="s">
        <v>8874</v>
      </c>
      <c r="C803" s="5" t="s">
        <v>8875</v>
      </c>
      <c r="D803" t="s">
        <v>8876</v>
      </c>
      <c r="E803" s="5" t="s">
        <v>1548</v>
      </c>
      <c r="F803" s="6">
        <v>46029.448611111111</v>
      </c>
      <c r="G803" s="5" t="s">
        <v>7456</v>
      </c>
      <c r="H803" t="s">
        <v>7482</v>
      </c>
      <c r="I803" s="5" t="s">
        <v>1564</v>
      </c>
      <c r="J803" s="8">
        <v>334</v>
      </c>
      <c r="K803" s="5" t="s">
        <v>4</v>
      </c>
      <c r="L803">
        <f t="shared" si="12"/>
        <v>1</v>
      </c>
    </row>
    <row r="804" spans="1:12" x14ac:dyDescent="0.25">
      <c r="A804" s="5">
        <v>45852</v>
      </c>
      <c r="B804" t="s">
        <v>8877</v>
      </c>
      <c r="C804" s="5" t="s">
        <v>8878</v>
      </c>
      <c r="D804" t="s">
        <v>8879</v>
      </c>
      <c r="E804" s="5" t="s">
        <v>2233</v>
      </c>
      <c r="F804" s="6">
        <v>46029.448611111111</v>
      </c>
      <c r="G804" s="5" t="s">
        <v>7456</v>
      </c>
      <c r="H804" s="5" t="s">
        <v>8880</v>
      </c>
      <c r="I804" s="5" t="s">
        <v>1535</v>
      </c>
      <c r="J804" s="8">
        <v>900</v>
      </c>
      <c r="K804" s="5" t="s">
        <v>4</v>
      </c>
      <c r="L804">
        <f t="shared" si="12"/>
        <v>1</v>
      </c>
    </row>
    <row r="805" spans="1:12" x14ac:dyDescent="0.25">
      <c r="A805" s="5">
        <v>45853</v>
      </c>
      <c r="B805" t="s">
        <v>8881</v>
      </c>
      <c r="C805" s="5" t="s">
        <v>8882</v>
      </c>
      <c r="D805" t="s">
        <v>8883</v>
      </c>
      <c r="E805" s="5" t="s">
        <v>1759</v>
      </c>
      <c r="F805" s="6">
        <v>46029.537499999999</v>
      </c>
      <c r="G805" s="5" t="s">
        <v>7456</v>
      </c>
      <c r="H805" s="5" t="s">
        <v>8884</v>
      </c>
      <c r="I805" s="5" t="s">
        <v>1564</v>
      </c>
      <c r="J805" s="8">
        <v>245</v>
      </c>
      <c r="K805" s="5" t="s">
        <v>4</v>
      </c>
      <c r="L805">
        <f t="shared" si="12"/>
        <v>1</v>
      </c>
    </row>
    <row r="806" spans="1:12" x14ac:dyDescent="0.25">
      <c r="A806" s="5">
        <v>45854</v>
      </c>
      <c r="B806" t="s">
        <v>8885</v>
      </c>
      <c r="C806" s="5" t="s">
        <v>8886</v>
      </c>
      <c r="D806" t="s">
        <v>8887</v>
      </c>
      <c r="E806" s="5" t="s">
        <v>1548</v>
      </c>
      <c r="F806" s="6">
        <v>46029.543749999997</v>
      </c>
      <c r="G806" s="5" t="s">
        <v>7456</v>
      </c>
      <c r="H806" s="5" t="s">
        <v>8888</v>
      </c>
      <c r="I806" s="5" t="s">
        <v>1564</v>
      </c>
      <c r="J806" s="8">
        <v>363</v>
      </c>
      <c r="K806" s="5" t="s">
        <v>4</v>
      </c>
      <c r="L806">
        <f t="shared" si="12"/>
        <v>1</v>
      </c>
    </row>
    <row r="807" spans="1:12" x14ac:dyDescent="0.25">
      <c r="A807" s="5">
        <v>45855</v>
      </c>
      <c r="B807" t="s">
        <v>8889</v>
      </c>
      <c r="C807" s="5" t="s">
        <v>8890</v>
      </c>
      <c r="D807" t="s">
        <v>8891</v>
      </c>
      <c r="E807" s="5" t="s">
        <v>1548</v>
      </c>
      <c r="F807" s="6">
        <v>46029.606944444444</v>
      </c>
      <c r="G807" s="5" t="s">
        <v>7456</v>
      </c>
      <c r="H807" t="s">
        <v>7482</v>
      </c>
      <c r="I807" s="5" t="s">
        <v>1564</v>
      </c>
      <c r="J807" s="8">
        <v>897.15</v>
      </c>
      <c r="K807" s="5" t="s">
        <v>4</v>
      </c>
      <c r="L807">
        <f t="shared" si="12"/>
        <v>1</v>
      </c>
    </row>
    <row r="808" spans="1:12" x14ac:dyDescent="0.25">
      <c r="A808" s="5">
        <v>45856</v>
      </c>
      <c r="B808" t="s">
        <v>8892</v>
      </c>
      <c r="C808" s="5" t="s">
        <v>7507</v>
      </c>
      <c r="D808" t="s">
        <v>8893</v>
      </c>
      <c r="E808" s="5" t="s">
        <v>1532</v>
      </c>
      <c r="F808" s="6">
        <v>46029.620833333334</v>
      </c>
      <c r="G808" s="5" t="s">
        <v>7456</v>
      </c>
      <c r="H808" s="5" t="s">
        <v>8894</v>
      </c>
      <c r="I808" s="5" t="s">
        <v>1535</v>
      </c>
      <c r="J808" s="8">
        <v>303.60000000000002</v>
      </c>
      <c r="K808" s="5" t="s">
        <v>4</v>
      </c>
      <c r="L808">
        <f t="shared" si="12"/>
        <v>1</v>
      </c>
    </row>
    <row r="809" spans="1:12" x14ac:dyDescent="0.25">
      <c r="A809" s="5">
        <v>45857</v>
      </c>
      <c r="B809" t="s">
        <v>8895</v>
      </c>
      <c r="C809" s="5" t="s">
        <v>8896</v>
      </c>
      <c r="D809" t="s">
        <v>8897</v>
      </c>
      <c r="E809" s="5" t="s">
        <v>1548</v>
      </c>
      <c r="F809" s="6">
        <v>46029.626388888886</v>
      </c>
      <c r="G809" s="5" t="s">
        <v>7456</v>
      </c>
      <c r="H809" s="5" t="s">
        <v>8898</v>
      </c>
      <c r="I809" s="5" t="s">
        <v>1564</v>
      </c>
      <c r="J809" s="8">
        <v>135.55000000000001</v>
      </c>
      <c r="K809" s="5" t="s">
        <v>4</v>
      </c>
      <c r="L809">
        <f t="shared" si="12"/>
        <v>1</v>
      </c>
    </row>
    <row r="810" spans="1:12" x14ac:dyDescent="0.25">
      <c r="A810" s="5">
        <v>45858</v>
      </c>
      <c r="B810" t="s">
        <v>8899</v>
      </c>
      <c r="C810" s="5" t="s">
        <v>8900</v>
      </c>
      <c r="D810" t="s">
        <v>8901</v>
      </c>
      <c r="E810" s="5" t="s">
        <v>1548</v>
      </c>
      <c r="F810" s="6">
        <v>46029.629166666666</v>
      </c>
      <c r="G810" s="5" t="s">
        <v>7456</v>
      </c>
      <c r="H810" s="5" t="s">
        <v>8902</v>
      </c>
      <c r="I810" s="5" t="s">
        <v>1564</v>
      </c>
      <c r="J810" s="8">
        <v>327.5</v>
      </c>
      <c r="K810" s="5" t="s">
        <v>4</v>
      </c>
      <c r="L810">
        <f t="shared" si="12"/>
        <v>1</v>
      </c>
    </row>
    <row r="811" spans="1:12" x14ac:dyDescent="0.25">
      <c r="A811" s="5">
        <v>45859</v>
      </c>
      <c r="B811" t="s">
        <v>8903</v>
      </c>
      <c r="C811" s="5" t="s">
        <v>8904</v>
      </c>
      <c r="D811" t="s">
        <v>8905</v>
      </c>
      <c r="E811" s="5" t="s">
        <v>1532</v>
      </c>
      <c r="F811" s="6">
        <v>46029.629861111112</v>
      </c>
      <c r="G811" s="5" t="s">
        <v>7595</v>
      </c>
      <c r="H811" t="s">
        <v>7482</v>
      </c>
      <c r="I811" s="5" t="s">
        <v>1535</v>
      </c>
      <c r="J811" s="8">
        <v>94.8</v>
      </c>
      <c r="K811" s="5" t="s">
        <v>4</v>
      </c>
      <c r="L811">
        <f t="shared" si="12"/>
        <v>1</v>
      </c>
    </row>
    <row r="812" spans="1:12" x14ac:dyDescent="0.25">
      <c r="A812" s="5">
        <v>45860</v>
      </c>
      <c r="B812" t="s">
        <v>8903</v>
      </c>
      <c r="C812" s="5" t="s">
        <v>8904</v>
      </c>
      <c r="D812" t="s">
        <v>8905</v>
      </c>
      <c r="E812" s="5" t="s">
        <v>1532</v>
      </c>
      <c r="F812" s="6">
        <v>46029.631249999999</v>
      </c>
      <c r="G812" s="5" t="s">
        <v>7456</v>
      </c>
      <c r="H812" s="5" t="s">
        <v>8906</v>
      </c>
      <c r="I812" s="5" t="s">
        <v>1535</v>
      </c>
      <c r="J812" s="8">
        <v>185.8</v>
      </c>
      <c r="K812" s="5" t="s">
        <v>4</v>
      </c>
      <c r="L812">
        <f t="shared" si="12"/>
        <v>1</v>
      </c>
    </row>
    <row r="813" spans="1:12" x14ac:dyDescent="0.25">
      <c r="A813" s="5">
        <v>45862</v>
      </c>
      <c r="B813" t="s">
        <v>8907</v>
      </c>
      <c r="C813" s="5" t="s">
        <v>8908</v>
      </c>
      <c r="D813" t="s">
        <v>7644</v>
      </c>
      <c r="E813" s="5" t="s">
        <v>6368</v>
      </c>
      <c r="F813" s="6">
        <v>46029.631944444445</v>
      </c>
      <c r="G813" s="5" t="s">
        <v>7456</v>
      </c>
      <c r="H813" s="5" t="s">
        <v>8909</v>
      </c>
      <c r="I813" s="5" t="s">
        <v>1621</v>
      </c>
      <c r="J813" s="8">
        <v>70.209999999999994</v>
      </c>
      <c r="K813" s="5" t="s">
        <v>4</v>
      </c>
      <c r="L813">
        <f t="shared" si="12"/>
        <v>1</v>
      </c>
    </row>
    <row r="814" spans="1:12" x14ac:dyDescent="0.25">
      <c r="A814" s="5">
        <v>45863</v>
      </c>
      <c r="B814" t="s">
        <v>8910</v>
      </c>
      <c r="C814" s="5" t="s">
        <v>8911</v>
      </c>
      <c r="D814" t="s">
        <v>8912</v>
      </c>
      <c r="E814" s="5" t="s">
        <v>6088</v>
      </c>
      <c r="F814" s="6">
        <v>46029.648611111108</v>
      </c>
      <c r="G814" s="5" t="s">
        <v>7456</v>
      </c>
      <c r="H814" s="5" t="s">
        <v>8913</v>
      </c>
      <c r="I814" s="5" t="s">
        <v>1535</v>
      </c>
      <c r="J814" s="8">
        <v>89.2</v>
      </c>
      <c r="K814" s="5" t="s">
        <v>4</v>
      </c>
      <c r="L814">
        <f t="shared" si="12"/>
        <v>1</v>
      </c>
    </row>
    <row r="815" spans="1:12" x14ac:dyDescent="0.25">
      <c r="A815" s="5">
        <v>45864</v>
      </c>
      <c r="B815" t="s">
        <v>8914</v>
      </c>
      <c r="C815" s="5" t="s">
        <v>8915</v>
      </c>
      <c r="D815" t="s">
        <v>7644</v>
      </c>
      <c r="E815" s="5" t="s">
        <v>1813</v>
      </c>
      <c r="F815" s="6">
        <v>46029.65347222222</v>
      </c>
      <c r="G815" s="5" t="s">
        <v>7456</v>
      </c>
      <c r="H815" s="5" t="s">
        <v>8916</v>
      </c>
      <c r="I815" s="5" t="s">
        <v>1535</v>
      </c>
      <c r="J815" s="8">
        <v>217.7</v>
      </c>
      <c r="K815" s="5" t="s">
        <v>4</v>
      </c>
      <c r="L815">
        <f t="shared" si="12"/>
        <v>1</v>
      </c>
    </row>
    <row r="816" spans="1:12" x14ac:dyDescent="0.25">
      <c r="A816" s="5">
        <v>45866</v>
      </c>
      <c r="B816" t="s">
        <v>8917</v>
      </c>
      <c r="C816" s="5" t="s">
        <v>8918</v>
      </c>
      <c r="D816" t="s">
        <v>8919</v>
      </c>
      <c r="E816" s="5" t="s">
        <v>2381</v>
      </c>
      <c r="F816" s="6">
        <v>46029.659722222219</v>
      </c>
      <c r="G816" s="5" t="s">
        <v>7456</v>
      </c>
      <c r="H816" s="5" t="s">
        <v>8920</v>
      </c>
      <c r="I816" s="5" t="s">
        <v>1535</v>
      </c>
      <c r="J816" s="8">
        <v>769.9</v>
      </c>
      <c r="K816" s="5" t="s">
        <v>4</v>
      </c>
      <c r="L816">
        <f t="shared" si="12"/>
        <v>1</v>
      </c>
    </row>
    <row r="817" spans="1:12" x14ac:dyDescent="0.25">
      <c r="A817" s="5">
        <v>45867</v>
      </c>
      <c r="B817" t="s">
        <v>8921</v>
      </c>
      <c r="C817" s="5" t="s">
        <v>1363</v>
      </c>
      <c r="D817" t="s">
        <v>8922</v>
      </c>
      <c r="E817" s="5" t="s">
        <v>6352</v>
      </c>
      <c r="F817" s="6">
        <v>46029.651388888888</v>
      </c>
      <c r="G817" s="5" t="s">
        <v>7456</v>
      </c>
      <c r="H817" s="5" t="s">
        <v>8923</v>
      </c>
      <c r="I817" s="5" t="s">
        <v>1621</v>
      </c>
      <c r="J817" s="8">
        <v>71.52</v>
      </c>
      <c r="K817" s="5" t="s">
        <v>4</v>
      </c>
      <c r="L817">
        <f t="shared" si="12"/>
        <v>1</v>
      </c>
    </row>
    <row r="818" spans="1:12" x14ac:dyDescent="0.25">
      <c r="A818" s="5">
        <v>45868</v>
      </c>
      <c r="B818" t="s">
        <v>8924</v>
      </c>
      <c r="C818" s="5" t="s">
        <v>1183</v>
      </c>
      <c r="D818" t="s">
        <v>8925</v>
      </c>
      <c r="E818" s="5" t="s">
        <v>6187</v>
      </c>
      <c r="F818" s="6">
        <v>46029.665972222225</v>
      </c>
      <c r="G818" s="5" t="s">
        <v>7456</v>
      </c>
      <c r="H818" s="5" t="s">
        <v>8926</v>
      </c>
      <c r="I818" s="5" t="s">
        <v>1621</v>
      </c>
      <c r="J818" s="8">
        <v>81.569999999999993</v>
      </c>
      <c r="K818" s="5" t="s">
        <v>4</v>
      </c>
      <c r="L818">
        <f t="shared" si="12"/>
        <v>1</v>
      </c>
    </row>
    <row r="819" spans="1:12" x14ac:dyDescent="0.25">
      <c r="A819" s="5">
        <v>45869</v>
      </c>
      <c r="B819" t="s">
        <v>8927</v>
      </c>
      <c r="C819" s="5" t="s">
        <v>1224</v>
      </c>
      <c r="D819" t="s">
        <v>8928</v>
      </c>
      <c r="E819" s="5" t="s">
        <v>3816</v>
      </c>
      <c r="F819" s="6">
        <v>46029.677777777775</v>
      </c>
      <c r="G819" s="5" t="s">
        <v>7456</v>
      </c>
      <c r="H819" s="5" t="s">
        <v>8929</v>
      </c>
      <c r="I819" s="5" t="s">
        <v>1621</v>
      </c>
      <c r="J819" s="8">
        <v>282.01</v>
      </c>
      <c r="K819" s="5" t="s">
        <v>4</v>
      </c>
      <c r="L819">
        <f t="shared" si="12"/>
        <v>1</v>
      </c>
    </row>
    <row r="820" spans="1:12" x14ac:dyDescent="0.25">
      <c r="A820" s="5">
        <v>45870</v>
      </c>
      <c r="B820" t="s">
        <v>8930</v>
      </c>
      <c r="C820" s="5" t="s">
        <v>684</v>
      </c>
      <c r="D820" t="s">
        <v>8931</v>
      </c>
      <c r="E820" s="5" t="s">
        <v>4029</v>
      </c>
      <c r="F820" s="6">
        <v>46029.68472222222</v>
      </c>
      <c r="G820" s="5" t="s">
        <v>7456</v>
      </c>
      <c r="H820" s="5" t="s">
        <v>8932</v>
      </c>
      <c r="I820" s="5" t="s">
        <v>1621</v>
      </c>
      <c r="J820" s="8">
        <v>253.16</v>
      </c>
      <c r="K820" s="5" t="s">
        <v>4</v>
      </c>
      <c r="L820">
        <f t="shared" si="12"/>
        <v>1</v>
      </c>
    </row>
    <row r="821" spans="1:12" x14ac:dyDescent="0.25">
      <c r="A821" s="5">
        <v>45872</v>
      </c>
      <c r="B821" t="s">
        <v>8933</v>
      </c>
      <c r="C821" s="5" t="s">
        <v>1092</v>
      </c>
      <c r="D821" t="s">
        <v>8934</v>
      </c>
      <c r="E821" s="5" t="s">
        <v>1548</v>
      </c>
      <c r="F821" s="6">
        <v>46029.720833333333</v>
      </c>
      <c r="G821" s="5" t="s">
        <v>7456</v>
      </c>
      <c r="H821" s="5" t="s">
        <v>8935</v>
      </c>
      <c r="I821" s="5" t="s">
        <v>1535</v>
      </c>
      <c r="J821" s="8">
        <v>95.6</v>
      </c>
      <c r="K821" s="5" t="s">
        <v>4</v>
      </c>
      <c r="L821">
        <f t="shared" si="12"/>
        <v>1</v>
      </c>
    </row>
    <row r="822" spans="1:12" x14ac:dyDescent="0.25">
      <c r="A822" s="5">
        <v>45874</v>
      </c>
      <c r="B822" t="s">
        <v>8936</v>
      </c>
      <c r="C822" s="5" t="s">
        <v>8937</v>
      </c>
      <c r="D822" t="s">
        <v>8938</v>
      </c>
      <c r="E822" s="5" t="s">
        <v>1548</v>
      </c>
      <c r="F822" s="6">
        <v>46030.345138888886</v>
      </c>
      <c r="G822" s="5" t="s">
        <v>7456</v>
      </c>
      <c r="H822" s="5" t="s">
        <v>8939</v>
      </c>
      <c r="I822" s="5" t="s">
        <v>1621</v>
      </c>
      <c r="J822" s="8">
        <v>0</v>
      </c>
      <c r="K822" s="5" t="s">
        <v>4</v>
      </c>
      <c r="L822">
        <f t="shared" si="12"/>
        <v>1</v>
      </c>
    </row>
    <row r="823" spans="1:12" x14ac:dyDescent="0.25">
      <c r="A823" s="5">
        <v>45876</v>
      </c>
      <c r="B823" t="s">
        <v>8940</v>
      </c>
      <c r="C823" s="5" t="s">
        <v>8941</v>
      </c>
      <c r="D823" t="s">
        <v>8942</v>
      </c>
      <c r="E823" s="5" t="s">
        <v>1548</v>
      </c>
      <c r="F823" s="6">
        <v>46030.364583333336</v>
      </c>
      <c r="G823" s="5" t="s">
        <v>7456</v>
      </c>
      <c r="H823" s="5" t="s">
        <v>8943</v>
      </c>
      <c r="I823" s="5" t="s">
        <v>1564</v>
      </c>
      <c r="J823" s="8">
        <v>622.5</v>
      </c>
      <c r="K823" s="5" t="s">
        <v>4</v>
      </c>
      <c r="L823">
        <f t="shared" si="12"/>
        <v>1</v>
      </c>
    </row>
    <row r="824" spans="1:12" x14ac:dyDescent="0.25">
      <c r="A824" s="5">
        <v>45877</v>
      </c>
      <c r="B824" t="s">
        <v>8944</v>
      </c>
      <c r="C824" s="5" t="s">
        <v>8945</v>
      </c>
      <c r="D824" t="s">
        <v>8946</v>
      </c>
      <c r="E824" s="5" t="s">
        <v>1813</v>
      </c>
      <c r="F824" s="6">
        <v>46030.370138888888</v>
      </c>
      <c r="G824" s="5" t="s">
        <v>7595</v>
      </c>
      <c r="H824" t="s">
        <v>7482</v>
      </c>
      <c r="I824" s="5" t="s">
        <v>1535</v>
      </c>
      <c r="J824" s="8">
        <v>3403.8</v>
      </c>
      <c r="K824" s="5" t="s">
        <v>4</v>
      </c>
      <c r="L824">
        <f t="shared" si="12"/>
        <v>1</v>
      </c>
    </row>
    <row r="825" spans="1:12" x14ac:dyDescent="0.25">
      <c r="A825" s="5">
        <v>45878</v>
      </c>
      <c r="B825" t="s">
        <v>8947</v>
      </c>
      <c r="C825" s="5" t="s">
        <v>8948</v>
      </c>
      <c r="D825" t="s">
        <v>8949</v>
      </c>
      <c r="E825" s="5" t="s">
        <v>1813</v>
      </c>
      <c r="F825" s="6">
        <v>46030.392361111109</v>
      </c>
      <c r="G825" s="5" t="s">
        <v>7595</v>
      </c>
      <c r="H825" t="s">
        <v>7482</v>
      </c>
      <c r="I825" s="5" t="s">
        <v>1535</v>
      </c>
      <c r="J825" s="8">
        <v>314</v>
      </c>
      <c r="K825" s="5" t="s">
        <v>4</v>
      </c>
      <c r="L825">
        <f t="shared" si="12"/>
        <v>1</v>
      </c>
    </row>
    <row r="826" spans="1:12" x14ac:dyDescent="0.25">
      <c r="A826" s="5">
        <v>45881</v>
      </c>
      <c r="B826" t="s">
        <v>8950</v>
      </c>
      <c r="C826" s="5" t="s">
        <v>8951</v>
      </c>
      <c r="D826" t="s">
        <v>8952</v>
      </c>
      <c r="E826" s="5" t="s">
        <v>1548</v>
      </c>
      <c r="F826" s="6">
        <v>46030.440972222219</v>
      </c>
      <c r="G826" s="5" t="s">
        <v>7456</v>
      </c>
      <c r="H826" s="5" t="s">
        <v>8953</v>
      </c>
      <c r="I826" s="5" t="s">
        <v>1564</v>
      </c>
      <c r="J826" s="8">
        <v>175</v>
      </c>
      <c r="K826" s="5" t="s">
        <v>4</v>
      </c>
      <c r="L826">
        <f t="shared" si="12"/>
        <v>1</v>
      </c>
    </row>
    <row r="827" spans="1:12" x14ac:dyDescent="0.25">
      <c r="A827" s="5">
        <v>45884</v>
      </c>
      <c r="B827" t="s">
        <v>8954</v>
      </c>
      <c r="C827" s="5" t="s">
        <v>8955</v>
      </c>
      <c r="D827" t="s">
        <v>8956</v>
      </c>
      <c r="E827" s="5" t="s">
        <v>1548</v>
      </c>
      <c r="F827" s="6">
        <v>46030.518750000003</v>
      </c>
      <c r="G827" s="5" t="s">
        <v>7456</v>
      </c>
      <c r="H827" s="5" t="s">
        <v>8957</v>
      </c>
      <c r="I827" s="5" t="s">
        <v>1564</v>
      </c>
      <c r="J827" s="8">
        <v>580.84</v>
      </c>
      <c r="K827" s="5" t="s">
        <v>4</v>
      </c>
      <c r="L827">
        <f t="shared" si="12"/>
        <v>1</v>
      </c>
    </row>
    <row r="828" spans="1:12" x14ac:dyDescent="0.25">
      <c r="A828" s="5">
        <v>45885</v>
      </c>
      <c r="B828" t="s">
        <v>8958</v>
      </c>
      <c r="C828" s="5" t="s">
        <v>8959</v>
      </c>
      <c r="D828" t="s">
        <v>8960</v>
      </c>
      <c r="E828" s="5" t="s">
        <v>1548</v>
      </c>
      <c r="F828" s="6">
        <v>46030.521527777775</v>
      </c>
      <c r="G828" s="5" t="s">
        <v>7456</v>
      </c>
      <c r="H828" t="s">
        <v>7482</v>
      </c>
      <c r="I828" s="5" t="s">
        <v>1564</v>
      </c>
      <c r="J828" s="8">
        <v>155</v>
      </c>
      <c r="K828" s="5" t="s">
        <v>4</v>
      </c>
      <c r="L828">
        <f t="shared" si="12"/>
        <v>1</v>
      </c>
    </row>
    <row r="829" spans="1:12" x14ac:dyDescent="0.25">
      <c r="A829" s="5">
        <v>45886</v>
      </c>
      <c r="B829" t="s">
        <v>8961</v>
      </c>
      <c r="C829" s="5" t="s">
        <v>8962</v>
      </c>
      <c r="D829" t="s">
        <v>8963</v>
      </c>
      <c r="E829" s="5" t="s">
        <v>1548</v>
      </c>
      <c r="F829" s="6">
        <v>46030.539583333331</v>
      </c>
      <c r="G829" s="5" t="s">
        <v>7456</v>
      </c>
      <c r="H829" s="5" t="s">
        <v>8964</v>
      </c>
      <c r="I829" s="5" t="s">
        <v>1564</v>
      </c>
      <c r="J829" s="8">
        <v>841.15</v>
      </c>
      <c r="K829" s="5" t="s">
        <v>4</v>
      </c>
      <c r="L829">
        <f t="shared" si="12"/>
        <v>1</v>
      </c>
    </row>
    <row r="830" spans="1:12" x14ac:dyDescent="0.25">
      <c r="A830" s="5">
        <v>45891</v>
      </c>
      <c r="B830" t="s">
        <v>8965</v>
      </c>
      <c r="C830" s="5" t="s">
        <v>8082</v>
      </c>
      <c r="D830" t="s">
        <v>8966</v>
      </c>
      <c r="E830" s="5" t="s">
        <v>6896</v>
      </c>
      <c r="F830" s="6">
        <v>46030.612500000003</v>
      </c>
      <c r="G830" s="5" t="s">
        <v>7456</v>
      </c>
      <c r="H830" s="5" t="s">
        <v>8967</v>
      </c>
      <c r="I830" s="5" t="s">
        <v>1535</v>
      </c>
      <c r="J830" s="8">
        <v>40</v>
      </c>
      <c r="K830" s="5" t="s">
        <v>4</v>
      </c>
      <c r="L830">
        <f t="shared" si="12"/>
        <v>1</v>
      </c>
    </row>
    <row r="831" spans="1:12" x14ac:dyDescent="0.25">
      <c r="A831" s="5">
        <v>45892</v>
      </c>
      <c r="B831" t="s">
        <v>8968</v>
      </c>
      <c r="C831" s="5" t="s">
        <v>8969</v>
      </c>
      <c r="D831" t="s">
        <v>8970</v>
      </c>
      <c r="E831" s="5" t="s">
        <v>6720</v>
      </c>
      <c r="F831" s="6">
        <v>46030.613888888889</v>
      </c>
      <c r="G831" s="5" t="s">
        <v>7456</v>
      </c>
      <c r="H831" s="5" t="s">
        <v>8971</v>
      </c>
      <c r="I831" s="5" t="s">
        <v>1621</v>
      </c>
      <c r="J831" s="8">
        <v>51.36</v>
      </c>
      <c r="K831" s="5" t="s">
        <v>4</v>
      </c>
      <c r="L831">
        <f t="shared" si="12"/>
        <v>1</v>
      </c>
    </row>
    <row r="832" spans="1:12" x14ac:dyDescent="0.25">
      <c r="A832" s="5">
        <v>45893</v>
      </c>
      <c r="B832" t="s">
        <v>8917</v>
      </c>
      <c r="C832" s="5" t="s">
        <v>8918</v>
      </c>
      <c r="D832" t="s">
        <v>8919</v>
      </c>
      <c r="E832" s="5" t="s">
        <v>1786</v>
      </c>
      <c r="F832" s="6">
        <v>46030.618055555555</v>
      </c>
      <c r="G832" s="5" t="s">
        <v>7456</v>
      </c>
      <c r="H832" s="5" t="s">
        <v>8972</v>
      </c>
      <c r="I832" s="5" t="s">
        <v>1535</v>
      </c>
      <c r="J832" s="8">
        <v>2130</v>
      </c>
      <c r="K832" s="5" t="s">
        <v>4</v>
      </c>
      <c r="L832">
        <f t="shared" si="12"/>
        <v>1</v>
      </c>
    </row>
    <row r="833" spans="1:12" x14ac:dyDescent="0.25">
      <c r="A833" s="5">
        <v>45894</v>
      </c>
      <c r="B833" t="s">
        <v>8973</v>
      </c>
      <c r="C833" s="5" t="s">
        <v>7516</v>
      </c>
      <c r="D833" t="s">
        <v>8974</v>
      </c>
      <c r="E833" s="5" t="s">
        <v>5363</v>
      </c>
      <c r="F833" s="6">
        <v>46030.619444444441</v>
      </c>
      <c r="G833" s="5" t="s">
        <v>7456</v>
      </c>
      <c r="H833" s="5" t="s">
        <v>8975</v>
      </c>
      <c r="I833" s="5" t="s">
        <v>1621</v>
      </c>
      <c r="J833" s="8">
        <v>133.16999999999999</v>
      </c>
      <c r="K833" s="5" t="s">
        <v>4</v>
      </c>
      <c r="L833">
        <f t="shared" si="12"/>
        <v>1</v>
      </c>
    </row>
    <row r="834" spans="1:12" x14ac:dyDescent="0.25">
      <c r="A834" s="5">
        <v>45895</v>
      </c>
      <c r="B834" t="s">
        <v>8976</v>
      </c>
      <c r="C834" s="5" t="s">
        <v>8977</v>
      </c>
      <c r="D834" t="s">
        <v>7644</v>
      </c>
      <c r="E834" s="5" t="s">
        <v>1548</v>
      </c>
      <c r="F834" s="6">
        <v>46030.635416666664</v>
      </c>
      <c r="G834" s="5" t="s">
        <v>7595</v>
      </c>
      <c r="H834" t="s">
        <v>7482</v>
      </c>
      <c r="I834" s="5" t="s">
        <v>1535</v>
      </c>
      <c r="J834" s="8">
        <v>8011.25</v>
      </c>
      <c r="K834" s="5" t="s">
        <v>4</v>
      </c>
      <c r="L834">
        <f t="shared" si="12"/>
        <v>1</v>
      </c>
    </row>
    <row r="835" spans="1:12" x14ac:dyDescent="0.25">
      <c r="A835" s="5">
        <v>45896</v>
      </c>
      <c r="B835" t="s">
        <v>8978</v>
      </c>
      <c r="C835" s="5" t="s">
        <v>8979</v>
      </c>
      <c r="D835" t="s">
        <v>8980</v>
      </c>
      <c r="E835" s="5" t="s">
        <v>6809</v>
      </c>
      <c r="F835" s="6">
        <v>46030.640277777777</v>
      </c>
      <c r="G835" s="5" t="s">
        <v>7456</v>
      </c>
      <c r="H835" s="5" t="s">
        <v>8981</v>
      </c>
      <c r="I835" s="5" t="s">
        <v>1621</v>
      </c>
      <c r="J835" s="8">
        <v>43.69</v>
      </c>
      <c r="K835" s="5" t="s">
        <v>4</v>
      </c>
      <c r="L835">
        <f t="shared" ref="L835:L898" si="13">MONTH(F835)</f>
        <v>1</v>
      </c>
    </row>
    <row r="836" spans="1:12" x14ac:dyDescent="0.25">
      <c r="A836" s="5">
        <v>45897</v>
      </c>
      <c r="B836" t="s">
        <v>8982</v>
      </c>
      <c r="C836" s="5" t="s">
        <v>8983</v>
      </c>
      <c r="D836" t="s">
        <v>8984</v>
      </c>
      <c r="E836" s="5" t="s">
        <v>1548</v>
      </c>
      <c r="F836" s="6">
        <v>46030.647222222222</v>
      </c>
      <c r="G836" s="5" t="s">
        <v>7456</v>
      </c>
      <c r="H836" s="5" t="s">
        <v>8985</v>
      </c>
      <c r="I836" s="5" t="s">
        <v>1564</v>
      </c>
      <c r="J836" s="8">
        <v>152</v>
      </c>
      <c r="K836" s="5" t="s">
        <v>4</v>
      </c>
      <c r="L836">
        <f t="shared" si="13"/>
        <v>1</v>
      </c>
    </row>
    <row r="837" spans="1:12" x14ac:dyDescent="0.25">
      <c r="A837" s="5">
        <v>45898</v>
      </c>
      <c r="B837" t="s">
        <v>8986</v>
      </c>
      <c r="C837" s="5" t="s">
        <v>8987</v>
      </c>
      <c r="D837" t="s">
        <v>8988</v>
      </c>
      <c r="E837" s="5" t="s">
        <v>6361</v>
      </c>
      <c r="F837" s="6">
        <v>46030.648611111108</v>
      </c>
      <c r="G837" s="5" t="s">
        <v>7456</v>
      </c>
      <c r="H837" s="5" t="s">
        <v>8989</v>
      </c>
      <c r="I837" s="5" t="s">
        <v>1621</v>
      </c>
      <c r="J837" s="8">
        <v>71.12</v>
      </c>
      <c r="K837" s="5" t="s">
        <v>4</v>
      </c>
      <c r="L837">
        <f t="shared" si="13"/>
        <v>1</v>
      </c>
    </row>
    <row r="838" spans="1:12" x14ac:dyDescent="0.25">
      <c r="A838" s="5">
        <v>45899</v>
      </c>
      <c r="B838" t="s">
        <v>8990</v>
      </c>
      <c r="C838" s="5" t="s">
        <v>8991</v>
      </c>
      <c r="D838" t="s">
        <v>8992</v>
      </c>
      <c r="E838" s="5" t="s">
        <v>1548</v>
      </c>
      <c r="F838" s="6">
        <v>46030.678472222222</v>
      </c>
      <c r="G838" s="5" t="s">
        <v>7456</v>
      </c>
      <c r="H838" s="5" t="s">
        <v>8993</v>
      </c>
      <c r="I838" s="5" t="s">
        <v>1564</v>
      </c>
      <c r="J838" s="8">
        <v>410</v>
      </c>
      <c r="K838" s="5" t="s">
        <v>4</v>
      </c>
      <c r="L838">
        <f t="shared" si="13"/>
        <v>1</v>
      </c>
    </row>
    <row r="839" spans="1:12" x14ac:dyDescent="0.25">
      <c r="A839" s="5">
        <v>45900</v>
      </c>
      <c r="B839" t="s">
        <v>8994</v>
      </c>
      <c r="C839" s="5" t="s">
        <v>1240</v>
      </c>
      <c r="D839" t="s">
        <v>8995</v>
      </c>
      <c r="E839" s="5" t="s">
        <v>7107</v>
      </c>
      <c r="F839" s="6">
        <v>46030.676388888889</v>
      </c>
      <c r="G839" s="5" t="s">
        <v>7456</v>
      </c>
      <c r="H839" s="5" t="s">
        <v>8996</v>
      </c>
      <c r="I839" s="5" t="s">
        <v>1621</v>
      </c>
      <c r="J839" s="8">
        <v>29.83</v>
      </c>
      <c r="K839" s="5" t="s">
        <v>4</v>
      </c>
      <c r="L839">
        <f t="shared" si="13"/>
        <v>1</v>
      </c>
    </row>
    <row r="840" spans="1:12" x14ac:dyDescent="0.25">
      <c r="A840" s="5">
        <v>45901</v>
      </c>
      <c r="B840" t="s">
        <v>8997</v>
      </c>
      <c r="C840" s="5" t="s">
        <v>8998</v>
      </c>
      <c r="D840" t="s">
        <v>7644</v>
      </c>
      <c r="E840" s="5" t="s">
        <v>6460</v>
      </c>
      <c r="F840" s="6">
        <v>46030.686111111114</v>
      </c>
      <c r="G840" s="5" t="s">
        <v>7456</v>
      </c>
      <c r="H840" s="5" t="s">
        <v>8999</v>
      </c>
      <c r="I840" s="5" t="s">
        <v>1621</v>
      </c>
      <c r="J840" s="8">
        <v>64.989999999999995</v>
      </c>
      <c r="K840" s="5" t="s">
        <v>4</v>
      </c>
      <c r="L840">
        <f t="shared" si="13"/>
        <v>1</v>
      </c>
    </row>
    <row r="841" spans="1:12" x14ac:dyDescent="0.25">
      <c r="A841" s="5">
        <v>45902</v>
      </c>
      <c r="B841" t="s">
        <v>9000</v>
      </c>
      <c r="C841" s="5" t="s">
        <v>9001</v>
      </c>
      <c r="D841" t="s">
        <v>9002</v>
      </c>
      <c r="E841" s="5" t="s">
        <v>1548</v>
      </c>
      <c r="F841" s="6">
        <v>46030.738194444442</v>
      </c>
      <c r="G841" s="5" t="s">
        <v>7456</v>
      </c>
      <c r="H841" t="s">
        <v>7482</v>
      </c>
      <c r="I841" s="5" t="s">
        <v>1564</v>
      </c>
      <c r="J841" s="8">
        <v>1938</v>
      </c>
      <c r="K841" s="5" t="s">
        <v>4</v>
      </c>
      <c r="L841">
        <f t="shared" si="13"/>
        <v>1</v>
      </c>
    </row>
    <row r="842" spans="1:12" x14ac:dyDescent="0.25">
      <c r="A842" s="5">
        <v>45903</v>
      </c>
      <c r="B842" t="s">
        <v>9003</v>
      </c>
      <c r="C842" s="5" t="s">
        <v>9004</v>
      </c>
      <c r="D842" t="s">
        <v>9005</v>
      </c>
      <c r="E842" s="5" t="s">
        <v>1548</v>
      </c>
      <c r="F842" s="6">
        <v>46031.355555555558</v>
      </c>
      <c r="G842" s="5" t="s">
        <v>7456</v>
      </c>
      <c r="H842" s="5" t="s">
        <v>9006</v>
      </c>
      <c r="I842" s="5" t="s">
        <v>1564</v>
      </c>
      <c r="J842" s="8">
        <v>75</v>
      </c>
      <c r="K842" s="5" t="s">
        <v>4</v>
      </c>
      <c r="L842">
        <f t="shared" si="13"/>
        <v>1</v>
      </c>
    </row>
    <row r="843" spans="1:12" x14ac:dyDescent="0.25">
      <c r="A843" s="5">
        <v>45904</v>
      </c>
      <c r="B843" t="s">
        <v>9007</v>
      </c>
      <c r="C843" s="5" t="s">
        <v>9008</v>
      </c>
      <c r="D843" t="s">
        <v>9009</v>
      </c>
      <c r="E843" s="5" t="s">
        <v>1548</v>
      </c>
      <c r="F843" s="6">
        <v>46031.366666666669</v>
      </c>
      <c r="G843" s="5" t="s">
        <v>7456</v>
      </c>
      <c r="H843" s="5" t="s">
        <v>9010</v>
      </c>
      <c r="I843" s="5" t="s">
        <v>1564</v>
      </c>
      <c r="J843" s="8">
        <v>105</v>
      </c>
      <c r="K843" s="5" t="s">
        <v>4</v>
      </c>
      <c r="L843">
        <f t="shared" si="13"/>
        <v>1</v>
      </c>
    </row>
    <row r="844" spans="1:12" x14ac:dyDescent="0.25">
      <c r="A844" s="5">
        <v>45905</v>
      </c>
      <c r="B844" t="s">
        <v>9011</v>
      </c>
      <c r="C844" s="5" t="s">
        <v>9012</v>
      </c>
      <c r="D844" t="s">
        <v>9013</v>
      </c>
      <c r="E844" s="5" t="s">
        <v>1548</v>
      </c>
      <c r="F844" s="6">
        <v>46031.381249999999</v>
      </c>
      <c r="G844" s="5" t="s">
        <v>7456</v>
      </c>
      <c r="H844" s="5" t="s">
        <v>9014</v>
      </c>
      <c r="I844" s="5" t="s">
        <v>1564</v>
      </c>
      <c r="J844" s="8">
        <v>644</v>
      </c>
      <c r="K844" s="5" t="s">
        <v>4</v>
      </c>
      <c r="L844">
        <f t="shared" si="13"/>
        <v>1</v>
      </c>
    </row>
    <row r="845" spans="1:12" x14ac:dyDescent="0.25">
      <c r="A845" s="5">
        <v>45906</v>
      </c>
      <c r="B845" t="s">
        <v>9015</v>
      </c>
      <c r="C845" s="5" t="s">
        <v>9016</v>
      </c>
      <c r="D845" t="s">
        <v>9017</v>
      </c>
      <c r="E845" s="5" t="s">
        <v>3301</v>
      </c>
      <c r="F845" s="6">
        <v>46031.39166666667</v>
      </c>
      <c r="G845" s="5" t="s">
        <v>7456</v>
      </c>
      <c r="H845" s="5" t="s">
        <v>9018</v>
      </c>
      <c r="I845" s="5" t="s">
        <v>1535</v>
      </c>
      <c r="J845" s="8">
        <v>362</v>
      </c>
      <c r="K845" s="5" t="s">
        <v>4</v>
      </c>
      <c r="L845">
        <f t="shared" si="13"/>
        <v>1</v>
      </c>
    </row>
    <row r="846" spans="1:12" x14ac:dyDescent="0.25">
      <c r="A846" s="5">
        <v>45907</v>
      </c>
      <c r="B846" t="s">
        <v>9019</v>
      </c>
      <c r="C846" s="5" t="s">
        <v>9020</v>
      </c>
      <c r="D846" t="s">
        <v>9021</v>
      </c>
      <c r="E846" s="5" t="s">
        <v>1548</v>
      </c>
      <c r="F846" s="6">
        <v>46031.409722222219</v>
      </c>
      <c r="G846" s="5" t="s">
        <v>7456</v>
      </c>
      <c r="H846" s="5" t="s">
        <v>9022</v>
      </c>
      <c r="I846" s="5" t="s">
        <v>1564</v>
      </c>
      <c r="J846" s="8">
        <v>150.80000000000001</v>
      </c>
      <c r="K846" s="5" t="s">
        <v>4</v>
      </c>
      <c r="L846">
        <f t="shared" si="13"/>
        <v>1</v>
      </c>
    </row>
    <row r="847" spans="1:12" x14ac:dyDescent="0.25">
      <c r="A847" s="5">
        <v>45908</v>
      </c>
      <c r="B847" t="s">
        <v>9023</v>
      </c>
      <c r="C847" s="5" t="s">
        <v>9024</v>
      </c>
      <c r="D847" t="s">
        <v>9025</v>
      </c>
      <c r="E847" s="5" t="s">
        <v>9026</v>
      </c>
      <c r="F847" s="6">
        <v>46031.411111111112</v>
      </c>
      <c r="G847" s="5" t="s">
        <v>7456</v>
      </c>
      <c r="H847" s="5" t="s">
        <v>9027</v>
      </c>
      <c r="I847" s="5" t="s">
        <v>1621</v>
      </c>
      <c r="J847" s="8">
        <v>0</v>
      </c>
      <c r="K847" s="5" t="s">
        <v>4</v>
      </c>
      <c r="L847">
        <f t="shared" si="13"/>
        <v>1</v>
      </c>
    </row>
    <row r="848" spans="1:12" x14ac:dyDescent="0.25">
      <c r="A848" s="5">
        <v>45909</v>
      </c>
      <c r="B848" t="s">
        <v>9028</v>
      </c>
      <c r="C848" s="5" t="s">
        <v>8360</v>
      </c>
      <c r="D848" t="s">
        <v>9029</v>
      </c>
      <c r="E848" s="5" t="s">
        <v>1548</v>
      </c>
      <c r="F848" s="6">
        <v>46031.429166666669</v>
      </c>
      <c r="G848" s="5" t="s">
        <v>7456</v>
      </c>
      <c r="H848" s="5" t="s">
        <v>9030</v>
      </c>
      <c r="I848" s="5" t="s">
        <v>1564</v>
      </c>
      <c r="J848" s="8">
        <v>2698.7</v>
      </c>
      <c r="K848" s="5" t="s">
        <v>4</v>
      </c>
      <c r="L848">
        <f t="shared" si="13"/>
        <v>1</v>
      </c>
    </row>
    <row r="849" spans="1:12" x14ac:dyDescent="0.25">
      <c r="A849" s="5">
        <v>45911</v>
      </c>
      <c r="B849" t="s">
        <v>9031</v>
      </c>
      <c r="C849" s="5" t="s">
        <v>9032</v>
      </c>
      <c r="D849" t="s">
        <v>9033</v>
      </c>
      <c r="E849" s="5" t="s">
        <v>1759</v>
      </c>
      <c r="F849" s="6">
        <v>46031.508333333331</v>
      </c>
      <c r="G849" s="5" t="s">
        <v>7456</v>
      </c>
      <c r="H849" s="5" t="s">
        <v>9034</v>
      </c>
      <c r="I849" s="5" t="s">
        <v>1564</v>
      </c>
      <c r="J849" s="8">
        <v>1001.15</v>
      </c>
      <c r="K849" s="5" t="s">
        <v>4</v>
      </c>
      <c r="L849">
        <f t="shared" si="13"/>
        <v>1</v>
      </c>
    </row>
    <row r="850" spans="1:12" x14ac:dyDescent="0.25">
      <c r="A850" s="5">
        <v>45912</v>
      </c>
      <c r="B850" t="s">
        <v>9035</v>
      </c>
      <c r="C850" s="5" t="s">
        <v>9036</v>
      </c>
      <c r="D850" t="s">
        <v>9037</v>
      </c>
      <c r="E850" s="5" t="s">
        <v>2875</v>
      </c>
      <c r="F850" s="6">
        <v>46031.567361111112</v>
      </c>
      <c r="G850" s="5" t="s">
        <v>7595</v>
      </c>
      <c r="H850" t="s">
        <v>7482</v>
      </c>
      <c r="I850" s="5" t="s">
        <v>1535</v>
      </c>
      <c r="J850" s="8">
        <v>7515</v>
      </c>
      <c r="K850" s="5" t="s">
        <v>4</v>
      </c>
      <c r="L850">
        <f t="shared" si="13"/>
        <v>1</v>
      </c>
    </row>
    <row r="851" spans="1:12" x14ac:dyDescent="0.25">
      <c r="A851" s="5">
        <v>45913</v>
      </c>
      <c r="B851" t="s">
        <v>9038</v>
      </c>
      <c r="C851" s="5" t="s">
        <v>9039</v>
      </c>
      <c r="D851" t="s">
        <v>9040</v>
      </c>
      <c r="E851" s="5" t="s">
        <v>1813</v>
      </c>
      <c r="F851" s="6">
        <v>46031.57708333333</v>
      </c>
      <c r="G851" s="5" t="s">
        <v>7456</v>
      </c>
      <c r="H851" s="5" t="s">
        <v>9041</v>
      </c>
      <c r="I851" s="5" t="s">
        <v>1535</v>
      </c>
      <c r="J851" s="8">
        <v>170.5</v>
      </c>
      <c r="K851" s="5" t="s">
        <v>4</v>
      </c>
      <c r="L851">
        <f t="shared" si="13"/>
        <v>1</v>
      </c>
    </row>
    <row r="852" spans="1:12" x14ac:dyDescent="0.25">
      <c r="A852" s="5">
        <v>45914</v>
      </c>
      <c r="B852" t="s">
        <v>9042</v>
      </c>
      <c r="C852" s="5" t="s">
        <v>9043</v>
      </c>
      <c r="D852" t="s">
        <v>9044</v>
      </c>
      <c r="E852" s="5" t="s">
        <v>1548</v>
      </c>
      <c r="F852" s="6">
        <v>46031.592361111114</v>
      </c>
      <c r="G852" s="5" t="s">
        <v>7456</v>
      </c>
      <c r="H852" s="5" t="s">
        <v>9045</v>
      </c>
      <c r="I852" s="5" t="s">
        <v>1535</v>
      </c>
      <c r="J852" s="8">
        <v>260.5</v>
      </c>
      <c r="K852" s="5" t="s">
        <v>4</v>
      </c>
      <c r="L852">
        <f t="shared" si="13"/>
        <v>1</v>
      </c>
    </row>
    <row r="853" spans="1:12" x14ac:dyDescent="0.25">
      <c r="A853" s="5">
        <v>45915</v>
      </c>
      <c r="B853" t="s">
        <v>9046</v>
      </c>
      <c r="C853" s="5" t="s">
        <v>300</v>
      </c>
      <c r="D853" t="s">
        <v>9047</v>
      </c>
      <c r="E853" s="5" t="s">
        <v>1548</v>
      </c>
      <c r="F853" s="6">
        <v>46031.613194444442</v>
      </c>
      <c r="G853" s="5" t="s">
        <v>7456</v>
      </c>
      <c r="H853" s="5" t="s">
        <v>9048</v>
      </c>
      <c r="I853" s="5" t="s">
        <v>1564</v>
      </c>
      <c r="J853" s="8">
        <v>244.86</v>
      </c>
      <c r="K853" s="5" t="s">
        <v>4</v>
      </c>
      <c r="L853">
        <f t="shared" si="13"/>
        <v>1</v>
      </c>
    </row>
    <row r="854" spans="1:12" x14ac:dyDescent="0.25">
      <c r="A854" s="5">
        <v>45916</v>
      </c>
      <c r="B854" t="s">
        <v>9049</v>
      </c>
      <c r="C854" s="5" t="s">
        <v>9050</v>
      </c>
      <c r="D854" t="s">
        <v>9051</v>
      </c>
      <c r="E854" s="5" t="s">
        <v>6636</v>
      </c>
      <c r="F854" s="6">
        <v>46031.618750000001</v>
      </c>
      <c r="G854" s="5" t="s">
        <v>7456</v>
      </c>
      <c r="H854" s="5" t="s">
        <v>9052</v>
      </c>
      <c r="I854" s="5" t="s">
        <v>1621</v>
      </c>
      <c r="J854" s="8">
        <v>53.89</v>
      </c>
      <c r="K854" s="5" t="s">
        <v>4</v>
      </c>
      <c r="L854">
        <f t="shared" si="13"/>
        <v>1</v>
      </c>
    </row>
    <row r="855" spans="1:12" x14ac:dyDescent="0.25">
      <c r="A855" s="5">
        <v>45917</v>
      </c>
      <c r="B855" t="s">
        <v>9053</v>
      </c>
      <c r="C855" s="5" t="s">
        <v>9054</v>
      </c>
      <c r="D855" t="s">
        <v>9055</v>
      </c>
      <c r="E855" s="5" t="s">
        <v>3970</v>
      </c>
      <c r="F855" s="6">
        <v>46031.623611111114</v>
      </c>
      <c r="G855" s="5" t="s">
        <v>7456</v>
      </c>
      <c r="H855" s="5" t="s">
        <v>9056</v>
      </c>
      <c r="I855" s="5" t="s">
        <v>1621</v>
      </c>
      <c r="J855" s="8">
        <v>260.10000000000002</v>
      </c>
      <c r="K855" s="5" t="s">
        <v>4</v>
      </c>
      <c r="L855">
        <f t="shared" si="13"/>
        <v>1</v>
      </c>
    </row>
    <row r="856" spans="1:12" x14ac:dyDescent="0.25">
      <c r="A856" s="5">
        <v>45918</v>
      </c>
      <c r="B856" t="s">
        <v>9057</v>
      </c>
      <c r="C856" s="5" t="s">
        <v>993</v>
      </c>
      <c r="D856" t="s">
        <v>9058</v>
      </c>
      <c r="E856" s="5" t="s">
        <v>6344</v>
      </c>
      <c r="F856" s="6">
        <v>46031.643055555556</v>
      </c>
      <c r="G856" s="5" t="s">
        <v>7456</v>
      </c>
      <c r="H856" s="5" t="s">
        <v>9059</v>
      </c>
      <c r="I856" s="5" t="s">
        <v>1621</v>
      </c>
      <c r="J856" s="8">
        <v>72.02</v>
      </c>
      <c r="K856" s="5" t="s">
        <v>4</v>
      </c>
      <c r="L856">
        <f t="shared" si="13"/>
        <v>1</v>
      </c>
    </row>
    <row r="857" spans="1:12" x14ac:dyDescent="0.25">
      <c r="A857" s="5">
        <v>45923</v>
      </c>
      <c r="B857" t="s">
        <v>9060</v>
      </c>
      <c r="C857" s="5" t="s">
        <v>1482</v>
      </c>
      <c r="D857" t="s">
        <v>9061</v>
      </c>
      <c r="E857" s="5" t="s">
        <v>1548</v>
      </c>
      <c r="F857" s="6">
        <v>46031.657638888886</v>
      </c>
      <c r="G857" s="5" t="s">
        <v>7456</v>
      </c>
      <c r="H857" s="5" t="s">
        <v>9062</v>
      </c>
      <c r="I857" s="5" t="s">
        <v>1564</v>
      </c>
      <c r="J857" s="8">
        <v>155</v>
      </c>
      <c r="K857" s="5" t="s">
        <v>4</v>
      </c>
      <c r="L857">
        <f t="shared" si="13"/>
        <v>1</v>
      </c>
    </row>
    <row r="858" spans="1:12" x14ac:dyDescent="0.25">
      <c r="A858" s="5">
        <v>45926</v>
      </c>
      <c r="B858" t="s">
        <v>9063</v>
      </c>
      <c r="C858" s="5" t="s">
        <v>9064</v>
      </c>
      <c r="D858" t="s">
        <v>9065</v>
      </c>
      <c r="E858" s="5" t="s">
        <v>1548</v>
      </c>
      <c r="F858" s="6">
        <v>46031.678472222222</v>
      </c>
      <c r="G858" s="5" t="s">
        <v>7456</v>
      </c>
      <c r="H858" s="5" t="s">
        <v>9066</v>
      </c>
      <c r="I858" s="5" t="s">
        <v>1564</v>
      </c>
      <c r="J858" s="8">
        <v>282</v>
      </c>
      <c r="K858" s="5" t="s">
        <v>4</v>
      </c>
      <c r="L858">
        <f t="shared" si="13"/>
        <v>1</v>
      </c>
    </row>
    <row r="859" spans="1:12" x14ac:dyDescent="0.25">
      <c r="A859" s="5">
        <v>45927</v>
      </c>
      <c r="B859" t="s">
        <v>9067</v>
      </c>
      <c r="C859" s="5" t="s">
        <v>284</v>
      </c>
      <c r="D859" t="s">
        <v>9068</v>
      </c>
      <c r="E859" s="5" t="s">
        <v>6900</v>
      </c>
      <c r="F859" s="6">
        <v>46031.69027777778</v>
      </c>
      <c r="G859" s="5" t="s">
        <v>7456</v>
      </c>
      <c r="H859" s="5" t="s">
        <v>9069</v>
      </c>
      <c r="I859" s="5" t="s">
        <v>1535</v>
      </c>
      <c r="J859" s="8">
        <v>40</v>
      </c>
      <c r="K859" s="5" t="s">
        <v>4</v>
      </c>
      <c r="L859">
        <f t="shared" si="13"/>
        <v>1</v>
      </c>
    </row>
    <row r="860" spans="1:12" x14ac:dyDescent="0.25">
      <c r="A860" s="5">
        <v>45928</v>
      </c>
      <c r="B860" t="s">
        <v>9070</v>
      </c>
      <c r="C860" s="5" t="s">
        <v>9071</v>
      </c>
      <c r="D860" t="s">
        <v>9072</v>
      </c>
      <c r="E860" s="5" t="s">
        <v>1548</v>
      </c>
      <c r="F860" s="6">
        <v>46031.693055555559</v>
      </c>
      <c r="G860" s="5" t="s">
        <v>7456</v>
      </c>
      <c r="H860" s="5" t="s">
        <v>9073</v>
      </c>
      <c r="I860" s="5" t="s">
        <v>1564</v>
      </c>
      <c r="J860" s="8">
        <v>320</v>
      </c>
      <c r="K860" s="5" t="s">
        <v>4</v>
      </c>
      <c r="L860">
        <f t="shared" si="13"/>
        <v>1</v>
      </c>
    </row>
    <row r="861" spans="1:12" x14ac:dyDescent="0.25">
      <c r="A861" s="5">
        <v>45930</v>
      </c>
      <c r="B861" t="s">
        <v>9074</v>
      </c>
      <c r="C861" s="5" t="s">
        <v>9075</v>
      </c>
      <c r="D861" t="s">
        <v>9076</v>
      </c>
      <c r="E861" s="5" t="s">
        <v>1548</v>
      </c>
      <c r="F861" s="6">
        <v>46034.35</v>
      </c>
      <c r="G861" s="5" t="s">
        <v>7456</v>
      </c>
      <c r="H861" s="5" t="s">
        <v>9077</v>
      </c>
      <c r="I861" s="5" t="s">
        <v>1564</v>
      </c>
      <c r="J861" s="8">
        <v>528</v>
      </c>
      <c r="K861" s="5" t="s">
        <v>4</v>
      </c>
      <c r="L861">
        <f t="shared" si="13"/>
        <v>1</v>
      </c>
    </row>
    <row r="862" spans="1:12" x14ac:dyDescent="0.25">
      <c r="A862" s="5">
        <v>45932</v>
      </c>
      <c r="B862" t="s">
        <v>9078</v>
      </c>
      <c r="C862" s="5" t="s">
        <v>471</v>
      </c>
      <c r="D862" t="s">
        <v>9079</v>
      </c>
      <c r="E862" s="5" t="s">
        <v>1548</v>
      </c>
      <c r="F862" s="6">
        <v>46034.399305555555</v>
      </c>
      <c r="G862" s="5" t="s">
        <v>7456</v>
      </c>
      <c r="H862" s="5" t="s">
        <v>9080</v>
      </c>
      <c r="I862" s="5" t="s">
        <v>1564</v>
      </c>
      <c r="J862" s="8">
        <v>465</v>
      </c>
      <c r="K862" s="5" t="s">
        <v>4</v>
      </c>
      <c r="L862">
        <f t="shared" si="13"/>
        <v>1</v>
      </c>
    </row>
    <row r="863" spans="1:12" x14ac:dyDescent="0.25">
      <c r="A863" s="5">
        <v>45933</v>
      </c>
      <c r="B863" t="s">
        <v>9081</v>
      </c>
      <c r="C863" s="5" t="s">
        <v>857</v>
      </c>
      <c r="D863" t="s">
        <v>9082</v>
      </c>
      <c r="E863" s="5" t="s">
        <v>1548</v>
      </c>
      <c r="F863" s="6">
        <v>46034.416666666664</v>
      </c>
      <c r="G863" s="5" t="s">
        <v>7456</v>
      </c>
      <c r="H863" s="5" t="s">
        <v>9083</v>
      </c>
      <c r="I863" s="5" t="s">
        <v>1564</v>
      </c>
      <c r="J863" s="8">
        <v>140.6</v>
      </c>
      <c r="K863" s="5" t="s">
        <v>4</v>
      </c>
      <c r="L863">
        <f t="shared" si="13"/>
        <v>1</v>
      </c>
    </row>
    <row r="864" spans="1:12" x14ac:dyDescent="0.25">
      <c r="A864" s="5">
        <v>45935</v>
      </c>
      <c r="B864" t="s">
        <v>9084</v>
      </c>
      <c r="C864" s="5" t="s">
        <v>9085</v>
      </c>
      <c r="D864" t="s">
        <v>9086</v>
      </c>
      <c r="E864" s="5" t="s">
        <v>1548</v>
      </c>
      <c r="F864" s="6">
        <v>46034.459722222222</v>
      </c>
      <c r="G864" s="5" t="s">
        <v>7456</v>
      </c>
      <c r="H864" t="s">
        <v>7482</v>
      </c>
      <c r="I864" s="5" t="s">
        <v>1564</v>
      </c>
      <c r="J864" s="8">
        <v>1342</v>
      </c>
      <c r="K864" s="5" t="s">
        <v>4</v>
      </c>
      <c r="L864">
        <f t="shared" si="13"/>
        <v>1</v>
      </c>
    </row>
    <row r="865" spans="1:12" x14ac:dyDescent="0.25">
      <c r="A865" s="5">
        <v>45937</v>
      </c>
      <c r="B865" t="s">
        <v>9087</v>
      </c>
      <c r="C865" s="5" t="s">
        <v>9088</v>
      </c>
      <c r="D865" t="s">
        <v>9089</v>
      </c>
      <c r="E865" s="5" t="s">
        <v>1548</v>
      </c>
      <c r="F865" s="6">
        <v>46034.480555555558</v>
      </c>
      <c r="G865" s="5" t="s">
        <v>7456</v>
      </c>
      <c r="H865" t="s">
        <v>7482</v>
      </c>
      <c r="I865" s="5" t="s">
        <v>1564</v>
      </c>
      <c r="J865" s="8">
        <v>275</v>
      </c>
      <c r="K865" s="5" t="s">
        <v>4</v>
      </c>
      <c r="L865">
        <f t="shared" si="13"/>
        <v>1</v>
      </c>
    </row>
    <row r="866" spans="1:12" x14ac:dyDescent="0.25">
      <c r="A866" s="5">
        <v>45938</v>
      </c>
      <c r="B866" t="s">
        <v>9090</v>
      </c>
      <c r="C866" s="5" t="s">
        <v>7516</v>
      </c>
      <c r="D866" t="s">
        <v>9091</v>
      </c>
      <c r="E866" s="5" t="s">
        <v>1548</v>
      </c>
      <c r="F866" s="6">
        <v>46034.481249999997</v>
      </c>
      <c r="G866" s="5" t="s">
        <v>7456</v>
      </c>
      <c r="H866" s="5" t="s">
        <v>9092</v>
      </c>
      <c r="I866" s="5" t="s">
        <v>1535</v>
      </c>
      <c r="J866" s="8">
        <v>139</v>
      </c>
      <c r="K866" s="5" t="s">
        <v>4</v>
      </c>
      <c r="L866">
        <f t="shared" si="13"/>
        <v>1</v>
      </c>
    </row>
    <row r="867" spans="1:12" x14ac:dyDescent="0.25">
      <c r="A867" s="5">
        <v>45940</v>
      </c>
      <c r="B867" t="s">
        <v>9093</v>
      </c>
      <c r="C867" s="5" t="s">
        <v>9094</v>
      </c>
      <c r="D867" t="s">
        <v>9095</v>
      </c>
      <c r="E867" s="5" t="s">
        <v>1813</v>
      </c>
      <c r="F867" s="6">
        <v>46034.499305555553</v>
      </c>
      <c r="G867" s="5" t="s">
        <v>7456</v>
      </c>
      <c r="H867" s="5" t="s">
        <v>9096</v>
      </c>
      <c r="I867" s="5" t="s">
        <v>1621</v>
      </c>
      <c r="J867" s="8">
        <v>0</v>
      </c>
      <c r="K867" s="5" t="s">
        <v>4</v>
      </c>
      <c r="L867">
        <f t="shared" si="13"/>
        <v>1</v>
      </c>
    </row>
    <row r="868" spans="1:12" x14ac:dyDescent="0.25">
      <c r="A868" s="5">
        <v>45942</v>
      </c>
      <c r="B868" t="s">
        <v>9097</v>
      </c>
      <c r="C868" s="5" t="s">
        <v>8093</v>
      </c>
      <c r="D868" t="s">
        <v>9098</v>
      </c>
      <c r="E868" s="5" t="s">
        <v>1548</v>
      </c>
      <c r="F868" s="6">
        <v>46034.55972222222</v>
      </c>
      <c r="G868" s="5" t="s">
        <v>7456</v>
      </c>
      <c r="H868" s="5" t="s">
        <v>9099</v>
      </c>
      <c r="I868" s="5" t="s">
        <v>1564</v>
      </c>
      <c r="J868" s="8">
        <v>226</v>
      </c>
      <c r="K868" s="5" t="s">
        <v>4</v>
      </c>
      <c r="L868">
        <f t="shared" si="13"/>
        <v>1</v>
      </c>
    </row>
    <row r="869" spans="1:12" x14ac:dyDescent="0.25">
      <c r="A869" s="5">
        <v>45943</v>
      </c>
      <c r="B869" t="s">
        <v>9100</v>
      </c>
      <c r="C869" s="5" t="s">
        <v>7649</v>
      </c>
      <c r="D869" t="s">
        <v>9101</v>
      </c>
      <c r="E869" s="5" t="s">
        <v>1548</v>
      </c>
      <c r="F869" s="6">
        <v>46034.579861111109</v>
      </c>
      <c r="G869" s="5" t="s">
        <v>7456</v>
      </c>
      <c r="H869" s="5" t="s">
        <v>9102</v>
      </c>
      <c r="I869" s="5" t="s">
        <v>1564</v>
      </c>
      <c r="J869" s="8">
        <v>451</v>
      </c>
      <c r="K869" s="5" t="s">
        <v>4</v>
      </c>
      <c r="L869">
        <f t="shared" si="13"/>
        <v>1</v>
      </c>
    </row>
    <row r="870" spans="1:12" x14ac:dyDescent="0.25">
      <c r="A870" s="5">
        <v>45946</v>
      </c>
      <c r="B870" t="s">
        <v>9103</v>
      </c>
      <c r="C870" s="5" t="s">
        <v>9104</v>
      </c>
      <c r="D870" t="s">
        <v>9105</v>
      </c>
      <c r="E870" s="5" t="s">
        <v>3452</v>
      </c>
      <c r="F870" s="6">
        <v>46034.601388888892</v>
      </c>
      <c r="G870" s="5" t="s">
        <v>7456</v>
      </c>
      <c r="H870" s="5" t="s">
        <v>9106</v>
      </c>
      <c r="I870" s="5" t="s">
        <v>1621</v>
      </c>
      <c r="J870" s="8">
        <v>329.34</v>
      </c>
      <c r="K870" s="5" t="s">
        <v>4</v>
      </c>
      <c r="L870">
        <f t="shared" si="13"/>
        <v>1</v>
      </c>
    </row>
    <row r="871" spans="1:12" x14ac:dyDescent="0.25">
      <c r="A871" s="5">
        <v>45947</v>
      </c>
      <c r="B871" t="s">
        <v>9107</v>
      </c>
      <c r="C871" s="5" t="s">
        <v>9108</v>
      </c>
      <c r="D871" t="s">
        <v>9109</v>
      </c>
      <c r="E871" s="5" t="s">
        <v>5874</v>
      </c>
      <c r="F871" s="6">
        <v>46034.626388888886</v>
      </c>
      <c r="G871" s="5" t="s">
        <v>7456</v>
      </c>
      <c r="H871" s="5" t="s">
        <v>9110</v>
      </c>
      <c r="I871" s="5" t="s">
        <v>1621</v>
      </c>
      <c r="J871" s="8">
        <v>103.1</v>
      </c>
      <c r="K871" s="5" t="s">
        <v>4</v>
      </c>
      <c r="L871">
        <f t="shared" si="13"/>
        <v>1</v>
      </c>
    </row>
    <row r="872" spans="1:12" x14ac:dyDescent="0.25">
      <c r="A872" s="5">
        <v>45948</v>
      </c>
      <c r="B872" t="s">
        <v>9111</v>
      </c>
      <c r="C872" s="5" t="s">
        <v>675</v>
      </c>
      <c r="D872" t="s">
        <v>9112</v>
      </c>
      <c r="E872" s="5" t="s">
        <v>3321</v>
      </c>
      <c r="F872" s="6">
        <v>46034.633333333331</v>
      </c>
      <c r="G872" s="5" t="s">
        <v>7456</v>
      </c>
      <c r="H872" s="5" t="s">
        <v>9113</v>
      </c>
      <c r="I872" s="5" t="s">
        <v>1621</v>
      </c>
      <c r="J872" s="8">
        <v>357.84</v>
      </c>
      <c r="K872" s="5" t="s">
        <v>4</v>
      </c>
      <c r="L872">
        <f t="shared" si="13"/>
        <v>1</v>
      </c>
    </row>
    <row r="873" spans="1:12" x14ac:dyDescent="0.25">
      <c r="A873" s="5">
        <v>45949</v>
      </c>
      <c r="B873" t="s">
        <v>9114</v>
      </c>
      <c r="C873" s="5" t="s">
        <v>196</v>
      </c>
      <c r="D873" t="s">
        <v>9115</v>
      </c>
      <c r="E873" s="5" t="s">
        <v>4843</v>
      </c>
      <c r="F873" s="6">
        <v>46034.63958333333</v>
      </c>
      <c r="G873" s="5" t="s">
        <v>7456</v>
      </c>
      <c r="H873" s="5" t="s">
        <v>9116</v>
      </c>
      <c r="I873" s="5" t="s">
        <v>1621</v>
      </c>
      <c r="J873" s="8">
        <v>163.63999999999999</v>
      </c>
      <c r="K873" s="5" t="s">
        <v>4</v>
      </c>
      <c r="L873">
        <f t="shared" si="13"/>
        <v>1</v>
      </c>
    </row>
    <row r="874" spans="1:12" x14ac:dyDescent="0.25">
      <c r="A874" s="5">
        <v>45951</v>
      </c>
      <c r="B874" t="s">
        <v>9117</v>
      </c>
      <c r="C874" s="5" t="s">
        <v>9118</v>
      </c>
      <c r="D874" t="s">
        <v>7644</v>
      </c>
      <c r="E874" s="5" t="s">
        <v>7220</v>
      </c>
      <c r="F874" s="6">
        <v>46034.651388888888</v>
      </c>
      <c r="G874" s="5" t="s">
        <v>7456</v>
      </c>
      <c r="H874" s="5" t="s">
        <v>9119</v>
      </c>
      <c r="I874" s="5" t="s">
        <v>1621</v>
      </c>
      <c r="J874" s="8">
        <v>24.02</v>
      </c>
      <c r="K874" s="5" t="s">
        <v>4</v>
      </c>
      <c r="L874">
        <f t="shared" si="13"/>
        <v>1</v>
      </c>
    </row>
    <row r="875" spans="1:12" x14ac:dyDescent="0.25">
      <c r="A875" s="5">
        <v>45952</v>
      </c>
      <c r="B875" t="s">
        <v>9120</v>
      </c>
      <c r="C875" s="5" t="s">
        <v>406</v>
      </c>
      <c r="D875" t="s">
        <v>9121</v>
      </c>
      <c r="E875" s="5" t="s">
        <v>6492</v>
      </c>
      <c r="F875" s="6">
        <v>46034.657638888886</v>
      </c>
      <c r="G875" s="5" t="s">
        <v>7456</v>
      </c>
      <c r="H875" s="5" t="s">
        <v>9122</v>
      </c>
      <c r="I875" s="5" t="s">
        <v>1621</v>
      </c>
      <c r="J875" s="8">
        <v>62.87</v>
      </c>
      <c r="K875" s="5" t="s">
        <v>4</v>
      </c>
      <c r="L875">
        <f t="shared" si="13"/>
        <v>1</v>
      </c>
    </row>
    <row r="876" spans="1:12" x14ac:dyDescent="0.25">
      <c r="A876" s="5">
        <v>45953</v>
      </c>
      <c r="B876" t="s">
        <v>9123</v>
      </c>
      <c r="C876" s="5" t="s">
        <v>719</v>
      </c>
      <c r="D876" t="s">
        <v>9124</v>
      </c>
      <c r="E876" s="5" t="s">
        <v>6249</v>
      </c>
      <c r="F876" s="6">
        <v>46034.661805555559</v>
      </c>
      <c r="G876" s="5" t="s">
        <v>7456</v>
      </c>
      <c r="H876" s="5" t="s">
        <v>9125</v>
      </c>
      <c r="I876" s="5" t="s">
        <v>1621</v>
      </c>
      <c r="J876" s="8">
        <v>77.55</v>
      </c>
      <c r="K876" s="5" t="s">
        <v>4</v>
      </c>
      <c r="L876">
        <f t="shared" si="13"/>
        <v>1</v>
      </c>
    </row>
    <row r="877" spans="1:12" x14ac:dyDescent="0.25">
      <c r="A877" s="5">
        <v>45954</v>
      </c>
      <c r="B877" t="s">
        <v>9126</v>
      </c>
      <c r="C877" s="5" t="s">
        <v>436</v>
      </c>
      <c r="D877" t="s">
        <v>9127</v>
      </c>
      <c r="E877" s="5" t="s">
        <v>1548</v>
      </c>
      <c r="F877" s="6">
        <v>46034.67083333333</v>
      </c>
      <c r="G877" s="5" t="s">
        <v>7456</v>
      </c>
      <c r="H877" s="5" t="s">
        <v>9128</v>
      </c>
      <c r="I877" s="5" t="s">
        <v>1564</v>
      </c>
      <c r="J877" s="8">
        <v>419.8</v>
      </c>
      <c r="K877" s="5" t="s">
        <v>4</v>
      </c>
      <c r="L877">
        <f t="shared" si="13"/>
        <v>1</v>
      </c>
    </row>
    <row r="878" spans="1:12" x14ac:dyDescent="0.25">
      <c r="A878" s="5">
        <v>45956</v>
      </c>
      <c r="B878" t="s">
        <v>9129</v>
      </c>
      <c r="C878" s="5" t="s">
        <v>9130</v>
      </c>
      <c r="D878" t="s">
        <v>9131</v>
      </c>
      <c r="E878" s="5" t="s">
        <v>1548</v>
      </c>
      <c r="F878" s="6">
        <v>46034.684027777781</v>
      </c>
      <c r="G878" s="5" t="s">
        <v>7456</v>
      </c>
      <c r="H878" s="5" t="s">
        <v>9132</v>
      </c>
      <c r="I878" s="5" t="s">
        <v>1564</v>
      </c>
      <c r="J878" s="8">
        <v>157</v>
      </c>
      <c r="K878" s="5" t="s">
        <v>4</v>
      </c>
      <c r="L878">
        <f t="shared" si="13"/>
        <v>1</v>
      </c>
    </row>
    <row r="879" spans="1:12" x14ac:dyDescent="0.25">
      <c r="A879" s="5">
        <v>45957</v>
      </c>
      <c r="B879" t="s">
        <v>9133</v>
      </c>
      <c r="C879" s="5" t="s">
        <v>9134</v>
      </c>
      <c r="D879" t="s">
        <v>9135</v>
      </c>
      <c r="E879" s="5" t="s">
        <v>1548</v>
      </c>
      <c r="F879" s="6">
        <v>46035.393055555556</v>
      </c>
      <c r="G879" s="5" t="s">
        <v>7456</v>
      </c>
      <c r="H879" s="5" t="s">
        <v>9136</v>
      </c>
      <c r="I879" s="5" t="s">
        <v>1564</v>
      </c>
      <c r="J879" s="8">
        <v>175</v>
      </c>
      <c r="K879" s="5" t="s">
        <v>4</v>
      </c>
      <c r="L879">
        <f t="shared" si="13"/>
        <v>1</v>
      </c>
    </row>
    <row r="880" spans="1:12" x14ac:dyDescent="0.25">
      <c r="A880" s="5">
        <v>45959</v>
      </c>
      <c r="B880" t="s">
        <v>9137</v>
      </c>
      <c r="C880" s="5" t="s">
        <v>9138</v>
      </c>
      <c r="D880" t="s">
        <v>9139</v>
      </c>
      <c r="E880" s="5" t="s">
        <v>1548</v>
      </c>
      <c r="F880" s="6">
        <v>46035.402777777781</v>
      </c>
      <c r="G880" s="5" t="s">
        <v>7456</v>
      </c>
      <c r="H880" s="5" t="s">
        <v>9140</v>
      </c>
      <c r="I880" s="5" t="s">
        <v>1564</v>
      </c>
      <c r="J880" s="8">
        <v>352</v>
      </c>
      <c r="K880" s="5" t="s">
        <v>4</v>
      </c>
      <c r="L880">
        <f t="shared" si="13"/>
        <v>1</v>
      </c>
    </row>
    <row r="881" spans="1:12" x14ac:dyDescent="0.25">
      <c r="A881" s="5">
        <v>45960</v>
      </c>
      <c r="B881" t="s">
        <v>9141</v>
      </c>
      <c r="C881" s="5" t="s">
        <v>9142</v>
      </c>
      <c r="D881" t="s">
        <v>9143</v>
      </c>
      <c r="E881" s="5" t="s">
        <v>1548</v>
      </c>
      <c r="F881" s="6">
        <v>46035.407638888886</v>
      </c>
      <c r="G881" s="5" t="s">
        <v>7456</v>
      </c>
      <c r="H881" s="5" t="s">
        <v>9144</v>
      </c>
      <c r="I881" s="5" t="s">
        <v>1564</v>
      </c>
      <c r="J881" s="8">
        <v>113.5</v>
      </c>
      <c r="K881" s="5" t="s">
        <v>4</v>
      </c>
      <c r="L881">
        <f t="shared" si="13"/>
        <v>1</v>
      </c>
    </row>
    <row r="882" spans="1:12" x14ac:dyDescent="0.25">
      <c r="A882" s="5">
        <v>45961</v>
      </c>
      <c r="B882" t="s">
        <v>9145</v>
      </c>
      <c r="C882" s="5" t="s">
        <v>9146</v>
      </c>
      <c r="D882" t="s">
        <v>9147</v>
      </c>
      <c r="E882" s="5" t="s">
        <v>1548</v>
      </c>
      <c r="F882" s="6">
        <v>46035.425694444442</v>
      </c>
      <c r="G882" s="5" t="s">
        <v>7456</v>
      </c>
      <c r="H882" t="s">
        <v>7482</v>
      </c>
      <c r="I882" s="5" t="s">
        <v>1564</v>
      </c>
      <c r="J882" s="8">
        <v>1620</v>
      </c>
      <c r="K882" s="5" t="s">
        <v>4</v>
      </c>
      <c r="L882">
        <f t="shared" si="13"/>
        <v>1</v>
      </c>
    </row>
    <row r="883" spans="1:12" x14ac:dyDescent="0.25">
      <c r="A883" s="5">
        <v>45964</v>
      </c>
      <c r="B883" t="s">
        <v>9133</v>
      </c>
      <c r="C883" s="5" t="s">
        <v>9134</v>
      </c>
      <c r="D883" t="s">
        <v>9135</v>
      </c>
      <c r="E883" s="5" t="s">
        <v>9148</v>
      </c>
      <c r="F883" s="6">
        <v>46035.461111111108</v>
      </c>
      <c r="G883" s="5" t="s">
        <v>7456</v>
      </c>
      <c r="H883" s="5" t="s">
        <v>9149</v>
      </c>
      <c r="I883" s="5" t="s">
        <v>1564</v>
      </c>
      <c r="J883" s="8">
        <v>0</v>
      </c>
      <c r="K883" s="5" t="s">
        <v>4</v>
      </c>
      <c r="L883">
        <f t="shared" si="13"/>
        <v>1</v>
      </c>
    </row>
    <row r="884" spans="1:12" x14ac:dyDescent="0.25">
      <c r="A884" s="5">
        <v>45965</v>
      </c>
      <c r="B884" t="s">
        <v>9150</v>
      </c>
      <c r="C884" s="5" t="s">
        <v>9151</v>
      </c>
      <c r="D884" t="s">
        <v>9152</v>
      </c>
      <c r="E884" s="5" t="s">
        <v>1548</v>
      </c>
      <c r="F884" s="6">
        <v>46035.465277777781</v>
      </c>
      <c r="G884" s="5" t="s">
        <v>7456</v>
      </c>
      <c r="H884" s="5" t="s">
        <v>9153</v>
      </c>
      <c r="I884" s="5" t="s">
        <v>1621</v>
      </c>
      <c r="J884" s="8">
        <v>0</v>
      </c>
      <c r="K884" s="5" t="s">
        <v>4</v>
      </c>
      <c r="L884">
        <f t="shared" si="13"/>
        <v>1</v>
      </c>
    </row>
    <row r="885" spans="1:12" x14ac:dyDescent="0.25">
      <c r="A885" s="5">
        <v>45966</v>
      </c>
      <c r="B885" t="s">
        <v>8965</v>
      </c>
      <c r="C885" s="5" t="s">
        <v>9154</v>
      </c>
      <c r="D885" t="s">
        <v>8966</v>
      </c>
      <c r="E885" s="5" t="s">
        <v>1548</v>
      </c>
      <c r="F885" s="6">
        <v>46035.470833333333</v>
      </c>
      <c r="G885" s="5" t="s">
        <v>7595</v>
      </c>
      <c r="H885" t="s">
        <v>7482</v>
      </c>
      <c r="I885" s="5" t="s">
        <v>1535</v>
      </c>
      <c r="J885" s="8">
        <v>4040</v>
      </c>
      <c r="K885" s="5" t="s">
        <v>4</v>
      </c>
      <c r="L885">
        <f t="shared" si="13"/>
        <v>1</v>
      </c>
    </row>
    <row r="886" spans="1:12" x14ac:dyDescent="0.25">
      <c r="A886" s="5">
        <v>45967</v>
      </c>
      <c r="B886" t="s">
        <v>9155</v>
      </c>
      <c r="C886" s="5" t="s">
        <v>9156</v>
      </c>
      <c r="D886" t="s">
        <v>9157</v>
      </c>
      <c r="E886" s="5" t="s">
        <v>1548</v>
      </c>
      <c r="F886" s="6">
        <v>46035.475694444445</v>
      </c>
      <c r="G886" s="5" t="s">
        <v>7456</v>
      </c>
      <c r="H886" t="s">
        <v>7482</v>
      </c>
      <c r="I886" s="5" t="s">
        <v>1564</v>
      </c>
      <c r="J886" s="8">
        <v>510</v>
      </c>
      <c r="K886" s="5" t="s">
        <v>4</v>
      </c>
      <c r="L886">
        <f t="shared" si="13"/>
        <v>1</v>
      </c>
    </row>
    <row r="887" spans="1:12" x14ac:dyDescent="0.25">
      <c r="A887" s="5">
        <v>45972</v>
      </c>
      <c r="B887" t="s">
        <v>9158</v>
      </c>
      <c r="C887" s="5" t="s">
        <v>9159</v>
      </c>
      <c r="D887" t="s">
        <v>9160</v>
      </c>
      <c r="E887" s="5" t="s">
        <v>1548</v>
      </c>
      <c r="F887" s="6">
        <v>46035.535416666666</v>
      </c>
      <c r="G887" s="5" t="s">
        <v>7456</v>
      </c>
      <c r="H887" t="s">
        <v>7482</v>
      </c>
      <c r="I887" s="5" t="s">
        <v>1564</v>
      </c>
      <c r="J887" s="8">
        <v>841</v>
      </c>
      <c r="K887" s="5" t="s">
        <v>4</v>
      </c>
      <c r="L887">
        <f t="shared" si="13"/>
        <v>1</v>
      </c>
    </row>
    <row r="888" spans="1:12" x14ac:dyDescent="0.25">
      <c r="A888" s="5">
        <v>45973</v>
      </c>
      <c r="B888" t="s">
        <v>9161</v>
      </c>
      <c r="C888" s="5" t="s">
        <v>7516</v>
      </c>
      <c r="D888" t="s">
        <v>9162</v>
      </c>
      <c r="E888" s="5" t="s">
        <v>1813</v>
      </c>
      <c r="F888" s="6">
        <v>46035.573611111111</v>
      </c>
      <c r="G888" s="5" t="s">
        <v>7595</v>
      </c>
      <c r="H888" t="s">
        <v>7482</v>
      </c>
      <c r="I888" s="5" t="s">
        <v>1535</v>
      </c>
      <c r="J888" s="8">
        <v>11253.6</v>
      </c>
      <c r="K888" s="5" t="s">
        <v>4</v>
      </c>
      <c r="L888">
        <f t="shared" si="13"/>
        <v>1</v>
      </c>
    </row>
    <row r="889" spans="1:12" x14ac:dyDescent="0.25">
      <c r="A889" s="5">
        <v>45976</v>
      </c>
      <c r="B889" t="s">
        <v>9163</v>
      </c>
      <c r="C889" s="5" t="s">
        <v>9164</v>
      </c>
      <c r="D889" t="s">
        <v>9165</v>
      </c>
      <c r="E889" s="5" t="s">
        <v>1548</v>
      </c>
      <c r="F889" s="6">
        <v>46035.612500000003</v>
      </c>
      <c r="G889" s="5" t="s">
        <v>7456</v>
      </c>
      <c r="H889" s="5" t="s">
        <v>9166</v>
      </c>
      <c r="I889" s="5" t="s">
        <v>1564</v>
      </c>
      <c r="J889" s="8">
        <v>231</v>
      </c>
      <c r="K889" s="5" t="s">
        <v>4</v>
      </c>
      <c r="L889">
        <f t="shared" si="13"/>
        <v>1</v>
      </c>
    </row>
    <row r="890" spans="1:12" x14ac:dyDescent="0.25">
      <c r="A890" s="5">
        <v>45977</v>
      </c>
      <c r="B890" t="s">
        <v>9167</v>
      </c>
      <c r="C890" s="5" t="s">
        <v>9168</v>
      </c>
      <c r="D890" t="s">
        <v>9169</v>
      </c>
      <c r="E890" s="5" t="s">
        <v>1532</v>
      </c>
      <c r="F890" s="6">
        <v>46035.629166666666</v>
      </c>
      <c r="G890" s="5" t="s">
        <v>7456</v>
      </c>
      <c r="H890" t="s">
        <v>7482</v>
      </c>
      <c r="I890" s="5" t="s">
        <v>1535</v>
      </c>
      <c r="J890" s="8">
        <v>526</v>
      </c>
      <c r="K890" s="5" t="s">
        <v>4</v>
      </c>
      <c r="L890">
        <f t="shared" si="13"/>
        <v>1</v>
      </c>
    </row>
    <row r="891" spans="1:12" x14ac:dyDescent="0.25">
      <c r="A891" s="5">
        <v>45978</v>
      </c>
      <c r="B891" t="s">
        <v>9170</v>
      </c>
      <c r="C891" s="5" t="s">
        <v>9171</v>
      </c>
      <c r="D891" t="s">
        <v>9172</v>
      </c>
      <c r="E891" s="5" t="s">
        <v>1548</v>
      </c>
      <c r="F891" s="6">
        <v>46035.629861111112</v>
      </c>
      <c r="G891" s="5" t="s">
        <v>7456</v>
      </c>
      <c r="H891" s="5" t="s">
        <v>7522</v>
      </c>
      <c r="I891" s="5" t="s">
        <v>1564</v>
      </c>
      <c r="J891" s="8">
        <v>355</v>
      </c>
      <c r="K891" s="5" t="s">
        <v>4</v>
      </c>
      <c r="L891">
        <f t="shared" si="13"/>
        <v>1</v>
      </c>
    </row>
    <row r="892" spans="1:12" x14ac:dyDescent="0.25">
      <c r="A892" s="5">
        <v>45979</v>
      </c>
      <c r="B892" t="s">
        <v>9173</v>
      </c>
      <c r="C892" s="5" t="s">
        <v>9174</v>
      </c>
      <c r="D892" t="s">
        <v>9175</v>
      </c>
      <c r="E892" s="5" t="s">
        <v>4937</v>
      </c>
      <c r="F892" s="6">
        <v>46035.638194444444</v>
      </c>
      <c r="G892" s="5" t="s">
        <v>7456</v>
      </c>
      <c r="H892" s="5" t="s">
        <v>9176</v>
      </c>
      <c r="I892" s="5" t="s">
        <v>1535</v>
      </c>
      <c r="J892" s="8">
        <v>156</v>
      </c>
      <c r="K892" s="5" t="s">
        <v>4</v>
      </c>
      <c r="L892">
        <f t="shared" si="13"/>
        <v>1</v>
      </c>
    </row>
    <row r="893" spans="1:12" x14ac:dyDescent="0.25">
      <c r="A893" s="5">
        <v>45980</v>
      </c>
      <c r="B893" t="s">
        <v>9177</v>
      </c>
      <c r="C893" s="5" t="s">
        <v>9178</v>
      </c>
      <c r="D893" t="s">
        <v>9179</v>
      </c>
      <c r="E893" s="5" t="s">
        <v>3178</v>
      </c>
      <c r="F893" s="6">
        <v>46035.645833333336</v>
      </c>
      <c r="G893" s="5" t="s">
        <v>7456</v>
      </c>
      <c r="H893" s="5" t="s">
        <v>9180</v>
      </c>
      <c r="I893" s="5" t="s">
        <v>1535</v>
      </c>
      <c r="J893" s="8">
        <v>399.2</v>
      </c>
      <c r="K893" s="5" t="s">
        <v>4</v>
      </c>
      <c r="L893">
        <f t="shared" si="13"/>
        <v>1</v>
      </c>
    </row>
    <row r="894" spans="1:12" x14ac:dyDescent="0.25">
      <c r="A894" s="5">
        <v>45981</v>
      </c>
      <c r="B894" t="s">
        <v>9181</v>
      </c>
      <c r="C894" s="5" t="s">
        <v>9182</v>
      </c>
      <c r="D894" t="s">
        <v>7644</v>
      </c>
      <c r="E894" s="5" t="s">
        <v>5555</v>
      </c>
      <c r="F894" s="6">
        <v>46035.643055555556</v>
      </c>
      <c r="G894" s="5" t="s">
        <v>7456</v>
      </c>
      <c r="H894" s="5" t="s">
        <v>9183</v>
      </c>
      <c r="I894" s="5" t="s">
        <v>1621</v>
      </c>
      <c r="J894" s="8">
        <v>118.27</v>
      </c>
      <c r="K894" s="5" t="s">
        <v>4</v>
      </c>
      <c r="L894">
        <f t="shared" si="13"/>
        <v>1</v>
      </c>
    </row>
    <row r="895" spans="1:12" x14ac:dyDescent="0.25">
      <c r="A895" s="5">
        <v>45983</v>
      </c>
      <c r="B895" t="s">
        <v>9184</v>
      </c>
      <c r="C895" s="5" t="s">
        <v>9185</v>
      </c>
      <c r="D895" t="s">
        <v>9186</v>
      </c>
      <c r="E895" s="5" t="s">
        <v>6830</v>
      </c>
      <c r="F895" s="6">
        <v>46035.649305555555</v>
      </c>
      <c r="G895" s="5" t="s">
        <v>7456</v>
      </c>
      <c r="H895" s="5" t="s">
        <v>9187</v>
      </c>
      <c r="I895" s="5" t="s">
        <v>1621</v>
      </c>
      <c r="J895" s="8">
        <v>43.03</v>
      </c>
      <c r="K895" s="5" t="s">
        <v>4</v>
      </c>
      <c r="L895">
        <f t="shared" si="13"/>
        <v>1</v>
      </c>
    </row>
    <row r="896" spans="1:12" x14ac:dyDescent="0.25">
      <c r="A896" s="5">
        <v>45984</v>
      </c>
      <c r="B896" t="s">
        <v>9188</v>
      </c>
      <c r="C896" s="5" t="s">
        <v>9189</v>
      </c>
      <c r="D896" t="s">
        <v>9190</v>
      </c>
      <c r="E896" s="5" t="s">
        <v>5558</v>
      </c>
      <c r="F896" s="6">
        <v>46035.657638888886</v>
      </c>
      <c r="G896" s="5" t="s">
        <v>7456</v>
      </c>
      <c r="H896" s="5" t="s">
        <v>9191</v>
      </c>
      <c r="I896" s="5" t="s">
        <v>1621</v>
      </c>
      <c r="J896" s="8">
        <v>118.27</v>
      </c>
      <c r="K896" s="5" t="s">
        <v>4</v>
      </c>
      <c r="L896">
        <f t="shared" si="13"/>
        <v>1</v>
      </c>
    </row>
    <row r="897" spans="1:12" x14ac:dyDescent="0.25">
      <c r="A897" s="5">
        <v>45985</v>
      </c>
      <c r="B897" t="s">
        <v>9192</v>
      </c>
      <c r="C897" s="5" t="s">
        <v>880</v>
      </c>
      <c r="D897" t="s">
        <v>9193</v>
      </c>
      <c r="E897" s="5" t="s">
        <v>3381</v>
      </c>
      <c r="F897" s="6">
        <v>46035.661805555559</v>
      </c>
      <c r="G897" s="5" t="s">
        <v>7456</v>
      </c>
      <c r="H897" s="5" t="s">
        <v>9194</v>
      </c>
      <c r="I897" s="5" t="s">
        <v>1621</v>
      </c>
      <c r="J897" s="8">
        <v>346.8</v>
      </c>
      <c r="K897" s="5" t="s">
        <v>4</v>
      </c>
      <c r="L897">
        <f t="shared" si="13"/>
        <v>1</v>
      </c>
    </row>
    <row r="898" spans="1:12" x14ac:dyDescent="0.25">
      <c r="A898" s="5">
        <v>45987</v>
      </c>
      <c r="B898" t="s">
        <v>9195</v>
      </c>
      <c r="C898" s="5" t="s">
        <v>1154</v>
      </c>
      <c r="D898" t="s">
        <v>9196</v>
      </c>
      <c r="E898" s="5" t="s">
        <v>7322</v>
      </c>
      <c r="F898" s="6">
        <v>46035.666666666664</v>
      </c>
      <c r="G898" s="5" t="s">
        <v>7456</v>
      </c>
      <c r="H898" s="5" t="s">
        <v>9197</v>
      </c>
      <c r="I898" s="5" t="s">
        <v>1621</v>
      </c>
      <c r="J898" s="8">
        <v>15.92</v>
      </c>
      <c r="K898" s="5" t="s">
        <v>4</v>
      </c>
      <c r="L898">
        <f t="shared" si="13"/>
        <v>1</v>
      </c>
    </row>
    <row r="899" spans="1:12" x14ac:dyDescent="0.25">
      <c r="A899" s="5">
        <v>45988</v>
      </c>
      <c r="B899" t="s">
        <v>9198</v>
      </c>
      <c r="C899" s="5" t="s">
        <v>9199</v>
      </c>
      <c r="D899" t="s">
        <v>9200</v>
      </c>
      <c r="E899" s="5" t="s">
        <v>5783</v>
      </c>
      <c r="F899" s="6">
        <v>46035.672222222223</v>
      </c>
      <c r="G899" s="5" t="s">
        <v>7456</v>
      </c>
      <c r="H899" s="5" t="s">
        <v>9201</v>
      </c>
      <c r="I899" s="5" t="s">
        <v>1621</v>
      </c>
      <c r="J899" s="8">
        <v>109.73</v>
      </c>
      <c r="K899" s="5" t="s">
        <v>4</v>
      </c>
      <c r="L899">
        <f t="shared" ref="L899:L962" si="14">MONTH(F899)</f>
        <v>1</v>
      </c>
    </row>
    <row r="900" spans="1:12" x14ac:dyDescent="0.25">
      <c r="A900" s="5">
        <v>45989</v>
      </c>
      <c r="B900" t="s">
        <v>9202</v>
      </c>
      <c r="C900" s="5" t="s">
        <v>9203</v>
      </c>
      <c r="D900" t="s">
        <v>9204</v>
      </c>
      <c r="E900" s="5" t="s">
        <v>2314</v>
      </c>
      <c r="F900" s="6">
        <v>46035.682638888888</v>
      </c>
      <c r="G900" s="5" t="s">
        <v>7456</v>
      </c>
      <c r="H900" t="s">
        <v>7482</v>
      </c>
      <c r="I900" s="5" t="s">
        <v>1564</v>
      </c>
      <c r="J900" s="8">
        <v>3006.65</v>
      </c>
      <c r="K900" s="5" t="s">
        <v>4</v>
      </c>
      <c r="L900">
        <f t="shared" si="14"/>
        <v>1</v>
      </c>
    </row>
    <row r="901" spans="1:12" x14ac:dyDescent="0.25">
      <c r="A901" s="5">
        <v>45991</v>
      </c>
      <c r="B901" t="s">
        <v>9205</v>
      </c>
      <c r="C901" s="5" t="s">
        <v>9206</v>
      </c>
      <c r="D901" t="s">
        <v>9207</v>
      </c>
      <c r="E901" s="5" t="s">
        <v>6514</v>
      </c>
      <c r="F901" s="6">
        <v>46035.683333333334</v>
      </c>
      <c r="G901" s="5" t="s">
        <v>7456</v>
      </c>
      <c r="H901" s="5" t="s">
        <v>9208</v>
      </c>
      <c r="I901" s="5" t="s">
        <v>1621</v>
      </c>
      <c r="J901" s="8">
        <v>61.05</v>
      </c>
      <c r="K901" s="5" t="s">
        <v>4</v>
      </c>
      <c r="L901">
        <f t="shared" si="14"/>
        <v>1</v>
      </c>
    </row>
    <row r="902" spans="1:12" x14ac:dyDescent="0.25">
      <c r="A902" s="5">
        <v>45993</v>
      </c>
      <c r="B902" t="s">
        <v>9209</v>
      </c>
      <c r="C902" s="5" t="s">
        <v>9210</v>
      </c>
      <c r="D902" t="s">
        <v>9211</v>
      </c>
      <c r="E902" s="5" t="s">
        <v>7005</v>
      </c>
      <c r="F902" s="6">
        <v>46035.691666666666</v>
      </c>
      <c r="G902" s="5" t="s">
        <v>7456</v>
      </c>
      <c r="H902" s="5" t="s">
        <v>9212</v>
      </c>
      <c r="I902" s="5" t="s">
        <v>1621</v>
      </c>
      <c r="J902" s="8">
        <v>34.72</v>
      </c>
      <c r="K902" s="5" t="s">
        <v>4</v>
      </c>
      <c r="L902">
        <f t="shared" si="14"/>
        <v>1</v>
      </c>
    </row>
    <row r="903" spans="1:12" x14ac:dyDescent="0.25">
      <c r="A903" s="5">
        <v>45994</v>
      </c>
      <c r="B903" t="s">
        <v>9213</v>
      </c>
      <c r="C903" s="5" t="s">
        <v>9214</v>
      </c>
      <c r="D903" t="s">
        <v>9215</v>
      </c>
      <c r="E903" s="5" t="s">
        <v>1548</v>
      </c>
      <c r="F903" s="6">
        <v>46035.703472222223</v>
      </c>
      <c r="G903" s="5" t="s">
        <v>7456</v>
      </c>
      <c r="H903" s="5" t="s">
        <v>9216</v>
      </c>
      <c r="I903" s="5" t="s">
        <v>1564</v>
      </c>
      <c r="J903" s="8">
        <v>1469</v>
      </c>
      <c r="K903" s="5" t="s">
        <v>4</v>
      </c>
      <c r="L903">
        <f t="shared" si="14"/>
        <v>1</v>
      </c>
    </row>
    <row r="904" spans="1:12" x14ac:dyDescent="0.25">
      <c r="A904" s="5">
        <v>45995</v>
      </c>
      <c r="B904" t="s">
        <v>9217</v>
      </c>
      <c r="C904" s="5" t="s">
        <v>9218</v>
      </c>
      <c r="D904" t="s">
        <v>7644</v>
      </c>
      <c r="E904" s="5" t="s">
        <v>1619</v>
      </c>
      <c r="F904" s="6">
        <v>46035.698611111111</v>
      </c>
      <c r="G904" s="5" t="s">
        <v>7456</v>
      </c>
      <c r="H904" s="5" t="s">
        <v>9219</v>
      </c>
      <c r="I904" s="5" t="s">
        <v>1621</v>
      </c>
      <c r="J904" s="8">
        <v>4299.92</v>
      </c>
      <c r="K904" s="5" t="s">
        <v>4</v>
      </c>
      <c r="L904">
        <f t="shared" si="14"/>
        <v>1</v>
      </c>
    </row>
    <row r="905" spans="1:12" x14ac:dyDescent="0.25">
      <c r="A905" s="5">
        <v>45996</v>
      </c>
      <c r="B905" t="s">
        <v>9220</v>
      </c>
      <c r="C905" s="5" t="s">
        <v>9221</v>
      </c>
      <c r="D905" t="s">
        <v>9222</v>
      </c>
      <c r="E905" s="5" t="s">
        <v>1548</v>
      </c>
      <c r="F905" s="6">
        <v>46035.718055555553</v>
      </c>
      <c r="G905" s="5" t="s">
        <v>7456</v>
      </c>
      <c r="H905" t="s">
        <v>7482</v>
      </c>
      <c r="I905" s="5" t="s">
        <v>1564</v>
      </c>
      <c r="J905" s="8">
        <v>2648.9</v>
      </c>
      <c r="K905" s="5" t="s">
        <v>4</v>
      </c>
      <c r="L905">
        <f t="shared" si="14"/>
        <v>1</v>
      </c>
    </row>
    <row r="906" spans="1:12" x14ac:dyDescent="0.25">
      <c r="A906" s="5">
        <v>45997</v>
      </c>
      <c r="B906" t="s">
        <v>9223</v>
      </c>
      <c r="C906" s="5" t="s">
        <v>9224</v>
      </c>
      <c r="D906" t="s">
        <v>9225</v>
      </c>
      <c r="E906" s="5" t="s">
        <v>1548</v>
      </c>
      <c r="F906" s="6">
        <v>46035.728472222225</v>
      </c>
      <c r="G906" s="5" t="s">
        <v>7456</v>
      </c>
      <c r="H906" t="s">
        <v>7482</v>
      </c>
      <c r="I906" s="5" t="s">
        <v>1564</v>
      </c>
      <c r="J906" s="8">
        <v>2833.58</v>
      </c>
      <c r="K906" s="5" t="s">
        <v>4</v>
      </c>
      <c r="L906">
        <f t="shared" si="14"/>
        <v>1</v>
      </c>
    </row>
    <row r="907" spans="1:12" x14ac:dyDescent="0.25">
      <c r="A907" s="5">
        <v>45998</v>
      </c>
      <c r="B907" t="s">
        <v>9226</v>
      </c>
      <c r="C907" s="5" t="s">
        <v>9227</v>
      </c>
      <c r="D907" t="s">
        <v>9228</v>
      </c>
      <c r="E907" s="5" t="s">
        <v>9229</v>
      </c>
      <c r="F907" s="6">
        <v>46035.740277777775</v>
      </c>
      <c r="G907" s="5" t="s">
        <v>7456</v>
      </c>
      <c r="H907" s="5" t="s">
        <v>9230</v>
      </c>
      <c r="I907" s="5" t="s">
        <v>1621</v>
      </c>
      <c r="J907" s="8">
        <v>0</v>
      </c>
      <c r="K907" s="5" t="s">
        <v>4</v>
      </c>
      <c r="L907">
        <f t="shared" si="14"/>
        <v>1</v>
      </c>
    </row>
    <row r="908" spans="1:12" x14ac:dyDescent="0.25">
      <c r="A908" s="5">
        <v>45999</v>
      </c>
      <c r="B908" t="s">
        <v>9231</v>
      </c>
      <c r="C908" s="5" t="s">
        <v>7516</v>
      </c>
      <c r="D908" t="s">
        <v>9232</v>
      </c>
      <c r="E908" s="5" t="s">
        <v>1548</v>
      </c>
      <c r="F908" s="6">
        <v>46035.755555555559</v>
      </c>
      <c r="G908" s="5" t="s">
        <v>7456</v>
      </c>
      <c r="H908" s="5" t="s">
        <v>9233</v>
      </c>
      <c r="I908" s="5" t="s">
        <v>1564</v>
      </c>
      <c r="J908" s="8">
        <v>1335</v>
      </c>
      <c r="K908" s="5" t="s">
        <v>4</v>
      </c>
      <c r="L908">
        <f t="shared" si="14"/>
        <v>1</v>
      </c>
    </row>
    <row r="909" spans="1:12" x14ac:dyDescent="0.25">
      <c r="A909" s="5">
        <v>46000</v>
      </c>
      <c r="B909" t="s">
        <v>7986</v>
      </c>
      <c r="C909" s="5" t="s">
        <v>7746</v>
      </c>
      <c r="D909" t="s">
        <v>7987</v>
      </c>
      <c r="E909" s="5" t="s">
        <v>1548</v>
      </c>
      <c r="F909" s="6">
        <v>46035.761111111111</v>
      </c>
      <c r="G909" s="5" t="s">
        <v>7456</v>
      </c>
      <c r="H909" s="5" t="s">
        <v>9234</v>
      </c>
      <c r="I909" s="5" t="s">
        <v>1564</v>
      </c>
      <c r="J909" s="8">
        <v>338.4</v>
      </c>
      <c r="K909" s="5" t="s">
        <v>4</v>
      </c>
      <c r="L909">
        <f t="shared" si="14"/>
        <v>1</v>
      </c>
    </row>
    <row r="910" spans="1:12" x14ac:dyDescent="0.25">
      <c r="A910" s="5">
        <v>46002</v>
      </c>
      <c r="B910" t="s">
        <v>9235</v>
      </c>
      <c r="C910" s="5" t="s">
        <v>9236</v>
      </c>
      <c r="D910" t="s">
        <v>9237</v>
      </c>
      <c r="E910" s="5" t="s">
        <v>1548</v>
      </c>
      <c r="F910" s="6">
        <v>46036.370138888888</v>
      </c>
      <c r="G910" s="5" t="s">
        <v>7456</v>
      </c>
      <c r="H910" s="5" t="s">
        <v>9238</v>
      </c>
      <c r="I910" s="5" t="s">
        <v>1564</v>
      </c>
      <c r="J910" s="8">
        <v>185</v>
      </c>
      <c r="K910" s="5" t="s">
        <v>4</v>
      </c>
      <c r="L910">
        <f t="shared" si="14"/>
        <v>1</v>
      </c>
    </row>
    <row r="911" spans="1:12" x14ac:dyDescent="0.25">
      <c r="A911" s="5">
        <v>46004</v>
      </c>
      <c r="B911" t="s">
        <v>9239</v>
      </c>
      <c r="C911" s="5" t="s">
        <v>187</v>
      </c>
      <c r="D911" t="s">
        <v>9240</v>
      </c>
      <c r="E911" s="5" t="s">
        <v>1548</v>
      </c>
      <c r="F911" s="6">
        <v>46036.406944444447</v>
      </c>
      <c r="G911" s="5" t="s">
        <v>7456</v>
      </c>
      <c r="H911" s="5" t="s">
        <v>9241</v>
      </c>
      <c r="I911" s="5" t="s">
        <v>1564</v>
      </c>
      <c r="J911" s="8">
        <v>205</v>
      </c>
      <c r="K911" s="5" t="s">
        <v>4</v>
      </c>
      <c r="L911">
        <f t="shared" si="14"/>
        <v>1</v>
      </c>
    </row>
    <row r="912" spans="1:12" x14ac:dyDescent="0.25">
      <c r="A912" s="5">
        <v>46005</v>
      </c>
      <c r="B912" t="s">
        <v>9242</v>
      </c>
      <c r="C912" s="5" t="s">
        <v>195</v>
      </c>
      <c r="D912" t="s">
        <v>9243</v>
      </c>
      <c r="E912" s="5" t="s">
        <v>1548</v>
      </c>
      <c r="F912" s="6">
        <v>46036.414583333331</v>
      </c>
      <c r="G912" s="5" t="s">
        <v>7456</v>
      </c>
      <c r="H912" s="5" t="s">
        <v>9244</v>
      </c>
      <c r="I912" s="5" t="s">
        <v>1564</v>
      </c>
      <c r="J912" s="8">
        <v>260</v>
      </c>
      <c r="K912" s="5" t="s">
        <v>4</v>
      </c>
      <c r="L912">
        <f t="shared" si="14"/>
        <v>1</v>
      </c>
    </row>
    <row r="913" spans="1:12" x14ac:dyDescent="0.25">
      <c r="A913" s="5">
        <v>46006</v>
      </c>
      <c r="B913" t="s">
        <v>9245</v>
      </c>
      <c r="C913" s="5" t="s">
        <v>8360</v>
      </c>
      <c r="D913" t="s">
        <v>9246</v>
      </c>
      <c r="E913" s="5" t="s">
        <v>1548</v>
      </c>
      <c r="F913" s="6">
        <v>46036.431250000001</v>
      </c>
      <c r="G913" s="5" t="s">
        <v>7456</v>
      </c>
      <c r="H913" s="5" t="s">
        <v>9247</v>
      </c>
      <c r="I913" s="5" t="s">
        <v>1564</v>
      </c>
      <c r="J913" s="8">
        <v>112</v>
      </c>
      <c r="K913" s="5" t="s">
        <v>4</v>
      </c>
      <c r="L913">
        <f t="shared" si="14"/>
        <v>1</v>
      </c>
    </row>
    <row r="914" spans="1:12" x14ac:dyDescent="0.25">
      <c r="A914" s="5">
        <v>46007</v>
      </c>
      <c r="B914" t="s">
        <v>9248</v>
      </c>
      <c r="C914" s="5" t="s">
        <v>7870</v>
      </c>
      <c r="D914" t="s">
        <v>9249</v>
      </c>
      <c r="E914" s="5" t="s">
        <v>1548</v>
      </c>
      <c r="F914" s="6">
        <v>46036.443055555559</v>
      </c>
      <c r="G914" s="5" t="s">
        <v>7456</v>
      </c>
      <c r="H914" s="5" t="s">
        <v>9250</v>
      </c>
      <c r="I914" s="5" t="s">
        <v>1564</v>
      </c>
      <c r="J914" s="8">
        <v>465</v>
      </c>
      <c r="K914" s="5" t="s">
        <v>4</v>
      </c>
      <c r="L914">
        <f t="shared" si="14"/>
        <v>1</v>
      </c>
    </row>
    <row r="915" spans="1:12" x14ac:dyDescent="0.25">
      <c r="A915" s="5">
        <v>46008</v>
      </c>
      <c r="B915" t="s">
        <v>9251</v>
      </c>
      <c r="C915" s="5" t="s">
        <v>9252</v>
      </c>
      <c r="D915" t="s">
        <v>9253</v>
      </c>
      <c r="E915" s="5" t="s">
        <v>1532</v>
      </c>
      <c r="F915" s="6">
        <v>46036.431250000001</v>
      </c>
      <c r="G915" s="5" t="s">
        <v>7456</v>
      </c>
      <c r="H915" s="5" t="s">
        <v>9254</v>
      </c>
      <c r="I915" s="5" t="s">
        <v>1535</v>
      </c>
      <c r="J915" s="8">
        <v>100</v>
      </c>
      <c r="K915" s="5" t="s">
        <v>4</v>
      </c>
      <c r="L915">
        <f t="shared" si="14"/>
        <v>1</v>
      </c>
    </row>
    <row r="916" spans="1:12" x14ac:dyDescent="0.25">
      <c r="A916" s="5">
        <v>46012</v>
      </c>
      <c r="B916" t="s">
        <v>9255</v>
      </c>
      <c r="C916" s="5" t="s">
        <v>8745</v>
      </c>
      <c r="D916" t="s">
        <v>9256</v>
      </c>
      <c r="E916" s="5" t="s">
        <v>1548</v>
      </c>
      <c r="F916" s="6">
        <v>46036.474305555559</v>
      </c>
      <c r="G916" s="5" t="s">
        <v>7456</v>
      </c>
      <c r="H916" t="s">
        <v>7482</v>
      </c>
      <c r="I916" s="5" t="s">
        <v>1564</v>
      </c>
      <c r="J916" s="8">
        <v>690</v>
      </c>
      <c r="K916" s="5" t="s">
        <v>4</v>
      </c>
      <c r="L916">
        <f t="shared" si="14"/>
        <v>1</v>
      </c>
    </row>
    <row r="917" spans="1:12" x14ac:dyDescent="0.25">
      <c r="A917" s="5">
        <v>46013</v>
      </c>
      <c r="B917" t="s">
        <v>9257</v>
      </c>
      <c r="C917" s="5" t="s">
        <v>9258</v>
      </c>
      <c r="D917" t="s">
        <v>9259</v>
      </c>
      <c r="E917" s="5" t="s">
        <v>1548</v>
      </c>
      <c r="F917" s="6">
        <v>46036.478472222225</v>
      </c>
      <c r="G917" s="5" t="s">
        <v>7456</v>
      </c>
      <c r="H917" t="s">
        <v>7482</v>
      </c>
      <c r="I917" s="5" t="s">
        <v>1564</v>
      </c>
      <c r="J917" s="8">
        <v>114.8</v>
      </c>
      <c r="K917" s="5" t="s">
        <v>4</v>
      </c>
      <c r="L917">
        <f t="shared" si="14"/>
        <v>1</v>
      </c>
    </row>
    <row r="918" spans="1:12" x14ac:dyDescent="0.25">
      <c r="A918" s="5">
        <v>46014</v>
      </c>
      <c r="B918" t="s">
        <v>9260</v>
      </c>
      <c r="C918" s="5" t="s">
        <v>9261</v>
      </c>
      <c r="D918" t="s">
        <v>9262</v>
      </c>
      <c r="E918" s="5" t="s">
        <v>1548</v>
      </c>
      <c r="F918" s="6">
        <v>46036.48541666667</v>
      </c>
      <c r="G918" s="5" t="s">
        <v>7456</v>
      </c>
      <c r="H918" t="s">
        <v>7482</v>
      </c>
      <c r="I918" s="5" t="s">
        <v>1564</v>
      </c>
      <c r="J918" s="8">
        <v>4497.5</v>
      </c>
      <c r="K918" s="5" t="s">
        <v>4</v>
      </c>
      <c r="L918">
        <f t="shared" si="14"/>
        <v>1</v>
      </c>
    </row>
    <row r="919" spans="1:12" x14ac:dyDescent="0.25">
      <c r="A919" s="5">
        <v>46015</v>
      </c>
      <c r="B919" t="s">
        <v>8860</v>
      </c>
      <c r="C919" s="5" t="s">
        <v>1266</v>
      </c>
      <c r="D919" t="s">
        <v>8861</v>
      </c>
      <c r="E919" s="5" t="s">
        <v>1548</v>
      </c>
      <c r="F919" s="6">
        <v>46036.512499999997</v>
      </c>
      <c r="G919" s="5" t="s">
        <v>7456</v>
      </c>
      <c r="H919" s="5" t="s">
        <v>9263</v>
      </c>
      <c r="I919" s="5" t="s">
        <v>1564</v>
      </c>
      <c r="J919" s="8">
        <v>86.4</v>
      </c>
      <c r="K919" s="5" t="s">
        <v>4</v>
      </c>
      <c r="L919">
        <f t="shared" si="14"/>
        <v>1</v>
      </c>
    </row>
    <row r="920" spans="1:12" x14ac:dyDescent="0.25">
      <c r="A920" s="5">
        <v>46016</v>
      </c>
      <c r="B920" t="s">
        <v>9264</v>
      </c>
      <c r="C920" s="5" t="s">
        <v>9265</v>
      </c>
      <c r="D920" t="s">
        <v>9266</v>
      </c>
      <c r="E920" s="5" t="s">
        <v>1548</v>
      </c>
      <c r="F920" s="6">
        <v>46036.533333333333</v>
      </c>
      <c r="G920" s="5" t="s">
        <v>7456</v>
      </c>
      <c r="H920" s="5" t="s">
        <v>9267</v>
      </c>
      <c r="I920" s="5" t="s">
        <v>1564</v>
      </c>
      <c r="J920" s="8">
        <v>439.2</v>
      </c>
      <c r="K920" s="5" t="s">
        <v>4</v>
      </c>
      <c r="L920">
        <f t="shared" si="14"/>
        <v>1</v>
      </c>
    </row>
    <row r="921" spans="1:12" x14ac:dyDescent="0.25">
      <c r="A921" s="5">
        <v>46018</v>
      </c>
      <c r="B921" t="s">
        <v>9268</v>
      </c>
      <c r="C921" s="5" t="s">
        <v>7516</v>
      </c>
      <c r="D921" t="s">
        <v>9269</v>
      </c>
      <c r="E921" s="5" t="s">
        <v>3592</v>
      </c>
      <c r="F921" s="6">
        <v>46036.602083333331</v>
      </c>
      <c r="G921" s="5" t="s">
        <v>7456</v>
      </c>
      <c r="H921" s="5" t="s">
        <v>9270</v>
      </c>
      <c r="I921" s="5" t="s">
        <v>1621</v>
      </c>
      <c r="J921" s="8">
        <v>311.89</v>
      </c>
      <c r="K921" s="5" t="s">
        <v>4</v>
      </c>
      <c r="L921">
        <f t="shared" si="14"/>
        <v>1</v>
      </c>
    </row>
    <row r="922" spans="1:12" x14ac:dyDescent="0.25">
      <c r="A922" s="5">
        <v>46019</v>
      </c>
      <c r="B922" t="s">
        <v>9268</v>
      </c>
      <c r="C922" s="5" t="s">
        <v>7516</v>
      </c>
      <c r="D922" t="s">
        <v>9269</v>
      </c>
      <c r="E922" s="5" t="s">
        <v>7319</v>
      </c>
      <c r="F922" s="6">
        <v>46036.609722222223</v>
      </c>
      <c r="G922" s="5" t="s">
        <v>7456</v>
      </c>
      <c r="H922" s="5" t="s">
        <v>9271</v>
      </c>
      <c r="I922" s="5" t="s">
        <v>1621</v>
      </c>
      <c r="J922" s="8">
        <v>15.98</v>
      </c>
      <c r="K922" s="5" t="s">
        <v>4</v>
      </c>
      <c r="L922">
        <f t="shared" si="14"/>
        <v>1</v>
      </c>
    </row>
    <row r="923" spans="1:12" x14ac:dyDescent="0.25">
      <c r="A923" s="5">
        <v>46021</v>
      </c>
      <c r="B923" t="s">
        <v>9272</v>
      </c>
      <c r="C923" s="5" t="s">
        <v>9273</v>
      </c>
      <c r="D923" t="s">
        <v>9274</v>
      </c>
      <c r="E923" s="5" t="s">
        <v>4329</v>
      </c>
      <c r="F923" s="6">
        <v>46036.616666666669</v>
      </c>
      <c r="G923" s="5" t="s">
        <v>7456</v>
      </c>
      <c r="H923" s="5" t="s">
        <v>9275</v>
      </c>
      <c r="I923" s="5" t="s">
        <v>1621</v>
      </c>
      <c r="J923" s="8">
        <v>215.07</v>
      </c>
      <c r="K923" s="5" t="s">
        <v>4</v>
      </c>
      <c r="L923">
        <f t="shared" si="14"/>
        <v>1</v>
      </c>
    </row>
    <row r="924" spans="1:12" x14ac:dyDescent="0.25">
      <c r="A924" s="5">
        <v>46022</v>
      </c>
      <c r="B924" t="s">
        <v>9276</v>
      </c>
      <c r="C924" s="5" t="s">
        <v>448</v>
      </c>
      <c r="D924" t="s">
        <v>9277</v>
      </c>
      <c r="E924" s="5" t="s">
        <v>5822</v>
      </c>
      <c r="F924" s="6">
        <v>46036.627083333333</v>
      </c>
      <c r="G924" s="5" t="s">
        <v>7456</v>
      </c>
      <c r="H924" s="5" t="s">
        <v>9278</v>
      </c>
      <c r="I924" s="5" t="s">
        <v>1621</v>
      </c>
      <c r="J924" s="8">
        <v>105.12</v>
      </c>
      <c r="K924" s="5" t="s">
        <v>4</v>
      </c>
      <c r="L924">
        <f t="shared" si="14"/>
        <v>1</v>
      </c>
    </row>
    <row r="925" spans="1:12" x14ac:dyDescent="0.25">
      <c r="A925" s="5">
        <v>46023</v>
      </c>
      <c r="B925" t="s">
        <v>9279</v>
      </c>
      <c r="C925" s="5" t="s">
        <v>9280</v>
      </c>
      <c r="D925" t="s">
        <v>9281</v>
      </c>
      <c r="E925" s="5" t="s">
        <v>1548</v>
      </c>
      <c r="F925" s="6">
        <v>46036.638888888891</v>
      </c>
      <c r="G925" s="5" t="s">
        <v>7456</v>
      </c>
      <c r="H925" t="s">
        <v>7482</v>
      </c>
      <c r="I925" s="5" t="s">
        <v>1564</v>
      </c>
      <c r="J925" s="8">
        <v>1233.3</v>
      </c>
      <c r="K925" s="5" t="s">
        <v>4</v>
      </c>
      <c r="L925">
        <f t="shared" si="14"/>
        <v>1</v>
      </c>
    </row>
    <row r="926" spans="1:12" x14ac:dyDescent="0.25">
      <c r="A926" s="5">
        <v>46024</v>
      </c>
      <c r="B926" t="s">
        <v>9282</v>
      </c>
      <c r="C926" s="5" t="s">
        <v>470</v>
      </c>
      <c r="D926" t="s">
        <v>9283</v>
      </c>
      <c r="E926" s="5" t="s">
        <v>3637</v>
      </c>
      <c r="F926" s="6">
        <v>46036.643750000003</v>
      </c>
      <c r="G926" s="5" t="s">
        <v>7456</v>
      </c>
      <c r="H926" s="5" t="s">
        <v>9284</v>
      </c>
      <c r="I926" s="5" t="s">
        <v>1621</v>
      </c>
      <c r="J926" s="8">
        <v>306.04000000000002</v>
      </c>
      <c r="K926" s="5" t="s">
        <v>4</v>
      </c>
      <c r="L926">
        <f t="shared" si="14"/>
        <v>1</v>
      </c>
    </row>
    <row r="927" spans="1:12" x14ac:dyDescent="0.25">
      <c r="A927" s="5">
        <v>46025</v>
      </c>
      <c r="B927" t="s">
        <v>8789</v>
      </c>
      <c r="C927" s="5" t="s">
        <v>9285</v>
      </c>
      <c r="D927" t="s">
        <v>8791</v>
      </c>
      <c r="E927" s="5" t="s">
        <v>1548</v>
      </c>
      <c r="F927" s="6">
        <v>46036.648611111108</v>
      </c>
      <c r="G927" s="5" t="s">
        <v>7456</v>
      </c>
      <c r="H927" s="5" t="s">
        <v>9286</v>
      </c>
      <c r="I927" s="5" t="s">
        <v>1564</v>
      </c>
      <c r="J927" s="8">
        <v>317</v>
      </c>
      <c r="K927" s="5" t="s">
        <v>4</v>
      </c>
      <c r="L927">
        <f t="shared" si="14"/>
        <v>1</v>
      </c>
    </row>
    <row r="928" spans="1:12" x14ac:dyDescent="0.25">
      <c r="A928" s="5">
        <v>46026</v>
      </c>
      <c r="B928" t="s">
        <v>9287</v>
      </c>
      <c r="C928" s="5" t="s">
        <v>9288</v>
      </c>
      <c r="D928" t="s">
        <v>9289</v>
      </c>
      <c r="E928" s="5" t="s">
        <v>5326</v>
      </c>
      <c r="F928" s="6">
        <v>46036.652083333334</v>
      </c>
      <c r="G928" s="5" t="s">
        <v>7456</v>
      </c>
      <c r="H928" s="5" t="s">
        <v>9290</v>
      </c>
      <c r="I928" s="5" t="s">
        <v>1621</v>
      </c>
      <c r="J928" s="8">
        <v>134.19999999999999</v>
      </c>
      <c r="K928" s="5" t="s">
        <v>4</v>
      </c>
      <c r="L928">
        <f t="shared" si="14"/>
        <v>1</v>
      </c>
    </row>
    <row r="929" spans="1:12" x14ac:dyDescent="0.25">
      <c r="A929" s="5">
        <v>46027</v>
      </c>
      <c r="B929" t="s">
        <v>8965</v>
      </c>
      <c r="C929" s="5" t="s">
        <v>9291</v>
      </c>
      <c r="D929" t="s">
        <v>8966</v>
      </c>
      <c r="E929" s="5" t="s">
        <v>1548</v>
      </c>
      <c r="F929" s="6">
        <v>46036.664583333331</v>
      </c>
      <c r="G929" s="5" t="s">
        <v>7595</v>
      </c>
      <c r="H929" t="s">
        <v>7482</v>
      </c>
      <c r="I929" s="5" t="s">
        <v>1535</v>
      </c>
      <c r="J929" s="8">
        <v>948</v>
      </c>
      <c r="K929" s="5" t="s">
        <v>4</v>
      </c>
      <c r="L929">
        <f t="shared" si="14"/>
        <v>1</v>
      </c>
    </row>
    <row r="930" spans="1:12" x14ac:dyDescent="0.25">
      <c r="A930" s="5">
        <v>46028</v>
      </c>
      <c r="B930" t="s">
        <v>9292</v>
      </c>
      <c r="C930" s="5" t="s">
        <v>7516</v>
      </c>
      <c r="D930" t="s">
        <v>9293</v>
      </c>
      <c r="E930" s="5" t="s">
        <v>1548</v>
      </c>
      <c r="F930" s="6">
        <v>46036.675694444442</v>
      </c>
      <c r="G930" s="5" t="s">
        <v>7595</v>
      </c>
      <c r="H930" t="s">
        <v>7482</v>
      </c>
      <c r="I930" s="5" t="s">
        <v>1564</v>
      </c>
      <c r="J930" s="8">
        <v>462.5</v>
      </c>
      <c r="K930" s="5" t="s">
        <v>4</v>
      </c>
      <c r="L930">
        <f t="shared" si="14"/>
        <v>1</v>
      </c>
    </row>
    <row r="931" spans="1:12" x14ac:dyDescent="0.25">
      <c r="A931" s="5">
        <v>46029</v>
      </c>
      <c r="B931" t="s">
        <v>9294</v>
      </c>
      <c r="C931" s="5" t="s">
        <v>657</v>
      </c>
      <c r="D931" t="s">
        <v>9295</v>
      </c>
      <c r="E931" s="5" t="s">
        <v>5320</v>
      </c>
      <c r="F931" s="6">
        <v>46036.677777777775</v>
      </c>
      <c r="G931" s="5" t="s">
        <v>7456</v>
      </c>
      <c r="H931" s="5" t="s">
        <v>9296</v>
      </c>
      <c r="I931" s="5" t="s">
        <v>1621</v>
      </c>
      <c r="J931" s="8">
        <v>134.94</v>
      </c>
      <c r="K931" s="5" t="s">
        <v>4</v>
      </c>
      <c r="L931">
        <f t="shared" si="14"/>
        <v>1</v>
      </c>
    </row>
    <row r="932" spans="1:12" x14ac:dyDescent="0.25">
      <c r="A932" s="5">
        <v>46031</v>
      </c>
      <c r="B932" t="s">
        <v>8965</v>
      </c>
      <c r="C932" s="5" t="s">
        <v>9297</v>
      </c>
      <c r="D932" t="s">
        <v>8966</v>
      </c>
      <c r="E932" s="5" t="s">
        <v>3864</v>
      </c>
      <c r="F932" s="6">
        <v>46036.688888888886</v>
      </c>
      <c r="G932" s="5" t="s">
        <v>7456</v>
      </c>
      <c r="H932" s="5" t="s">
        <v>9298</v>
      </c>
      <c r="I932" s="5" t="s">
        <v>1535</v>
      </c>
      <c r="J932" s="8">
        <v>275.10000000000002</v>
      </c>
      <c r="K932" s="5" t="s">
        <v>4</v>
      </c>
      <c r="L932">
        <f t="shared" si="14"/>
        <v>1</v>
      </c>
    </row>
    <row r="933" spans="1:12" x14ac:dyDescent="0.25">
      <c r="A933" s="5">
        <v>46032</v>
      </c>
      <c r="B933" t="s">
        <v>9299</v>
      </c>
      <c r="C933" s="5" t="s">
        <v>9300</v>
      </c>
      <c r="D933" t="s">
        <v>9301</v>
      </c>
      <c r="E933" s="5" t="s">
        <v>1548</v>
      </c>
      <c r="F933" s="6">
        <v>46036.7</v>
      </c>
      <c r="G933" s="5" t="s">
        <v>7456</v>
      </c>
      <c r="H933" s="5" t="s">
        <v>9302</v>
      </c>
      <c r="I933" s="5" t="s">
        <v>1564</v>
      </c>
      <c r="J933" s="8">
        <v>258.95999999999998</v>
      </c>
      <c r="K933" s="5" t="s">
        <v>4</v>
      </c>
      <c r="L933">
        <f t="shared" si="14"/>
        <v>1</v>
      </c>
    </row>
    <row r="934" spans="1:12" x14ac:dyDescent="0.25">
      <c r="A934" s="5">
        <v>46036</v>
      </c>
      <c r="B934" t="s">
        <v>9226</v>
      </c>
      <c r="C934" s="5" t="s">
        <v>9227</v>
      </c>
      <c r="D934" t="s">
        <v>9228</v>
      </c>
      <c r="E934" s="5" t="s">
        <v>9303</v>
      </c>
      <c r="F934" s="6">
        <v>46036.740972222222</v>
      </c>
      <c r="G934" s="5" t="s">
        <v>7456</v>
      </c>
      <c r="H934" s="5" t="s">
        <v>9304</v>
      </c>
      <c r="I934" s="5" t="s">
        <v>1621</v>
      </c>
      <c r="J934" s="8">
        <v>0</v>
      </c>
      <c r="K934" s="5" t="s">
        <v>4</v>
      </c>
      <c r="L934">
        <f t="shared" si="14"/>
        <v>1</v>
      </c>
    </row>
    <row r="935" spans="1:12" x14ac:dyDescent="0.25">
      <c r="A935" s="5">
        <v>46037</v>
      </c>
      <c r="B935" t="s">
        <v>9305</v>
      </c>
      <c r="C935" s="5" t="s">
        <v>9306</v>
      </c>
      <c r="D935" t="s">
        <v>9307</v>
      </c>
      <c r="E935" s="5" t="s">
        <v>1548</v>
      </c>
      <c r="F935" s="6">
        <v>46037.386805555558</v>
      </c>
      <c r="G935" s="5" t="s">
        <v>7456</v>
      </c>
      <c r="H935" s="5" t="s">
        <v>9308</v>
      </c>
      <c r="I935" s="5" t="s">
        <v>1564</v>
      </c>
      <c r="J935" s="8">
        <v>768</v>
      </c>
      <c r="K935" s="5" t="s">
        <v>4</v>
      </c>
      <c r="L935">
        <f t="shared" si="14"/>
        <v>1</v>
      </c>
    </row>
    <row r="936" spans="1:12" x14ac:dyDescent="0.25">
      <c r="A936" s="5">
        <v>46038</v>
      </c>
      <c r="B936" t="s">
        <v>9309</v>
      </c>
      <c r="C936" s="5" t="s">
        <v>9310</v>
      </c>
      <c r="D936" t="s">
        <v>9311</v>
      </c>
      <c r="E936" s="5" t="s">
        <v>1548</v>
      </c>
      <c r="F936" s="6">
        <v>46037.390972222223</v>
      </c>
      <c r="G936" s="5" t="s">
        <v>7456</v>
      </c>
      <c r="H936" s="5" t="s">
        <v>9312</v>
      </c>
      <c r="I936" s="5" t="s">
        <v>1564</v>
      </c>
      <c r="J936" s="8">
        <v>194.9</v>
      </c>
      <c r="K936" s="5" t="s">
        <v>4</v>
      </c>
      <c r="L936">
        <f t="shared" si="14"/>
        <v>1</v>
      </c>
    </row>
    <row r="937" spans="1:12" x14ac:dyDescent="0.25">
      <c r="A937" s="5">
        <v>46039</v>
      </c>
      <c r="B937" t="s">
        <v>9313</v>
      </c>
      <c r="C937" s="5" t="s">
        <v>8122</v>
      </c>
      <c r="D937" t="s">
        <v>9314</v>
      </c>
      <c r="E937" s="5" t="s">
        <v>1548</v>
      </c>
      <c r="F937" s="6">
        <v>46037.40347222222</v>
      </c>
      <c r="G937" s="5" t="s">
        <v>7456</v>
      </c>
      <c r="H937" s="5" t="s">
        <v>9315</v>
      </c>
      <c r="I937" s="5" t="s">
        <v>1564</v>
      </c>
      <c r="J937" s="8">
        <v>243</v>
      </c>
      <c r="K937" s="5" t="s">
        <v>4</v>
      </c>
      <c r="L937">
        <f t="shared" si="14"/>
        <v>1</v>
      </c>
    </row>
    <row r="938" spans="1:12" x14ac:dyDescent="0.25">
      <c r="A938" s="5">
        <v>46041</v>
      </c>
      <c r="B938" t="s">
        <v>9316</v>
      </c>
      <c r="C938" s="5" t="s">
        <v>9317</v>
      </c>
      <c r="D938" t="s">
        <v>9318</v>
      </c>
      <c r="E938" s="5" t="s">
        <v>1548</v>
      </c>
      <c r="F938" s="6">
        <v>46037.431250000001</v>
      </c>
      <c r="G938" s="5" t="s">
        <v>7456</v>
      </c>
      <c r="H938" s="5" t="s">
        <v>9319</v>
      </c>
      <c r="I938" s="5" t="s">
        <v>1564</v>
      </c>
      <c r="J938" s="8">
        <v>566.6</v>
      </c>
      <c r="K938" s="5" t="s">
        <v>4</v>
      </c>
      <c r="L938">
        <f t="shared" si="14"/>
        <v>1</v>
      </c>
    </row>
    <row r="939" spans="1:12" x14ac:dyDescent="0.25">
      <c r="A939" s="5">
        <v>46042</v>
      </c>
      <c r="B939" t="s">
        <v>9320</v>
      </c>
      <c r="C939" s="5" t="s">
        <v>9321</v>
      </c>
      <c r="D939" t="s">
        <v>9322</v>
      </c>
      <c r="E939" s="5" t="s">
        <v>1548</v>
      </c>
      <c r="F939" s="6">
        <v>46037.445833333331</v>
      </c>
      <c r="G939" s="5" t="s">
        <v>7456</v>
      </c>
      <c r="H939" t="s">
        <v>7482</v>
      </c>
      <c r="I939" s="5" t="s">
        <v>1564</v>
      </c>
      <c r="J939" s="8">
        <v>175</v>
      </c>
      <c r="K939" s="5" t="s">
        <v>4</v>
      </c>
      <c r="L939">
        <f t="shared" si="14"/>
        <v>1</v>
      </c>
    </row>
    <row r="940" spans="1:12" x14ac:dyDescent="0.25">
      <c r="A940" s="5">
        <v>46043</v>
      </c>
      <c r="B940" t="s">
        <v>9323</v>
      </c>
      <c r="C940" s="5" t="s">
        <v>9324</v>
      </c>
      <c r="D940" t="s">
        <v>9325</v>
      </c>
      <c r="E940" s="5" t="s">
        <v>1548</v>
      </c>
      <c r="F940" s="6">
        <v>46037.470138888886</v>
      </c>
      <c r="G940" s="5" t="s">
        <v>7456</v>
      </c>
      <c r="H940" s="5" t="s">
        <v>9326</v>
      </c>
      <c r="I940" s="5" t="s">
        <v>1535</v>
      </c>
      <c r="J940" s="8">
        <v>970</v>
      </c>
      <c r="K940" s="5" t="s">
        <v>4</v>
      </c>
      <c r="L940">
        <f t="shared" si="14"/>
        <v>1</v>
      </c>
    </row>
    <row r="941" spans="1:12" x14ac:dyDescent="0.25">
      <c r="A941" s="5">
        <v>46044</v>
      </c>
      <c r="B941" t="s">
        <v>9327</v>
      </c>
      <c r="C941" s="5" t="s">
        <v>9328</v>
      </c>
      <c r="D941" t="s">
        <v>9329</v>
      </c>
      <c r="E941" s="5" t="s">
        <v>1548</v>
      </c>
      <c r="F941" s="6">
        <v>46037.477083333331</v>
      </c>
      <c r="G941" s="5" t="s">
        <v>7456</v>
      </c>
      <c r="H941" t="s">
        <v>7482</v>
      </c>
      <c r="I941" s="5" t="s">
        <v>1564</v>
      </c>
      <c r="J941" s="8">
        <v>378</v>
      </c>
      <c r="K941" s="5" t="s">
        <v>4</v>
      </c>
      <c r="L941">
        <f t="shared" si="14"/>
        <v>1</v>
      </c>
    </row>
    <row r="942" spans="1:12" x14ac:dyDescent="0.25">
      <c r="A942" s="5">
        <v>46045</v>
      </c>
      <c r="B942" t="s">
        <v>9330</v>
      </c>
      <c r="C942" s="5" t="s">
        <v>9331</v>
      </c>
      <c r="D942" t="s">
        <v>9332</v>
      </c>
      <c r="E942" s="5" t="s">
        <v>1548</v>
      </c>
      <c r="F942" s="6">
        <v>46037.512499999997</v>
      </c>
      <c r="G942" s="5" t="s">
        <v>7456</v>
      </c>
      <c r="H942" t="s">
        <v>7482</v>
      </c>
      <c r="I942" s="5" t="s">
        <v>1564</v>
      </c>
      <c r="J942" s="8">
        <v>397.12</v>
      </c>
      <c r="K942" s="5" t="s">
        <v>4</v>
      </c>
      <c r="L942">
        <f t="shared" si="14"/>
        <v>1</v>
      </c>
    </row>
    <row r="943" spans="1:12" x14ac:dyDescent="0.25">
      <c r="A943" s="5">
        <v>46046</v>
      </c>
      <c r="B943" t="s">
        <v>8965</v>
      </c>
      <c r="C943" s="5" t="s">
        <v>9333</v>
      </c>
      <c r="D943" t="s">
        <v>8966</v>
      </c>
      <c r="E943" s="5" t="s">
        <v>3431</v>
      </c>
      <c r="F943" s="6">
        <v>46037.583333333336</v>
      </c>
      <c r="G943" s="5" t="s">
        <v>7456</v>
      </c>
      <c r="H943" s="5" t="s">
        <v>9334</v>
      </c>
      <c r="I943" s="5" t="s">
        <v>1535</v>
      </c>
      <c r="J943" s="8">
        <v>332.5</v>
      </c>
      <c r="K943" s="5" t="s">
        <v>4</v>
      </c>
      <c r="L943">
        <f t="shared" si="14"/>
        <v>1</v>
      </c>
    </row>
    <row r="944" spans="1:12" x14ac:dyDescent="0.25">
      <c r="A944" s="5">
        <v>46049</v>
      </c>
      <c r="B944" t="s">
        <v>9335</v>
      </c>
      <c r="C944" s="5" t="s">
        <v>9336</v>
      </c>
      <c r="D944" t="s">
        <v>9337</v>
      </c>
      <c r="E944" s="5" t="s">
        <v>1813</v>
      </c>
      <c r="F944" s="6">
        <v>46037.603472222225</v>
      </c>
      <c r="G944" s="5" t="s">
        <v>7595</v>
      </c>
      <c r="H944" t="s">
        <v>7482</v>
      </c>
      <c r="I944" s="5" t="s">
        <v>1535</v>
      </c>
      <c r="J944" s="8">
        <v>779.8</v>
      </c>
      <c r="K944" s="5" t="s">
        <v>4</v>
      </c>
      <c r="L944">
        <f t="shared" si="14"/>
        <v>1</v>
      </c>
    </row>
    <row r="945" spans="1:12" x14ac:dyDescent="0.25">
      <c r="A945" s="5">
        <v>46050</v>
      </c>
      <c r="B945" t="s">
        <v>9338</v>
      </c>
      <c r="C945" s="5" t="s">
        <v>7516</v>
      </c>
      <c r="D945" t="s">
        <v>9339</v>
      </c>
      <c r="E945" s="5" t="s">
        <v>3445</v>
      </c>
      <c r="F945" s="6">
        <v>46037.609027777777</v>
      </c>
      <c r="G945" s="5" t="s">
        <v>7456</v>
      </c>
      <c r="H945" s="5" t="s">
        <v>9340</v>
      </c>
      <c r="I945" s="5" t="s">
        <v>1564</v>
      </c>
      <c r="J945" s="8">
        <v>330</v>
      </c>
      <c r="K945" s="5" t="s">
        <v>4</v>
      </c>
      <c r="L945">
        <f t="shared" si="14"/>
        <v>1</v>
      </c>
    </row>
    <row r="946" spans="1:12" x14ac:dyDescent="0.25">
      <c r="A946" s="5">
        <v>46051</v>
      </c>
      <c r="B946" t="s">
        <v>9341</v>
      </c>
      <c r="C946" s="5" t="s">
        <v>774</v>
      </c>
      <c r="D946" t="s">
        <v>9342</v>
      </c>
      <c r="E946" s="5" t="s">
        <v>4999</v>
      </c>
      <c r="F946" s="6">
        <v>46037.602083333331</v>
      </c>
      <c r="G946" s="5" t="s">
        <v>7456</v>
      </c>
      <c r="H946" s="5" t="s">
        <v>9343</v>
      </c>
      <c r="I946" s="5" t="s">
        <v>1621</v>
      </c>
      <c r="J946" s="8">
        <v>153.13</v>
      </c>
      <c r="K946" s="5" t="s">
        <v>4</v>
      </c>
      <c r="L946">
        <f t="shared" si="14"/>
        <v>1</v>
      </c>
    </row>
    <row r="947" spans="1:12" x14ac:dyDescent="0.25">
      <c r="A947" s="5">
        <v>46052</v>
      </c>
      <c r="B947" t="s">
        <v>9344</v>
      </c>
      <c r="C947" s="5" t="s">
        <v>9345</v>
      </c>
      <c r="D947" t="s">
        <v>9346</v>
      </c>
      <c r="E947" s="5" t="s">
        <v>4166</v>
      </c>
      <c r="F947" s="6">
        <v>46037.613888888889</v>
      </c>
      <c r="G947" s="5" t="s">
        <v>7456</v>
      </c>
      <c r="H947" s="5" t="s">
        <v>9347</v>
      </c>
      <c r="I947" s="5" t="s">
        <v>1621</v>
      </c>
      <c r="J947" s="8">
        <v>233.72</v>
      </c>
      <c r="K947" s="5" t="s">
        <v>4</v>
      </c>
      <c r="L947">
        <f t="shared" si="14"/>
        <v>1</v>
      </c>
    </row>
    <row r="948" spans="1:12" x14ac:dyDescent="0.25">
      <c r="A948" s="5">
        <v>46053</v>
      </c>
      <c r="B948" t="s">
        <v>9348</v>
      </c>
      <c r="C948" s="5" t="s">
        <v>9349</v>
      </c>
      <c r="D948" t="s">
        <v>9350</v>
      </c>
      <c r="E948" s="5" t="s">
        <v>1532</v>
      </c>
      <c r="F948" s="6">
        <v>46037.619444444441</v>
      </c>
      <c r="G948" s="5" t="s">
        <v>7456</v>
      </c>
      <c r="H948" s="5" t="s">
        <v>9351</v>
      </c>
      <c r="I948" s="5" t="s">
        <v>1535</v>
      </c>
      <c r="J948" s="8">
        <v>442</v>
      </c>
      <c r="K948" s="5" t="s">
        <v>4</v>
      </c>
      <c r="L948">
        <f t="shared" si="14"/>
        <v>1</v>
      </c>
    </row>
    <row r="949" spans="1:12" x14ac:dyDescent="0.25">
      <c r="A949" s="5">
        <v>46057</v>
      </c>
      <c r="B949" t="s">
        <v>8965</v>
      </c>
      <c r="C949" s="5" t="s">
        <v>9154</v>
      </c>
      <c r="D949" t="s">
        <v>8966</v>
      </c>
      <c r="E949" s="5" t="s">
        <v>1548</v>
      </c>
      <c r="F949" s="6">
        <v>46037.645138888889</v>
      </c>
      <c r="G949" s="5" t="s">
        <v>7595</v>
      </c>
      <c r="H949" t="s">
        <v>7482</v>
      </c>
      <c r="I949" s="5" t="s">
        <v>1535</v>
      </c>
      <c r="J949" s="8">
        <v>240</v>
      </c>
      <c r="K949" s="5" t="s">
        <v>4</v>
      </c>
      <c r="L949">
        <f t="shared" si="14"/>
        <v>1</v>
      </c>
    </row>
    <row r="950" spans="1:12" x14ac:dyDescent="0.25">
      <c r="A950" s="5">
        <v>46058</v>
      </c>
      <c r="B950" t="s">
        <v>8965</v>
      </c>
      <c r="C950" s="5" t="s">
        <v>9154</v>
      </c>
      <c r="D950" t="s">
        <v>8966</v>
      </c>
      <c r="E950" s="5" t="s">
        <v>1548</v>
      </c>
      <c r="F950" s="6">
        <v>46037.647916666669</v>
      </c>
      <c r="G950" s="5" t="s">
        <v>7595</v>
      </c>
      <c r="H950" t="s">
        <v>7482</v>
      </c>
      <c r="I950" s="5" t="s">
        <v>1535</v>
      </c>
      <c r="J950" s="8">
        <v>1950</v>
      </c>
      <c r="K950" s="5" t="s">
        <v>4</v>
      </c>
      <c r="L950">
        <f t="shared" si="14"/>
        <v>1</v>
      </c>
    </row>
    <row r="951" spans="1:12" x14ac:dyDescent="0.25">
      <c r="A951" s="5">
        <v>46059</v>
      </c>
      <c r="B951" t="s">
        <v>9352</v>
      </c>
      <c r="C951" s="5" t="s">
        <v>9353</v>
      </c>
      <c r="D951" t="s">
        <v>9354</v>
      </c>
      <c r="E951" s="5" t="s">
        <v>1548</v>
      </c>
      <c r="F951" s="6">
        <v>46037.654861111114</v>
      </c>
      <c r="G951" s="5" t="s">
        <v>7456</v>
      </c>
      <c r="H951" s="5" t="s">
        <v>9355</v>
      </c>
      <c r="I951" s="5" t="s">
        <v>1564</v>
      </c>
      <c r="J951" s="8">
        <v>171.3</v>
      </c>
      <c r="K951" s="5" t="s">
        <v>4</v>
      </c>
      <c r="L951">
        <f t="shared" si="14"/>
        <v>1</v>
      </c>
    </row>
    <row r="952" spans="1:12" x14ac:dyDescent="0.25">
      <c r="A952" s="5">
        <v>46061</v>
      </c>
      <c r="B952" t="s">
        <v>9356</v>
      </c>
      <c r="C952" s="5" t="s">
        <v>9357</v>
      </c>
      <c r="D952" t="s">
        <v>9358</v>
      </c>
      <c r="E952" s="5" t="s">
        <v>1548</v>
      </c>
      <c r="F952" s="6">
        <v>46037.670138888891</v>
      </c>
      <c r="G952" s="5" t="s">
        <v>7456</v>
      </c>
      <c r="H952" s="5" t="s">
        <v>9359</v>
      </c>
      <c r="I952" s="5" t="s">
        <v>1564</v>
      </c>
      <c r="J952" s="8">
        <v>135</v>
      </c>
      <c r="K952" s="5" t="s">
        <v>4</v>
      </c>
      <c r="L952">
        <f t="shared" si="14"/>
        <v>1</v>
      </c>
    </row>
    <row r="953" spans="1:12" x14ac:dyDescent="0.25">
      <c r="A953" s="5">
        <v>46062</v>
      </c>
      <c r="B953" t="s">
        <v>9360</v>
      </c>
      <c r="C953" s="5" t="s">
        <v>9361</v>
      </c>
      <c r="D953" t="s">
        <v>9362</v>
      </c>
      <c r="E953" s="5" t="s">
        <v>1548</v>
      </c>
      <c r="F953" s="6">
        <v>46037.675000000003</v>
      </c>
      <c r="G953" s="5" t="s">
        <v>7456</v>
      </c>
      <c r="H953" s="5" t="s">
        <v>9363</v>
      </c>
      <c r="I953" s="5" t="s">
        <v>1564</v>
      </c>
      <c r="J953" s="8">
        <v>253</v>
      </c>
      <c r="K953" s="5" t="s">
        <v>4</v>
      </c>
      <c r="L953">
        <f t="shared" si="14"/>
        <v>1</v>
      </c>
    </row>
    <row r="954" spans="1:12" x14ac:dyDescent="0.25">
      <c r="A954" s="5">
        <v>46063</v>
      </c>
      <c r="B954" t="s">
        <v>9364</v>
      </c>
      <c r="C954" s="5" t="s">
        <v>58</v>
      </c>
      <c r="D954" t="s">
        <v>9365</v>
      </c>
      <c r="E954" s="5" t="s">
        <v>5809</v>
      </c>
      <c r="F954" s="6">
        <v>46037.685416666667</v>
      </c>
      <c r="G954" s="5" t="s">
        <v>7456</v>
      </c>
      <c r="H954" s="5" t="s">
        <v>9366</v>
      </c>
      <c r="I954" s="5" t="s">
        <v>1621</v>
      </c>
      <c r="J954" s="8">
        <v>106.41</v>
      </c>
      <c r="K954" s="5" t="s">
        <v>4</v>
      </c>
      <c r="L954">
        <f t="shared" si="14"/>
        <v>1</v>
      </c>
    </row>
    <row r="955" spans="1:12" x14ac:dyDescent="0.25">
      <c r="A955" s="5">
        <v>46064</v>
      </c>
      <c r="B955" t="s">
        <v>9367</v>
      </c>
      <c r="C955" s="5" t="s">
        <v>9368</v>
      </c>
      <c r="D955" t="s">
        <v>9369</v>
      </c>
      <c r="E955" s="5" t="s">
        <v>1548</v>
      </c>
      <c r="F955" s="6">
        <v>46037.709722222222</v>
      </c>
      <c r="G955" s="5" t="s">
        <v>7456</v>
      </c>
      <c r="H955" s="5" t="s">
        <v>9370</v>
      </c>
      <c r="I955" s="5" t="s">
        <v>1564</v>
      </c>
      <c r="J955" s="8">
        <v>352.5</v>
      </c>
      <c r="K955" s="5" t="s">
        <v>4</v>
      </c>
      <c r="L955">
        <f t="shared" si="14"/>
        <v>1</v>
      </c>
    </row>
    <row r="956" spans="1:12" x14ac:dyDescent="0.25">
      <c r="A956" s="5">
        <v>46066</v>
      </c>
      <c r="B956" t="s">
        <v>9371</v>
      </c>
      <c r="C956" s="5" t="s">
        <v>9372</v>
      </c>
      <c r="D956" t="s">
        <v>9373</v>
      </c>
      <c r="E956" s="5" t="s">
        <v>1548</v>
      </c>
      <c r="F956" s="6">
        <v>46037.722222222219</v>
      </c>
      <c r="G956" s="5" t="s">
        <v>7456</v>
      </c>
      <c r="H956" s="5" t="s">
        <v>7522</v>
      </c>
      <c r="I956" s="5" t="s">
        <v>1564</v>
      </c>
      <c r="J956" s="8">
        <v>535</v>
      </c>
      <c r="K956" s="5" t="s">
        <v>4</v>
      </c>
      <c r="L956">
        <f t="shared" si="14"/>
        <v>1</v>
      </c>
    </row>
    <row r="957" spans="1:12" x14ac:dyDescent="0.25">
      <c r="A957" s="5">
        <v>46068</v>
      </c>
      <c r="B957" t="s">
        <v>9374</v>
      </c>
      <c r="C957" s="5" t="s">
        <v>9375</v>
      </c>
      <c r="D957" t="s">
        <v>9376</v>
      </c>
      <c r="E957" s="5" t="s">
        <v>1548</v>
      </c>
      <c r="F957" s="6">
        <v>46038.365972222222</v>
      </c>
      <c r="G957" s="5" t="s">
        <v>7456</v>
      </c>
      <c r="H957" s="5" t="s">
        <v>9377</v>
      </c>
      <c r="I957" s="5" t="s">
        <v>1564</v>
      </c>
      <c r="J957" s="8">
        <v>475</v>
      </c>
      <c r="K957" s="5" t="s">
        <v>4</v>
      </c>
      <c r="L957">
        <f t="shared" si="14"/>
        <v>1</v>
      </c>
    </row>
    <row r="958" spans="1:12" x14ac:dyDescent="0.25">
      <c r="A958" s="5">
        <v>46069</v>
      </c>
      <c r="B958" t="s">
        <v>9378</v>
      </c>
      <c r="C958" s="5" t="s">
        <v>9379</v>
      </c>
      <c r="D958" t="s">
        <v>9380</v>
      </c>
      <c r="E958" s="5" t="s">
        <v>1548</v>
      </c>
      <c r="F958" s="6">
        <v>46038.384027777778</v>
      </c>
      <c r="G958" s="5" t="s">
        <v>7456</v>
      </c>
      <c r="H958" s="5" t="s">
        <v>9381</v>
      </c>
      <c r="I958" s="5" t="s">
        <v>1564</v>
      </c>
      <c r="J958" s="8">
        <v>4692.5</v>
      </c>
      <c r="K958" s="5" t="s">
        <v>4</v>
      </c>
      <c r="L958">
        <f t="shared" si="14"/>
        <v>1</v>
      </c>
    </row>
    <row r="959" spans="1:12" x14ac:dyDescent="0.25">
      <c r="A959" s="5">
        <v>46070</v>
      </c>
      <c r="B959" t="s">
        <v>9382</v>
      </c>
      <c r="C959" s="5" t="s">
        <v>7516</v>
      </c>
      <c r="D959" t="s">
        <v>9383</v>
      </c>
      <c r="E959" s="5" t="s">
        <v>1548</v>
      </c>
      <c r="F959" s="6">
        <v>46038.390972222223</v>
      </c>
      <c r="G959" s="5" t="s">
        <v>7456</v>
      </c>
      <c r="H959" s="5" t="s">
        <v>9384</v>
      </c>
      <c r="I959" s="5" t="s">
        <v>1564</v>
      </c>
      <c r="J959" s="8">
        <v>285</v>
      </c>
      <c r="K959" s="5" t="s">
        <v>4</v>
      </c>
      <c r="L959">
        <f t="shared" si="14"/>
        <v>1</v>
      </c>
    </row>
    <row r="960" spans="1:12" x14ac:dyDescent="0.25">
      <c r="A960" s="5">
        <v>46071</v>
      </c>
      <c r="B960" t="s">
        <v>9385</v>
      </c>
      <c r="C960" s="5" t="s">
        <v>9386</v>
      </c>
      <c r="D960" t="s">
        <v>9387</v>
      </c>
      <c r="E960" s="5" t="s">
        <v>1548</v>
      </c>
      <c r="F960" s="6">
        <v>46038.394444444442</v>
      </c>
      <c r="G960" s="5" t="s">
        <v>7456</v>
      </c>
      <c r="H960" t="s">
        <v>7482</v>
      </c>
      <c r="I960" s="5" t="s">
        <v>1564</v>
      </c>
      <c r="J960" s="8">
        <v>135</v>
      </c>
      <c r="K960" s="5" t="s">
        <v>4</v>
      </c>
      <c r="L960">
        <f t="shared" si="14"/>
        <v>1</v>
      </c>
    </row>
    <row r="961" spans="1:12" x14ac:dyDescent="0.25">
      <c r="A961" s="5">
        <v>46073</v>
      </c>
      <c r="B961" t="s">
        <v>9388</v>
      </c>
      <c r="C961" s="5" t="s">
        <v>9389</v>
      </c>
      <c r="D961" t="s">
        <v>9390</v>
      </c>
      <c r="E961" s="5" t="s">
        <v>1548</v>
      </c>
      <c r="F961" s="6">
        <v>46038.424305555556</v>
      </c>
      <c r="G961" s="5" t="s">
        <v>7456</v>
      </c>
      <c r="H961" s="5" t="s">
        <v>9391</v>
      </c>
      <c r="I961" s="5" t="s">
        <v>1564</v>
      </c>
      <c r="J961" s="8">
        <v>154.5</v>
      </c>
      <c r="K961" s="5" t="s">
        <v>4</v>
      </c>
      <c r="L961">
        <f t="shared" si="14"/>
        <v>1</v>
      </c>
    </row>
    <row r="962" spans="1:12" x14ac:dyDescent="0.25">
      <c r="A962" s="5">
        <v>46074</v>
      </c>
      <c r="B962" t="s">
        <v>9392</v>
      </c>
      <c r="C962" s="5" t="s">
        <v>9393</v>
      </c>
      <c r="D962" t="s">
        <v>9394</v>
      </c>
      <c r="E962" s="5" t="s">
        <v>1548</v>
      </c>
      <c r="F962" s="6">
        <v>46038.430555555555</v>
      </c>
      <c r="G962" s="5" t="s">
        <v>7456</v>
      </c>
      <c r="H962" t="s">
        <v>7482</v>
      </c>
      <c r="I962" s="5" t="s">
        <v>1564</v>
      </c>
      <c r="J962" s="8">
        <v>1200</v>
      </c>
      <c r="K962" s="5" t="s">
        <v>4</v>
      </c>
      <c r="L962">
        <f t="shared" si="14"/>
        <v>1</v>
      </c>
    </row>
    <row r="963" spans="1:12" x14ac:dyDescent="0.25">
      <c r="A963" s="5">
        <v>46075</v>
      </c>
      <c r="B963" t="s">
        <v>9395</v>
      </c>
      <c r="C963" s="5" t="s">
        <v>9396</v>
      </c>
      <c r="D963" t="s">
        <v>9397</v>
      </c>
      <c r="E963" s="5" t="s">
        <v>1548</v>
      </c>
      <c r="F963" s="6">
        <v>46038.453472222223</v>
      </c>
      <c r="G963" s="5" t="s">
        <v>7456</v>
      </c>
      <c r="H963" t="s">
        <v>7482</v>
      </c>
      <c r="I963" s="5" t="s">
        <v>1564</v>
      </c>
      <c r="J963" s="8">
        <v>662.6</v>
      </c>
      <c r="K963" s="5" t="s">
        <v>4</v>
      </c>
      <c r="L963">
        <f t="shared" ref="L963:L1026" si="15">MONTH(F963)</f>
        <v>1</v>
      </c>
    </row>
    <row r="964" spans="1:12" x14ac:dyDescent="0.25">
      <c r="A964" s="5">
        <v>46076</v>
      </c>
      <c r="B964" t="s">
        <v>9398</v>
      </c>
      <c r="C964" s="5" t="s">
        <v>9399</v>
      </c>
      <c r="D964" t="s">
        <v>9400</v>
      </c>
      <c r="E964" s="5" t="s">
        <v>2026</v>
      </c>
      <c r="F964" s="6">
        <v>46038.462500000001</v>
      </c>
      <c r="G964" s="5" t="s">
        <v>7456</v>
      </c>
      <c r="H964" s="5" t="s">
        <v>9401</v>
      </c>
      <c r="I964" s="5" t="s">
        <v>1535</v>
      </c>
      <c r="J964" s="8">
        <v>1195</v>
      </c>
      <c r="K964" s="5" t="s">
        <v>4</v>
      </c>
      <c r="L964">
        <f t="shared" si="15"/>
        <v>1</v>
      </c>
    </row>
    <row r="965" spans="1:12" x14ac:dyDescent="0.25">
      <c r="A965" s="5">
        <v>46077</v>
      </c>
      <c r="B965" t="s">
        <v>9402</v>
      </c>
      <c r="C965" s="5" t="s">
        <v>7516</v>
      </c>
      <c r="D965" t="s">
        <v>7644</v>
      </c>
      <c r="E965" s="5" t="s">
        <v>1548</v>
      </c>
      <c r="F965" s="6">
        <v>46038.464583333334</v>
      </c>
      <c r="G965" s="5" t="s">
        <v>7456</v>
      </c>
      <c r="H965" s="5" t="s">
        <v>9403</v>
      </c>
      <c r="I965" s="5" t="s">
        <v>1535</v>
      </c>
      <c r="J965" s="8">
        <v>173</v>
      </c>
      <c r="K965" s="5" t="s">
        <v>4</v>
      </c>
      <c r="L965">
        <f t="shared" si="15"/>
        <v>1</v>
      </c>
    </row>
    <row r="966" spans="1:12" x14ac:dyDescent="0.25">
      <c r="A966" s="5">
        <v>46078</v>
      </c>
      <c r="B966" t="s">
        <v>9404</v>
      </c>
      <c r="C966" s="5" t="s">
        <v>9405</v>
      </c>
      <c r="D966" t="s">
        <v>9406</v>
      </c>
      <c r="E966" s="5" t="s">
        <v>1532</v>
      </c>
      <c r="F966" s="6">
        <v>46038.467361111114</v>
      </c>
      <c r="G966" s="5" t="s">
        <v>7595</v>
      </c>
      <c r="H966" t="s">
        <v>7482</v>
      </c>
      <c r="I966" s="5" t="s">
        <v>1535</v>
      </c>
      <c r="J966" s="8">
        <v>178</v>
      </c>
      <c r="K966" s="5" t="s">
        <v>4</v>
      </c>
      <c r="L966">
        <f t="shared" si="15"/>
        <v>1</v>
      </c>
    </row>
    <row r="967" spans="1:12" x14ac:dyDescent="0.25">
      <c r="A967" s="5">
        <v>46079</v>
      </c>
      <c r="B967" t="s">
        <v>9407</v>
      </c>
      <c r="C967" s="5" t="s">
        <v>9408</v>
      </c>
      <c r="D967" t="s">
        <v>9409</v>
      </c>
      <c r="E967" s="5" t="s">
        <v>1532</v>
      </c>
      <c r="F967" s="6">
        <v>46038.472222222219</v>
      </c>
      <c r="G967" s="5" t="s">
        <v>7672</v>
      </c>
      <c r="H967" t="s">
        <v>7482</v>
      </c>
      <c r="I967" s="5" t="s">
        <v>9410</v>
      </c>
      <c r="J967" s="8">
        <v>4259</v>
      </c>
      <c r="K967" s="5" t="s">
        <v>4</v>
      </c>
      <c r="L967">
        <f t="shared" si="15"/>
        <v>1</v>
      </c>
    </row>
    <row r="968" spans="1:12" x14ac:dyDescent="0.25">
      <c r="A968" s="5">
        <v>46080</v>
      </c>
      <c r="B968" t="s">
        <v>9411</v>
      </c>
      <c r="C968" s="5" t="s">
        <v>9412</v>
      </c>
      <c r="D968" t="s">
        <v>9413</v>
      </c>
      <c r="E968" s="5" t="s">
        <v>1532</v>
      </c>
      <c r="F968" s="6">
        <v>46038.479861111111</v>
      </c>
      <c r="G968" s="5" t="s">
        <v>7595</v>
      </c>
      <c r="H968" t="s">
        <v>7482</v>
      </c>
      <c r="I968" s="5" t="s">
        <v>1535</v>
      </c>
      <c r="J968" s="8">
        <v>1446</v>
      </c>
      <c r="K968" s="5" t="s">
        <v>4</v>
      </c>
      <c r="L968">
        <f t="shared" si="15"/>
        <v>1</v>
      </c>
    </row>
    <row r="969" spans="1:12" x14ac:dyDescent="0.25">
      <c r="A969" s="5">
        <v>46081</v>
      </c>
      <c r="B969" t="s">
        <v>9414</v>
      </c>
      <c r="C969" s="5" t="s">
        <v>9415</v>
      </c>
      <c r="D969" t="s">
        <v>9416</v>
      </c>
      <c r="E969" s="5" t="s">
        <v>1532</v>
      </c>
      <c r="F969" s="6">
        <v>46038.491666666669</v>
      </c>
      <c r="G969" s="5" t="s">
        <v>7595</v>
      </c>
      <c r="H969" t="s">
        <v>7482</v>
      </c>
      <c r="I969" s="5" t="s">
        <v>1535</v>
      </c>
      <c r="J969" s="8">
        <v>3430</v>
      </c>
      <c r="K969" s="5" t="s">
        <v>4</v>
      </c>
      <c r="L969">
        <f t="shared" si="15"/>
        <v>1</v>
      </c>
    </row>
    <row r="970" spans="1:12" x14ac:dyDescent="0.25">
      <c r="A970" s="5">
        <v>46083</v>
      </c>
      <c r="B970" t="s">
        <v>9417</v>
      </c>
      <c r="C970" s="5" t="s">
        <v>9418</v>
      </c>
      <c r="D970" t="s">
        <v>9419</v>
      </c>
      <c r="E970" s="5" t="s">
        <v>1532</v>
      </c>
      <c r="F970" s="6">
        <v>46038.501388888886</v>
      </c>
      <c r="G970" s="5" t="s">
        <v>7595</v>
      </c>
      <c r="H970" t="s">
        <v>7482</v>
      </c>
      <c r="I970" s="5" t="s">
        <v>1535</v>
      </c>
      <c r="J970" s="8">
        <v>1224.99</v>
      </c>
      <c r="K970" s="5" t="s">
        <v>4</v>
      </c>
      <c r="L970">
        <f t="shared" si="15"/>
        <v>1</v>
      </c>
    </row>
    <row r="971" spans="1:12" x14ac:dyDescent="0.25">
      <c r="A971" s="5">
        <v>46085</v>
      </c>
      <c r="B971" t="s">
        <v>9420</v>
      </c>
      <c r="C971" s="5" t="s">
        <v>579</v>
      </c>
      <c r="D971" t="s">
        <v>9421</v>
      </c>
      <c r="E971" s="5" t="s">
        <v>1548</v>
      </c>
      <c r="F971" s="6">
        <v>46038.525694444441</v>
      </c>
      <c r="G971" s="5" t="s">
        <v>7456</v>
      </c>
      <c r="H971" s="5" t="s">
        <v>9422</v>
      </c>
      <c r="I971" s="5" t="s">
        <v>1564</v>
      </c>
      <c r="J971" s="8">
        <v>206.7</v>
      </c>
      <c r="K971" s="5" t="s">
        <v>4</v>
      </c>
      <c r="L971">
        <f t="shared" si="15"/>
        <v>1</v>
      </c>
    </row>
    <row r="972" spans="1:12" x14ac:dyDescent="0.25">
      <c r="A972" s="5">
        <v>46086</v>
      </c>
      <c r="B972" t="s">
        <v>9423</v>
      </c>
      <c r="C972" s="5" t="s">
        <v>9424</v>
      </c>
      <c r="D972" t="s">
        <v>9425</v>
      </c>
      <c r="E972" s="5" t="s">
        <v>1548</v>
      </c>
      <c r="F972" s="6">
        <v>46038.529861111114</v>
      </c>
      <c r="G972" s="5" t="s">
        <v>7456</v>
      </c>
      <c r="H972" t="s">
        <v>7482</v>
      </c>
      <c r="I972" s="5" t="s">
        <v>1564</v>
      </c>
      <c r="J972" s="8">
        <v>3670</v>
      </c>
      <c r="K972" s="5" t="s">
        <v>4</v>
      </c>
      <c r="L972">
        <f t="shared" si="15"/>
        <v>1</v>
      </c>
    </row>
    <row r="973" spans="1:12" x14ac:dyDescent="0.25">
      <c r="A973" s="5">
        <v>46087</v>
      </c>
      <c r="B973" t="s">
        <v>9426</v>
      </c>
      <c r="C973" s="5" t="s">
        <v>9427</v>
      </c>
      <c r="D973" t="s">
        <v>9428</v>
      </c>
      <c r="E973" s="5" t="s">
        <v>1548</v>
      </c>
      <c r="F973" s="6">
        <v>46038.549305555556</v>
      </c>
      <c r="G973" s="5" t="s">
        <v>7456</v>
      </c>
      <c r="H973" s="5" t="s">
        <v>9429</v>
      </c>
      <c r="I973" s="5" t="s">
        <v>1564</v>
      </c>
      <c r="J973" s="8">
        <v>159.99</v>
      </c>
      <c r="K973" s="5" t="s">
        <v>4</v>
      </c>
      <c r="L973">
        <f t="shared" si="15"/>
        <v>1</v>
      </c>
    </row>
    <row r="974" spans="1:12" x14ac:dyDescent="0.25">
      <c r="A974" s="5">
        <v>46088</v>
      </c>
      <c r="B974" t="s">
        <v>9430</v>
      </c>
      <c r="C974" s="5" t="s">
        <v>9431</v>
      </c>
      <c r="D974" t="s">
        <v>9432</v>
      </c>
      <c r="E974" s="5" t="s">
        <v>3751</v>
      </c>
      <c r="F974" s="6">
        <v>46038.615972222222</v>
      </c>
      <c r="G974" s="5" t="s">
        <v>7456</v>
      </c>
      <c r="H974" s="5" t="s">
        <v>9433</v>
      </c>
      <c r="I974" s="5" t="s">
        <v>1621</v>
      </c>
      <c r="J974" s="8">
        <v>294.10000000000002</v>
      </c>
      <c r="K974" s="5" t="s">
        <v>4</v>
      </c>
      <c r="L974">
        <f t="shared" si="15"/>
        <v>1</v>
      </c>
    </row>
    <row r="975" spans="1:12" x14ac:dyDescent="0.25">
      <c r="A975" s="5">
        <v>46090</v>
      </c>
      <c r="B975" t="s">
        <v>9434</v>
      </c>
      <c r="C975" s="5" t="s">
        <v>9435</v>
      </c>
      <c r="D975" t="s">
        <v>9436</v>
      </c>
      <c r="E975" s="5" t="s">
        <v>2012</v>
      </c>
      <c r="F975" s="6">
        <v>46038.623611111114</v>
      </c>
      <c r="G975" s="5" t="s">
        <v>7456</v>
      </c>
      <c r="H975" s="5" t="s">
        <v>9437</v>
      </c>
      <c r="I975" s="5" t="s">
        <v>1564</v>
      </c>
      <c r="J975" s="8">
        <v>1219.9000000000001</v>
      </c>
      <c r="K975" s="5" t="s">
        <v>4</v>
      </c>
      <c r="L975">
        <f t="shared" si="15"/>
        <v>1</v>
      </c>
    </row>
    <row r="976" spans="1:12" x14ac:dyDescent="0.25">
      <c r="A976" s="5">
        <v>46092</v>
      </c>
      <c r="B976" t="s">
        <v>9438</v>
      </c>
      <c r="C976" s="5" t="s">
        <v>9439</v>
      </c>
      <c r="D976" t="s">
        <v>9440</v>
      </c>
      <c r="E976" s="5" t="s">
        <v>1548</v>
      </c>
      <c r="F976" s="6">
        <v>46038.640277777777</v>
      </c>
      <c r="G976" s="5" t="s">
        <v>7456</v>
      </c>
      <c r="H976" s="5" t="s">
        <v>9441</v>
      </c>
      <c r="I976" s="5" t="s">
        <v>1564</v>
      </c>
      <c r="J976" s="8">
        <v>210</v>
      </c>
      <c r="K976" s="5" t="s">
        <v>4</v>
      </c>
      <c r="L976">
        <f t="shared" si="15"/>
        <v>1</v>
      </c>
    </row>
    <row r="977" spans="1:12" x14ac:dyDescent="0.25">
      <c r="A977" s="5">
        <v>46093</v>
      </c>
      <c r="B977" t="s">
        <v>9442</v>
      </c>
      <c r="C977" s="5" t="s">
        <v>9443</v>
      </c>
      <c r="D977" t="s">
        <v>9444</v>
      </c>
      <c r="E977" s="5" t="s">
        <v>3913</v>
      </c>
      <c r="F977" s="6">
        <v>46038.640972222223</v>
      </c>
      <c r="G977" s="5" t="s">
        <v>7456</v>
      </c>
      <c r="H977" s="5" t="s">
        <v>9445</v>
      </c>
      <c r="I977" s="5" t="s">
        <v>1621</v>
      </c>
      <c r="J977" s="8">
        <v>268</v>
      </c>
      <c r="K977" s="5" t="s">
        <v>4</v>
      </c>
      <c r="L977">
        <f t="shared" si="15"/>
        <v>1</v>
      </c>
    </row>
    <row r="978" spans="1:12" x14ac:dyDescent="0.25">
      <c r="A978" s="5">
        <v>46094</v>
      </c>
      <c r="B978" t="s">
        <v>9446</v>
      </c>
      <c r="C978" s="5" t="s">
        <v>9447</v>
      </c>
      <c r="D978" t="s">
        <v>9448</v>
      </c>
      <c r="E978" s="5" t="s">
        <v>3128</v>
      </c>
      <c r="F978" s="6">
        <v>46038.648611111108</v>
      </c>
      <c r="G978" s="5" t="s">
        <v>7456</v>
      </c>
      <c r="H978" s="5" t="s">
        <v>9449</v>
      </c>
      <c r="I978" s="5" t="s">
        <v>1621</v>
      </c>
      <c r="J978" s="8">
        <v>410.98</v>
      </c>
      <c r="K978" s="5" t="s">
        <v>4</v>
      </c>
      <c r="L978">
        <f t="shared" si="15"/>
        <v>1</v>
      </c>
    </row>
    <row r="979" spans="1:12" x14ac:dyDescent="0.25">
      <c r="A979" s="5">
        <v>46095</v>
      </c>
      <c r="B979" t="s">
        <v>8965</v>
      </c>
      <c r="C979" s="5" t="s">
        <v>9333</v>
      </c>
      <c r="D979" t="s">
        <v>8966</v>
      </c>
      <c r="E979" s="5" t="s">
        <v>6776</v>
      </c>
      <c r="F979" s="6">
        <v>46038.652083333334</v>
      </c>
      <c r="G979" s="5" t="s">
        <v>7456</v>
      </c>
      <c r="H979" s="5" t="s">
        <v>9450</v>
      </c>
      <c r="I979" s="5" t="s">
        <v>1535</v>
      </c>
      <c r="J979" s="8">
        <v>45.6</v>
      </c>
      <c r="K979" s="5" t="s">
        <v>4</v>
      </c>
      <c r="L979">
        <f t="shared" si="15"/>
        <v>1</v>
      </c>
    </row>
    <row r="980" spans="1:12" x14ac:dyDescent="0.25">
      <c r="A980" s="5">
        <v>46098</v>
      </c>
      <c r="B980" t="s">
        <v>9451</v>
      </c>
      <c r="C980" s="5" t="s">
        <v>9452</v>
      </c>
      <c r="D980" t="s">
        <v>9453</v>
      </c>
      <c r="E980" s="5" t="s">
        <v>1548</v>
      </c>
      <c r="F980" s="6">
        <v>46038.668055555558</v>
      </c>
      <c r="G980" s="5" t="s">
        <v>7456</v>
      </c>
      <c r="H980" s="5" t="s">
        <v>9454</v>
      </c>
      <c r="I980" s="5" t="s">
        <v>1564</v>
      </c>
      <c r="J980" s="8">
        <v>69.900000000000006</v>
      </c>
      <c r="K980" s="5" t="s">
        <v>4</v>
      </c>
      <c r="L980">
        <f t="shared" si="15"/>
        <v>1</v>
      </c>
    </row>
    <row r="981" spans="1:12" x14ac:dyDescent="0.25">
      <c r="A981" s="5">
        <v>46099</v>
      </c>
      <c r="B981" t="s">
        <v>9455</v>
      </c>
      <c r="C981" s="5" t="s">
        <v>9456</v>
      </c>
      <c r="D981" t="s">
        <v>9457</v>
      </c>
      <c r="E981" s="5" t="s">
        <v>1813</v>
      </c>
      <c r="F981" s="6">
        <v>46038.67083333333</v>
      </c>
      <c r="G981" s="5" t="s">
        <v>7456</v>
      </c>
      <c r="H981" s="5" t="s">
        <v>9458</v>
      </c>
      <c r="I981" s="5" t="s">
        <v>1535</v>
      </c>
      <c r="J981" s="8">
        <v>190.5</v>
      </c>
      <c r="K981" s="5" t="s">
        <v>4</v>
      </c>
      <c r="L981">
        <f t="shared" si="15"/>
        <v>1</v>
      </c>
    </row>
    <row r="982" spans="1:12" x14ac:dyDescent="0.25">
      <c r="A982" s="5">
        <v>46100</v>
      </c>
      <c r="B982" t="s">
        <v>9459</v>
      </c>
      <c r="C982" s="5" t="s">
        <v>9460</v>
      </c>
      <c r="D982" t="s">
        <v>9461</v>
      </c>
      <c r="E982" s="5" t="s">
        <v>2112</v>
      </c>
      <c r="F982" s="6">
        <v>46038.677777777775</v>
      </c>
      <c r="G982" s="5" t="s">
        <v>7456</v>
      </c>
      <c r="H982" s="5" t="s">
        <v>9462</v>
      </c>
      <c r="I982" s="5" t="s">
        <v>1535</v>
      </c>
      <c r="J982" s="8">
        <v>1044</v>
      </c>
      <c r="K982" s="5" t="s">
        <v>4</v>
      </c>
      <c r="L982">
        <f t="shared" si="15"/>
        <v>1</v>
      </c>
    </row>
    <row r="983" spans="1:12" x14ac:dyDescent="0.25">
      <c r="A983" s="5">
        <v>46101</v>
      </c>
      <c r="B983" t="s">
        <v>9463</v>
      </c>
      <c r="C983" s="5" t="s">
        <v>9464</v>
      </c>
      <c r="D983" t="s">
        <v>9465</v>
      </c>
      <c r="E983" s="5" t="s">
        <v>1548</v>
      </c>
      <c r="F983" s="6">
        <v>46038.681250000001</v>
      </c>
      <c r="G983" s="5" t="s">
        <v>7456</v>
      </c>
      <c r="H983" t="s">
        <v>7482</v>
      </c>
      <c r="I983" s="5" t="s">
        <v>1564</v>
      </c>
      <c r="J983" s="8">
        <v>367.8</v>
      </c>
      <c r="K983" s="5" t="s">
        <v>4</v>
      </c>
      <c r="L983">
        <f t="shared" si="15"/>
        <v>1</v>
      </c>
    </row>
    <row r="984" spans="1:12" x14ac:dyDescent="0.25">
      <c r="A984" s="5">
        <v>46102</v>
      </c>
      <c r="B984" t="s">
        <v>9466</v>
      </c>
      <c r="C984" s="5" t="s">
        <v>832</v>
      </c>
      <c r="D984" t="s">
        <v>9467</v>
      </c>
      <c r="E984" s="5" t="s">
        <v>5961</v>
      </c>
      <c r="F984" s="6">
        <v>46038.679861111108</v>
      </c>
      <c r="G984" s="5" t="s">
        <v>7456</v>
      </c>
      <c r="H984" s="5" t="s">
        <v>9468</v>
      </c>
      <c r="I984" s="5" t="s">
        <v>1621</v>
      </c>
      <c r="J984" s="8">
        <v>99.8</v>
      </c>
      <c r="K984" s="5" t="s">
        <v>4</v>
      </c>
      <c r="L984">
        <f t="shared" si="15"/>
        <v>1</v>
      </c>
    </row>
    <row r="985" spans="1:12" x14ac:dyDescent="0.25">
      <c r="A985" s="5">
        <v>46103</v>
      </c>
      <c r="B985" t="s">
        <v>9469</v>
      </c>
      <c r="C985" s="5" t="s">
        <v>9470</v>
      </c>
      <c r="D985" t="s">
        <v>9471</v>
      </c>
      <c r="E985" s="5" t="s">
        <v>1548</v>
      </c>
      <c r="F985" s="6">
        <v>46038.694444444445</v>
      </c>
      <c r="G985" s="5" t="s">
        <v>7456</v>
      </c>
      <c r="H985" s="5" t="s">
        <v>9472</v>
      </c>
      <c r="I985" s="5" t="s">
        <v>1564</v>
      </c>
      <c r="J985" s="8">
        <v>175</v>
      </c>
      <c r="K985" s="5" t="s">
        <v>4</v>
      </c>
      <c r="L985">
        <f t="shared" si="15"/>
        <v>1</v>
      </c>
    </row>
    <row r="986" spans="1:12" x14ac:dyDescent="0.25">
      <c r="A986" s="5">
        <v>46104</v>
      </c>
      <c r="B986" t="s">
        <v>9473</v>
      </c>
      <c r="C986" s="5" t="s">
        <v>81</v>
      </c>
      <c r="D986" t="s">
        <v>9474</v>
      </c>
      <c r="E986" s="5" t="s">
        <v>2770</v>
      </c>
      <c r="F986" s="6">
        <v>46038.6875</v>
      </c>
      <c r="G986" s="5" t="s">
        <v>7456</v>
      </c>
      <c r="H986" s="5" t="s">
        <v>9475</v>
      </c>
      <c r="I986" s="5" t="s">
        <v>1621</v>
      </c>
      <c r="J986" s="8">
        <v>531.42999999999995</v>
      </c>
      <c r="K986" s="5" t="s">
        <v>4</v>
      </c>
      <c r="L986">
        <f t="shared" si="15"/>
        <v>1</v>
      </c>
    </row>
    <row r="987" spans="1:12" x14ac:dyDescent="0.25">
      <c r="A987" s="5">
        <v>46105</v>
      </c>
      <c r="B987" t="s">
        <v>9476</v>
      </c>
      <c r="C987" s="5" t="s">
        <v>9477</v>
      </c>
      <c r="D987" t="s">
        <v>9478</v>
      </c>
      <c r="E987" s="5" t="s">
        <v>1532</v>
      </c>
      <c r="F987" s="6">
        <v>46041.381944444445</v>
      </c>
      <c r="G987" s="5" t="s">
        <v>7456</v>
      </c>
      <c r="H987" s="5" t="s">
        <v>9479</v>
      </c>
      <c r="I987" s="5" t="s">
        <v>1535</v>
      </c>
      <c r="J987" s="8">
        <v>879.75</v>
      </c>
      <c r="K987" s="5" t="s">
        <v>4</v>
      </c>
      <c r="L987">
        <f t="shared" si="15"/>
        <v>1</v>
      </c>
    </row>
    <row r="988" spans="1:12" x14ac:dyDescent="0.25">
      <c r="A988" s="5">
        <v>46106</v>
      </c>
      <c r="B988" t="s">
        <v>9480</v>
      </c>
      <c r="C988" s="5" t="s">
        <v>9481</v>
      </c>
      <c r="D988" t="s">
        <v>9482</v>
      </c>
      <c r="E988" s="5" t="s">
        <v>1548</v>
      </c>
      <c r="F988" s="6">
        <v>46041.392361111109</v>
      </c>
      <c r="G988" s="5" t="s">
        <v>7456</v>
      </c>
      <c r="H988" s="5" t="s">
        <v>9483</v>
      </c>
      <c r="I988" s="5" t="s">
        <v>1564</v>
      </c>
      <c r="J988" s="8">
        <v>195</v>
      </c>
      <c r="K988" s="5" t="s">
        <v>4</v>
      </c>
      <c r="L988">
        <f t="shared" si="15"/>
        <v>1</v>
      </c>
    </row>
    <row r="989" spans="1:12" x14ac:dyDescent="0.25">
      <c r="A989" s="5">
        <v>46107</v>
      </c>
      <c r="B989" t="s">
        <v>9484</v>
      </c>
      <c r="C989" s="5" t="s">
        <v>1484</v>
      </c>
      <c r="D989" t="s">
        <v>9485</v>
      </c>
      <c r="E989" s="5" t="s">
        <v>1548</v>
      </c>
      <c r="F989" s="6">
        <v>46041.397222222222</v>
      </c>
      <c r="G989" s="5" t="s">
        <v>7456</v>
      </c>
      <c r="H989" s="5" t="s">
        <v>9486</v>
      </c>
      <c r="I989" s="5" t="s">
        <v>1564</v>
      </c>
      <c r="J989" s="8">
        <v>310.7</v>
      </c>
      <c r="K989" s="5" t="s">
        <v>4</v>
      </c>
      <c r="L989">
        <f t="shared" si="15"/>
        <v>1</v>
      </c>
    </row>
    <row r="990" spans="1:12" x14ac:dyDescent="0.25">
      <c r="A990" s="5">
        <v>46108</v>
      </c>
      <c r="B990" t="s">
        <v>9487</v>
      </c>
      <c r="C990" s="5" t="s">
        <v>9488</v>
      </c>
      <c r="D990" t="s">
        <v>9489</v>
      </c>
      <c r="E990" s="5" t="s">
        <v>1813</v>
      </c>
      <c r="F990" s="6">
        <v>46041.402083333334</v>
      </c>
      <c r="G990" s="5" t="s">
        <v>7456</v>
      </c>
      <c r="H990" s="5" t="s">
        <v>9490</v>
      </c>
      <c r="I990" s="5" t="s">
        <v>1535</v>
      </c>
      <c r="J990" s="8">
        <v>357.7</v>
      </c>
      <c r="K990" s="5" t="s">
        <v>4</v>
      </c>
      <c r="L990">
        <f t="shared" si="15"/>
        <v>1</v>
      </c>
    </row>
    <row r="991" spans="1:12" x14ac:dyDescent="0.25">
      <c r="A991" s="5">
        <v>46109</v>
      </c>
      <c r="B991" t="s">
        <v>9491</v>
      </c>
      <c r="C991" s="5" t="s">
        <v>9492</v>
      </c>
      <c r="D991" t="s">
        <v>9493</v>
      </c>
      <c r="E991" s="5" t="s">
        <v>1548</v>
      </c>
      <c r="F991" s="6">
        <v>46041.404166666667</v>
      </c>
      <c r="G991" s="5" t="s">
        <v>7456</v>
      </c>
      <c r="H991" s="5" t="s">
        <v>9494</v>
      </c>
      <c r="I991" s="5" t="s">
        <v>1564</v>
      </c>
      <c r="J991" s="8">
        <v>362</v>
      </c>
      <c r="K991" s="5" t="s">
        <v>4</v>
      </c>
      <c r="L991">
        <f t="shared" si="15"/>
        <v>1</v>
      </c>
    </row>
    <row r="992" spans="1:12" x14ac:dyDescent="0.25">
      <c r="A992" s="5">
        <v>46110</v>
      </c>
      <c r="B992" t="s">
        <v>8766</v>
      </c>
      <c r="C992" s="5" t="s">
        <v>8767</v>
      </c>
      <c r="D992" t="s">
        <v>8768</v>
      </c>
      <c r="E992" s="5" t="s">
        <v>2804</v>
      </c>
      <c r="F992" s="6">
        <v>46041.425000000003</v>
      </c>
      <c r="G992" s="5" t="s">
        <v>7456</v>
      </c>
      <c r="H992" s="5" t="s">
        <v>9495</v>
      </c>
      <c r="I992" s="5" t="s">
        <v>1535</v>
      </c>
      <c r="J992" s="8">
        <v>520</v>
      </c>
      <c r="K992" s="5" t="s">
        <v>4</v>
      </c>
      <c r="L992">
        <f t="shared" si="15"/>
        <v>1</v>
      </c>
    </row>
    <row r="993" spans="1:12" x14ac:dyDescent="0.25">
      <c r="A993" s="5">
        <v>46111</v>
      </c>
      <c r="B993" t="s">
        <v>9496</v>
      </c>
      <c r="C993" s="5" t="s">
        <v>9497</v>
      </c>
      <c r="D993" t="s">
        <v>9498</v>
      </c>
      <c r="E993" s="5" t="s">
        <v>1548</v>
      </c>
      <c r="F993" s="6">
        <v>46041.434027777781</v>
      </c>
      <c r="G993" s="5" t="s">
        <v>7456</v>
      </c>
      <c r="H993" t="s">
        <v>7482</v>
      </c>
      <c r="I993" s="5" t="s">
        <v>1564</v>
      </c>
      <c r="J993" s="8">
        <v>3512.7</v>
      </c>
      <c r="K993" s="5" t="s">
        <v>4</v>
      </c>
      <c r="L993">
        <f t="shared" si="15"/>
        <v>1</v>
      </c>
    </row>
    <row r="994" spans="1:12" x14ac:dyDescent="0.25">
      <c r="A994" s="5">
        <v>46115</v>
      </c>
      <c r="B994" t="s">
        <v>9007</v>
      </c>
      <c r="C994" s="5" t="s">
        <v>9008</v>
      </c>
      <c r="D994" t="s">
        <v>9009</v>
      </c>
      <c r="E994" s="5" t="s">
        <v>1548</v>
      </c>
      <c r="F994" s="6">
        <v>46041.480555555558</v>
      </c>
      <c r="G994" s="5" t="s">
        <v>7456</v>
      </c>
      <c r="H994" s="5" t="s">
        <v>9499</v>
      </c>
      <c r="I994" s="5" t="s">
        <v>1564</v>
      </c>
      <c r="J994" s="8">
        <v>87</v>
      </c>
      <c r="K994" s="5" t="s">
        <v>4</v>
      </c>
      <c r="L994">
        <f t="shared" si="15"/>
        <v>1</v>
      </c>
    </row>
    <row r="995" spans="1:12" x14ac:dyDescent="0.25">
      <c r="A995" s="5">
        <v>46116</v>
      </c>
      <c r="B995" t="s">
        <v>9500</v>
      </c>
      <c r="C995" s="5" t="s">
        <v>9501</v>
      </c>
      <c r="D995" t="s">
        <v>9502</v>
      </c>
      <c r="E995" s="5" t="s">
        <v>1548</v>
      </c>
      <c r="F995" s="6">
        <v>46041.487500000003</v>
      </c>
      <c r="G995" s="5" t="s">
        <v>7456</v>
      </c>
      <c r="H995" s="5" t="s">
        <v>9503</v>
      </c>
      <c r="I995" s="5" t="s">
        <v>1564</v>
      </c>
      <c r="J995" s="8">
        <v>256</v>
      </c>
      <c r="K995" s="5" t="s">
        <v>4</v>
      </c>
      <c r="L995">
        <f t="shared" si="15"/>
        <v>1</v>
      </c>
    </row>
    <row r="996" spans="1:12" x14ac:dyDescent="0.25">
      <c r="A996" s="5">
        <v>46117</v>
      </c>
      <c r="B996" t="s">
        <v>9504</v>
      </c>
      <c r="C996" s="5" t="s">
        <v>9505</v>
      </c>
      <c r="D996" t="s">
        <v>9506</v>
      </c>
      <c r="E996" s="5" t="s">
        <v>1548</v>
      </c>
      <c r="F996" s="6">
        <v>46041.494444444441</v>
      </c>
      <c r="G996" s="5" t="s">
        <v>7456</v>
      </c>
      <c r="H996" s="5" t="s">
        <v>9507</v>
      </c>
      <c r="I996" s="5" t="s">
        <v>1564</v>
      </c>
      <c r="J996" s="8">
        <v>285</v>
      </c>
      <c r="K996" s="5" t="s">
        <v>4</v>
      </c>
      <c r="L996">
        <f t="shared" si="15"/>
        <v>1</v>
      </c>
    </row>
    <row r="997" spans="1:12" x14ac:dyDescent="0.25">
      <c r="A997" s="5">
        <v>46119</v>
      </c>
      <c r="B997" t="s">
        <v>9508</v>
      </c>
      <c r="C997" s="5" t="s">
        <v>9509</v>
      </c>
      <c r="D997" t="s">
        <v>9510</v>
      </c>
      <c r="E997" s="5" t="s">
        <v>1548</v>
      </c>
      <c r="F997" s="6">
        <v>46041.527777777781</v>
      </c>
      <c r="G997" s="5" t="s">
        <v>7456</v>
      </c>
      <c r="H997" t="s">
        <v>7482</v>
      </c>
      <c r="I997" s="5" t="s">
        <v>1564</v>
      </c>
      <c r="J997" s="8">
        <v>3484.2</v>
      </c>
      <c r="K997" s="5" t="s">
        <v>4</v>
      </c>
      <c r="L997">
        <f t="shared" si="15"/>
        <v>1</v>
      </c>
    </row>
    <row r="998" spans="1:12" x14ac:dyDescent="0.25">
      <c r="A998" s="5">
        <v>46120</v>
      </c>
      <c r="B998" t="s">
        <v>9484</v>
      </c>
      <c r="C998" s="5" t="s">
        <v>1484</v>
      </c>
      <c r="D998" t="s">
        <v>9485</v>
      </c>
      <c r="E998" s="5" t="s">
        <v>1548</v>
      </c>
      <c r="F998" s="6">
        <v>46041.545138888891</v>
      </c>
      <c r="G998" s="5" t="s">
        <v>7456</v>
      </c>
      <c r="H998" s="5" t="s">
        <v>9511</v>
      </c>
      <c r="I998" s="5" t="s">
        <v>1564</v>
      </c>
      <c r="J998" s="8">
        <v>310.7</v>
      </c>
      <c r="K998" s="5" t="s">
        <v>4</v>
      </c>
      <c r="L998">
        <f t="shared" si="15"/>
        <v>1</v>
      </c>
    </row>
    <row r="999" spans="1:12" x14ac:dyDescent="0.25">
      <c r="A999" s="5">
        <v>46121</v>
      </c>
      <c r="B999" t="s">
        <v>9484</v>
      </c>
      <c r="C999" s="5" t="s">
        <v>1484</v>
      </c>
      <c r="D999" t="s">
        <v>9485</v>
      </c>
      <c r="E999" s="5" t="s">
        <v>1548</v>
      </c>
      <c r="F999" s="6">
        <v>46041.54583333333</v>
      </c>
      <c r="G999" s="5" t="s">
        <v>7456</v>
      </c>
      <c r="H999" s="5" t="s">
        <v>9512</v>
      </c>
      <c r="I999" s="5" t="s">
        <v>1564</v>
      </c>
      <c r="J999" s="8">
        <v>258.2</v>
      </c>
      <c r="K999" s="5" t="s">
        <v>4</v>
      </c>
      <c r="L999">
        <f t="shared" si="15"/>
        <v>1</v>
      </c>
    </row>
    <row r="1000" spans="1:12" x14ac:dyDescent="0.25">
      <c r="A1000" s="5">
        <v>46122</v>
      </c>
      <c r="B1000" t="s">
        <v>9484</v>
      </c>
      <c r="C1000" s="5" t="s">
        <v>1484</v>
      </c>
      <c r="D1000" t="s">
        <v>9485</v>
      </c>
      <c r="E1000" s="5" t="s">
        <v>1548</v>
      </c>
      <c r="F1000" s="6">
        <v>46041.54583333333</v>
      </c>
      <c r="G1000" s="5" t="s">
        <v>7456</v>
      </c>
      <c r="H1000" s="5" t="s">
        <v>9513</v>
      </c>
      <c r="I1000" s="5" t="s">
        <v>1564</v>
      </c>
      <c r="J1000" s="8">
        <v>258.2</v>
      </c>
      <c r="K1000" s="5" t="s">
        <v>4</v>
      </c>
      <c r="L1000">
        <f t="shared" si="15"/>
        <v>1</v>
      </c>
    </row>
    <row r="1001" spans="1:12" x14ac:dyDescent="0.25">
      <c r="A1001" s="5">
        <v>46123</v>
      </c>
      <c r="B1001" t="s">
        <v>9514</v>
      </c>
      <c r="C1001" s="5" t="s">
        <v>9515</v>
      </c>
      <c r="D1001" t="s">
        <v>9516</v>
      </c>
      <c r="E1001" s="5" t="s">
        <v>1727</v>
      </c>
      <c r="F1001" s="6">
        <v>46041.577777777777</v>
      </c>
      <c r="G1001" s="5" t="s">
        <v>7456</v>
      </c>
      <c r="H1001" s="5" t="s">
        <v>9517</v>
      </c>
      <c r="I1001" s="5" t="s">
        <v>1535</v>
      </c>
      <c r="J1001" s="8">
        <v>2624</v>
      </c>
      <c r="K1001" s="5" t="s">
        <v>4</v>
      </c>
      <c r="L1001">
        <f t="shared" si="15"/>
        <v>1</v>
      </c>
    </row>
    <row r="1002" spans="1:12" x14ac:dyDescent="0.25">
      <c r="A1002" s="5">
        <v>46125</v>
      </c>
      <c r="B1002" t="s">
        <v>9518</v>
      </c>
      <c r="C1002" s="5" t="s">
        <v>9519</v>
      </c>
      <c r="D1002" t="s">
        <v>9520</v>
      </c>
      <c r="E1002" s="5" t="s">
        <v>5391</v>
      </c>
      <c r="F1002" s="6">
        <v>46041.586111111108</v>
      </c>
      <c r="G1002" s="5" t="s">
        <v>7456</v>
      </c>
      <c r="H1002" s="5" t="s">
        <v>9521</v>
      </c>
      <c r="I1002" s="5" t="s">
        <v>1621</v>
      </c>
      <c r="J1002" s="8">
        <v>132.21</v>
      </c>
      <c r="K1002" s="5" t="s">
        <v>4</v>
      </c>
      <c r="L1002">
        <f t="shared" si="15"/>
        <v>1</v>
      </c>
    </row>
    <row r="1003" spans="1:12" x14ac:dyDescent="0.25">
      <c r="A1003" s="5">
        <v>46127</v>
      </c>
      <c r="B1003" t="s">
        <v>9522</v>
      </c>
      <c r="C1003" s="5" t="s">
        <v>176</v>
      </c>
      <c r="D1003" t="s">
        <v>9523</v>
      </c>
      <c r="E1003" s="5" t="s">
        <v>1548</v>
      </c>
      <c r="F1003" s="6">
        <v>46041.616666666669</v>
      </c>
      <c r="G1003" s="5" t="s">
        <v>7456</v>
      </c>
      <c r="H1003" s="5" t="s">
        <v>9524</v>
      </c>
      <c r="I1003" s="5" t="s">
        <v>1564</v>
      </c>
      <c r="J1003" s="8">
        <v>231.5</v>
      </c>
      <c r="K1003" s="5" t="s">
        <v>4</v>
      </c>
      <c r="L1003">
        <f t="shared" si="15"/>
        <v>1</v>
      </c>
    </row>
    <row r="1004" spans="1:12" x14ac:dyDescent="0.25">
      <c r="A1004" s="5">
        <v>46128</v>
      </c>
      <c r="B1004" t="s">
        <v>9525</v>
      </c>
      <c r="C1004" s="5" t="s">
        <v>7516</v>
      </c>
      <c r="D1004" t="s">
        <v>9526</v>
      </c>
      <c r="E1004" s="5" t="s">
        <v>5800</v>
      </c>
      <c r="F1004" s="6">
        <v>46041.621527777781</v>
      </c>
      <c r="G1004" s="5" t="s">
        <v>7456</v>
      </c>
      <c r="H1004" s="5" t="s">
        <v>9527</v>
      </c>
      <c r="I1004" s="5" t="s">
        <v>1535</v>
      </c>
      <c r="J1004" s="8">
        <v>107</v>
      </c>
      <c r="K1004" s="5" t="s">
        <v>4</v>
      </c>
      <c r="L1004">
        <f t="shared" si="15"/>
        <v>1</v>
      </c>
    </row>
    <row r="1005" spans="1:12" x14ac:dyDescent="0.25">
      <c r="A1005" s="5">
        <v>46129</v>
      </c>
      <c r="B1005" t="s">
        <v>9484</v>
      </c>
      <c r="C1005" s="5" t="s">
        <v>1484</v>
      </c>
      <c r="D1005" t="s">
        <v>9485</v>
      </c>
      <c r="E1005" s="5" t="s">
        <v>1548</v>
      </c>
      <c r="F1005" s="6">
        <v>46041.62777777778</v>
      </c>
      <c r="G1005" s="5" t="s">
        <v>7456</v>
      </c>
      <c r="H1005" s="5" t="s">
        <v>9528</v>
      </c>
      <c r="I1005" s="5" t="s">
        <v>1564</v>
      </c>
      <c r="J1005" s="8">
        <v>258.2</v>
      </c>
      <c r="K1005" s="5" t="s">
        <v>4</v>
      </c>
      <c r="L1005">
        <f t="shared" si="15"/>
        <v>1</v>
      </c>
    </row>
    <row r="1006" spans="1:12" x14ac:dyDescent="0.25">
      <c r="A1006" s="5">
        <v>46130</v>
      </c>
      <c r="B1006" t="s">
        <v>9529</v>
      </c>
      <c r="C1006" s="5" t="s">
        <v>9530</v>
      </c>
      <c r="D1006" t="s">
        <v>9531</v>
      </c>
      <c r="E1006" s="5" t="s">
        <v>1548</v>
      </c>
      <c r="F1006" s="6">
        <v>46041.631944444445</v>
      </c>
      <c r="G1006" s="5" t="s">
        <v>7456</v>
      </c>
      <c r="H1006" s="5" t="s">
        <v>9532</v>
      </c>
      <c r="I1006" s="5" t="s">
        <v>1564</v>
      </c>
      <c r="J1006" s="8">
        <v>134.80000000000001</v>
      </c>
      <c r="K1006" s="5" t="s">
        <v>4</v>
      </c>
      <c r="L1006">
        <f t="shared" si="15"/>
        <v>1</v>
      </c>
    </row>
    <row r="1007" spans="1:12" x14ac:dyDescent="0.25">
      <c r="A1007" s="5">
        <v>46131</v>
      </c>
      <c r="B1007" t="s">
        <v>9533</v>
      </c>
      <c r="C1007" s="5" t="s">
        <v>1132</v>
      </c>
      <c r="D1007" t="s">
        <v>9534</v>
      </c>
      <c r="E1007" s="5" t="s">
        <v>5740</v>
      </c>
      <c r="F1007" s="6">
        <v>46041.60833333333</v>
      </c>
      <c r="G1007" s="5" t="s">
        <v>7456</v>
      </c>
      <c r="H1007" s="5" t="s">
        <v>9535</v>
      </c>
      <c r="I1007" s="5" t="s">
        <v>1621</v>
      </c>
      <c r="J1007" s="8">
        <v>112.77</v>
      </c>
      <c r="K1007" s="5" t="s">
        <v>4</v>
      </c>
      <c r="L1007">
        <f t="shared" si="15"/>
        <v>1</v>
      </c>
    </row>
    <row r="1008" spans="1:12" x14ac:dyDescent="0.25">
      <c r="A1008" s="5">
        <v>46135</v>
      </c>
      <c r="B1008" t="s">
        <v>8965</v>
      </c>
      <c r="C1008" s="5" t="s">
        <v>9154</v>
      </c>
      <c r="D1008" t="s">
        <v>8966</v>
      </c>
      <c r="E1008" s="5" t="s">
        <v>9536</v>
      </c>
      <c r="F1008" s="6">
        <v>46041.647222222222</v>
      </c>
      <c r="G1008" s="5" t="s">
        <v>7595</v>
      </c>
      <c r="H1008" t="s">
        <v>7482</v>
      </c>
      <c r="I1008" s="5" t="s">
        <v>1535</v>
      </c>
      <c r="J1008" s="8">
        <v>27259</v>
      </c>
      <c r="K1008" s="5" t="s">
        <v>4</v>
      </c>
      <c r="L1008">
        <f t="shared" si="15"/>
        <v>1</v>
      </c>
    </row>
    <row r="1009" spans="1:12" x14ac:dyDescent="0.25">
      <c r="A1009" s="5">
        <v>46136</v>
      </c>
      <c r="B1009" t="s">
        <v>9537</v>
      </c>
      <c r="C1009" s="5" t="s">
        <v>9538</v>
      </c>
      <c r="D1009" t="s">
        <v>9539</v>
      </c>
      <c r="E1009" s="5" t="s">
        <v>1548</v>
      </c>
      <c r="F1009" s="6">
        <v>46041.65</v>
      </c>
      <c r="G1009" s="5" t="s">
        <v>7456</v>
      </c>
      <c r="H1009" t="s">
        <v>7482</v>
      </c>
      <c r="I1009" s="5" t="s">
        <v>1564</v>
      </c>
      <c r="J1009" s="8">
        <v>1500</v>
      </c>
      <c r="K1009" s="5" t="s">
        <v>4</v>
      </c>
      <c r="L1009">
        <f t="shared" si="15"/>
        <v>1</v>
      </c>
    </row>
    <row r="1010" spans="1:12" x14ac:dyDescent="0.25">
      <c r="A1010" s="5">
        <v>46141</v>
      </c>
      <c r="B1010" t="s">
        <v>8965</v>
      </c>
      <c r="C1010" s="5" t="s">
        <v>9154</v>
      </c>
      <c r="D1010" t="s">
        <v>8966</v>
      </c>
      <c r="E1010" s="5" t="s">
        <v>9536</v>
      </c>
      <c r="F1010" s="6">
        <v>46041.670138888891</v>
      </c>
      <c r="G1010" s="5" t="s">
        <v>7595</v>
      </c>
      <c r="H1010" t="s">
        <v>7482</v>
      </c>
      <c r="I1010" s="5" t="s">
        <v>1535</v>
      </c>
      <c r="J1010" s="8">
        <v>278.5</v>
      </c>
      <c r="K1010" s="5" t="s">
        <v>4</v>
      </c>
      <c r="L1010">
        <f t="shared" si="15"/>
        <v>1</v>
      </c>
    </row>
    <row r="1011" spans="1:12" x14ac:dyDescent="0.25">
      <c r="A1011" s="5">
        <v>46143</v>
      </c>
      <c r="B1011" t="s">
        <v>8965</v>
      </c>
      <c r="C1011" s="5" t="s">
        <v>9154</v>
      </c>
      <c r="D1011" t="s">
        <v>8966</v>
      </c>
      <c r="E1011" s="5" t="s">
        <v>9536</v>
      </c>
      <c r="F1011" s="6">
        <v>46041.670138888891</v>
      </c>
      <c r="G1011" s="5" t="s">
        <v>7595</v>
      </c>
      <c r="H1011" t="s">
        <v>7482</v>
      </c>
      <c r="I1011" s="5" t="s">
        <v>1535</v>
      </c>
      <c r="J1011" s="8">
        <v>346.5</v>
      </c>
      <c r="K1011" s="5" t="s">
        <v>4</v>
      </c>
      <c r="L1011">
        <f t="shared" si="15"/>
        <v>1</v>
      </c>
    </row>
    <row r="1012" spans="1:12" x14ac:dyDescent="0.25">
      <c r="A1012" s="5">
        <v>46145</v>
      </c>
      <c r="B1012" t="s">
        <v>9540</v>
      </c>
      <c r="C1012" s="5" t="s">
        <v>9541</v>
      </c>
      <c r="D1012" t="s">
        <v>9542</v>
      </c>
      <c r="E1012" s="5" t="s">
        <v>1548</v>
      </c>
      <c r="F1012" s="6">
        <v>46041.696527777778</v>
      </c>
      <c r="G1012" s="5" t="s">
        <v>7456</v>
      </c>
      <c r="H1012" s="5" t="s">
        <v>9543</v>
      </c>
      <c r="I1012" s="5" t="s">
        <v>1564</v>
      </c>
      <c r="J1012" s="8">
        <v>160</v>
      </c>
      <c r="K1012" s="5" t="s">
        <v>4</v>
      </c>
      <c r="L1012">
        <f t="shared" si="15"/>
        <v>1</v>
      </c>
    </row>
    <row r="1013" spans="1:12" x14ac:dyDescent="0.25">
      <c r="A1013" s="5">
        <v>46146</v>
      </c>
      <c r="B1013" t="s">
        <v>8856</v>
      </c>
      <c r="C1013" s="5" t="s">
        <v>8857</v>
      </c>
      <c r="D1013" t="s">
        <v>8858</v>
      </c>
      <c r="E1013" s="5" t="s">
        <v>1548</v>
      </c>
      <c r="F1013" s="6">
        <v>46041.697222222225</v>
      </c>
      <c r="G1013" s="5" t="s">
        <v>7456</v>
      </c>
      <c r="H1013" s="5" t="s">
        <v>9544</v>
      </c>
      <c r="I1013" s="5" t="s">
        <v>1535</v>
      </c>
      <c r="J1013" s="8">
        <v>468</v>
      </c>
      <c r="K1013" s="5" t="s">
        <v>4</v>
      </c>
      <c r="L1013">
        <f t="shared" si="15"/>
        <v>1</v>
      </c>
    </row>
    <row r="1014" spans="1:12" x14ac:dyDescent="0.25">
      <c r="A1014" s="5">
        <v>46147</v>
      </c>
      <c r="B1014" t="s">
        <v>9545</v>
      </c>
      <c r="C1014" s="5" t="s">
        <v>9546</v>
      </c>
      <c r="D1014" t="s">
        <v>9547</v>
      </c>
      <c r="E1014" s="5" t="s">
        <v>1548</v>
      </c>
      <c r="F1014" s="6">
        <v>46041.704861111109</v>
      </c>
      <c r="G1014" s="5" t="s">
        <v>7456</v>
      </c>
      <c r="H1014" s="5" t="s">
        <v>9548</v>
      </c>
      <c r="I1014" s="5" t="s">
        <v>1564</v>
      </c>
      <c r="J1014" s="8">
        <v>151</v>
      </c>
      <c r="K1014" s="5" t="s">
        <v>4</v>
      </c>
      <c r="L1014">
        <f t="shared" si="15"/>
        <v>1</v>
      </c>
    </row>
    <row r="1015" spans="1:12" x14ac:dyDescent="0.25">
      <c r="A1015" s="5">
        <v>46148</v>
      </c>
      <c r="B1015" t="s">
        <v>9549</v>
      </c>
      <c r="C1015" s="5" t="s">
        <v>9550</v>
      </c>
      <c r="D1015" t="s">
        <v>7644</v>
      </c>
      <c r="E1015" s="5" t="s">
        <v>1548</v>
      </c>
      <c r="F1015" s="6">
        <v>46041.709027777775</v>
      </c>
      <c r="G1015" s="5" t="s">
        <v>7456</v>
      </c>
      <c r="H1015" t="s">
        <v>7482</v>
      </c>
      <c r="I1015" s="5" t="s">
        <v>1564</v>
      </c>
      <c r="J1015" s="8">
        <v>1665</v>
      </c>
      <c r="K1015" s="5" t="s">
        <v>4</v>
      </c>
      <c r="L1015">
        <f t="shared" si="15"/>
        <v>1</v>
      </c>
    </row>
    <row r="1016" spans="1:12" x14ac:dyDescent="0.25">
      <c r="A1016" s="5">
        <v>46149</v>
      </c>
      <c r="B1016" t="s">
        <v>9551</v>
      </c>
      <c r="C1016" s="5" t="s">
        <v>9552</v>
      </c>
      <c r="D1016" t="s">
        <v>9553</v>
      </c>
      <c r="E1016" s="5" t="s">
        <v>1548</v>
      </c>
      <c r="F1016" s="6">
        <v>46041.720138888886</v>
      </c>
      <c r="G1016" s="5" t="s">
        <v>7456</v>
      </c>
      <c r="H1016" s="5" t="s">
        <v>9554</v>
      </c>
      <c r="I1016" s="5" t="s">
        <v>1564</v>
      </c>
      <c r="J1016" s="8">
        <v>245</v>
      </c>
      <c r="K1016" s="5" t="s">
        <v>4</v>
      </c>
      <c r="L1016">
        <f t="shared" si="15"/>
        <v>1</v>
      </c>
    </row>
    <row r="1017" spans="1:12" x14ac:dyDescent="0.25">
      <c r="A1017" s="5">
        <v>46151</v>
      </c>
      <c r="B1017" t="s">
        <v>9555</v>
      </c>
      <c r="C1017" s="5" t="s">
        <v>668</v>
      </c>
      <c r="D1017" t="s">
        <v>9556</v>
      </c>
      <c r="E1017" s="5" t="s">
        <v>1548</v>
      </c>
      <c r="F1017" s="6">
        <v>46042.343055555553</v>
      </c>
      <c r="G1017" s="5" t="s">
        <v>7456</v>
      </c>
      <c r="H1017" s="5" t="s">
        <v>9557</v>
      </c>
      <c r="I1017" s="5" t="s">
        <v>1564</v>
      </c>
      <c r="J1017" s="8">
        <v>138.5</v>
      </c>
      <c r="K1017" s="5" t="s">
        <v>4</v>
      </c>
      <c r="L1017">
        <f t="shared" si="15"/>
        <v>1</v>
      </c>
    </row>
    <row r="1018" spans="1:12" x14ac:dyDescent="0.25">
      <c r="A1018" s="5">
        <v>46152</v>
      </c>
      <c r="B1018" t="s">
        <v>9558</v>
      </c>
      <c r="C1018" s="5" t="s">
        <v>9559</v>
      </c>
      <c r="D1018" t="s">
        <v>9560</v>
      </c>
      <c r="E1018" s="5" t="s">
        <v>1813</v>
      </c>
      <c r="F1018" s="6">
        <v>46042.388888888891</v>
      </c>
      <c r="G1018" s="5" t="s">
        <v>7595</v>
      </c>
      <c r="H1018" t="s">
        <v>7482</v>
      </c>
      <c r="I1018" s="5" t="s">
        <v>1535</v>
      </c>
      <c r="J1018" s="8">
        <v>2421</v>
      </c>
      <c r="K1018" s="5" t="s">
        <v>4</v>
      </c>
      <c r="L1018">
        <f t="shared" si="15"/>
        <v>1</v>
      </c>
    </row>
    <row r="1019" spans="1:12" x14ac:dyDescent="0.25">
      <c r="A1019" s="5">
        <v>46153</v>
      </c>
      <c r="B1019" t="s">
        <v>8965</v>
      </c>
      <c r="C1019" s="5" t="s">
        <v>9154</v>
      </c>
      <c r="D1019" t="s">
        <v>8966</v>
      </c>
      <c r="E1019" s="5" t="s">
        <v>2524</v>
      </c>
      <c r="F1019" s="6">
        <v>46042.394444444442</v>
      </c>
      <c r="G1019" s="5" t="s">
        <v>7456</v>
      </c>
      <c r="H1019" s="5" t="s">
        <v>9561</v>
      </c>
      <c r="I1019" s="5" t="s">
        <v>1535</v>
      </c>
      <c r="J1019" s="8">
        <v>667</v>
      </c>
      <c r="K1019" s="5" t="s">
        <v>4</v>
      </c>
      <c r="L1019">
        <f t="shared" si="15"/>
        <v>1</v>
      </c>
    </row>
    <row r="1020" spans="1:12" x14ac:dyDescent="0.25">
      <c r="A1020" s="5">
        <v>46154</v>
      </c>
      <c r="B1020" t="s">
        <v>9562</v>
      </c>
      <c r="C1020" s="5" t="s">
        <v>9563</v>
      </c>
      <c r="D1020" t="s">
        <v>9564</v>
      </c>
      <c r="E1020" s="5" t="s">
        <v>1548</v>
      </c>
      <c r="F1020" s="6">
        <v>46042.40347222222</v>
      </c>
      <c r="G1020" s="5" t="s">
        <v>7456</v>
      </c>
      <c r="H1020" s="5" t="s">
        <v>9565</v>
      </c>
      <c r="I1020" s="5" t="s">
        <v>1564</v>
      </c>
      <c r="J1020" s="8">
        <v>461</v>
      </c>
      <c r="K1020" s="5" t="s">
        <v>4</v>
      </c>
      <c r="L1020">
        <f t="shared" si="15"/>
        <v>1</v>
      </c>
    </row>
    <row r="1021" spans="1:12" x14ac:dyDescent="0.25">
      <c r="A1021" s="5">
        <v>46156</v>
      </c>
      <c r="B1021" t="s">
        <v>9566</v>
      </c>
      <c r="C1021" s="5" t="s">
        <v>9567</v>
      </c>
      <c r="D1021" t="s">
        <v>9568</v>
      </c>
      <c r="E1021" s="5" t="s">
        <v>1548</v>
      </c>
      <c r="F1021" s="6">
        <v>46042.427083333336</v>
      </c>
      <c r="G1021" s="5" t="s">
        <v>7456</v>
      </c>
      <c r="H1021" t="s">
        <v>7482</v>
      </c>
      <c r="I1021" s="5" t="s">
        <v>1564</v>
      </c>
      <c r="J1021" s="8">
        <v>777</v>
      </c>
      <c r="K1021" s="5" t="s">
        <v>4</v>
      </c>
      <c r="L1021">
        <f t="shared" si="15"/>
        <v>1</v>
      </c>
    </row>
    <row r="1022" spans="1:12" x14ac:dyDescent="0.25">
      <c r="A1022" s="5">
        <v>46158</v>
      </c>
      <c r="B1022" t="s">
        <v>9569</v>
      </c>
      <c r="C1022" s="5" t="s">
        <v>9570</v>
      </c>
      <c r="D1022" t="s">
        <v>9571</v>
      </c>
      <c r="E1022" s="5" t="s">
        <v>1548</v>
      </c>
      <c r="F1022" s="6">
        <v>46042.463888888888</v>
      </c>
      <c r="G1022" s="5" t="s">
        <v>7456</v>
      </c>
      <c r="H1022" s="5" t="s">
        <v>9572</v>
      </c>
      <c r="I1022" s="5" t="s">
        <v>1564</v>
      </c>
      <c r="J1022" s="8">
        <v>83.05</v>
      </c>
      <c r="K1022" s="5" t="s">
        <v>4</v>
      </c>
      <c r="L1022">
        <f t="shared" si="15"/>
        <v>1</v>
      </c>
    </row>
    <row r="1023" spans="1:12" x14ac:dyDescent="0.25">
      <c r="A1023" s="5">
        <v>46159</v>
      </c>
      <c r="B1023" t="s">
        <v>9573</v>
      </c>
      <c r="C1023" s="5" t="s">
        <v>9574</v>
      </c>
      <c r="D1023" t="s">
        <v>9575</v>
      </c>
      <c r="E1023" s="5" t="s">
        <v>1548</v>
      </c>
      <c r="F1023" s="6">
        <v>46042.489583333336</v>
      </c>
      <c r="G1023" s="5" t="s">
        <v>7456</v>
      </c>
      <c r="H1023" s="5" t="s">
        <v>9576</v>
      </c>
      <c r="I1023" s="5" t="s">
        <v>1564</v>
      </c>
      <c r="J1023" s="8">
        <v>5200</v>
      </c>
      <c r="K1023" s="5" t="s">
        <v>4</v>
      </c>
      <c r="L1023">
        <f t="shared" si="15"/>
        <v>1</v>
      </c>
    </row>
    <row r="1024" spans="1:12" x14ac:dyDescent="0.25">
      <c r="A1024" s="5">
        <v>46160</v>
      </c>
      <c r="B1024" t="s">
        <v>9577</v>
      </c>
      <c r="C1024" s="5" t="s">
        <v>9578</v>
      </c>
      <c r="D1024" t="s">
        <v>9579</v>
      </c>
      <c r="E1024" s="5" t="s">
        <v>1548</v>
      </c>
      <c r="F1024" s="6">
        <v>46042.525000000001</v>
      </c>
      <c r="G1024" s="5" t="s">
        <v>7456</v>
      </c>
      <c r="H1024" s="5" t="s">
        <v>9580</v>
      </c>
      <c r="I1024" s="5" t="s">
        <v>1564</v>
      </c>
      <c r="J1024" s="8">
        <v>227.1</v>
      </c>
      <c r="K1024" s="5" t="s">
        <v>4</v>
      </c>
      <c r="L1024">
        <f t="shared" si="15"/>
        <v>1</v>
      </c>
    </row>
    <row r="1025" spans="1:12" x14ac:dyDescent="0.25">
      <c r="A1025" s="5">
        <v>46161</v>
      </c>
      <c r="B1025" t="s">
        <v>9581</v>
      </c>
      <c r="C1025" s="5" t="s">
        <v>8147</v>
      </c>
      <c r="D1025" t="s">
        <v>9582</v>
      </c>
      <c r="E1025" s="5" t="s">
        <v>3022</v>
      </c>
      <c r="F1025" s="6">
        <v>46042.563194444447</v>
      </c>
      <c r="G1025" s="5" t="s">
        <v>7456</v>
      </c>
      <c r="H1025" s="5" t="s">
        <v>9583</v>
      </c>
      <c r="I1025" s="5" t="s">
        <v>1535</v>
      </c>
      <c r="J1025" s="8">
        <v>225</v>
      </c>
      <c r="K1025" s="5" t="s">
        <v>4</v>
      </c>
      <c r="L1025">
        <f t="shared" si="15"/>
        <v>1</v>
      </c>
    </row>
    <row r="1026" spans="1:12" x14ac:dyDescent="0.25">
      <c r="A1026" s="5">
        <v>46163</v>
      </c>
      <c r="B1026" t="s">
        <v>9584</v>
      </c>
      <c r="C1026" s="5" t="s">
        <v>9585</v>
      </c>
      <c r="D1026" t="s">
        <v>9586</v>
      </c>
      <c r="E1026" s="5" t="s">
        <v>1548</v>
      </c>
      <c r="F1026" s="6">
        <v>46042.618750000001</v>
      </c>
      <c r="G1026" s="5" t="s">
        <v>7456</v>
      </c>
      <c r="H1026" s="5" t="s">
        <v>9587</v>
      </c>
      <c r="I1026" s="5" t="s">
        <v>1564</v>
      </c>
      <c r="J1026" s="8">
        <v>184.9</v>
      </c>
      <c r="K1026" s="5" t="s">
        <v>4</v>
      </c>
      <c r="L1026">
        <f t="shared" si="15"/>
        <v>1</v>
      </c>
    </row>
    <row r="1027" spans="1:12" x14ac:dyDescent="0.25">
      <c r="A1027" s="5">
        <v>46165</v>
      </c>
      <c r="B1027" t="s">
        <v>9581</v>
      </c>
      <c r="C1027" s="5" t="s">
        <v>8147</v>
      </c>
      <c r="D1027" t="s">
        <v>9582</v>
      </c>
      <c r="E1027" s="5" t="s">
        <v>9588</v>
      </c>
      <c r="F1027" s="6">
        <v>46042.640277777777</v>
      </c>
      <c r="G1027" s="5" t="s">
        <v>7595</v>
      </c>
      <c r="H1027" t="s">
        <v>7482</v>
      </c>
      <c r="I1027" s="5" t="s">
        <v>1535</v>
      </c>
      <c r="J1027" s="8">
        <v>1500</v>
      </c>
      <c r="K1027" s="5" t="s">
        <v>4</v>
      </c>
      <c r="L1027">
        <f t="shared" ref="L1027:L1090" si="16">MONTH(F1027)</f>
        <v>1</v>
      </c>
    </row>
    <row r="1028" spans="1:12" x14ac:dyDescent="0.25">
      <c r="A1028" s="5">
        <v>46166</v>
      </c>
      <c r="B1028" t="s">
        <v>9589</v>
      </c>
      <c r="C1028" s="5" t="s">
        <v>152</v>
      </c>
      <c r="D1028" t="s">
        <v>9590</v>
      </c>
      <c r="E1028" s="5" t="s">
        <v>3983</v>
      </c>
      <c r="F1028" s="6">
        <v>46042.663888888892</v>
      </c>
      <c r="G1028" s="5" t="s">
        <v>7456</v>
      </c>
      <c r="H1028" s="5" t="s">
        <v>9591</v>
      </c>
      <c r="I1028" s="5" t="s">
        <v>1564</v>
      </c>
      <c r="J1028" s="8">
        <v>155</v>
      </c>
      <c r="K1028" s="5" t="s">
        <v>4</v>
      </c>
      <c r="L1028">
        <f t="shared" si="16"/>
        <v>1</v>
      </c>
    </row>
    <row r="1029" spans="1:12" x14ac:dyDescent="0.25">
      <c r="A1029" s="5">
        <v>46167</v>
      </c>
      <c r="B1029" t="s">
        <v>9592</v>
      </c>
      <c r="C1029" s="5" t="s">
        <v>9593</v>
      </c>
      <c r="D1029" t="s">
        <v>9594</v>
      </c>
      <c r="E1029" s="5" t="s">
        <v>1548</v>
      </c>
      <c r="F1029" s="6">
        <v>46042.668055555558</v>
      </c>
      <c r="G1029" s="5" t="s">
        <v>7456</v>
      </c>
      <c r="H1029" s="5" t="s">
        <v>9595</v>
      </c>
      <c r="I1029" s="5" t="s">
        <v>1564</v>
      </c>
      <c r="J1029" s="8">
        <v>703</v>
      </c>
      <c r="K1029" s="5" t="s">
        <v>4</v>
      </c>
      <c r="L1029">
        <f t="shared" si="16"/>
        <v>1</v>
      </c>
    </row>
    <row r="1030" spans="1:12" x14ac:dyDescent="0.25">
      <c r="A1030" s="5">
        <v>46168</v>
      </c>
      <c r="B1030" t="s">
        <v>9596</v>
      </c>
      <c r="C1030" s="5" t="s">
        <v>9597</v>
      </c>
      <c r="D1030" t="s">
        <v>9598</v>
      </c>
      <c r="E1030" s="5" t="s">
        <v>6032</v>
      </c>
      <c r="F1030" s="6">
        <v>46042.668749999997</v>
      </c>
      <c r="G1030" s="5" t="s">
        <v>7456</v>
      </c>
      <c r="H1030" s="5" t="s">
        <v>9599</v>
      </c>
      <c r="I1030" s="5" t="s">
        <v>1621</v>
      </c>
      <c r="J1030" s="8">
        <v>92.43</v>
      </c>
      <c r="K1030" s="5" t="s">
        <v>4</v>
      </c>
      <c r="L1030">
        <f t="shared" si="16"/>
        <v>1</v>
      </c>
    </row>
    <row r="1031" spans="1:12" x14ac:dyDescent="0.25">
      <c r="A1031" s="5">
        <v>46169</v>
      </c>
      <c r="B1031" t="s">
        <v>9600</v>
      </c>
      <c r="C1031" s="5" t="s">
        <v>9601</v>
      </c>
      <c r="D1031" t="s">
        <v>9602</v>
      </c>
      <c r="E1031" s="5" t="s">
        <v>1548</v>
      </c>
      <c r="F1031" s="6">
        <v>46042.689583333333</v>
      </c>
      <c r="G1031" s="5" t="s">
        <v>7456</v>
      </c>
      <c r="H1031" t="s">
        <v>7482</v>
      </c>
      <c r="I1031" s="5" t="s">
        <v>1564</v>
      </c>
      <c r="J1031" s="8">
        <v>251</v>
      </c>
      <c r="K1031" s="5" t="s">
        <v>4</v>
      </c>
      <c r="L1031">
        <f t="shared" si="16"/>
        <v>1</v>
      </c>
    </row>
    <row r="1032" spans="1:12" x14ac:dyDescent="0.25">
      <c r="A1032" s="5">
        <v>46170</v>
      </c>
      <c r="B1032" t="s">
        <v>9603</v>
      </c>
      <c r="C1032" s="5" t="s">
        <v>896</v>
      </c>
      <c r="D1032" t="s">
        <v>9604</v>
      </c>
      <c r="E1032" s="5" t="s">
        <v>6687</v>
      </c>
      <c r="F1032" s="6">
        <v>46042.685416666667</v>
      </c>
      <c r="G1032" s="5" t="s">
        <v>7456</v>
      </c>
      <c r="H1032" s="5" t="s">
        <v>9605</v>
      </c>
      <c r="I1032" s="5" t="s">
        <v>1621</v>
      </c>
      <c r="J1032" s="8">
        <v>52.07</v>
      </c>
      <c r="K1032" s="5" t="s">
        <v>4</v>
      </c>
      <c r="L1032">
        <f t="shared" si="16"/>
        <v>1</v>
      </c>
    </row>
    <row r="1033" spans="1:12" x14ac:dyDescent="0.25">
      <c r="A1033" s="5">
        <v>46171</v>
      </c>
      <c r="B1033" t="s">
        <v>9606</v>
      </c>
      <c r="C1033" s="5" t="s">
        <v>565</v>
      </c>
      <c r="D1033" t="s">
        <v>9607</v>
      </c>
      <c r="E1033" s="5" t="s">
        <v>6228</v>
      </c>
      <c r="F1033" s="6">
        <v>46042.701388888891</v>
      </c>
      <c r="G1033" s="5" t="s">
        <v>7456</v>
      </c>
      <c r="H1033" s="5" t="s">
        <v>9608</v>
      </c>
      <c r="I1033" s="5" t="s">
        <v>1621</v>
      </c>
      <c r="J1033" s="8">
        <v>79.41</v>
      </c>
      <c r="K1033" s="5" t="s">
        <v>4</v>
      </c>
      <c r="L1033">
        <f t="shared" si="16"/>
        <v>1</v>
      </c>
    </row>
    <row r="1034" spans="1:12" x14ac:dyDescent="0.25">
      <c r="A1034" s="5">
        <v>46172</v>
      </c>
      <c r="B1034" t="s">
        <v>9609</v>
      </c>
      <c r="C1034" s="5" t="s">
        <v>9610</v>
      </c>
      <c r="D1034" t="s">
        <v>9611</v>
      </c>
      <c r="E1034" s="5" t="s">
        <v>1548</v>
      </c>
      <c r="F1034" s="6">
        <v>46042.745138888888</v>
      </c>
      <c r="G1034" s="5" t="s">
        <v>7456</v>
      </c>
      <c r="H1034" t="s">
        <v>7482</v>
      </c>
      <c r="I1034" s="5" t="s">
        <v>1564</v>
      </c>
      <c r="J1034" s="8">
        <v>1333.4</v>
      </c>
      <c r="K1034" s="5" t="s">
        <v>4</v>
      </c>
      <c r="L1034">
        <f t="shared" si="16"/>
        <v>1</v>
      </c>
    </row>
    <row r="1035" spans="1:12" x14ac:dyDescent="0.25">
      <c r="A1035" s="5">
        <v>46173</v>
      </c>
      <c r="B1035" t="s">
        <v>9612</v>
      </c>
      <c r="C1035" s="5" t="s">
        <v>9613</v>
      </c>
      <c r="D1035" t="s">
        <v>9614</v>
      </c>
      <c r="E1035" s="5" t="s">
        <v>1548</v>
      </c>
      <c r="F1035" s="6">
        <v>46042.749305555553</v>
      </c>
      <c r="G1035" s="5" t="s">
        <v>7456</v>
      </c>
      <c r="H1035" s="5" t="s">
        <v>9615</v>
      </c>
      <c r="I1035" s="5" t="s">
        <v>1564</v>
      </c>
      <c r="J1035" s="8">
        <v>840</v>
      </c>
      <c r="K1035" s="5" t="s">
        <v>4</v>
      </c>
      <c r="L1035">
        <f t="shared" si="16"/>
        <v>1</v>
      </c>
    </row>
    <row r="1036" spans="1:12" x14ac:dyDescent="0.25">
      <c r="A1036" s="5">
        <v>46174</v>
      </c>
      <c r="B1036" t="s">
        <v>9616</v>
      </c>
      <c r="C1036" s="5" t="s">
        <v>9617</v>
      </c>
      <c r="D1036" t="s">
        <v>9618</v>
      </c>
      <c r="E1036" s="5" t="s">
        <v>1548</v>
      </c>
      <c r="F1036" s="6">
        <v>46042.758333333331</v>
      </c>
      <c r="G1036" s="5" t="s">
        <v>7456</v>
      </c>
      <c r="H1036" s="5" t="s">
        <v>7522</v>
      </c>
      <c r="I1036" s="5" t="s">
        <v>1564</v>
      </c>
      <c r="J1036" s="8">
        <v>510</v>
      </c>
      <c r="K1036" s="5" t="s">
        <v>4</v>
      </c>
      <c r="L1036">
        <f t="shared" si="16"/>
        <v>1</v>
      </c>
    </row>
    <row r="1037" spans="1:12" x14ac:dyDescent="0.25">
      <c r="A1037" s="5">
        <v>46175</v>
      </c>
      <c r="B1037" t="s">
        <v>9619</v>
      </c>
      <c r="C1037" s="5" t="s">
        <v>9620</v>
      </c>
      <c r="D1037" t="s">
        <v>9621</v>
      </c>
      <c r="E1037" s="5" t="s">
        <v>1548</v>
      </c>
      <c r="F1037" s="6">
        <v>46042.772222222222</v>
      </c>
      <c r="G1037" s="5" t="s">
        <v>7456</v>
      </c>
      <c r="H1037" t="s">
        <v>7482</v>
      </c>
      <c r="I1037" s="5" t="s">
        <v>1564</v>
      </c>
      <c r="J1037" s="8">
        <v>409.8</v>
      </c>
      <c r="K1037" s="5" t="s">
        <v>4</v>
      </c>
      <c r="L1037">
        <f t="shared" si="16"/>
        <v>1</v>
      </c>
    </row>
    <row r="1038" spans="1:12" x14ac:dyDescent="0.25">
      <c r="A1038" s="5">
        <v>46178</v>
      </c>
      <c r="B1038" t="s">
        <v>9622</v>
      </c>
      <c r="C1038" s="5" t="s">
        <v>9623</v>
      </c>
      <c r="D1038" t="s">
        <v>9624</v>
      </c>
      <c r="E1038" s="5" t="s">
        <v>1548</v>
      </c>
      <c r="F1038" s="6">
        <v>46043.347916666666</v>
      </c>
      <c r="G1038" s="5" t="s">
        <v>7456</v>
      </c>
      <c r="H1038" s="5" t="s">
        <v>9625</v>
      </c>
      <c r="I1038" s="5" t="s">
        <v>1564</v>
      </c>
      <c r="J1038" s="8">
        <v>272.60000000000002</v>
      </c>
      <c r="K1038" s="5" t="s">
        <v>4</v>
      </c>
      <c r="L1038">
        <f t="shared" si="16"/>
        <v>1</v>
      </c>
    </row>
    <row r="1039" spans="1:12" x14ac:dyDescent="0.25">
      <c r="A1039" s="5">
        <v>46180</v>
      </c>
      <c r="B1039" t="s">
        <v>9626</v>
      </c>
      <c r="C1039" s="5" t="s">
        <v>9627</v>
      </c>
      <c r="D1039" t="s">
        <v>9628</v>
      </c>
      <c r="E1039" s="5" t="s">
        <v>1548</v>
      </c>
      <c r="F1039" s="6">
        <v>46043.401388888888</v>
      </c>
      <c r="G1039" s="5" t="s">
        <v>7456</v>
      </c>
      <c r="H1039" s="5" t="s">
        <v>9629</v>
      </c>
      <c r="I1039" s="5" t="s">
        <v>1564</v>
      </c>
      <c r="J1039" s="8">
        <v>950</v>
      </c>
      <c r="K1039" s="5" t="s">
        <v>4</v>
      </c>
      <c r="L1039">
        <f t="shared" si="16"/>
        <v>1</v>
      </c>
    </row>
    <row r="1040" spans="1:12" x14ac:dyDescent="0.25">
      <c r="A1040" s="5">
        <v>46181</v>
      </c>
      <c r="B1040" t="s">
        <v>9630</v>
      </c>
      <c r="C1040" s="5" t="s">
        <v>9631</v>
      </c>
      <c r="D1040" t="s">
        <v>9632</v>
      </c>
      <c r="E1040" s="5" t="s">
        <v>1548</v>
      </c>
      <c r="F1040" s="6">
        <v>46043.427777777775</v>
      </c>
      <c r="G1040" s="5" t="s">
        <v>7456</v>
      </c>
      <c r="H1040" s="5" t="s">
        <v>9633</v>
      </c>
      <c r="I1040" s="5" t="s">
        <v>1564</v>
      </c>
      <c r="J1040" s="8">
        <v>174.9</v>
      </c>
      <c r="K1040" s="5" t="s">
        <v>4</v>
      </c>
      <c r="L1040">
        <f t="shared" si="16"/>
        <v>1</v>
      </c>
    </row>
    <row r="1041" spans="1:12" x14ac:dyDescent="0.25">
      <c r="A1041" s="5">
        <v>46182</v>
      </c>
      <c r="B1041" t="s">
        <v>9634</v>
      </c>
      <c r="C1041" s="5" t="s">
        <v>9635</v>
      </c>
      <c r="D1041" t="s">
        <v>9636</v>
      </c>
      <c r="E1041" s="5" t="s">
        <v>1813</v>
      </c>
      <c r="F1041" s="6">
        <v>46043.431250000001</v>
      </c>
      <c r="G1041" s="5" t="s">
        <v>7595</v>
      </c>
      <c r="H1041" t="s">
        <v>7482</v>
      </c>
      <c r="I1041" s="5" t="s">
        <v>9637</v>
      </c>
      <c r="J1041" s="8">
        <v>240</v>
      </c>
      <c r="K1041" s="5" t="s">
        <v>4</v>
      </c>
      <c r="L1041">
        <f t="shared" si="16"/>
        <v>1</v>
      </c>
    </row>
    <row r="1042" spans="1:12" x14ac:dyDescent="0.25">
      <c r="A1042" s="5">
        <v>46183</v>
      </c>
      <c r="B1042" t="s">
        <v>9638</v>
      </c>
      <c r="C1042" s="5" t="s">
        <v>9639</v>
      </c>
      <c r="D1042" t="s">
        <v>9293</v>
      </c>
      <c r="E1042" s="5" t="s">
        <v>4155</v>
      </c>
      <c r="F1042" s="6">
        <v>46043.511805555558</v>
      </c>
      <c r="G1042" s="5" t="s">
        <v>7456</v>
      </c>
      <c r="H1042" s="5" t="s">
        <v>9640</v>
      </c>
      <c r="I1042" s="5" t="s">
        <v>1564</v>
      </c>
      <c r="J1042" s="8">
        <v>234.9</v>
      </c>
      <c r="K1042" s="5" t="s">
        <v>4</v>
      </c>
      <c r="L1042">
        <f t="shared" si="16"/>
        <v>1</v>
      </c>
    </row>
    <row r="1043" spans="1:12" x14ac:dyDescent="0.25">
      <c r="A1043" s="5">
        <v>46185</v>
      </c>
      <c r="B1043" t="s">
        <v>9641</v>
      </c>
      <c r="C1043" s="5" t="s">
        <v>9642</v>
      </c>
      <c r="D1043" t="s">
        <v>9643</v>
      </c>
      <c r="E1043" s="5" t="s">
        <v>1548</v>
      </c>
      <c r="F1043" s="6">
        <v>46043.606249999997</v>
      </c>
      <c r="G1043" s="5" t="s">
        <v>7456</v>
      </c>
      <c r="H1043" s="5" t="s">
        <v>9644</v>
      </c>
      <c r="I1043" s="5" t="s">
        <v>1564</v>
      </c>
      <c r="J1043" s="8">
        <v>154.69999999999999</v>
      </c>
      <c r="K1043" s="5" t="s">
        <v>4</v>
      </c>
      <c r="L1043">
        <f t="shared" si="16"/>
        <v>1</v>
      </c>
    </row>
    <row r="1044" spans="1:12" x14ac:dyDescent="0.25">
      <c r="A1044" s="5">
        <v>46186</v>
      </c>
      <c r="B1044" t="s">
        <v>9137</v>
      </c>
      <c r="C1044" s="5" t="s">
        <v>9138</v>
      </c>
      <c r="D1044" t="s">
        <v>9139</v>
      </c>
      <c r="E1044" s="5" t="s">
        <v>1548</v>
      </c>
      <c r="F1044" s="6">
        <v>46043.613888888889</v>
      </c>
      <c r="G1044" s="5" t="s">
        <v>7456</v>
      </c>
      <c r="H1044" s="5" t="s">
        <v>9645</v>
      </c>
      <c r="I1044" s="5" t="s">
        <v>1564</v>
      </c>
      <c r="J1044" s="8">
        <v>128</v>
      </c>
      <c r="K1044" s="5" t="s">
        <v>4</v>
      </c>
      <c r="L1044">
        <f t="shared" si="16"/>
        <v>1</v>
      </c>
    </row>
    <row r="1045" spans="1:12" x14ac:dyDescent="0.25">
      <c r="A1045" s="5">
        <v>46189</v>
      </c>
      <c r="B1045" t="s">
        <v>9646</v>
      </c>
      <c r="C1045" s="5" t="s">
        <v>9647</v>
      </c>
      <c r="D1045" t="s">
        <v>9648</v>
      </c>
      <c r="E1045" s="5" t="s">
        <v>1742</v>
      </c>
      <c r="F1045" s="6">
        <v>46043.640972222223</v>
      </c>
      <c r="G1045" s="5" t="s">
        <v>7456</v>
      </c>
      <c r="H1045" s="5" t="s">
        <v>9649</v>
      </c>
      <c r="I1045" s="5" t="s">
        <v>1535</v>
      </c>
      <c r="J1045" s="8">
        <v>790</v>
      </c>
      <c r="K1045" s="5" t="s">
        <v>4</v>
      </c>
      <c r="L1045">
        <f t="shared" si="16"/>
        <v>1</v>
      </c>
    </row>
    <row r="1046" spans="1:12" x14ac:dyDescent="0.25">
      <c r="A1046" s="5">
        <v>46191</v>
      </c>
      <c r="B1046" t="s">
        <v>9650</v>
      </c>
      <c r="C1046" s="5" t="s">
        <v>9651</v>
      </c>
      <c r="D1046" t="s">
        <v>9652</v>
      </c>
      <c r="E1046" s="5" t="s">
        <v>1548</v>
      </c>
      <c r="F1046" s="6">
        <v>46043.65</v>
      </c>
      <c r="G1046" s="5" t="s">
        <v>7456</v>
      </c>
      <c r="H1046" t="s">
        <v>7482</v>
      </c>
      <c r="I1046" s="5" t="s">
        <v>1564</v>
      </c>
      <c r="J1046" s="8">
        <v>1156.8</v>
      </c>
      <c r="K1046" s="5" t="s">
        <v>4</v>
      </c>
      <c r="L1046">
        <f t="shared" si="16"/>
        <v>1</v>
      </c>
    </row>
    <row r="1047" spans="1:12" x14ac:dyDescent="0.25">
      <c r="A1047" s="5">
        <v>46192</v>
      </c>
      <c r="B1047" t="s">
        <v>9653</v>
      </c>
      <c r="C1047" s="5" t="s">
        <v>7516</v>
      </c>
      <c r="D1047" t="s">
        <v>9654</v>
      </c>
      <c r="E1047" s="5" t="s">
        <v>3850</v>
      </c>
      <c r="F1047" s="6">
        <v>46043.649305555555</v>
      </c>
      <c r="G1047" s="5" t="s">
        <v>7456</v>
      </c>
      <c r="H1047" s="5" t="s">
        <v>9655</v>
      </c>
      <c r="I1047" s="5" t="s">
        <v>1621</v>
      </c>
      <c r="J1047" s="8">
        <v>278.5</v>
      </c>
      <c r="K1047" s="5" t="s">
        <v>4</v>
      </c>
      <c r="L1047">
        <f t="shared" si="16"/>
        <v>1</v>
      </c>
    </row>
    <row r="1048" spans="1:12" x14ac:dyDescent="0.25">
      <c r="A1048" s="5">
        <v>46193</v>
      </c>
      <c r="B1048" t="s">
        <v>8965</v>
      </c>
      <c r="C1048" s="5" t="s">
        <v>9154</v>
      </c>
      <c r="D1048" t="s">
        <v>8966</v>
      </c>
      <c r="E1048" s="5" t="s">
        <v>1532</v>
      </c>
      <c r="F1048" s="6">
        <v>46043.663888888892</v>
      </c>
      <c r="G1048" s="5" t="s">
        <v>7595</v>
      </c>
      <c r="H1048" t="s">
        <v>7482</v>
      </c>
      <c r="I1048" s="5" t="s">
        <v>1535</v>
      </c>
      <c r="J1048" s="8">
        <v>2500</v>
      </c>
      <c r="K1048" s="5" t="s">
        <v>4</v>
      </c>
      <c r="L1048">
        <f t="shared" si="16"/>
        <v>1</v>
      </c>
    </row>
    <row r="1049" spans="1:12" x14ac:dyDescent="0.25">
      <c r="A1049" s="5">
        <v>46194</v>
      </c>
      <c r="B1049" t="s">
        <v>9656</v>
      </c>
      <c r="C1049" s="5" t="s">
        <v>7516</v>
      </c>
      <c r="D1049" t="s">
        <v>9657</v>
      </c>
      <c r="E1049" s="5" t="s">
        <v>1813</v>
      </c>
      <c r="F1049" s="6">
        <v>46043.670138888891</v>
      </c>
      <c r="G1049" s="5" t="s">
        <v>7456</v>
      </c>
      <c r="H1049" s="5" t="s">
        <v>9658</v>
      </c>
      <c r="I1049" s="5" t="s">
        <v>1535</v>
      </c>
      <c r="J1049" s="8">
        <v>392</v>
      </c>
      <c r="K1049" s="5" t="s">
        <v>4</v>
      </c>
      <c r="L1049">
        <f t="shared" si="16"/>
        <v>1</v>
      </c>
    </row>
    <row r="1050" spans="1:12" x14ac:dyDescent="0.25">
      <c r="A1050" s="5">
        <v>46196</v>
      </c>
      <c r="B1050" t="s">
        <v>9659</v>
      </c>
      <c r="C1050" s="5" t="s">
        <v>188</v>
      </c>
      <c r="D1050" t="s">
        <v>9660</v>
      </c>
      <c r="E1050" s="5" t="s">
        <v>3527</v>
      </c>
      <c r="F1050" s="6">
        <v>46043.662499999999</v>
      </c>
      <c r="G1050" s="5" t="s">
        <v>7456</v>
      </c>
      <c r="H1050" s="5" t="s">
        <v>9661</v>
      </c>
      <c r="I1050" s="5" t="s">
        <v>1621</v>
      </c>
      <c r="J1050" s="8">
        <v>319.17</v>
      </c>
      <c r="K1050" s="5" t="s">
        <v>4</v>
      </c>
      <c r="L1050">
        <f t="shared" si="16"/>
        <v>1</v>
      </c>
    </row>
    <row r="1051" spans="1:12" x14ac:dyDescent="0.25">
      <c r="A1051" s="5">
        <v>46197</v>
      </c>
      <c r="B1051" t="s">
        <v>9662</v>
      </c>
      <c r="C1051" s="5" t="s">
        <v>9663</v>
      </c>
      <c r="D1051" t="s">
        <v>9664</v>
      </c>
      <c r="E1051" s="5" t="s">
        <v>6112</v>
      </c>
      <c r="F1051" s="6">
        <v>46043.682638888888</v>
      </c>
      <c r="G1051" s="5" t="s">
        <v>7456</v>
      </c>
      <c r="H1051" s="5" t="s">
        <v>9665</v>
      </c>
      <c r="I1051" s="5" t="s">
        <v>1621</v>
      </c>
      <c r="J1051" s="8">
        <v>87.78</v>
      </c>
      <c r="K1051" s="5" t="s">
        <v>4</v>
      </c>
      <c r="L1051">
        <f t="shared" si="16"/>
        <v>1</v>
      </c>
    </row>
    <row r="1052" spans="1:12" x14ac:dyDescent="0.25">
      <c r="A1052" s="5">
        <v>46198</v>
      </c>
      <c r="B1052" t="s">
        <v>8965</v>
      </c>
      <c r="C1052" s="5" t="s">
        <v>8082</v>
      </c>
      <c r="D1052" t="s">
        <v>8966</v>
      </c>
      <c r="E1052" s="5" t="s">
        <v>1809</v>
      </c>
      <c r="F1052" s="6">
        <v>46043.69027777778</v>
      </c>
      <c r="G1052" s="5" t="s">
        <v>7456</v>
      </c>
      <c r="H1052" s="5" t="s">
        <v>9666</v>
      </c>
      <c r="I1052" s="5" t="s">
        <v>1535</v>
      </c>
      <c r="J1052" s="8">
        <v>2000</v>
      </c>
      <c r="K1052" s="5" t="s">
        <v>4</v>
      </c>
      <c r="L1052">
        <f t="shared" si="16"/>
        <v>1</v>
      </c>
    </row>
    <row r="1053" spans="1:12" x14ac:dyDescent="0.25">
      <c r="A1053" s="5">
        <v>46199</v>
      </c>
      <c r="B1053" t="s">
        <v>9667</v>
      </c>
      <c r="C1053" s="5" t="s">
        <v>9668</v>
      </c>
      <c r="D1053" t="s">
        <v>9669</v>
      </c>
      <c r="E1053" s="5" t="s">
        <v>7209</v>
      </c>
      <c r="F1053" s="6">
        <v>46043.688194444447</v>
      </c>
      <c r="G1053" s="5" t="s">
        <v>7456</v>
      </c>
      <c r="H1053" s="5" t="s">
        <v>9670</v>
      </c>
      <c r="I1053" s="5" t="s">
        <v>1621</v>
      </c>
      <c r="J1053" s="8">
        <v>24.83</v>
      </c>
      <c r="K1053" s="5" t="s">
        <v>4</v>
      </c>
      <c r="L1053">
        <f t="shared" si="16"/>
        <v>1</v>
      </c>
    </row>
    <row r="1054" spans="1:12" x14ac:dyDescent="0.25">
      <c r="A1054" s="5">
        <v>46200</v>
      </c>
      <c r="B1054" t="s">
        <v>9671</v>
      </c>
      <c r="C1054" s="5" t="s">
        <v>9672</v>
      </c>
      <c r="D1054" t="s">
        <v>9673</v>
      </c>
      <c r="E1054" s="5" t="s">
        <v>1548</v>
      </c>
      <c r="F1054" s="6">
        <v>46043.7</v>
      </c>
      <c r="G1054" s="5" t="s">
        <v>7456</v>
      </c>
      <c r="H1054" t="s">
        <v>7482</v>
      </c>
      <c r="I1054" s="5" t="s">
        <v>1564</v>
      </c>
      <c r="J1054" s="8">
        <v>518.20000000000005</v>
      </c>
      <c r="K1054" s="5" t="s">
        <v>4</v>
      </c>
      <c r="L1054">
        <f t="shared" si="16"/>
        <v>1</v>
      </c>
    </row>
    <row r="1055" spans="1:12" x14ac:dyDescent="0.25">
      <c r="A1055" s="5">
        <v>46201</v>
      </c>
      <c r="B1055" t="s">
        <v>9674</v>
      </c>
      <c r="C1055" s="5" t="s">
        <v>344</v>
      </c>
      <c r="D1055" t="s">
        <v>9675</v>
      </c>
      <c r="E1055" s="5" t="s">
        <v>6190</v>
      </c>
      <c r="F1055" s="6">
        <v>46043.695833333331</v>
      </c>
      <c r="G1055" s="5" t="s">
        <v>7456</v>
      </c>
      <c r="H1055" s="5" t="s">
        <v>9676</v>
      </c>
      <c r="I1055" s="5" t="s">
        <v>1621</v>
      </c>
      <c r="J1055" s="8">
        <v>81.459999999999994</v>
      </c>
      <c r="K1055" s="5" t="s">
        <v>4</v>
      </c>
      <c r="L1055">
        <f t="shared" si="16"/>
        <v>1</v>
      </c>
    </row>
    <row r="1056" spans="1:12" x14ac:dyDescent="0.25">
      <c r="A1056" s="5">
        <v>46202</v>
      </c>
      <c r="B1056" t="s">
        <v>9677</v>
      </c>
      <c r="C1056" s="5" t="s">
        <v>9678</v>
      </c>
      <c r="D1056" t="s">
        <v>9679</v>
      </c>
      <c r="E1056" s="5" t="s">
        <v>1548</v>
      </c>
      <c r="F1056" s="6">
        <v>46043.763194444444</v>
      </c>
      <c r="G1056" s="5" t="s">
        <v>7456</v>
      </c>
      <c r="H1056" s="5" t="s">
        <v>9680</v>
      </c>
      <c r="I1056" s="5" t="s">
        <v>1564</v>
      </c>
      <c r="J1056" s="8">
        <v>943.2</v>
      </c>
      <c r="K1056" s="5" t="s">
        <v>4</v>
      </c>
      <c r="L1056">
        <f t="shared" si="16"/>
        <v>1</v>
      </c>
    </row>
    <row r="1057" spans="1:12" x14ac:dyDescent="0.25">
      <c r="A1057" s="5">
        <v>46203</v>
      </c>
      <c r="B1057" t="s">
        <v>9681</v>
      </c>
      <c r="C1057" s="5" t="s">
        <v>9682</v>
      </c>
      <c r="D1057" t="s">
        <v>9683</v>
      </c>
      <c r="E1057" s="5" t="s">
        <v>2708</v>
      </c>
      <c r="F1057" s="6">
        <v>46044.397222222222</v>
      </c>
      <c r="G1057" s="5" t="s">
        <v>7456</v>
      </c>
      <c r="H1057" s="5" t="s">
        <v>9684</v>
      </c>
      <c r="I1057" s="5" t="s">
        <v>1564</v>
      </c>
      <c r="J1057" s="8">
        <v>559</v>
      </c>
      <c r="K1057" s="5" t="s">
        <v>4</v>
      </c>
      <c r="L1057">
        <f t="shared" si="16"/>
        <v>1</v>
      </c>
    </row>
    <row r="1058" spans="1:12" x14ac:dyDescent="0.25">
      <c r="A1058" s="5">
        <v>46204</v>
      </c>
      <c r="B1058" t="s">
        <v>9685</v>
      </c>
      <c r="C1058" s="5" t="s">
        <v>9686</v>
      </c>
      <c r="D1058" t="s">
        <v>9687</v>
      </c>
      <c r="E1058" s="5" t="s">
        <v>5612</v>
      </c>
      <c r="F1058" s="6">
        <v>46044.406944444447</v>
      </c>
      <c r="G1058" s="5" t="s">
        <v>7456</v>
      </c>
      <c r="H1058" s="5" t="s">
        <v>9688</v>
      </c>
      <c r="I1058" s="5" t="s">
        <v>1535</v>
      </c>
      <c r="J1058" s="8">
        <v>115</v>
      </c>
      <c r="K1058" s="5" t="s">
        <v>4</v>
      </c>
      <c r="L1058">
        <f t="shared" si="16"/>
        <v>1</v>
      </c>
    </row>
    <row r="1059" spans="1:12" x14ac:dyDescent="0.25">
      <c r="A1059" s="5">
        <v>46205</v>
      </c>
      <c r="B1059" t="s">
        <v>9689</v>
      </c>
      <c r="C1059" s="5" t="s">
        <v>9690</v>
      </c>
      <c r="D1059" t="s">
        <v>9691</v>
      </c>
      <c r="E1059" s="5" t="s">
        <v>1548</v>
      </c>
      <c r="F1059" s="6">
        <v>46044.413888888892</v>
      </c>
      <c r="G1059" s="5" t="s">
        <v>7456</v>
      </c>
      <c r="H1059" s="5" t="s">
        <v>9692</v>
      </c>
      <c r="I1059" s="5" t="s">
        <v>1564</v>
      </c>
      <c r="J1059" s="8">
        <v>150</v>
      </c>
      <c r="K1059" s="5" t="s">
        <v>4</v>
      </c>
      <c r="L1059">
        <f t="shared" si="16"/>
        <v>1</v>
      </c>
    </row>
    <row r="1060" spans="1:12" x14ac:dyDescent="0.25">
      <c r="A1060" s="5">
        <v>46206</v>
      </c>
      <c r="B1060" t="s">
        <v>9693</v>
      </c>
      <c r="C1060" s="5" t="s">
        <v>9694</v>
      </c>
      <c r="D1060" t="s">
        <v>9695</v>
      </c>
      <c r="E1060" s="5" t="s">
        <v>1548</v>
      </c>
      <c r="F1060" s="6">
        <v>46044.462500000001</v>
      </c>
      <c r="G1060" s="5" t="s">
        <v>7456</v>
      </c>
      <c r="H1060" t="s">
        <v>7482</v>
      </c>
      <c r="I1060" s="5" t="s">
        <v>1564</v>
      </c>
      <c r="J1060" s="8">
        <v>595.75</v>
      </c>
      <c r="K1060" s="5" t="s">
        <v>4</v>
      </c>
      <c r="L1060">
        <f t="shared" si="16"/>
        <v>1</v>
      </c>
    </row>
    <row r="1061" spans="1:12" x14ac:dyDescent="0.25">
      <c r="A1061" s="5">
        <v>46207</v>
      </c>
      <c r="B1061" t="s">
        <v>9696</v>
      </c>
      <c r="C1061" s="5" t="s">
        <v>9697</v>
      </c>
      <c r="D1061" t="s">
        <v>9698</v>
      </c>
      <c r="E1061" s="5" t="s">
        <v>1548</v>
      </c>
      <c r="F1061" s="6">
        <v>46044.47152777778</v>
      </c>
      <c r="G1061" s="5" t="s">
        <v>7456</v>
      </c>
      <c r="H1061" s="5" t="s">
        <v>9699</v>
      </c>
      <c r="I1061" s="5" t="s">
        <v>1564</v>
      </c>
      <c r="J1061" s="8">
        <v>222</v>
      </c>
      <c r="K1061" s="5" t="s">
        <v>4</v>
      </c>
      <c r="L1061">
        <f t="shared" si="16"/>
        <v>1</v>
      </c>
    </row>
    <row r="1062" spans="1:12" x14ac:dyDescent="0.25">
      <c r="A1062" s="5">
        <v>46208</v>
      </c>
      <c r="B1062" t="s">
        <v>9700</v>
      </c>
      <c r="C1062" s="5" t="s">
        <v>9701</v>
      </c>
      <c r="D1062" t="s">
        <v>9702</v>
      </c>
      <c r="E1062" s="5" t="s">
        <v>1548</v>
      </c>
      <c r="F1062" s="6">
        <v>46044.477777777778</v>
      </c>
      <c r="G1062" s="5" t="s">
        <v>7456</v>
      </c>
      <c r="H1062" t="s">
        <v>7482</v>
      </c>
      <c r="I1062" s="5" t="s">
        <v>1564</v>
      </c>
      <c r="J1062" s="8">
        <v>273</v>
      </c>
      <c r="K1062" s="5" t="s">
        <v>4</v>
      </c>
      <c r="L1062">
        <f t="shared" si="16"/>
        <v>1</v>
      </c>
    </row>
    <row r="1063" spans="1:12" x14ac:dyDescent="0.25">
      <c r="A1063" s="5">
        <v>46210</v>
      </c>
      <c r="B1063" t="s">
        <v>9703</v>
      </c>
      <c r="C1063" s="5" t="s">
        <v>9704</v>
      </c>
      <c r="D1063" t="s">
        <v>9705</v>
      </c>
      <c r="E1063" s="5" t="s">
        <v>1548</v>
      </c>
      <c r="F1063" s="6">
        <v>46044.497916666667</v>
      </c>
      <c r="G1063" s="5" t="s">
        <v>7456</v>
      </c>
      <c r="H1063" s="5" t="s">
        <v>9706</v>
      </c>
      <c r="I1063" s="5" t="s">
        <v>1564</v>
      </c>
      <c r="J1063" s="8">
        <v>319</v>
      </c>
      <c r="K1063" s="5" t="s">
        <v>4</v>
      </c>
      <c r="L1063">
        <f t="shared" si="16"/>
        <v>1</v>
      </c>
    </row>
    <row r="1064" spans="1:12" x14ac:dyDescent="0.25">
      <c r="A1064" s="5">
        <v>46211</v>
      </c>
      <c r="B1064" t="s">
        <v>9707</v>
      </c>
      <c r="C1064" s="5" t="s">
        <v>9708</v>
      </c>
      <c r="D1064" t="s">
        <v>9709</v>
      </c>
      <c r="E1064" s="5" t="s">
        <v>1548</v>
      </c>
      <c r="F1064" s="6">
        <v>46044.507638888892</v>
      </c>
      <c r="G1064" s="5" t="s">
        <v>7456</v>
      </c>
      <c r="H1064" s="5" t="s">
        <v>9710</v>
      </c>
      <c r="I1064" s="5" t="s">
        <v>1564</v>
      </c>
      <c r="J1064" s="8">
        <v>3983.09</v>
      </c>
      <c r="K1064" s="5" t="s">
        <v>4</v>
      </c>
      <c r="L1064">
        <f t="shared" si="16"/>
        <v>1</v>
      </c>
    </row>
    <row r="1065" spans="1:12" x14ac:dyDescent="0.25">
      <c r="A1065" s="5">
        <v>46212</v>
      </c>
      <c r="B1065" t="s">
        <v>9711</v>
      </c>
      <c r="C1065" s="5" t="s">
        <v>9712</v>
      </c>
      <c r="D1065" t="s">
        <v>9713</v>
      </c>
      <c r="E1065" s="5" t="s">
        <v>1548</v>
      </c>
      <c r="F1065" s="6">
        <v>46044.51458333333</v>
      </c>
      <c r="G1065" s="5" t="s">
        <v>7456</v>
      </c>
      <c r="H1065" s="5" t="s">
        <v>9714</v>
      </c>
      <c r="I1065" s="5" t="s">
        <v>1564</v>
      </c>
      <c r="J1065" s="8">
        <v>997.5</v>
      </c>
      <c r="K1065" s="5" t="s">
        <v>4</v>
      </c>
      <c r="L1065">
        <f t="shared" si="16"/>
        <v>1</v>
      </c>
    </row>
    <row r="1066" spans="1:12" x14ac:dyDescent="0.25">
      <c r="A1066" s="5">
        <v>46213</v>
      </c>
      <c r="B1066" t="s">
        <v>8965</v>
      </c>
      <c r="C1066" s="5" t="s">
        <v>8082</v>
      </c>
      <c r="D1066" t="s">
        <v>8966</v>
      </c>
      <c r="E1066" s="5" t="s">
        <v>1544</v>
      </c>
      <c r="F1066" s="6">
        <v>46044.645138888889</v>
      </c>
      <c r="G1066" s="5" t="s">
        <v>7456</v>
      </c>
      <c r="H1066" s="5" t="s">
        <v>9715</v>
      </c>
      <c r="I1066" s="5" t="s">
        <v>1535</v>
      </c>
      <c r="J1066" s="8">
        <v>9840</v>
      </c>
      <c r="K1066" s="5" t="s">
        <v>4</v>
      </c>
      <c r="L1066">
        <f t="shared" si="16"/>
        <v>1</v>
      </c>
    </row>
    <row r="1067" spans="1:12" x14ac:dyDescent="0.25">
      <c r="A1067" s="5">
        <v>46214</v>
      </c>
      <c r="B1067" t="s">
        <v>9716</v>
      </c>
      <c r="C1067" s="5" t="s">
        <v>9717</v>
      </c>
      <c r="D1067" t="s">
        <v>9718</v>
      </c>
      <c r="E1067" s="5" t="s">
        <v>1548</v>
      </c>
      <c r="F1067" s="6">
        <v>46044.645138888889</v>
      </c>
      <c r="G1067" s="5" t="s">
        <v>7456</v>
      </c>
      <c r="H1067" s="5" t="s">
        <v>9719</v>
      </c>
      <c r="I1067" s="5" t="s">
        <v>1564</v>
      </c>
      <c r="J1067" s="8">
        <v>285</v>
      </c>
      <c r="K1067" s="5" t="s">
        <v>4</v>
      </c>
      <c r="L1067">
        <f t="shared" si="16"/>
        <v>1</v>
      </c>
    </row>
    <row r="1068" spans="1:12" x14ac:dyDescent="0.25">
      <c r="A1068" s="5">
        <v>46215</v>
      </c>
      <c r="B1068" t="s">
        <v>9720</v>
      </c>
      <c r="C1068" s="5" t="s">
        <v>9721</v>
      </c>
      <c r="D1068" t="s">
        <v>9722</v>
      </c>
      <c r="E1068" s="5" t="s">
        <v>3523</v>
      </c>
      <c r="F1068" s="6">
        <v>46044.649305555555</v>
      </c>
      <c r="G1068" s="5" t="s">
        <v>7456</v>
      </c>
      <c r="H1068" s="5" t="s">
        <v>9723</v>
      </c>
      <c r="I1068" s="5" t="s">
        <v>1621</v>
      </c>
      <c r="J1068" s="8">
        <v>319.27999999999997</v>
      </c>
      <c r="K1068" s="5" t="s">
        <v>4</v>
      </c>
      <c r="L1068">
        <f t="shared" si="16"/>
        <v>1</v>
      </c>
    </row>
    <row r="1069" spans="1:12" x14ac:dyDescent="0.25">
      <c r="A1069" s="5">
        <v>46216</v>
      </c>
      <c r="B1069" t="s">
        <v>9724</v>
      </c>
      <c r="C1069" s="5" t="s">
        <v>9725</v>
      </c>
      <c r="D1069" t="s">
        <v>9726</v>
      </c>
      <c r="E1069" s="5" t="s">
        <v>1548</v>
      </c>
      <c r="F1069" s="6">
        <v>46044.658333333333</v>
      </c>
      <c r="G1069" s="5" t="s">
        <v>7456</v>
      </c>
      <c r="H1069" t="s">
        <v>7482</v>
      </c>
      <c r="I1069" s="5" t="s">
        <v>1564</v>
      </c>
      <c r="J1069" s="8">
        <v>792</v>
      </c>
      <c r="K1069" s="5" t="s">
        <v>4</v>
      </c>
      <c r="L1069">
        <f t="shared" si="16"/>
        <v>1</v>
      </c>
    </row>
    <row r="1070" spans="1:12" x14ac:dyDescent="0.25">
      <c r="A1070" s="5">
        <v>46218</v>
      </c>
      <c r="B1070" t="s">
        <v>9727</v>
      </c>
      <c r="C1070" s="5" t="s">
        <v>9728</v>
      </c>
      <c r="D1070" t="s">
        <v>9729</v>
      </c>
      <c r="E1070" s="5" t="s">
        <v>5241</v>
      </c>
      <c r="F1070" s="6">
        <v>46044.655555555553</v>
      </c>
      <c r="G1070" s="5" t="s">
        <v>7456</v>
      </c>
      <c r="H1070" s="5" t="s">
        <v>9730</v>
      </c>
      <c r="I1070" s="5" t="s">
        <v>1621</v>
      </c>
      <c r="J1070" s="8">
        <v>137.6</v>
      </c>
      <c r="K1070" s="5" t="s">
        <v>4</v>
      </c>
      <c r="L1070">
        <f t="shared" si="16"/>
        <v>1</v>
      </c>
    </row>
    <row r="1071" spans="1:12" x14ac:dyDescent="0.25">
      <c r="A1071" s="5">
        <v>46220</v>
      </c>
      <c r="B1071" t="s">
        <v>9731</v>
      </c>
      <c r="C1071" s="5" t="s">
        <v>9732</v>
      </c>
      <c r="D1071" t="s">
        <v>9733</v>
      </c>
      <c r="E1071" s="5" t="s">
        <v>3952</v>
      </c>
      <c r="F1071" s="6">
        <v>46044.681944444441</v>
      </c>
      <c r="G1071" s="5" t="s">
        <v>7456</v>
      </c>
      <c r="H1071" s="5" t="s">
        <v>9734</v>
      </c>
      <c r="I1071" s="5" t="s">
        <v>1564</v>
      </c>
      <c r="J1071" s="8">
        <v>263.98</v>
      </c>
      <c r="K1071" s="5" t="s">
        <v>4</v>
      </c>
      <c r="L1071">
        <f t="shared" si="16"/>
        <v>1</v>
      </c>
    </row>
    <row r="1072" spans="1:12" x14ac:dyDescent="0.25">
      <c r="A1072" s="5">
        <v>46221</v>
      </c>
      <c r="B1072" t="s">
        <v>9735</v>
      </c>
      <c r="C1072" s="5" t="s">
        <v>7516</v>
      </c>
      <c r="D1072" t="s">
        <v>9736</v>
      </c>
      <c r="E1072" s="5" t="s">
        <v>1532</v>
      </c>
      <c r="F1072" s="6">
        <v>46044.686805555553</v>
      </c>
      <c r="G1072" s="5" t="s">
        <v>7456</v>
      </c>
      <c r="H1072" s="5" t="s">
        <v>9737</v>
      </c>
      <c r="I1072" s="5" t="s">
        <v>1535</v>
      </c>
      <c r="J1072" s="8">
        <v>216</v>
      </c>
      <c r="K1072" s="5" t="s">
        <v>4</v>
      </c>
      <c r="L1072">
        <f t="shared" si="16"/>
        <v>1</v>
      </c>
    </row>
    <row r="1073" spans="1:12" x14ac:dyDescent="0.25">
      <c r="A1073" s="5">
        <v>46222</v>
      </c>
      <c r="B1073" t="s">
        <v>9738</v>
      </c>
      <c r="C1073" s="5" t="s">
        <v>746</v>
      </c>
      <c r="D1073" t="s">
        <v>9739</v>
      </c>
      <c r="E1073" s="5" t="s">
        <v>6795</v>
      </c>
      <c r="F1073" s="6">
        <v>46044.693055555559</v>
      </c>
      <c r="G1073" s="5" t="s">
        <v>7456</v>
      </c>
      <c r="H1073" s="5" t="s">
        <v>9740</v>
      </c>
      <c r="I1073" s="5" t="s">
        <v>1621</v>
      </c>
      <c r="J1073" s="8">
        <v>44.58</v>
      </c>
      <c r="K1073" s="5" t="s">
        <v>4</v>
      </c>
      <c r="L1073">
        <f t="shared" si="16"/>
        <v>1</v>
      </c>
    </row>
    <row r="1074" spans="1:12" x14ac:dyDescent="0.25">
      <c r="A1074" s="5">
        <v>46223</v>
      </c>
      <c r="B1074" t="s">
        <v>9653</v>
      </c>
      <c r="C1074" s="5" t="s">
        <v>7516</v>
      </c>
      <c r="D1074" t="s">
        <v>9654</v>
      </c>
      <c r="E1074" s="5" t="s">
        <v>5758</v>
      </c>
      <c r="F1074" s="6">
        <v>46044.697916666664</v>
      </c>
      <c r="G1074" s="5" t="s">
        <v>7456</v>
      </c>
      <c r="H1074" s="5" t="s">
        <v>9741</v>
      </c>
      <c r="I1074" s="5" t="s">
        <v>1621</v>
      </c>
      <c r="J1074" s="8">
        <v>111.96</v>
      </c>
      <c r="K1074" s="5" t="s">
        <v>4</v>
      </c>
      <c r="L1074">
        <f t="shared" si="16"/>
        <v>1</v>
      </c>
    </row>
    <row r="1075" spans="1:12" x14ac:dyDescent="0.25">
      <c r="A1075" s="5">
        <v>46225</v>
      </c>
      <c r="B1075" t="s">
        <v>9653</v>
      </c>
      <c r="C1075" s="5" t="s">
        <v>7516</v>
      </c>
      <c r="D1075" t="s">
        <v>9654</v>
      </c>
      <c r="E1075" s="5" t="s">
        <v>6403</v>
      </c>
      <c r="F1075" s="6">
        <v>46044.702777777777</v>
      </c>
      <c r="G1075" s="5" t="s">
        <v>7456</v>
      </c>
      <c r="H1075" s="5" t="s">
        <v>9742</v>
      </c>
      <c r="I1075" s="5" t="s">
        <v>1621</v>
      </c>
      <c r="J1075" s="8">
        <v>69.459999999999994</v>
      </c>
      <c r="K1075" s="5" t="s">
        <v>4</v>
      </c>
      <c r="L1075">
        <f t="shared" si="16"/>
        <v>1</v>
      </c>
    </row>
    <row r="1076" spans="1:12" x14ac:dyDescent="0.25">
      <c r="A1076" s="5">
        <v>46226</v>
      </c>
      <c r="B1076" t="s">
        <v>9743</v>
      </c>
      <c r="C1076" s="5" t="s">
        <v>178</v>
      </c>
      <c r="D1076" t="s">
        <v>9744</v>
      </c>
      <c r="E1076" s="5" t="s">
        <v>6197</v>
      </c>
      <c r="F1076" s="6">
        <v>46044.708333333336</v>
      </c>
      <c r="G1076" s="5" t="s">
        <v>7456</v>
      </c>
      <c r="H1076" s="5" t="s">
        <v>9745</v>
      </c>
      <c r="I1076" s="5" t="s">
        <v>1621</v>
      </c>
      <c r="J1076" s="8">
        <v>80.400000000000006</v>
      </c>
      <c r="K1076" s="5" t="s">
        <v>4</v>
      </c>
      <c r="L1076">
        <f t="shared" si="16"/>
        <v>1</v>
      </c>
    </row>
    <row r="1077" spans="1:12" x14ac:dyDescent="0.25">
      <c r="A1077" s="5">
        <v>46227</v>
      </c>
      <c r="B1077" t="s">
        <v>9746</v>
      </c>
      <c r="C1077" s="5" t="s">
        <v>1232</v>
      </c>
      <c r="D1077" t="s">
        <v>9747</v>
      </c>
      <c r="E1077" s="5" t="s">
        <v>6006</v>
      </c>
      <c r="F1077" s="6">
        <v>46044.720138888886</v>
      </c>
      <c r="G1077" s="5" t="s">
        <v>7456</v>
      </c>
      <c r="H1077" s="5" t="s">
        <v>9748</v>
      </c>
      <c r="I1077" s="5" t="s">
        <v>1621</v>
      </c>
      <c r="J1077" s="8">
        <v>94.38</v>
      </c>
      <c r="K1077" s="5" t="s">
        <v>4</v>
      </c>
      <c r="L1077">
        <f t="shared" si="16"/>
        <v>1</v>
      </c>
    </row>
    <row r="1078" spans="1:12" x14ac:dyDescent="0.25">
      <c r="A1078" s="5">
        <v>46230</v>
      </c>
      <c r="B1078" t="s">
        <v>9749</v>
      </c>
      <c r="C1078" s="5" t="s">
        <v>226</v>
      </c>
      <c r="D1078" t="s">
        <v>9750</v>
      </c>
      <c r="E1078" s="5" t="s">
        <v>3485</v>
      </c>
      <c r="F1078" s="6">
        <v>46044.723611111112</v>
      </c>
      <c r="G1078" s="5" t="s">
        <v>7456</v>
      </c>
      <c r="H1078" s="5" t="s">
        <v>9751</v>
      </c>
      <c r="I1078" s="5" t="s">
        <v>1621</v>
      </c>
      <c r="J1078" s="8">
        <v>320.98</v>
      </c>
      <c r="K1078" s="5" t="s">
        <v>4</v>
      </c>
      <c r="L1078">
        <f t="shared" si="16"/>
        <v>1</v>
      </c>
    </row>
    <row r="1079" spans="1:12" x14ac:dyDescent="0.25">
      <c r="A1079" s="5">
        <v>46232</v>
      </c>
      <c r="B1079" t="s">
        <v>9752</v>
      </c>
      <c r="C1079" s="5" t="s">
        <v>9753</v>
      </c>
      <c r="D1079" t="s">
        <v>9754</v>
      </c>
      <c r="E1079" s="5" t="s">
        <v>1548</v>
      </c>
      <c r="F1079" s="6">
        <v>46044.765972222223</v>
      </c>
      <c r="G1079" s="5" t="s">
        <v>7456</v>
      </c>
      <c r="H1079" t="s">
        <v>7482</v>
      </c>
      <c r="I1079" s="5" t="s">
        <v>1564</v>
      </c>
      <c r="J1079" s="8">
        <v>1573.2</v>
      </c>
      <c r="K1079" s="5" t="s">
        <v>4</v>
      </c>
      <c r="L1079">
        <f t="shared" si="16"/>
        <v>1</v>
      </c>
    </row>
    <row r="1080" spans="1:12" x14ac:dyDescent="0.25">
      <c r="A1080" s="5">
        <v>46233</v>
      </c>
      <c r="B1080" t="s">
        <v>9755</v>
      </c>
      <c r="C1080" s="5" t="s">
        <v>9756</v>
      </c>
      <c r="D1080" t="s">
        <v>9757</v>
      </c>
      <c r="E1080" s="5" t="s">
        <v>1548</v>
      </c>
      <c r="F1080" s="6">
        <v>46045.34375</v>
      </c>
      <c r="G1080" s="5" t="s">
        <v>7456</v>
      </c>
      <c r="H1080" s="5" t="s">
        <v>9758</v>
      </c>
      <c r="I1080" s="5" t="s">
        <v>1564</v>
      </c>
      <c r="J1080" s="8">
        <v>403.08</v>
      </c>
      <c r="K1080" s="5" t="s">
        <v>4</v>
      </c>
      <c r="L1080">
        <f t="shared" si="16"/>
        <v>1</v>
      </c>
    </row>
    <row r="1081" spans="1:12" x14ac:dyDescent="0.25">
      <c r="A1081" s="5">
        <v>46236</v>
      </c>
      <c r="B1081" t="s">
        <v>9491</v>
      </c>
      <c r="C1081" s="5" t="s">
        <v>9492</v>
      </c>
      <c r="D1081" t="s">
        <v>9493</v>
      </c>
      <c r="E1081" s="5" t="s">
        <v>1548</v>
      </c>
      <c r="F1081" s="6">
        <v>46045.363194444442</v>
      </c>
      <c r="G1081" s="5" t="s">
        <v>7456</v>
      </c>
      <c r="H1081" s="5" t="s">
        <v>9759</v>
      </c>
      <c r="I1081" s="5" t="s">
        <v>1535</v>
      </c>
      <c r="J1081" s="8">
        <v>711</v>
      </c>
      <c r="K1081" s="5" t="s">
        <v>4</v>
      </c>
      <c r="L1081">
        <f t="shared" si="16"/>
        <v>1</v>
      </c>
    </row>
    <row r="1082" spans="1:12" x14ac:dyDescent="0.25">
      <c r="A1082" s="5">
        <v>46237</v>
      </c>
      <c r="B1082" t="s">
        <v>9760</v>
      </c>
      <c r="C1082" s="5" t="s">
        <v>9761</v>
      </c>
      <c r="D1082" t="s">
        <v>9762</v>
      </c>
      <c r="E1082" s="5" t="s">
        <v>1548</v>
      </c>
      <c r="F1082" s="6">
        <v>46045.381944444445</v>
      </c>
      <c r="G1082" s="5" t="s">
        <v>7456</v>
      </c>
      <c r="H1082" s="5" t="s">
        <v>9763</v>
      </c>
      <c r="I1082" s="5" t="s">
        <v>1564</v>
      </c>
      <c r="J1082" s="8">
        <v>225.75</v>
      </c>
      <c r="K1082" s="5" t="s">
        <v>4</v>
      </c>
      <c r="L1082">
        <f t="shared" si="16"/>
        <v>1</v>
      </c>
    </row>
    <row r="1083" spans="1:12" x14ac:dyDescent="0.25">
      <c r="A1083" s="5">
        <v>46239</v>
      </c>
      <c r="B1083" t="s">
        <v>9764</v>
      </c>
      <c r="C1083" s="5" t="s">
        <v>9765</v>
      </c>
      <c r="D1083" t="s">
        <v>9766</v>
      </c>
      <c r="E1083" s="5" t="s">
        <v>1548</v>
      </c>
      <c r="F1083" s="6">
        <v>46045.425000000003</v>
      </c>
      <c r="G1083" s="5" t="s">
        <v>7456</v>
      </c>
      <c r="H1083" s="5" t="s">
        <v>9767</v>
      </c>
      <c r="I1083" s="5" t="s">
        <v>1564</v>
      </c>
      <c r="J1083" s="8">
        <v>143.75</v>
      </c>
      <c r="K1083" s="5" t="s">
        <v>4</v>
      </c>
      <c r="L1083">
        <f t="shared" si="16"/>
        <v>1</v>
      </c>
    </row>
    <row r="1084" spans="1:12" x14ac:dyDescent="0.25">
      <c r="A1084" s="5">
        <v>46240</v>
      </c>
      <c r="B1084" t="s">
        <v>9768</v>
      </c>
      <c r="C1084" s="5" t="s">
        <v>9769</v>
      </c>
      <c r="D1084" t="s">
        <v>9770</v>
      </c>
      <c r="E1084" s="5" t="s">
        <v>1548</v>
      </c>
      <c r="F1084" s="6">
        <v>46045.43472222222</v>
      </c>
      <c r="G1084" s="5" t="s">
        <v>7456</v>
      </c>
      <c r="H1084" t="s">
        <v>7482</v>
      </c>
      <c r="I1084" s="5" t="s">
        <v>1564</v>
      </c>
      <c r="J1084" s="8">
        <v>351.8</v>
      </c>
      <c r="K1084" s="5" t="s">
        <v>4</v>
      </c>
      <c r="L1084">
        <f t="shared" si="16"/>
        <v>1</v>
      </c>
    </row>
    <row r="1085" spans="1:12" x14ac:dyDescent="0.25">
      <c r="A1085" s="5">
        <v>46242</v>
      </c>
      <c r="B1085" t="s">
        <v>9771</v>
      </c>
      <c r="C1085" s="5" t="s">
        <v>9772</v>
      </c>
      <c r="D1085" t="s">
        <v>9773</v>
      </c>
      <c r="E1085" s="5" t="s">
        <v>1548</v>
      </c>
      <c r="F1085" s="6">
        <v>46045.504861111112</v>
      </c>
      <c r="G1085" s="5" t="s">
        <v>7456</v>
      </c>
      <c r="H1085" s="5" t="s">
        <v>9774</v>
      </c>
      <c r="I1085" s="5" t="s">
        <v>1564</v>
      </c>
      <c r="J1085" s="8">
        <v>590.79999999999995</v>
      </c>
      <c r="K1085" s="5" t="s">
        <v>4</v>
      </c>
      <c r="L1085">
        <f t="shared" si="16"/>
        <v>1</v>
      </c>
    </row>
    <row r="1086" spans="1:12" x14ac:dyDescent="0.25">
      <c r="A1086" s="5">
        <v>46243</v>
      </c>
      <c r="B1086" t="s">
        <v>9716</v>
      </c>
      <c r="C1086" s="5" t="s">
        <v>9717</v>
      </c>
      <c r="D1086" t="s">
        <v>9718</v>
      </c>
      <c r="E1086" s="5" t="s">
        <v>1548</v>
      </c>
      <c r="F1086" s="6">
        <v>46045.51666666667</v>
      </c>
      <c r="G1086" s="5" t="s">
        <v>7456</v>
      </c>
      <c r="H1086" s="5" t="s">
        <v>9775</v>
      </c>
      <c r="I1086" s="5" t="s">
        <v>1564</v>
      </c>
      <c r="J1086" s="8">
        <v>237</v>
      </c>
      <c r="K1086" s="5" t="s">
        <v>4</v>
      </c>
      <c r="L1086">
        <f t="shared" si="16"/>
        <v>1</v>
      </c>
    </row>
    <row r="1087" spans="1:12" x14ac:dyDescent="0.25">
      <c r="A1087" s="5">
        <v>46244</v>
      </c>
      <c r="B1087" t="s">
        <v>9776</v>
      </c>
      <c r="C1087" s="5" t="s">
        <v>9777</v>
      </c>
      <c r="D1087" t="s">
        <v>9778</v>
      </c>
      <c r="E1087" s="5" t="s">
        <v>1548</v>
      </c>
      <c r="F1087" s="6">
        <v>46045.536805555559</v>
      </c>
      <c r="G1087" s="5" t="s">
        <v>7456</v>
      </c>
      <c r="H1087" s="5" t="s">
        <v>9779</v>
      </c>
      <c r="I1087" s="5" t="s">
        <v>1564</v>
      </c>
      <c r="J1087" s="8">
        <v>919</v>
      </c>
      <c r="K1087" s="5" t="s">
        <v>4</v>
      </c>
      <c r="L1087">
        <f t="shared" si="16"/>
        <v>1</v>
      </c>
    </row>
    <row r="1088" spans="1:12" x14ac:dyDescent="0.25">
      <c r="A1088" s="5">
        <v>46245</v>
      </c>
      <c r="B1088" t="s">
        <v>9780</v>
      </c>
      <c r="C1088" s="5" t="s">
        <v>8569</v>
      </c>
      <c r="D1088" t="s">
        <v>9781</v>
      </c>
      <c r="E1088" s="5" t="s">
        <v>1548</v>
      </c>
      <c r="F1088" s="6">
        <v>46045.551388888889</v>
      </c>
      <c r="G1088" s="5" t="s">
        <v>7456</v>
      </c>
      <c r="H1088" s="5" t="s">
        <v>9782</v>
      </c>
      <c r="I1088" s="5" t="s">
        <v>1564</v>
      </c>
      <c r="J1088" s="8">
        <v>192</v>
      </c>
      <c r="K1088" s="5" t="s">
        <v>4</v>
      </c>
      <c r="L1088">
        <f t="shared" si="16"/>
        <v>1</v>
      </c>
    </row>
    <row r="1089" spans="1:12" x14ac:dyDescent="0.25">
      <c r="A1089" s="5">
        <v>46246</v>
      </c>
      <c r="B1089" t="s">
        <v>9783</v>
      </c>
      <c r="C1089" s="5" t="s">
        <v>7516</v>
      </c>
      <c r="D1089" t="s">
        <v>9784</v>
      </c>
      <c r="E1089" s="5" t="s">
        <v>1813</v>
      </c>
      <c r="F1089" s="6">
        <v>46045.581944444442</v>
      </c>
      <c r="G1089" s="5" t="s">
        <v>7595</v>
      </c>
      <c r="H1089" t="s">
        <v>7482</v>
      </c>
      <c r="I1089" s="5" t="s">
        <v>1535</v>
      </c>
      <c r="J1089" s="8">
        <v>500.5</v>
      </c>
      <c r="K1089" s="5" t="s">
        <v>4</v>
      </c>
      <c r="L1089">
        <f t="shared" si="16"/>
        <v>1</v>
      </c>
    </row>
    <row r="1090" spans="1:12" x14ac:dyDescent="0.25">
      <c r="A1090" s="5">
        <v>46247</v>
      </c>
      <c r="B1090" t="s">
        <v>9785</v>
      </c>
      <c r="C1090" s="5" t="s">
        <v>9786</v>
      </c>
      <c r="D1090" t="s">
        <v>9787</v>
      </c>
      <c r="E1090" s="5" t="s">
        <v>2875</v>
      </c>
      <c r="F1090" s="6">
        <v>46045.593055555553</v>
      </c>
      <c r="G1090" s="5" t="s">
        <v>7595</v>
      </c>
      <c r="H1090" t="s">
        <v>7482</v>
      </c>
      <c r="I1090" s="5" t="s">
        <v>1535</v>
      </c>
      <c r="J1090" s="8">
        <v>1328</v>
      </c>
      <c r="K1090" s="5" t="s">
        <v>4</v>
      </c>
      <c r="L1090">
        <f t="shared" si="16"/>
        <v>1</v>
      </c>
    </row>
    <row r="1091" spans="1:12" x14ac:dyDescent="0.25">
      <c r="A1091" s="5">
        <v>46249</v>
      </c>
      <c r="B1091" t="s">
        <v>9788</v>
      </c>
      <c r="C1091" s="5" t="s">
        <v>9789</v>
      </c>
      <c r="D1091" t="s">
        <v>9790</v>
      </c>
      <c r="E1091" s="5" t="s">
        <v>1548</v>
      </c>
      <c r="F1091" s="6">
        <v>46045.609722222223</v>
      </c>
      <c r="G1091" s="5" t="s">
        <v>7456</v>
      </c>
      <c r="H1091" t="s">
        <v>7482</v>
      </c>
      <c r="I1091" s="5" t="s">
        <v>1564</v>
      </c>
      <c r="J1091" s="8">
        <v>894.3</v>
      </c>
      <c r="K1091" s="5" t="s">
        <v>4</v>
      </c>
      <c r="L1091">
        <f t="shared" ref="L1091:L1154" si="17">MONTH(F1091)</f>
        <v>1</v>
      </c>
    </row>
    <row r="1092" spans="1:12" x14ac:dyDescent="0.25">
      <c r="A1092" s="5">
        <v>46250</v>
      </c>
      <c r="B1092" t="s">
        <v>8852</v>
      </c>
      <c r="C1092" s="5" t="s">
        <v>8853</v>
      </c>
      <c r="D1092" t="s">
        <v>8854</v>
      </c>
      <c r="E1092" s="5" t="s">
        <v>1532</v>
      </c>
      <c r="F1092" s="6">
        <v>46045.620833333334</v>
      </c>
      <c r="G1092" s="5" t="s">
        <v>7595</v>
      </c>
      <c r="H1092" t="s">
        <v>7482</v>
      </c>
      <c r="I1092" s="5" t="s">
        <v>1535</v>
      </c>
      <c r="J1092" s="8">
        <v>933</v>
      </c>
      <c r="K1092" s="5" t="s">
        <v>4</v>
      </c>
      <c r="L1092">
        <f t="shared" si="17"/>
        <v>1</v>
      </c>
    </row>
    <row r="1093" spans="1:12" x14ac:dyDescent="0.25">
      <c r="A1093" s="5">
        <v>46251</v>
      </c>
      <c r="B1093" t="s">
        <v>9707</v>
      </c>
      <c r="C1093" s="5" t="s">
        <v>9708</v>
      </c>
      <c r="D1093" t="s">
        <v>9709</v>
      </c>
      <c r="E1093" s="5" t="s">
        <v>1548</v>
      </c>
      <c r="F1093" s="6">
        <v>46045.629166666666</v>
      </c>
      <c r="G1093" s="5" t="s">
        <v>7456</v>
      </c>
      <c r="H1093" t="s">
        <v>7482</v>
      </c>
      <c r="I1093" s="5" t="s">
        <v>1564</v>
      </c>
      <c r="J1093" s="8">
        <v>2629.94</v>
      </c>
      <c r="K1093" s="5" t="s">
        <v>4</v>
      </c>
      <c r="L1093">
        <f t="shared" si="17"/>
        <v>1</v>
      </c>
    </row>
    <row r="1094" spans="1:12" x14ac:dyDescent="0.25">
      <c r="A1094" s="5">
        <v>46252</v>
      </c>
      <c r="B1094" t="s">
        <v>9791</v>
      </c>
      <c r="C1094" s="5" t="s">
        <v>7516</v>
      </c>
      <c r="D1094" t="s">
        <v>9792</v>
      </c>
      <c r="E1094" s="5" t="s">
        <v>1548</v>
      </c>
      <c r="F1094" s="6">
        <v>46045.634722222225</v>
      </c>
      <c r="G1094" s="5" t="s">
        <v>7456</v>
      </c>
      <c r="H1094" s="5" t="s">
        <v>9793</v>
      </c>
      <c r="I1094" s="5" t="s">
        <v>1535</v>
      </c>
      <c r="J1094" s="8">
        <v>104.2</v>
      </c>
      <c r="K1094" s="5" t="s">
        <v>4</v>
      </c>
      <c r="L1094">
        <f t="shared" si="17"/>
        <v>1</v>
      </c>
    </row>
    <row r="1095" spans="1:12" x14ac:dyDescent="0.25">
      <c r="A1095" s="5">
        <v>46253</v>
      </c>
      <c r="B1095" t="s">
        <v>8965</v>
      </c>
      <c r="C1095" s="5" t="s">
        <v>9154</v>
      </c>
      <c r="D1095" t="s">
        <v>8966</v>
      </c>
      <c r="E1095" s="5" t="s">
        <v>1532</v>
      </c>
      <c r="F1095" s="6">
        <v>46045.636111111111</v>
      </c>
      <c r="G1095" s="5" t="s">
        <v>7595</v>
      </c>
      <c r="H1095" t="s">
        <v>7482</v>
      </c>
      <c r="I1095" s="5" t="s">
        <v>1535</v>
      </c>
      <c r="J1095" s="8">
        <v>136.80000000000001</v>
      </c>
      <c r="K1095" s="5" t="s">
        <v>4</v>
      </c>
      <c r="L1095">
        <f t="shared" si="17"/>
        <v>1</v>
      </c>
    </row>
    <row r="1096" spans="1:12" x14ac:dyDescent="0.25">
      <c r="A1096" s="5">
        <v>46254</v>
      </c>
      <c r="B1096" t="s">
        <v>9794</v>
      </c>
      <c r="C1096" s="5" t="s">
        <v>9795</v>
      </c>
      <c r="D1096" t="s">
        <v>9796</v>
      </c>
      <c r="E1096" s="5" t="s">
        <v>1548</v>
      </c>
      <c r="F1096" s="6">
        <v>46045.642361111109</v>
      </c>
      <c r="G1096" s="5" t="s">
        <v>7456</v>
      </c>
      <c r="H1096" s="5" t="s">
        <v>9797</v>
      </c>
      <c r="I1096" s="5" t="s">
        <v>1564</v>
      </c>
      <c r="J1096" s="8">
        <v>800</v>
      </c>
      <c r="K1096" s="5" t="s">
        <v>4</v>
      </c>
      <c r="L1096">
        <f t="shared" si="17"/>
        <v>1</v>
      </c>
    </row>
    <row r="1097" spans="1:12" x14ac:dyDescent="0.25">
      <c r="A1097" s="5">
        <v>46255</v>
      </c>
      <c r="B1097" t="s">
        <v>9720</v>
      </c>
      <c r="C1097" s="5" t="s">
        <v>9721</v>
      </c>
      <c r="D1097" t="s">
        <v>9722</v>
      </c>
      <c r="E1097" s="5" t="s">
        <v>1532</v>
      </c>
      <c r="F1097" s="6">
        <v>46045.645833333336</v>
      </c>
      <c r="G1097" s="5" t="s">
        <v>7456</v>
      </c>
      <c r="H1097" s="5" t="s">
        <v>9798</v>
      </c>
      <c r="I1097" s="5" t="s">
        <v>1535</v>
      </c>
      <c r="J1097" s="8">
        <v>273</v>
      </c>
      <c r="K1097" s="5" t="s">
        <v>4</v>
      </c>
      <c r="L1097">
        <f t="shared" si="17"/>
        <v>1</v>
      </c>
    </row>
    <row r="1098" spans="1:12" x14ac:dyDescent="0.25">
      <c r="A1098" s="5">
        <v>46256</v>
      </c>
      <c r="B1098" t="s">
        <v>9799</v>
      </c>
      <c r="C1098" s="5" t="s">
        <v>206</v>
      </c>
      <c r="D1098" t="s">
        <v>9800</v>
      </c>
      <c r="E1098" s="5" t="s">
        <v>1548</v>
      </c>
      <c r="F1098" s="6">
        <v>46045.651388888888</v>
      </c>
      <c r="G1098" s="5" t="s">
        <v>7456</v>
      </c>
      <c r="H1098" s="5" t="s">
        <v>9801</v>
      </c>
      <c r="I1098" s="5" t="s">
        <v>1564</v>
      </c>
      <c r="J1098" s="8">
        <v>275</v>
      </c>
      <c r="K1098" s="5" t="s">
        <v>4</v>
      </c>
      <c r="L1098">
        <f t="shared" si="17"/>
        <v>1</v>
      </c>
    </row>
    <row r="1099" spans="1:12" x14ac:dyDescent="0.25">
      <c r="A1099" s="5">
        <v>46257</v>
      </c>
      <c r="B1099" t="s">
        <v>9802</v>
      </c>
      <c r="C1099" s="5" t="s">
        <v>9803</v>
      </c>
      <c r="D1099" t="s">
        <v>9804</v>
      </c>
      <c r="E1099" s="5" t="s">
        <v>1813</v>
      </c>
      <c r="F1099" s="6">
        <v>46045.679166666669</v>
      </c>
      <c r="G1099" s="5" t="s">
        <v>7456</v>
      </c>
      <c r="H1099" s="5" t="s">
        <v>9805</v>
      </c>
      <c r="I1099" s="5" t="s">
        <v>1535</v>
      </c>
      <c r="J1099" s="8">
        <v>866</v>
      </c>
      <c r="K1099" s="5" t="s">
        <v>4</v>
      </c>
      <c r="L1099">
        <f t="shared" si="17"/>
        <v>1</v>
      </c>
    </row>
    <row r="1100" spans="1:12" x14ac:dyDescent="0.25">
      <c r="A1100" s="5">
        <v>46261</v>
      </c>
      <c r="B1100" t="s">
        <v>8870</v>
      </c>
      <c r="C1100" s="5" t="s">
        <v>8871</v>
      </c>
      <c r="D1100" t="s">
        <v>8872</v>
      </c>
      <c r="E1100" s="5" t="s">
        <v>3983</v>
      </c>
      <c r="F1100" s="6">
        <v>46048.367361111108</v>
      </c>
      <c r="G1100" s="5" t="s">
        <v>7456</v>
      </c>
      <c r="H1100" s="5" t="s">
        <v>9806</v>
      </c>
      <c r="I1100" s="5" t="s">
        <v>1535</v>
      </c>
      <c r="J1100" s="8">
        <v>131</v>
      </c>
      <c r="K1100" s="5" t="s">
        <v>4</v>
      </c>
      <c r="L1100">
        <f t="shared" si="17"/>
        <v>1</v>
      </c>
    </row>
    <row r="1101" spans="1:12" x14ac:dyDescent="0.25">
      <c r="A1101" s="5">
        <v>46262</v>
      </c>
      <c r="B1101" t="s">
        <v>9807</v>
      </c>
      <c r="C1101" s="5" t="s">
        <v>511</v>
      </c>
      <c r="D1101" t="s">
        <v>9808</v>
      </c>
      <c r="E1101" s="5" t="s">
        <v>1548</v>
      </c>
      <c r="F1101" s="6">
        <v>46048.381249999999</v>
      </c>
      <c r="G1101" s="5" t="s">
        <v>7456</v>
      </c>
      <c r="H1101" s="5" t="s">
        <v>9809</v>
      </c>
      <c r="I1101" s="5" t="s">
        <v>1564</v>
      </c>
      <c r="J1101" s="8">
        <v>112</v>
      </c>
      <c r="K1101" s="5" t="s">
        <v>4</v>
      </c>
      <c r="L1101">
        <f t="shared" si="17"/>
        <v>1</v>
      </c>
    </row>
    <row r="1102" spans="1:12" x14ac:dyDescent="0.25">
      <c r="A1102" s="5">
        <v>46263</v>
      </c>
      <c r="B1102" t="s">
        <v>9810</v>
      </c>
      <c r="C1102" s="5" t="s">
        <v>7516</v>
      </c>
      <c r="D1102" t="s">
        <v>9811</v>
      </c>
      <c r="E1102" s="5" t="s">
        <v>1813</v>
      </c>
      <c r="F1102" s="6">
        <v>46048.394444444442</v>
      </c>
      <c r="G1102" s="5" t="s">
        <v>7595</v>
      </c>
      <c r="H1102" t="s">
        <v>7482</v>
      </c>
      <c r="I1102" s="5" t="s">
        <v>1535</v>
      </c>
      <c r="J1102" s="8">
        <v>404.8</v>
      </c>
      <c r="K1102" s="5" t="s">
        <v>4</v>
      </c>
      <c r="L1102">
        <f t="shared" si="17"/>
        <v>1</v>
      </c>
    </row>
    <row r="1103" spans="1:12" x14ac:dyDescent="0.25">
      <c r="A1103" s="5">
        <v>46264</v>
      </c>
      <c r="B1103" t="s">
        <v>9812</v>
      </c>
      <c r="C1103" s="5" t="s">
        <v>9813</v>
      </c>
      <c r="D1103" t="s">
        <v>9814</v>
      </c>
      <c r="E1103" s="5" t="s">
        <v>1548</v>
      </c>
      <c r="F1103" s="6">
        <v>46048.40347222222</v>
      </c>
      <c r="G1103" s="5" t="s">
        <v>7456</v>
      </c>
      <c r="H1103" s="5" t="s">
        <v>9815</v>
      </c>
      <c r="I1103" s="5" t="s">
        <v>1564</v>
      </c>
      <c r="J1103" s="8">
        <v>147</v>
      </c>
      <c r="K1103" s="5" t="s">
        <v>4</v>
      </c>
      <c r="L1103">
        <f t="shared" si="17"/>
        <v>1</v>
      </c>
    </row>
    <row r="1104" spans="1:12" x14ac:dyDescent="0.25">
      <c r="A1104" s="5">
        <v>46265</v>
      </c>
      <c r="B1104" t="s">
        <v>9816</v>
      </c>
      <c r="C1104" s="5" t="s">
        <v>9817</v>
      </c>
      <c r="D1104" t="s">
        <v>9818</v>
      </c>
      <c r="E1104" s="5" t="s">
        <v>1813</v>
      </c>
      <c r="F1104" s="6">
        <v>46048.410416666666</v>
      </c>
      <c r="G1104" s="5" t="s">
        <v>7595</v>
      </c>
      <c r="H1104" t="s">
        <v>7482</v>
      </c>
      <c r="I1104" s="5" t="s">
        <v>1535</v>
      </c>
      <c r="J1104" s="8">
        <v>272</v>
      </c>
      <c r="K1104" s="5" t="s">
        <v>4</v>
      </c>
      <c r="L1104">
        <f t="shared" si="17"/>
        <v>1</v>
      </c>
    </row>
    <row r="1105" spans="1:12" x14ac:dyDescent="0.25">
      <c r="A1105" s="5">
        <v>46266</v>
      </c>
      <c r="B1105" t="s">
        <v>9819</v>
      </c>
      <c r="C1105" s="5" t="s">
        <v>7516</v>
      </c>
      <c r="D1105" t="s">
        <v>9820</v>
      </c>
      <c r="E1105" s="5" t="s">
        <v>1548</v>
      </c>
      <c r="F1105" s="6">
        <v>46048.417361111111</v>
      </c>
      <c r="G1105" s="5" t="s">
        <v>7595</v>
      </c>
      <c r="H1105" t="s">
        <v>7482</v>
      </c>
      <c r="I1105" s="5" t="s">
        <v>1535</v>
      </c>
      <c r="J1105" s="8">
        <v>1195.2</v>
      </c>
      <c r="K1105" s="5" t="s">
        <v>4</v>
      </c>
      <c r="L1105">
        <f t="shared" si="17"/>
        <v>1</v>
      </c>
    </row>
    <row r="1106" spans="1:12" x14ac:dyDescent="0.25">
      <c r="A1106" s="5">
        <v>46267</v>
      </c>
      <c r="B1106" t="s">
        <v>8335</v>
      </c>
      <c r="C1106" s="5" t="s">
        <v>8336</v>
      </c>
      <c r="D1106" t="s">
        <v>8337</v>
      </c>
      <c r="E1106" s="5" t="s">
        <v>2875</v>
      </c>
      <c r="F1106" s="6">
        <v>46048.42083333333</v>
      </c>
      <c r="G1106" s="5" t="s">
        <v>7595</v>
      </c>
      <c r="H1106" t="s">
        <v>7482</v>
      </c>
      <c r="I1106" s="5" t="s">
        <v>1535</v>
      </c>
      <c r="J1106" s="8">
        <v>2126</v>
      </c>
      <c r="K1106" s="5" t="s">
        <v>4</v>
      </c>
      <c r="L1106">
        <f t="shared" si="17"/>
        <v>1</v>
      </c>
    </row>
    <row r="1107" spans="1:12" x14ac:dyDescent="0.25">
      <c r="A1107" s="5">
        <v>46269</v>
      </c>
      <c r="B1107" t="s">
        <v>9821</v>
      </c>
      <c r="C1107" s="5" t="s">
        <v>7800</v>
      </c>
      <c r="D1107" t="s">
        <v>9822</v>
      </c>
      <c r="E1107" s="5" t="s">
        <v>1548</v>
      </c>
      <c r="F1107" s="6">
        <v>46048.430555555555</v>
      </c>
      <c r="G1107" s="5" t="s">
        <v>7456</v>
      </c>
      <c r="H1107" s="5" t="s">
        <v>7522</v>
      </c>
      <c r="I1107" s="5" t="s">
        <v>1564</v>
      </c>
      <c r="J1107" s="8">
        <v>2548.6999999999998</v>
      </c>
      <c r="K1107" s="5" t="s">
        <v>4</v>
      </c>
      <c r="L1107">
        <f t="shared" si="17"/>
        <v>1</v>
      </c>
    </row>
    <row r="1108" spans="1:12" x14ac:dyDescent="0.25">
      <c r="A1108" s="5">
        <v>46271</v>
      </c>
      <c r="B1108" t="s">
        <v>9823</v>
      </c>
      <c r="C1108" s="5" t="s">
        <v>9824</v>
      </c>
      <c r="D1108" t="s">
        <v>9825</v>
      </c>
      <c r="E1108" s="5" t="s">
        <v>1813</v>
      </c>
      <c r="F1108" s="6">
        <v>46048.47152777778</v>
      </c>
      <c r="G1108" s="5" t="s">
        <v>7456</v>
      </c>
      <c r="H1108" s="5" t="s">
        <v>9826</v>
      </c>
      <c r="I1108" s="5" t="s">
        <v>1535</v>
      </c>
      <c r="J1108" s="8">
        <v>101.6</v>
      </c>
      <c r="K1108" s="5" t="s">
        <v>4</v>
      </c>
      <c r="L1108">
        <f t="shared" si="17"/>
        <v>1</v>
      </c>
    </row>
    <row r="1109" spans="1:12" x14ac:dyDescent="0.25">
      <c r="A1109" s="5">
        <v>46272</v>
      </c>
      <c r="B1109" t="s">
        <v>9584</v>
      </c>
      <c r="C1109" s="5" t="s">
        <v>9585</v>
      </c>
      <c r="D1109" t="s">
        <v>9586</v>
      </c>
      <c r="E1109" s="5" t="s">
        <v>3742</v>
      </c>
      <c r="F1109" s="6">
        <v>46048.472916666666</v>
      </c>
      <c r="G1109" s="5" t="s">
        <v>7456</v>
      </c>
      <c r="H1109" s="5" t="s">
        <v>9827</v>
      </c>
      <c r="I1109" s="5" t="s">
        <v>1535</v>
      </c>
      <c r="J1109" s="8">
        <v>295</v>
      </c>
      <c r="K1109" s="5" t="s">
        <v>4</v>
      </c>
      <c r="L1109">
        <f t="shared" si="17"/>
        <v>1</v>
      </c>
    </row>
    <row r="1110" spans="1:12" x14ac:dyDescent="0.25">
      <c r="A1110" s="5">
        <v>46273</v>
      </c>
      <c r="B1110" t="s">
        <v>9828</v>
      </c>
      <c r="C1110" s="5" t="s">
        <v>7516</v>
      </c>
      <c r="D1110" t="s">
        <v>9829</v>
      </c>
      <c r="E1110" s="5" t="s">
        <v>1548</v>
      </c>
      <c r="F1110" s="6">
        <v>46048.474305555559</v>
      </c>
      <c r="G1110" s="5" t="s">
        <v>7456</v>
      </c>
      <c r="H1110" t="s">
        <v>7482</v>
      </c>
      <c r="I1110" s="5" t="s">
        <v>1564</v>
      </c>
      <c r="J1110" s="8">
        <v>332.6</v>
      </c>
      <c r="K1110" s="5" t="s">
        <v>4</v>
      </c>
      <c r="L1110">
        <f t="shared" si="17"/>
        <v>1</v>
      </c>
    </row>
    <row r="1111" spans="1:12" x14ac:dyDescent="0.25">
      <c r="A1111" s="5">
        <v>46274</v>
      </c>
      <c r="B1111" t="s">
        <v>9830</v>
      </c>
      <c r="C1111" s="5" t="s">
        <v>9831</v>
      </c>
      <c r="D1111" t="s">
        <v>9832</v>
      </c>
      <c r="E1111" s="5" t="s">
        <v>1548</v>
      </c>
      <c r="F1111" s="6">
        <v>46048.502083333333</v>
      </c>
      <c r="G1111" s="5" t="s">
        <v>7456</v>
      </c>
      <c r="H1111" s="5" t="s">
        <v>9833</v>
      </c>
      <c r="I1111" s="5" t="s">
        <v>1564</v>
      </c>
      <c r="J1111" s="8">
        <v>257.60000000000002</v>
      </c>
      <c r="K1111" s="5" t="s">
        <v>4</v>
      </c>
      <c r="L1111">
        <f t="shared" si="17"/>
        <v>1</v>
      </c>
    </row>
    <row r="1112" spans="1:12" x14ac:dyDescent="0.25">
      <c r="A1112" s="5">
        <v>46275</v>
      </c>
      <c r="B1112" t="s">
        <v>9834</v>
      </c>
      <c r="C1112" s="5" t="s">
        <v>9835</v>
      </c>
      <c r="D1112" t="s">
        <v>9836</v>
      </c>
      <c r="E1112" s="5" t="s">
        <v>1548</v>
      </c>
      <c r="F1112" s="6">
        <v>46048.509027777778</v>
      </c>
      <c r="G1112" s="5" t="s">
        <v>7456</v>
      </c>
      <c r="H1112" s="5" t="s">
        <v>9837</v>
      </c>
      <c r="I1112" s="5" t="s">
        <v>1564</v>
      </c>
      <c r="J1112" s="8">
        <v>430</v>
      </c>
      <c r="K1112" s="5" t="s">
        <v>4</v>
      </c>
      <c r="L1112">
        <f t="shared" si="17"/>
        <v>1</v>
      </c>
    </row>
    <row r="1113" spans="1:12" x14ac:dyDescent="0.25">
      <c r="A1113" s="5">
        <v>46276</v>
      </c>
      <c r="B1113" t="s">
        <v>9838</v>
      </c>
      <c r="C1113" s="5" t="s">
        <v>9839</v>
      </c>
      <c r="D1113" t="s">
        <v>9840</v>
      </c>
      <c r="E1113" s="5" t="s">
        <v>1548</v>
      </c>
      <c r="F1113" s="6">
        <v>46048.626388888886</v>
      </c>
      <c r="G1113" s="5" t="s">
        <v>7456</v>
      </c>
      <c r="H1113" t="s">
        <v>7482</v>
      </c>
      <c r="I1113" s="5" t="s">
        <v>1564</v>
      </c>
      <c r="J1113" s="8">
        <v>222</v>
      </c>
      <c r="K1113" s="5" t="s">
        <v>4</v>
      </c>
      <c r="L1113">
        <f t="shared" si="17"/>
        <v>1</v>
      </c>
    </row>
    <row r="1114" spans="1:12" x14ac:dyDescent="0.25">
      <c r="A1114" s="5">
        <v>46277</v>
      </c>
      <c r="B1114" t="s">
        <v>9841</v>
      </c>
      <c r="C1114" s="5" t="s">
        <v>1067</v>
      </c>
      <c r="D1114" t="s">
        <v>9842</v>
      </c>
      <c r="E1114" s="5" t="s">
        <v>6365</v>
      </c>
      <c r="F1114" s="6">
        <v>46048.622916666667</v>
      </c>
      <c r="G1114" s="5" t="s">
        <v>7456</v>
      </c>
      <c r="H1114" s="5" t="s">
        <v>9843</v>
      </c>
      <c r="I1114" s="5" t="s">
        <v>1621</v>
      </c>
      <c r="J1114" s="8">
        <v>70.3</v>
      </c>
      <c r="K1114" s="5" t="s">
        <v>4</v>
      </c>
      <c r="L1114">
        <f t="shared" si="17"/>
        <v>1</v>
      </c>
    </row>
    <row r="1115" spans="1:12" x14ac:dyDescent="0.25">
      <c r="A1115" s="5">
        <v>46279</v>
      </c>
      <c r="B1115" t="s">
        <v>9844</v>
      </c>
      <c r="C1115" s="5" t="s">
        <v>9845</v>
      </c>
      <c r="D1115" t="s">
        <v>9846</v>
      </c>
      <c r="E1115" s="5" t="s">
        <v>1548</v>
      </c>
      <c r="F1115" s="6">
        <v>46048.647916666669</v>
      </c>
      <c r="G1115" s="5" t="s">
        <v>7456</v>
      </c>
      <c r="H1115" s="5" t="s">
        <v>9847</v>
      </c>
      <c r="I1115" s="5" t="s">
        <v>1564</v>
      </c>
      <c r="J1115" s="8">
        <v>552</v>
      </c>
      <c r="K1115" s="5" t="s">
        <v>4</v>
      </c>
      <c r="L1115">
        <f t="shared" si="17"/>
        <v>1</v>
      </c>
    </row>
    <row r="1116" spans="1:12" x14ac:dyDescent="0.25">
      <c r="A1116" s="5">
        <v>46280</v>
      </c>
      <c r="B1116" t="s">
        <v>9848</v>
      </c>
      <c r="C1116" s="5" t="s">
        <v>866</v>
      </c>
      <c r="D1116" t="s">
        <v>9849</v>
      </c>
      <c r="E1116" s="5" t="s">
        <v>6605</v>
      </c>
      <c r="F1116" s="6">
        <v>46048.640277777777</v>
      </c>
      <c r="G1116" s="5" t="s">
        <v>7456</v>
      </c>
      <c r="H1116" s="5" t="s">
        <v>9850</v>
      </c>
      <c r="I1116" s="5" t="s">
        <v>1621</v>
      </c>
      <c r="J1116" s="8">
        <v>56.43</v>
      </c>
      <c r="K1116" s="5" t="s">
        <v>4</v>
      </c>
      <c r="L1116">
        <f t="shared" si="17"/>
        <v>1</v>
      </c>
    </row>
    <row r="1117" spans="1:12" x14ac:dyDescent="0.25">
      <c r="A1117" s="5">
        <v>46281</v>
      </c>
      <c r="B1117" t="s">
        <v>9851</v>
      </c>
      <c r="C1117" s="5" t="s">
        <v>49</v>
      </c>
      <c r="D1117" t="s">
        <v>9852</v>
      </c>
      <c r="E1117" s="5" t="s">
        <v>7092</v>
      </c>
      <c r="F1117" s="6">
        <v>46048.65902777778</v>
      </c>
      <c r="G1117" s="5" t="s">
        <v>7456</v>
      </c>
      <c r="H1117" s="5" t="s">
        <v>9853</v>
      </c>
      <c r="I1117" s="5" t="s">
        <v>1621</v>
      </c>
      <c r="J1117" s="8">
        <v>29.93</v>
      </c>
      <c r="K1117" s="5" t="s">
        <v>4</v>
      </c>
      <c r="L1117">
        <f t="shared" si="17"/>
        <v>1</v>
      </c>
    </row>
    <row r="1118" spans="1:12" x14ac:dyDescent="0.25">
      <c r="A1118" s="5">
        <v>46282</v>
      </c>
      <c r="B1118" t="s">
        <v>8965</v>
      </c>
      <c r="C1118" s="5" t="s">
        <v>9854</v>
      </c>
      <c r="D1118" t="s">
        <v>8966</v>
      </c>
      <c r="E1118" s="5" t="s">
        <v>5054</v>
      </c>
      <c r="F1118" s="6">
        <v>46048.674305555556</v>
      </c>
      <c r="G1118" s="5" t="s">
        <v>7595</v>
      </c>
      <c r="H1118" s="5" t="s">
        <v>9855</v>
      </c>
      <c r="I1118" s="5" t="s">
        <v>1535</v>
      </c>
      <c r="J1118" s="8">
        <v>150</v>
      </c>
      <c r="K1118" s="5" t="s">
        <v>4</v>
      </c>
      <c r="L1118">
        <f t="shared" si="17"/>
        <v>1</v>
      </c>
    </row>
    <row r="1119" spans="1:12" x14ac:dyDescent="0.25">
      <c r="A1119" s="5">
        <v>46283</v>
      </c>
      <c r="B1119" t="s">
        <v>8965</v>
      </c>
      <c r="C1119" s="5" t="s">
        <v>9854</v>
      </c>
      <c r="D1119" t="s">
        <v>8966</v>
      </c>
      <c r="E1119" s="5" t="s">
        <v>1684</v>
      </c>
      <c r="F1119" s="6">
        <v>46048.678472222222</v>
      </c>
      <c r="G1119" s="5" t="s">
        <v>7456</v>
      </c>
      <c r="H1119" s="5" t="s">
        <v>9856</v>
      </c>
      <c r="I1119" s="5" t="s">
        <v>1535</v>
      </c>
      <c r="J1119" s="8">
        <v>3000</v>
      </c>
      <c r="K1119" s="5" t="s">
        <v>4</v>
      </c>
      <c r="L1119">
        <f t="shared" si="17"/>
        <v>1</v>
      </c>
    </row>
    <row r="1120" spans="1:12" x14ac:dyDescent="0.25">
      <c r="A1120" s="5">
        <v>46284</v>
      </c>
      <c r="B1120" t="s">
        <v>9857</v>
      </c>
      <c r="C1120" s="5" t="s">
        <v>9858</v>
      </c>
      <c r="D1120" t="s">
        <v>9859</v>
      </c>
      <c r="E1120" s="5" t="s">
        <v>1548</v>
      </c>
      <c r="F1120" s="6">
        <v>46048.686805555553</v>
      </c>
      <c r="G1120" s="5" t="s">
        <v>9860</v>
      </c>
      <c r="H1120" t="s">
        <v>7482</v>
      </c>
      <c r="I1120" s="5" t="s">
        <v>1564</v>
      </c>
      <c r="J1120" s="8">
        <v>210</v>
      </c>
      <c r="K1120" s="5" t="s">
        <v>4</v>
      </c>
      <c r="L1120">
        <f t="shared" si="17"/>
        <v>1</v>
      </c>
    </row>
    <row r="1121" spans="1:12" x14ac:dyDescent="0.25">
      <c r="A1121" s="5">
        <v>46285</v>
      </c>
      <c r="B1121" t="s">
        <v>9861</v>
      </c>
      <c r="C1121" s="5" t="s">
        <v>9862</v>
      </c>
      <c r="D1121" t="s">
        <v>9863</v>
      </c>
      <c r="E1121" s="5" t="s">
        <v>1548</v>
      </c>
      <c r="F1121" s="6">
        <v>46048.688194444447</v>
      </c>
      <c r="G1121" s="5" t="s">
        <v>7456</v>
      </c>
      <c r="H1121" s="5" t="s">
        <v>9864</v>
      </c>
      <c r="I1121" s="5" t="s">
        <v>1621</v>
      </c>
      <c r="J1121" s="8">
        <v>0</v>
      </c>
      <c r="K1121" s="5" t="s">
        <v>4</v>
      </c>
      <c r="L1121">
        <f t="shared" si="17"/>
        <v>1</v>
      </c>
    </row>
    <row r="1122" spans="1:12" x14ac:dyDescent="0.25">
      <c r="A1122" s="5">
        <v>46286</v>
      </c>
      <c r="B1122" t="s">
        <v>9865</v>
      </c>
      <c r="C1122" s="5" t="s">
        <v>9866</v>
      </c>
      <c r="D1122" t="s">
        <v>9867</v>
      </c>
      <c r="E1122" s="5" t="s">
        <v>1813</v>
      </c>
      <c r="F1122" s="6">
        <v>46048.691666666666</v>
      </c>
      <c r="G1122" s="5" t="s">
        <v>7595</v>
      </c>
      <c r="H1122" t="s">
        <v>7482</v>
      </c>
      <c r="I1122" s="5" t="s">
        <v>1535</v>
      </c>
      <c r="J1122" s="8">
        <v>96</v>
      </c>
      <c r="K1122" s="5" t="s">
        <v>4</v>
      </c>
      <c r="L1122">
        <f t="shared" si="17"/>
        <v>1</v>
      </c>
    </row>
    <row r="1123" spans="1:12" x14ac:dyDescent="0.25">
      <c r="A1123" s="5">
        <v>46287</v>
      </c>
      <c r="B1123" t="s">
        <v>9868</v>
      </c>
      <c r="C1123" s="5" t="s">
        <v>9869</v>
      </c>
      <c r="D1123" t="s">
        <v>9870</v>
      </c>
      <c r="E1123" s="5" t="s">
        <v>2875</v>
      </c>
      <c r="F1123" s="6">
        <v>46048.698611111111</v>
      </c>
      <c r="G1123" s="5" t="s">
        <v>7456</v>
      </c>
      <c r="H1123" s="5" t="s">
        <v>9871</v>
      </c>
      <c r="I1123" s="5" t="s">
        <v>1535</v>
      </c>
      <c r="J1123" s="8">
        <v>49.5</v>
      </c>
      <c r="K1123" s="5" t="s">
        <v>4</v>
      </c>
      <c r="L1123">
        <f t="shared" si="17"/>
        <v>1</v>
      </c>
    </row>
    <row r="1124" spans="1:12" x14ac:dyDescent="0.25">
      <c r="A1124" s="5">
        <v>46288</v>
      </c>
      <c r="B1124" t="s">
        <v>9872</v>
      </c>
      <c r="C1124" s="5" t="s">
        <v>9873</v>
      </c>
      <c r="D1124" t="s">
        <v>9874</v>
      </c>
      <c r="E1124" s="5" t="s">
        <v>4858</v>
      </c>
      <c r="F1124" s="6">
        <v>46048.697222222225</v>
      </c>
      <c r="G1124" s="5" t="s">
        <v>7456</v>
      </c>
      <c r="H1124" s="5" t="s">
        <v>9875</v>
      </c>
      <c r="I1124" s="5" t="s">
        <v>1621</v>
      </c>
      <c r="J1124" s="8">
        <v>162.77000000000001</v>
      </c>
      <c r="K1124" s="5" t="s">
        <v>4</v>
      </c>
      <c r="L1124">
        <f t="shared" si="17"/>
        <v>1</v>
      </c>
    </row>
    <row r="1125" spans="1:12" x14ac:dyDescent="0.25">
      <c r="A1125" s="5">
        <v>46290</v>
      </c>
      <c r="B1125" t="s">
        <v>9876</v>
      </c>
      <c r="C1125" s="5" t="s">
        <v>751</v>
      </c>
      <c r="D1125" t="s">
        <v>9877</v>
      </c>
      <c r="E1125" s="5" t="s">
        <v>7126</v>
      </c>
      <c r="F1125" s="6">
        <v>46048.704861111109</v>
      </c>
      <c r="G1125" s="5" t="s">
        <v>7456</v>
      </c>
      <c r="H1125" s="5" t="s">
        <v>9878</v>
      </c>
      <c r="I1125" s="5" t="s">
        <v>1621</v>
      </c>
      <c r="J1125" s="8">
        <v>29.16</v>
      </c>
      <c r="K1125" s="5" t="s">
        <v>4</v>
      </c>
      <c r="L1125">
        <f t="shared" si="17"/>
        <v>1</v>
      </c>
    </row>
    <row r="1126" spans="1:12" x14ac:dyDescent="0.25">
      <c r="A1126" s="5">
        <v>46291</v>
      </c>
      <c r="B1126" t="s">
        <v>9879</v>
      </c>
      <c r="C1126" s="5" t="s">
        <v>424</v>
      </c>
      <c r="D1126" t="s">
        <v>9880</v>
      </c>
      <c r="E1126" s="5" t="s">
        <v>5213</v>
      </c>
      <c r="F1126" s="6">
        <v>46048.711111111108</v>
      </c>
      <c r="G1126" s="5" t="s">
        <v>7456</v>
      </c>
      <c r="H1126" s="5" t="s">
        <v>9881</v>
      </c>
      <c r="I1126" s="5" t="s">
        <v>1621</v>
      </c>
      <c r="J1126" s="8">
        <v>139.9</v>
      </c>
      <c r="K1126" s="5" t="s">
        <v>4</v>
      </c>
      <c r="L1126">
        <f t="shared" si="17"/>
        <v>1</v>
      </c>
    </row>
    <row r="1127" spans="1:12" x14ac:dyDescent="0.25">
      <c r="A1127" s="5">
        <v>46293</v>
      </c>
      <c r="B1127" t="s">
        <v>9882</v>
      </c>
      <c r="C1127" s="5" t="s">
        <v>9883</v>
      </c>
      <c r="D1127" t="s">
        <v>9884</v>
      </c>
      <c r="E1127" s="5" t="s">
        <v>6690</v>
      </c>
      <c r="F1127" s="6">
        <v>46048.72152777778</v>
      </c>
      <c r="G1127" s="5" t="s">
        <v>7456</v>
      </c>
      <c r="H1127" s="5" t="s">
        <v>9885</v>
      </c>
      <c r="I1127" s="5" t="s">
        <v>1621</v>
      </c>
      <c r="J1127" s="8">
        <v>52.07</v>
      </c>
      <c r="K1127" s="5" t="s">
        <v>4</v>
      </c>
      <c r="L1127">
        <f t="shared" si="17"/>
        <v>1</v>
      </c>
    </row>
    <row r="1128" spans="1:12" x14ac:dyDescent="0.25">
      <c r="A1128" s="5">
        <v>46295</v>
      </c>
      <c r="B1128" t="s">
        <v>9886</v>
      </c>
      <c r="C1128" s="5" t="s">
        <v>9887</v>
      </c>
      <c r="D1128" t="s">
        <v>9888</v>
      </c>
      <c r="E1128" s="5" t="s">
        <v>2826</v>
      </c>
      <c r="F1128" s="6">
        <v>46048.730555555558</v>
      </c>
      <c r="G1128" s="5" t="s">
        <v>7456</v>
      </c>
      <c r="H1128" s="5" t="s">
        <v>9889</v>
      </c>
      <c r="I1128" s="5" t="s">
        <v>1621</v>
      </c>
      <c r="J1128" s="8">
        <v>514.79999999999995</v>
      </c>
      <c r="K1128" s="5" t="s">
        <v>4</v>
      </c>
      <c r="L1128">
        <f t="shared" si="17"/>
        <v>1</v>
      </c>
    </row>
    <row r="1129" spans="1:12" x14ac:dyDescent="0.25">
      <c r="A1129" s="5">
        <v>46296</v>
      </c>
      <c r="B1129" t="s">
        <v>9890</v>
      </c>
      <c r="C1129" s="5" t="s">
        <v>1196</v>
      </c>
      <c r="D1129" t="s">
        <v>9891</v>
      </c>
      <c r="E1129" s="5" t="s">
        <v>1548</v>
      </c>
      <c r="F1129" s="6">
        <v>46048.743750000001</v>
      </c>
      <c r="G1129" s="5" t="s">
        <v>7456</v>
      </c>
      <c r="H1129" s="5" t="s">
        <v>9892</v>
      </c>
      <c r="I1129" s="5" t="s">
        <v>1564</v>
      </c>
      <c r="J1129" s="8">
        <v>155</v>
      </c>
      <c r="K1129" s="5" t="s">
        <v>4</v>
      </c>
      <c r="L1129">
        <f t="shared" si="17"/>
        <v>1</v>
      </c>
    </row>
    <row r="1130" spans="1:12" x14ac:dyDescent="0.25">
      <c r="A1130" s="5">
        <v>46298</v>
      </c>
      <c r="B1130" t="s">
        <v>9893</v>
      </c>
      <c r="C1130" s="5" t="s">
        <v>9894</v>
      </c>
      <c r="D1130" t="s">
        <v>9895</v>
      </c>
      <c r="E1130" s="5" t="s">
        <v>1548</v>
      </c>
      <c r="F1130" s="6">
        <v>46049.367361111108</v>
      </c>
      <c r="G1130" s="5" t="s">
        <v>7456</v>
      </c>
      <c r="H1130" s="5" t="s">
        <v>9896</v>
      </c>
      <c r="I1130" s="5" t="s">
        <v>1564</v>
      </c>
      <c r="J1130" s="8">
        <v>330</v>
      </c>
      <c r="K1130" s="5" t="s">
        <v>4</v>
      </c>
      <c r="L1130">
        <f t="shared" si="17"/>
        <v>1</v>
      </c>
    </row>
    <row r="1131" spans="1:12" x14ac:dyDescent="0.25">
      <c r="A1131" s="5">
        <v>46299</v>
      </c>
      <c r="B1131" t="s">
        <v>9897</v>
      </c>
      <c r="C1131" s="5" t="s">
        <v>9898</v>
      </c>
      <c r="D1131" t="s">
        <v>9899</v>
      </c>
      <c r="E1131" s="5" t="s">
        <v>1548</v>
      </c>
      <c r="F1131" s="6">
        <v>46049.375</v>
      </c>
      <c r="G1131" s="5" t="s">
        <v>7456</v>
      </c>
      <c r="H1131" s="5" t="s">
        <v>9900</v>
      </c>
      <c r="I1131" s="5" t="s">
        <v>1564</v>
      </c>
      <c r="J1131" s="8">
        <v>230.05</v>
      </c>
      <c r="K1131" s="5" t="s">
        <v>4</v>
      </c>
      <c r="L1131">
        <f t="shared" si="17"/>
        <v>1</v>
      </c>
    </row>
    <row r="1132" spans="1:12" x14ac:dyDescent="0.25">
      <c r="A1132" s="5">
        <v>46300</v>
      </c>
      <c r="B1132" t="s">
        <v>9901</v>
      </c>
      <c r="C1132" s="5" t="s">
        <v>7516</v>
      </c>
      <c r="D1132" t="s">
        <v>9902</v>
      </c>
      <c r="E1132" s="5" t="s">
        <v>1548</v>
      </c>
      <c r="F1132" s="6">
        <v>46049.392361111109</v>
      </c>
      <c r="G1132" s="5" t="s">
        <v>7456</v>
      </c>
      <c r="H1132" t="s">
        <v>7482</v>
      </c>
      <c r="I1132" s="5" t="s">
        <v>1564</v>
      </c>
      <c r="J1132" s="8">
        <v>1890</v>
      </c>
      <c r="K1132" s="5" t="s">
        <v>4</v>
      </c>
      <c r="L1132">
        <f t="shared" si="17"/>
        <v>1</v>
      </c>
    </row>
    <row r="1133" spans="1:12" x14ac:dyDescent="0.25">
      <c r="A1133" s="5">
        <v>46301</v>
      </c>
      <c r="B1133" t="s">
        <v>9903</v>
      </c>
      <c r="C1133" s="5" t="s">
        <v>9904</v>
      </c>
      <c r="D1133" t="s">
        <v>9905</v>
      </c>
      <c r="E1133" s="5" t="s">
        <v>1548</v>
      </c>
      <c r="F1133" s="6">
        <v>46049.413194444445</v>
      </c>
      <c r="G1133" s="5" t="s">
        <v>7456</v>
      </c>
      <c r="H1133" s="5" t="s">
        <v>9906</v>
      </c>
      <c r="I1133" s="5" t="s">
        <v>1564</v>
      </c>
      <c r="J1133" s="8">
        <v>189</v>
      </c>
      <c r="K1133" s="5" t="s">
        <v>4</v>
      </c>
      <c r="L1133">
        <f t="shared" si="17"/>
        <v>1</v>
      </c>
    </row>
    <row r="1134" spans="1:12" x14ac:dyDescent="0.25">
      <c r="A1134" s="5">
        <v>46304</v>
      </c>
      <c r="B1134" t="s">
        <v>9907</v>
      </c>
      <c r="C1134" s="5" t="s">
        <v>9908</v>
      </c>
      <c r="D1134" t="s">
        <v>9909</v>
      </c>
      <c r="E1134" s="5" t="s">
        <v>1548</v>
      </c>
      <c r="F1134" s="6">
        <v>46049.445833333331</v>
      </c>
      <c r="G1134" s="5" t="s">
        <v>7456</v>
      </c>
      <c r="H1134" t="s">
        <v>7482</v>
      </c>
      <c r="I1134" s="5" t="s">
        <v>1564</v>
      </c>
      <c r="J1134" s="8">
        <v>1380</v>
      </c>
      <c r="K1134" s="5" t="s">
        <v>4</v>
      </c>
      <c r="L1134">
        <f t="shared" si="17"/>
        <v>1</v>
      </c>
    </row>
    <row r="1135" spans="1:12" x14ac:dyDescent="0.25">
      <c r="A1135" s="5">
        <v>46306</v>
      </c>
      <c r="B1135" t="s">
        <v>9910</v>
      </c>
      <c r="C1135" s="5" t="s">
        <v>7516</v>
      </c>
      <c r="D1135" t="s">
        <v>9911</v>
      </c>
      <c r="E1135" s="5" t="s">
        <v>1548</v>
      </c>
      <c r="F1135" s="6">
        <v>46049.45416666667</v>
      </c>
      <c r="G1135" s="5" t="s">
        <v>7456</v>
      </c>
      <c r="H1135" s="5" t="s">
        <v>9912</v>
      </c>
      <c r="I1135" s="5" t="s">
        <v>1564</v>
      </c>
      <c r="J1135" s="8">
        <v>315</v>
      </c>
      <c r="K1135" s="5" t="s">
        <v>4</v>
      </c>
      <c r="L1135">
        <f t="shared" si="17"/>
        <v>1</v>
      </c>
    </row>
    <row r="1136" spans="1:12" x14ac:dyDescent="0.25">
      <c r="A1136" s="5">
        <v>46310</v>
      </c>
      <c r="B1136" t="s">
        <v>9913</v>
      </c>
      <c r="C1136" s="5" t="s">
        <v>1265</v>
      </c>
      <c r="D1136" t="s">
        <v>9914</v>
      </c>
      <c r="E1136" s="5" t="s">
        <v>6318</v>
      </c>
      <c r="F1136" s="6">
        <v>46049.443749999999</v>
      </c>
      <c r="G1136" s="5" t="s">
        <v>7456</v>
      </c>
      <c r="H1136" s="5" t="s">
        <v>9915</v>
      </c>
      <c r="I1136" s="5" t="s">
        <v>1621</v>
      </c>
      <c r="J1136" s="8">
        <v>73.17</v>
      </c>
      <c r="K1136" s="5" t="s">
        <v>4</v>
      </c>
      <c r="L1136">
        <f t="shared" si="17"/>
        <v>1</v>
      </c>
    </row>
    <row r="1137" spans="1:12" x14ac:dyDescent="0.25">
      <c r="A1137" s="5">
        <v>46311</v>
      </c>
      <c r="B1137" t="s">
        <v>9916</v>
      </c>
      <c r="C1137" s="5" t="s">
        <v>463</v>
      </c>
      <c r="D1137" t="s">
        <v>9917</v>
      </c>
      <c r="E1137" s="5" t="s">
        <v>6440</v>
      </c>
      <c r="F1137" s="6">
        <v>46049.486111111109</v>
      </c>
      <c r="G1137" s="5" t="s">
        <v>7456</v>
      </c>
      <c r="H1137" s="5" t="s">
        <v>9918</v>
      </c>
      <c r="I1137" s="5" t="s">
        <v>1621</v>
      </c>
      <c r="J1137" s="8">
        <v>66</v>
      </c>
      <c r="K1137" s="5" t="s">
        <v>4</v>
      </c>
      <c r="L1137">
        <f t="shared" si="17"/>
        <v>1</v>
      </c>
    </row>
    <row r="1138" spans="1:12" x14ac:dyDescent="0.25">
      <c r="A1138" s="5">
        <v>46312</v>
      </c>
      <c r="B1138" t="s">
        <v>9919</v>
      </c>
      <c r="C1138" s="5" t="s">
        <v>871</v>
      </c>
      <c r="D1138" t="s">
        <v>9920</v>
      </c>
      <c r="E1138" s="5" t="s">
        <v>7008</v>
      </c>
      <c r="F1138" s="6">
        <v>46049.49722222222</v>
      </c>
      <c r="G1138" s="5" t="s">
        <v>7456</v>
      </c>
      <c r="H1138" s="5" t="s">
        <v>9921</v>
      </c>
      <c r="I1138" s="5" t="s">
        <v>1621</v>
      </c>
      <c r="J1138" s="8">
        <v>34</v>
      </c>
      <c r="K1138" s="5" t="s">
        <v>4</v>
      </c>
      <c r="L1138">
        <f t="shared" si="17"/>
        <v>1</v>
      </c>
    </row>
    <row r="1139" spans="1:12" x14ac:dyDescent="0.25">
      <c r="A1139" s="5">
        <v>46313</v>
      </c>
      <c r="B1139" t="s">
        <v>9922</v>
      </c>
      <c r="C1139" s="5" t="s">
        <v>212</v>
      </c>
      <c r="D1139" t="s">
        <v>9923</v>
      </c>
      <c r="E1139" s="5" t="s">
        <v>5887</v>
      </c>
      <c r="F1139" s="6">
        <v>46049.504861111112</v>
      </c>
      <c r="G1139" s="5" t="s">
        <v>7456</v>
      </c>
      <c r="H1139" s="5" t="s">
        <v>9924</v>
      </c>
      <c r="I1139" s="5" t="s">
        <v>1621</v>
      </c>
      <c r="J1139" s="8">
        <v>102.37</v>
      </c>
      <c r="K1139" s="5" t="s">
        <v>4</v>
      </c>
      <c r="L1139">
        <f t="shared" si="17"/>
        <v>1</v>
      </c>
    </row>
    <row r="1140" spans="1:12" x14ac:dyDescent="0.25">
      <c r="A1140" s="5">
        <v>46314</v>
      </c>
      <c r="B1140" t="s">
        <v>8016</v>
      </c>
      <c r="C1140" s="5" t="s">
        <v>8322</v>
      </c>
      <c r="D1140" t="s">
        <v>8018</v>
      </c>
      <c r="E1140" s="5" t="s">
        <v>5496</v>
      </c>
      <c r="F1140" s="6">
        <v>46049.586111111108</v>
      </c>
      <c r="G1140" s="5" t="s">
        <v>7456</v>
      </c>
      <c r="H1140" s="5" t="s">
        <v>9925</v>
      </c>
      <c r="I1140" s="5" t="s">
        <v>1621</v>
      </c>
      <c r="J1140" s="8">
        <v>123.38</v>
      </c>
      <c r="K1140" s="5" t="s">
        <v>4</v>
      </c>
      <c r="L1140">
        <f t="shared" si="17"/>
        <v>1</v>
      </c>
    </row>
    <row r="1141" spans="1:12" x14ac:dyDescent="0.25">
      <c r="A1141" s="5">
        <v>46315</v>
      </c>
      <c r="B1141" t="s">
        <v>7465</v>
      </c>
      <c r="C1141" s="5" t="s">
        <v>7466</v>
      </c>
      <c r="D1141" t="s">
        <v>7467</v>
      </c>
      <c r="E1141" s="5" t="s">
        <v>6388</v>
      </c>
      <c r="F1141" s="6">
        <v>46049.595138888886</v>
      </c>
      <c r="G1141" s="5" t="s">
        <v>7456</v>
      </c>
      <c r="H1141" s="5" t="s">
        <v>9926</v>
      </c>
      <c r="I1141" s="5" t="s">
        <v>1621</v>
      </c>
      <c r="J1141" s="8">
        <v>69.900000000000006</v>
      </c>
      <c r="K1141" s="5" t="s">
        <v>4</v>
      </c>
      <c r="L1141">
        <f t="shared" si="17"/>
        <v>1</v>
      </c>
    </row>
    <row r="1142" spans="1:12" x14ac:dyDescent="0.25">
      <c r="A1142" s="5">
        <v>46316</v>
      </c>
      <c r="B1142" t="s">
        <v>9927</v>
      </c>
      <c r="C1142" s="5" t="s">
        <v>9928</v>
      </c>
      <c r="D1142" t="s">
        <v>9929</v>
      </c>
      <c r="E1142" s="5" t="s">
        <v>6678</v>
      </c>
      <c r="F1142" s="6">
        <v>46049.601388888892</v>
      </c>
      <c r="G1142" s="5" t="s">
        <v>7456</v>
      </c>
      <c r="H1142" s="5" t="s">
        <v>9930</v>
      </c>
      <c r="I1142" s="5" t="s">
        <v>1621</v>
      </c>
      <c r="J1142" s="8">
        <v>52.57</v>
      </c>
      <c r="K1142" s="5" t="s">
        <v>4</v>
      </c>
      <c r="L1142">
        <f t="shared" si="17"/>
        <v>1</v>
      </c>
    </row>
    <row r="1143" spans="1:12" x14ac:dyDescent="0.25">
      <c r="A1143" s="5">
        <v>46317</v>
      </c>
      <c r="B1143" t="s">
        <v>9931</v>
      </c>
      <c r="C1143" s="5" t="s">
        <v>9932</v>
      </c>
      <c r="D1143" t="s">
        <v>9933</v>
      </c>
      <c r="E1143" s="5" t="s">
        <v>1548</v>
      </c>
      <c r="F1143" s="6">
        <v>46049.60833333333</v>
      </c>
      <c r="G1143" s="5" t="s">
        <v>7456</v>
      </c>
      <c r="H1143" s="5" t="s">
        <v>9934</v>
      </c>
      <c r="I1143" s="5" t="s">
        <v>1564</v>
      </c>
      <c r="J1143" s="8">
        <v>135.19999999999999</v>
      </c>
      <c r="K1143" s="5" t="s">
        <v>4</v>
      </c>
      <c r="L1143">
        <f t="shared" si="17"/>
        <v>1</v>
      </c>
    </row>
    <row r="1144" spans="1:12" x14ac:dyDescent="0.25">
      <c r="A1144" s="5">
        <v>46318</v>
      </c>
      <c r="B1144" t="s">
        <v>9935</v>
      </c>
      <c r="C1144" s="5" t="s">
        <v>9936</v>
      </c>
      <c r="D1144" t="s">
        <v>9937</v>
      </c>
      <c r="E1144" s="5" t="s">
        <v>5504</v>
      </c>
      <c r="F1144" s="6">
        <v>46049.61041666667</v>
      </c>
      <c r="G1144" s="5" t="s">
        <v>7456</v>
      </c>
      <c r="H1144" s="5" t="s">
        <v>9938</v>
      </c>
      <c r="I1144" s="5" t="s">
        <v>1621</v>
      </c>
      <c r="J1144" s="8">
        <v>122.11</v>
      </c>
      <c r="K1144" s="5" t="s">
        <v>4</v>
      </c>
      <c r="L1144">
        <f t="shared" si="17"/>
        <v>1</v>
      </c>
    </row>
    <row r="1145" spans="1:12" x14ac:dyDescent="0.25">
      <c r="A1145" s="5">
        <v>46319</v>
      </c>
      <c r="B1145" t="s">
        <v>9939</v>
      </c>
      <c r="C1145" s="5" t="s">
        <v>9940</v>
      </c>
      <c r="D1145" t="s">
        <v>9941</v>
      </c>
      <c r="E1145" s="5" t="s">
        <v>1548</v>
      </c>
      <c r="F1145" s="6">
        <v>46049.638194444444</v>
      </c>
      <c r="G1145" s="5" t="s">
        <v>7456</v>
      </c>
      <c r="H1145" t="s">
        <v>7482</v>
      </c>
      <c r="I1145" s="5" t="s">
        <v>1564</v>
      </c>
      <c r="J1145" s="8">
        <v>782</v>
      </c>
      <c r="K1145" s="5" t="s">
        <v>4</v>
      </c>
      <c r="L1145">
        <f t="shared" si="17"/>
        <v>1</v>
      </c>
    </row>
    <row r="1146" spans="1:12" x14ac:dyDescent="0.25">
      <c r="A1146" s="5">
        <v>46320</v>
      </c>
      <c r="B1146" t="s">
        <v>9942</v>
      </c>
      <c r="C1146" s="5" t="s">
        <v>1218</v>
      </c>
      <c r="D1146" t="s">
        <v>9943</v>
      </c>
      <c r="E1146" s="5" t="s">
        <v>4870</v>
      </c>
      <c r="F1146" s="6">
        <v>46049.644444444442</v>
      </c>
      <c r="G1146" s="5" t="s">
        <v>7456</v>
      </c>
      <c r="H1146" s="5" t="s">
        <v>9944</v>
      </c>
      <c r="I1146" s="5" t="s">
        <v>1621</v>
      </c>
      <c r="J1146" s="8">
        <v>161.31</v>
      </c>
      <c r="K1146" s="5" t="s">
        <v>4</v>
      </c>
      <c r="L1146">
        <f t="shared" si="17"/>
        <v>1</v>
      </c>
    </row>
    <row r="1147" spans="1:12" x14ac:dyDescent="0.25">
      <c r="A1147" s="5">
        <v>46322</v>
      </c>
      <c r="B1147" t="s">
        <v>8965</v>
      </c>
      <c r="C1147" s="5" t="s">
        <v>8360</v>
      </c>
      <c r="D1147" t="s">
        <v>8966</v>
      </c>
      <c r="E1147" s="5" t="s">
        <v>1532</v>
      </c>
      <c r="F1147" s="6">
        <v>46049.662499999999</v>
      </c>
      <c r="G1147" s="5" t="s">
        <v>7595</v>
      </c>
      <c r="H1147" t="s">
        <v>7482</v>
      </c>
      <c r="I1147" s="5" t="s">
        <v>1535</v>
      </c>
      <c r="J1147" s="8">
        <v>36</v>
      </c>
      <c r="K1147" s="5" t="s">
        <v>4</v>
      </c>
      <c r="L1147">
        <f t="shared" si="17"/>
        <v>1</v>
      </c>
    </row>
    <row r="1148" spans="1:12" x14ac:dyDescent="0.25">
      <c r="A1148" s="5">
        <v>46323</v>
      </c>
      <c r="B1148" t="s">
        <v>9945</v>
      </c>
      <c r="C1148" s="5" t="s">
        <v>9946</v>
      </c>
      <c r="D1148" t="s">
        <v>9947</v>
      </c>
      <c r="E1148" s="5" t="s">
        <v>1548</v>
      </c>
      <c r="F1148" s="6">
        <v>46049.664583333331</v>
      </c>
      <c r="G1148" s="5" t="s">
        <v>7456</v>
      </c>
      <c r="H1148" s="5" t="s">
        <v>9948</v>
      </c>
      <c r="I1148" s="5" t="s">
        <v>1564</v>
      </c>
      <c r="J1148" s="8">
        <v>1872</v>
      </c>
      <c r="K1148" s="5" t="s">
        <v>4</v>
      </c>
      <c r="L1148">
        <f t="shared" si="17"/>
        <v>1</v>
      </c>
    </row>
    <row r="1149" spans="1:12" x14ac:dyDescent="0.25">
      <c r="A1149" s="5">
        <v>46324</v>
      </c>
      <c r="B1149" t="s">
        <v>9949</v>
      </c>
      <c r="C1149" s="5" t="s">
        <v>9950</v>
      </c>
      <c r="D1149" t="s">
        <v>9951</v>
      </c>
      <c r="E1149" s="5" t="s">
        <v>6326</v>
      </c>
      <c r="F1149" s="6">
        <v>46049.672222222223</v>
      </c>
      <c r="G1149" s="5" t="s">
        <v>7456</v>
      </c>
      <c r="H1149" s="5" t="s">
        <v>9952</v>
      </c>
      <c r="I1149" s="5" t="s">
        <v>1535</v>
      </c>
      <c r="J1149" s="8">
        <v>73</v>
      </c>
      <c r="K1149" s="5" t="s">
        <v>4</v>
      </c>
      <c r="L1149">
        <f t="shared" si="17"/>
        <v>1</v>
      </c>
    </row>
    <row r="1150" spans="1:12" x14ac:dyDescent="0.25">
      <c r="A1150" s="5">
        <v>46325</v>
      </c>
      <c r="B1150" t="s">
        <v>9953</v>
      </c>
      <c r="C1150" s="5" t="s">
        <v>9954</v>
      </c>
      <c r="D1150" t="s">
        <v>9955</v>
      </c>
      <c r="E1150" s="5" t="s">
        <v>1548</v>
      </c>
      <c r="F1150" s="6">
        <v>46049.699305555558</v>
      </c>
      <c r="G1150" s="5" t="s">
        <v>7595</v>
      </c>
      <c r="H1150" t="s">
        <v>7482</v>
      </c>
      <c r="I1150" s="5" t="s">
        <v>1535</v>
      </c>
      <c r="J1150" s="8">
        <v>890</v>
      </c>
      <c r="K1150" s="5" t="s">
        <v>4</v>
      </c>
      <c r="L1150">
        <f t="shared" si="17"/>
        <v>1</v>
      </c>
    </row>
    <row r="1151" spans="1:12" x14ac:dyDescent="0.25">
      <c r="A1151" s="5">
        <v>46327</v>
      </c>
      <c r="B1151" t="s">
        <v>8965</v>
      </c>
      <c r="C1151" s="5" t="s">
        <v>9154</v>
      </c>
      <c r="D1151" t="s">
        <v>8966</v>
      </c>
      <c r="E1151" s="5" t="s">
        <v>9956</v>
      </c>
      <c r="F1151" s="6">
        <v>46049.70416666667</v>
      </c>
      <c r="G1151" s="5" t="s">
        <v>7456</v>
      </c>
      <c r="H1151" s="5" t="s">
        <v>7522</v>
      </c>
      <c r="I1151" s="5" t="s">
        <v>1535</v>
      </c>
      <c r="J1151" s="8">
        <v>237</v>
      </c>
      <c r="K1151" s="5" t="s">
        <v>4</v>
      </c>
      <c r="L1151">
        <f t="shared" si="17"/>
        <v>1</v>
      </c>
    </row>
    <row r="1152" spans="1:12" x14ac:dyDescent="0.25">
      <c r="A1152" s="5">
        <v>46329</v>
      </c>
      <c r="B1152" t="s">
        <v>9957</v>
      </c>
      <c r="C1152" s="5" t="s">
        <v>9958</v>
      </c>
      <c r="D1152" t="s">
        <v>9959</v>
      </c>
      <c r="E1152" s="5" t="s">
        <v>2875</v>
      </c>
      <c r="F1152" s="6">
        <v>46050.34652777778</v>
      </c>
      <c r="G1152" s="5" t="s">
        <v>7456</v>
      </c>
      <c r="H1152" s="5" t="s">
        <v>9960</v>
      </c>
      <c r="I1152" s="5" t="s">
        <v>1535</v>
      </c>
      <c r="J1152" s="8">
        <v>125.1</v>
      </c>
      <c r="K1152" s="5" t="s">
        <v>4</v>
      </c>
      <c r="L1152">
        <f t="shared" si="17"/>
        <v>1</v>
      </c>
    </row>
    <row r="1153" spans="1:12" x14ac:dyDescent="0.25">
      <c r="A1153" s="5">
        <v>46330</v>
      </c>
      <c r="B1153" t="s">
        <v>9961</v>
      </c>
      <c r="C1153" s="5" t="s">
        <v>9962</v>
      </c>
      <c r="D1153" t="s">
        <v>9963</v>
      </c>
      <c r="E1153" s="5" t="s">
        <v>1548</v>
      </c>
      <c r="F1153" s="6">
        <v>46050.371527777781</v>
      </c>
      <c r="G1153" s="5" t="s">
        <v>7456</v>
      </c>
      <c r="H1153" s="5" t="s">
        <v>9964</v>
      </c>
      <c r="I1153" s="5" t="s">
        <v>1564</v>
      </c>
      <c r="J1153" s="8">
        <v>508.8</v>
      </c>
      <c r="K1153" s="5" t="s">
        <v>4</v>
      </c>
      <c r="L1153">
        <f t="shared" si="17"/>
        <v>1</v>
      </c>
    </row>
    <row r="1154" spans="1:12" x14ac:dyDescent="0.25">
      <c r="A1154" s="5">
        <v>46331</v>
      </c>
      <c r="B1154" t="s">
        <v>9965</v>
      </c>
      <c r="C1154" s="5" t="s">
        <v>9966</v>
      </c>
      <c r="D1154" t="s">
        <v>9967</v>
      </c>
      <c r="E1154" s="5" t="s">
        <v>1548</v>
      </c>
      <c r="F1154" s="6">
        <v>46050.372916666667</v>
      </c>
      <c r="G1154" s="5" t="s">
        <v>7595</v>
      </c>
      <c r="H1154" t="s">
        <v>7482</v>
      </c>
      <c r="I1154" s="5" t="s">
        <v>1535</v>
      </c>
      <c r="J1154" s="8">
        <v>27</v>
      </c>
      <c r="K1154" s="5" t="s">
        <v>4</v>
      </c>
      <c r="L1154">
        <f t="shared" si="17"/>
        <v>1</v>
      </c>
    </row>
    <row r="1155" spans="1:12" x14ac:dyDescent="0.25">
      <c r="A1155" s="5">
        <v>46332</v>
      </c>
      <c r="B1155" t="s">
        <v>9968</v>
      </c>
      <c r="C1155" s="5" t="s">
        <v>9969</v>
      </c>
      <c r="D1155" t="s">
        <v>9970</v>
      </c>
      <c r="E1155" s="5" t="s">
        <v>1548</v>
      </c>
      <c r="F1155" s="6">
        <v>46050.379166666666</v>
      </c>
      <c r="G1155" s="5" t="s">
        <v>7456</v>
      </c>
      <c r="H1155" s="5" t="s">
        <v>9971</v>
      </c>
      <c r="I1155" s="5" t="s">
        <v>1564</v>
      </c>
      <c r="J1155" s="8">
        <v>668</v>
      </c>
      <c r="K1155" s="5" t="s">
        <v>4</v>
      </c>
      <c r="L1155">
        <f t="shared" ref="L1155:L1218" si="18">MONTH(F1155)</f>
        <v>1</v>
      </c>
    </row>
    <row r="1156" spans="1:12" x14ac:dyDescent="0.25">
      <c r="A1156" s="5">
        <v>46333</v>
      </c>
      <c r="B1156" t="s">
        <v>9972</v>
      </c>
      <c r="C1156" s="5" t="s">
        <v>7516</v>
      </c>
      <c r="D1156" t="s">
        <v>9973</v>
      </c>
      <c r="E1156" s="5" t="s">
        <v>1813</v>
      </c>
      <c r="F1156" s="6">
        <v>46050.412499999999</v>
      </c>
      <c r="G1156" s="5" t="s">
        <v>7595</v>
      </c>
      <c r="H1156" t="s">
        <v>7482</v>
      </c>
      <c r="I1156" s="5" t="s">
        <v>1535</v>
      </c>
      <c r="J1156" s="8">
        <v>773.25</v>
      </c>
      <c r="K1156" s="5" t="s">
        <v>4</v>
      </c>
      <c r="L1156">
        <f t="shared" si="18"/>
        <v>1</v>
      </c>
    </row>
    <row r="1157" spans="1:12" x14ac:dyDescent="0.25">
      <c r="A1157" s="5">
        <v>46334</v>
      </c>
      <c r="B1157" t="s">
        <v>9974</v>
      </c>
      <c r="C1157" s="5" t="s">
        <v>9975</v>
      </c>
      <c r="D1157" t="s">
        <v>9976</v>
      </c>
      <c r="E1157" s="5" t="s">
        <v>4266</v>
      </c>
      <c r="F1157" s="6">
        <v>46050.416666666664</v>
      </c>
      <c r="G1157" s="5" t="s">
        <v>7456</v>
      </c>
      <c r="H1157" s="5" t="s">
        <v>9977</v>
      </c>
      <c r="I1157" s="5" t="s">
        <v>1535</v>
      </c>
      <c r="J1157" s="8">
        <v>225</v>
      </c>
      <c r="K1157" s="5" t="s">
        <v>4</v>
      </c>
      <c r="L1157">
        <f t="shared" si="18"/>
        <v>1</v>
      </c>
    </row>
    <row r="1158" spans="1:12" x14ac:dyDescent="0.25">
      <c r="A1158" s="5">
        <v>46335</v>
      </c>
      <c r="B1158" t="s">
        <v>8695</v>
      </c>
      <c r="C1158" s="5" t="s">
        <v>7746</v>
      </c>
      <c r="D1158" t="s">
        <v>8696</v>
      </c>
      <c r="E1158" s="5" t="s">
        <v>1570</v>
      </c>
      <c r="F1158" s="6">
        <v>46050.427083333336</v>
      </c>
      <c r="G1158" s="5" t="s">
        <v>7456</v>
      </c>
      <c r="H1158" s="5" t="s">
        <v>9978</v>
      </c>
      <c r="I1158" s="5" t="s">
        <v>1535</v>
      </c>
      <c r="J1158" s="8">
        <v>140</v>
      </c>
      <c r="K1158" s="5" t="s">
        <v>4</v>
      </c>
      <c r="L1158">
        <f t="shared" si="18"/>
        <v>1</v>
      </c>
    </row>
    <row r="1159" spans="1:12" x14ac:dyDescent="0.25">
      <c r="A1159" s="5">
        <v>46336</v>
      </c>
      <c r="B1159" t="s">
        <v>8965</v>
      </c>
      <c r="C1159" s="5" t="s">
        <v>8082</v>
      </c>
      <c r="D1159" t="s">
        <v>8966</v>
      </c>
      <c r="E1159" s="5" t="s">
        <v>1532</v>
      </c>
      <c r="F1159" s="6">
        <v>46050.430555555555</v>
      </c>
      <c r="G1159" s="5" t="s">
        <v>7595</v>
      </c>
      <c r="H1159" t="s">
        <v>7482</v>
      </c>
      <c r="I1159" s="5" t="s">
        <v>1535</v>
      </c>
      <c r="J1159" s="8">
        <v>26400</v>
      </c>
      <c r="K1159" s="5" t="s">
        <v>4</v>
      </c>
      <c r="L1159">
        <f t="shared" si="18"/>
        <v>1</v>
      </c>
    </row>
    <row r="1160" spans="1:12" x14ac:dyDescent="0.25">
      <c r="A1160" s="5">
        <v>46338</v>
      </c>
      <c r="B1160" t="s">
        <v>9979</v>
      </c>
      <c r="C1160" s="5" t="s">
        <v>9980</v>
      </c>
      <c r="D1160" t="s">
        <v>9981</v>
      </c>
      <c r="E1160" s="5" t="s">
        <v>1548</v>
      </c>
      <c r="F1160" s="6">
        <v>46050.44027777778</v>
      </c>
      <c r="G1160" s="5" t="s">
        <v>7456</v>
      </c>
      <c r="H1160" s="5" t="s">
        <v>9982</v>
      </c>
      <c r="I1160" s="5" t="s">
        <v>1564</v>
      </c>
      <c r="J1160" s="8">
        <v>240</v>
      </c>
      <c r="K1160" s="5" t="s">
        <v>4</v>
      </c>
      <c r="L1160">
        <f t="shared" si="18"/>
        <v>1</v>
      </c>
    </row>
    <row r="1161" spans="1:12" x14ac:dyDescent="0.25">
      <c r="A1161" s="5">
        <v>46339</v>
      </c>
      <c r="B1161" t="s">
        <v>8965</v>
      </c>
      <c r="C1161" s="5" t="s">
        <v>9154</v>
      </c>
      <c r="D1161" t="s">
        <v>8966</v>
      </c>
      <c r="E1161" s="5" t="s">
        <v>2092</v>
      </c>
      <c r="F1161" s="6">
        <v>46050.441666666666</v>
      </c>
      <c r="G1161" s="5" t="s">
        <v>7456</v>
      </c>
      <c r="H1161" s="5" t="s">
        <v>9983</v>
      </c>
      <c r="I1161" s="5" t="s">
        <v>1535</v>
      </c>
      <c r="J1161" s="8">
        <v>1056.0999999999999</v>
      </c>
      <c r="K1161" s="5" t="s">
        <v>4</v>
      </c>
      <c r="L1161">
        <f t="shared" si="18"/>
        <v>1</v>
      </c>
    </row>
    <row r="1162" spans="1:12" x14ac:dyDescent="0.25">
      <c r="A1162" s="5">
        <v>46340</v>
      </c>
      <c r="B1162" t="s">
        <v>9984</v>
      </c>
      <c r="C1162" s="5" t="s">
        <v>9985</v>
      </c>
      <c r="D1162" t="s">
        <v>9986</v>
      </c>
      <c r="E1162" s="5" t="s">
        <v>1548</v>
      </c>
      <c r="F1162" s="6">
        <v>46050.445138888892</v>
      </c>
      <c r="G1162" s="5" t="s">
        <v>7456</v>
      </c>
      <c r="H1162" s="5" t="s">
        <v>9987</v>
      </c>
      <c r="I1162" s="5" t="s">
        <v>1564</v>
      </c>
      <c r="J1162" s="8">
        <v>135</v>
      </c>
      <c r="K1162" s="5" t="s">
        <v>4</v>
      </c>
      <c r="L1162">
        <f t="shared" si="18"/>
        <v>1</v>
      </c>
    </row>
    <row r="1163" spans="1:12" x14ac:dyDescent="0.25">
      <c r="A1163" s="5">
        <v>46341</v>
      </c>
      <c r="B1163" t="s">
        <v>8965</v>
      </c>
      <c r="C1163" s="5" t="s">
        <v>9154</v>
      </c>
      <c r="D1163" t="s">
        <v>8966</v>
      </c>
      <c r="E1163" s="5" t="s">
        <v>3101</v>
      </c>
      <c r="F1163" s="6">
        <v>46050.446527777778</v>
      </c>
      <c r="G1163" s="5" t="s">
        <v>7456</v>
      </c>
      <c r="H1163" s="5" t="s">
        <v>9988</v>
      </c>
      <c r="I1163" s="5" t="s">
        <v>1535</v>
      </c>
      <c r="J1163" s="8">
        <v>420</v>
      </c>
      <c r="K1163" s="5" t="s">
        <v>4</v>
      </c>
      <c r="L1163">
        <f t="shared" si="18"/>
        <v>1</v>
      </c>
    </row>
    <row r="1164" spans="1:12" x14ac:dyDescent="0.25">
      <c r="A1164" s="5">
        <v>46343</v>
      </c>
      <c r="B1164" t="s">
        <v>9989</v>
      </c>
      <c r="C1164" s="5" t="s">
        <v>9990</v>
      </c>
      <c r="D1164" t="s">
        <v>9991</v>
      </c>
      <c r="E1164" s="5" t="s">
        <v>1759</v>
      </c>
      <c r="F1164" s="6">
        <v>46050.490277777775</v>
      </c>
      <c r="G1164" s="5" t="s">
        <v>7456</v>
      </c>
      <c r="H1164" s="5" t="s">
        <v>9992</v>
      </c>
      <c r="I1164" s="5" t="s">
        <v>1564</v>
      </c>
      <c r="J1164" s="8">
        <v>311.3</v>
      </c>
      <c r="K1164" s="5" t="s">
        <v>4</v>
      </c>
      <c r="L1164">
        <f t="shared" si="18"/>
        <v>1</v>
      </c>
    </row>
    <row r="1165" spans="1:12" x14ac:dyDescent="0.25">
      <c r="A1165" s="5">
        <v>46347</v>
      </c>
      <c r="B1165" t="s">
        <v>9993</v>
      </c>
      <c r="C1165" s="5" t="s">
        <v>9994</v>
      </c>
      <c r="D1165" t="s">
        <v>9995</v>
      </c>
      <c r="E1165" s="5" t="s">
        <v>2875</v>
      </c>
      <c r="F1165" s="6">
        <v>46050.55</v>
      </c>
      <c r="G1165" s="5" t="s">
        <v>7456</v>
      </c>
      <c r="H1165" s="5" t="s">
        <v>9996</v>
      </c>
      <c r="I1165" s="5" t="s">
        <v>1535</v>
      </c>
      <c r="J1165" s="8">
        <v>288</v>
      </c>
      <c r="K1165" s="5" t="s">
        <v>4</v>
      </c>
      <c r="L1165">
        <f t="shared" si="18"/>
        <v>1</v>
      </c>
    </row>
    <row r="1166" spans="1:12" x14ac:dyDescent="0.25">
      <c r="A1166" s="5">
        <v>46348</v>
      </c>
      <c r="B1166" t="s">
        <v>9997</v>
      </c>
      <c r="C1166" s="5" t="s">
        <v>9998</v>
      </c>
      <c r="D1166" t="s">
        <v>9999</v>
      </c>
      <c r="E1166" s="5" t="s">
        <v>1759</v>
      </c>
      <c r="F1166" s="6">
        <v>46050.550694444442</v>
      </c>
      <c r="G1166" s="5" t="s">
        <v>7456</v>
      </c>
      <c r="H1166" s="5" t="s">
        <v>10000</v>
      </c>
      <c r="I1166" s="5" t="s">
        <v>1564</v>
      </c>
      <c r="J1166" s="8">
        <v>534.4</v>
      </c>
      <c r="K1166" s="5" t="s">
        <v>4</v>
      </c>
      <c r="L1166">
        <f t="shared" si="18"/>
        <v>1</v>
      </c>
    </row>
    <row r="1167" spans="1:12" x14ac:dyDescent="0.25">
      <c r="A1167" s="5">
        <v>46349</v>
      </c>
      <c r="B1167" t="s">
        <v>10001</v>
      </c>
      <c r="C1167" s="5" t="s">
        <v>10002</v>
      </c>
      <c r="D1167" t="s">
        <v>10003</v>
      </c>
      <c r="E1167" s="5" t="s">
        <v>1548</v>
      </c>
      <c r="F1167" s="6">
        <v>46050.554861111108</v>
      </c>
      <c r="G1167" s="5" t="s">
        <v>7456</v>
      </c>
      <c r="H1167" s="5" t="s">
        <v>10004</v>
      </c>
      <c r="I1167" s="5" t="s">
        <v>1564</v>
      </c>
      <c r="J1167" s="8">
        <v>132</v>
      </c>
      <c r="K1167" s="5" t="s">
        <v>4</v>
      </c>
      <c r="L1167">
        <f t="shared" si="18"/>
        <v>1</v>
      </c>
    </row>
    <row r="1168" spans="1:12" x14ac:dyDescent="0.25">
      <c r="A1168" s="5">
        <v>46350</v>
      </c>
      <c r="B1168" t="s">
        <v>10005</v>
      </c>
      <c r="C1168" s="5" t="s">
        <v>7516</v>
      </c>
      <c r="D1168" t="s">
        <v>10006</v>
      </c>
      <c r="E1168" s="5" t="s">
        <v>1813</v>
      </c>
      <c r="F1168" s="6">
        <v>46050.5625</v>
      </c>
      <c r="G1168" s="5" t="s">
        <v>7595</v>
      </c>
      <c r="H1168" t="s">
        <v>7482</v>
      </c>
      <c r="I1168" s="5" t="s">
        <v>1535</v>
      </c>
      <c r="J1168" s="8">
        <v>1032</v>
      </c>
      <c r="K1168" s="5" t="s">
        <v>4</v>
      </c>
      <c r="L1168">
        <f t="shared" si="18"/>
        <v>1</v>
      </c>
    </row>
    <row r="1169" spans="1:12" x14ac:dyDescent="0.25">
      <c r="A1169" s="5">
        <v>46351</v>
      </c>
      <c r="B1169" t="s">
        <v>10007</v>
      </c>
      <c r="C1169" s="5" t="s">
        <v>10008</v>
      </c>
      <c r="D1169" t="s">
        <v>10009</v>
      </c>
      <c r="E1169" s="5" t="s">
        <v>1813</v>
      </c>
      <c r="F1169" s="6">
        <v>46050.572916666664</v>
      </c>
      <c r="G1169" s="5" t="s">
        <v>7595</v>
      </c>
      <c r="H1169" t="s">
        <v>7482</v>
      </c>
      <c r="I1169" s="5" t="s">
        <v>1535</v>
      </c>
      <c r="J1169" s="8">
        <v>185</v>
      </c>
      <c r="K1169" s="5" t="s">
        <v>4</v>
      </c>
      <c r="L1169">
        <f t="shared" si="18"/>
        <v>1</v>
      </c>
    </row>
    <row r="1170" spans="1:12" x14ac:dyDescent="0.25">
      <c r="A1170" s="5">
        <v>46353</v>
      </c>
      <c r="B1170" t="s">
        <v>10010</v>
      </c>
      <c r="C1170" s="5" t="s">
        <v>10011</v>
      </c>
      <c r="D1170" t="s">
        <v>8861</v>
      </c>
      <c r="E1170" s="5" t="s">
        <v>1548</v>
      </c>
      <c r="F1170" s="6">
        <v>46050.623611111114</v>
      </c>
      <c r="G1170" s="5" t="s">
        <v>7456</v>
      </c>
      <c r="H1170" t="s">
        <v>8626</v>
      </c>
      <c r="I1170" s="5" t="s">
        <v>1564</v>
      </c>
      <c r="J1170" s="8">
        <v>49.5</v>
      </c>
      <c r="K1170" s="5" t="s">
        <v>4</v>
      </c>
      <c r="L1170">
        <f t="shared" si="18"/>
        <v>1</v>
      </c>
    </row>
    <row r="1171" spans="1:12" x14ac:dyDescent="0.25">
      <c r="A1171" s="5">
        <v>46354</v>
      </c>
      <c r="B1171" t="s">
        <v>10012</v>
      </c>
      <c r="C1171" s="5" t="s">
        <v>7516</v>
      </c>
      <c r="D1171" t="s">
        <v>10013</v>
      </c>
      <c r="E1171" s="5" t="s">
        <v>1813</v>
      </c>
      <c r="F1171" s="6">
        <v>46050.646527777775</v>
      </c>
      <c r="G1171" s="5" t="s">
        <v>7595</v>
      </c>
      <c r="H1171" t="s">
        <v>7482</v>
      </c>
      <c r="I1171" s="5" t="s">
        <v>1535</v>
      </c>
      <c r="J1171" s="8">
        <v>521.70000000000005</v>
      </c>
      <c r="K1171" s="5" t="s">
        <v>4</v>
      </c>
      <c r="L1171">
        <f t="shared" si="18"/>
        <v>1</v>
      </c>
    </row>
    <row r="1172" spans="1:12" x14ac:dyDescent="0.25">
      <c r="A1172" s="5">
        <v>46355</v>
      </c>
      <c r="B1172" t="s">
        <v>10014</v>
      </c>
      <c r="C1172" s="5" t="s">
        <v>10015</v>
      </c>
      <c r="D1172" t="s">
        <v>10016</v>
      </c>
      <c r="E1172" s="5" t="s">
        <v>1548</v>
      </c>
      <c r="F1172" s="6">
        <v>46050.647916666669</v>
      </c>
      <c r="G1172" s="5" t="s">
        <v>7456</v>
      </c>
      <c r="H1172" s="5" t="s">
        <v>10017</v>
      </c>
      <c r="I1172" s="5" t="s">
        <v>1564</v>
      </c>
      <c r="J1172" s="8">
        <v>135</v>
      </c>
      <c r="K1172" s="5" t="s">
        <v>4</v>
      </c>
      <c r="L1172">
        <f t="shared" si="18"/>
        <v>1</v>
      </c>
    </row>
    <row r="1173" spans="1:12" x14ac:dyDescent="0.25">
      <c r="A1173" s="5">
        <v>46363</v>
      </c>
      <c r="B1173" t="s">
        <v>10018</v>
      </c>
      <c r="C1173" s="5" t="s">
        <v>10019</v>
      </c>
      <c r="D1173" t="s">
        <v>10020</v>
      </c>
      <c r="E1173" s="5" t="s">
        <v>1548</v>
      </c>
      <c r="F1173" s="6">
        <v>46050.730555555558</v>
      </c>
      <c r="G1173" s="5" t="s">
        <v>7456</v>
      </c>
      <c r="H1173" s="5" t="s">
        <v>10021</v>
      </c>
      <c r="I1173" s="5" t="s">
        <v>1564</v>
      </c>
      <c r="J1173" s="8">
        <v>390</v>
      </c>
      <c r="K1173" s="5" t="s">
        <v>4</v>
      </c>
      <c r="L1173">
        <f t="shared" si="18"/>
        <v>1</v>
      </c>
    </row>
    <row r="1174" spans="1:12" x14ac:dyDescent="0.25">
      <c r="A1174" s="5">
        <v>46364</v>
      </c>
      <c r="B1174" t="s">
        <v>10022</v>
      </c>
      <c r="C1174" s="5" t="s">
        <v>7516</v>
      </c>
      <c r="D1174" t="s">
        <v>10023</v>
      </c>
      <c r="E1174" s="5" t="s">
        <v>1548</v>
      </c>
      <c r="F1174" s="6">
        <v>46050.756944444445</v>
      </c>
      <c r="G1174" s="5" t="s">
        <v>7456</v>
      </c>
      <c r="H1174" s="5" t="s">
        <v>10024</v>
      </c>
      <c r="I1174" s="5" t="s">
        <v>1564</v>
      </c>
      <c r="J1174" s="8">
        <v>135</v>
      </c>
      <c r="K1174" s="5" t="s">
        <v>4</v>
      </c>
      <c r="L1174">
        <f t="shared" si="18"/>
        <v>1</v>
      </c>
    </row>
    <row r="1175" spans="1:12" x14ac:dyDescent="0.25">
      <c r="A1175" s="5">
        <v>46365</v>
      </c>
      <c r="B1175" t="s">
        <v>8895</v>
      </c>
      <c r="C1175" s="5" t="s">
        <v>10025</v>
      </c>
      <c r="D1175" t="s">
        <v>8897</v>
      </c>
      <c r="E1175" s="5" t="s">
        <v>1548</v>
      </c>
      <c r="F1175" s="6">
        <v>46050.770138888889</v>
      </c>
      <c r="G1175" s="5" t="s">
        <v>7456</v>
      </c>
      <c r="H1175" s="5" t="s">
        <v>10026</v>
      </c>
      <c r="I1175" s="5" t="s">
        <v>1564</v>
      </c>
      <c r="J1175" s="8">
        <v>75</v>
      </c>
      <c r="K1175" s="5" t="s">
        <v>4</v>
      </c>
      <c r="L1175">
        <f t="shared" si="18"/>
        <v>1</v>
      </c>
    </row>
    <row r="1176" spans="1:12" x14ac:dyDescent="0.25">
      <c r="A1176" s="5">
        <v>46366</v>
      </c>
      <c r="B1176" t="s">
        <v>10027</v>
      </c>
      <c r="C1176" s="5" t="s">
        <v>10028</v>
      </c>
      <c r="D1176" t="s">
        <v>10029</v>
      </c>
      <c r="E1176" s="5" t="s">
        <v>1548</v>
      </c>
      <c r="F1176" s="6">
        <v>46050.774305555555</v>
      </c>
      <c r="G1176" s="5" t="s">
        <v>7456</v>
      </c>
      <c r="H1176" s="5" t="s">
        <v>10030</v>
      </c>
      <c r="I1176" s="5" t="s">
        <v>1564</v>
      </c>
      <c r="J1176" s="8">
        <v>534.20000000000005</v>
      </c>
      <c r="K1176" s="5" t="s">
        <v>4</v>
      </c>
      <c r="L1176">
        <f t="shared" si="18"/>
        <v>1</v>
      </c>
    </row>
    <row r="1177" spans="1:12" x14ac:dyDescent="0.25">
      <c r="A1177" s="5">
        <v>46367</v>
      </c>
      <c r="B1177" t="s">
        <v>9945</v>
      </c>
      <c r="C1177" s="5" t="s">
        <v>9946</v>
      </c>
      <c r="D1177" t="s">
        <v>9947</v>
      </c>
      <c r="E1177" s="5" t="s">
        <v>1548</v>
      </c>
      <c r="F1177" s="6">
        <v>46051.348611111112</v>
      </c>
      <c r="G1177" s="5" t="s">
        <v>7456</v>
      </c>
      <c r="H1177" s="5" t="s">
        <v>10031</v>
      </c>
      <c r="I1177" s="5" t="s">
        <v>1535</v>
      </c>
      <c r="J1177" s="8">
        <v>164</v>
      </c>
      <c r="K1177" s="5" t="s">
        <v>4</v>
      </c>
      <c r="L1177">
        <f t="shared" si="18"/>
        <v>1</v>
      </c>
    </row>
    <row r="1178" spans="1:12" x14ac:dyDescent="0.25">
      <c r="A1178" s="5">
        <v>46368</v>
      </c>
      <c r="B1178" t="s">
        <v>9893</v>
      </c>
      <c r="C1178" s="5" t="s">
        <v>9894</v>
      </c>
      <c r="D1178" t="s">
        <v>9895</v>
      </c>
      <c r="E1178" s="5" t="s">
        <v>1548</v>
      </c>
      <c r="F1178" s="6">
        <v>46051.368750000001</v>
      </c>
      <c r="G1178" s="5" t="s">
        <v>7595</v>
      </c>
      <c r="H1178" t="s">
        <v>7482</v>
      </c>
      <c r="I1178" s="5" t="s">
        <v>1564</v>
      </c>
      <c r="J1178" s="8">
        <v>2328.25</v>
      </c>
      <c r="K1178" s="5" t="s">
        <v>4</v>
      </c>
      <c r="L1178">
        <f t="shared" si="18"/>
        <v>1</v>
      </c>
    </row>
    <row r="1179" spans="1:12" x14ac:dyDescent="0.25">
      <c r="A1179" s="5">
        <v>46369</v>
      </c>
      <c r="B1179" t="s">
        <v>10032</v>
      </c>
      <c r="C1179" s="5" t="s">
        <v>10033</v>
      </c>
      <c r="D1179" t="s">
        <v>10034</v>
      </c>
      <c r="E1179" s="5" t="s">
        <v>1813</v>
      </c>
      <c r="F1179" s="6">
        <v>46051.381249999999</v>
      </c>
      <c r="G1179" s="5" t="s">
        <v>7595</v>
      </c>
      <c r="H1179" t="s">
        <v>7482</v>
      </c>
      <c r="I1179" s="5" t="s">
        <v>1535</v>
      </c>
      <c r="J1179" s="8">
        <v>9000</v>
      </c>
      <c r="K1179" s="5" t="s">
        <v>4</v>
      </c>
      <c r="L1179">
        <f t="shared" si="18"/>
        <v>1</v>
      </c>
    </row>
    <row r="1180" spans="1:12" x14ac:dyDescent="0.25">
      <c r="A1180" s="5">
        <v>46371</v>
      </c>
      <c r="B1180" t="s">
        <v>10035</v>
      </c>
      <c r="C1180" s="5" t="s">
        <v>10036</v>
      </c>
      <c r="D1180" t="s">
        <v>10037</v>
      </c>
      <c r="E1180" s="5" t="s">
        <v>1759</v>
      </c>
      <c r="F1180" s="6">
        <v>46051.417361111111</v>
      </c>
      <c r="G1180" s="5" t="s">
        <v>7456</v>
      </c>
      <c r="H1180" s="5" t="s">
        <v>10038</v>
      </c>
      <c r="I1180" s="5" t="s">
        <v>1564</v>
      </c>
      <c r="J1180" s="8">
        <v>475</v>
      </c>
      <c r="K1180" s="5" t="s">
        <v>4</v>
      </c>
      <c r="L1180">
        <f t="shared" si="18"/>
        <v>1</v>
      </c>
    </row>
    <row r="1181" spans="1:12" x14ac:dyDescent="0.25">
      <c r="A1181" s="5">
        <v>46373</v>
      </c>
      <c r="B1181" t="s">
        <v>10039</v>
      </c>
      <c r="C1181" s="5" t="s">
        <v>10040</v>
      </c>
      <c r="D1181" t="s">
        <v>10041</v>
      </c>
      <c r="E1181" s="5" t="s">
        <v>1548</v>
      </c>
      <c r="F1181" s="6">
        <v>46051.43472222222</v>
      </c>
      <c r="G1181" s="5" t="s">
        <v>7456</v>
      </c>
      <c r="H1181" s="5" t="s">
        <v>10042</v>
      </c>
      <c r="I1181" s="5" t="s">
        <v>1564</v>
      </c>
      <c r="J1181" s="8">
        <v>681</v>
      </c>
      <c r="K1181" s="5" t="s">
        <v>4</v>
      </c>
      <c r="L1181">
        <f t="shared" si="18"/>
        <v>1</v>
      </c>
    </row>
    <row r="1182" spans="1:12" x14ac:dyDescent="0.25">
      <c r="A1182" s="5">
        <v>46375</v>
      </c>
      <c r="B1182" t="s">
        <v>9057</v>
      </c>
      <c r="C1182" s="5" t="s">
        <v>993</v>
      </c>
      <c r="D1182" t="s">
        <v>9058</v>
      </c>
      <c r="E1182" s="5" t="s">
        <v>6344</v>
      </c>
      <c r="F1182" s="6">
        <v>46051.438194444447</v>
      </c>
      <c r="G1182" s="5" t="s">
        <v>7456</v>
      </c>
      <c r="H1182" s="5" t="s">
        <v>10043</v>
      </c>
      <c r="I1182" s="5" t="s">
        <v>1621</v>
      </c>
      <c r="J1182" s="8">
        <v>0</v>
      </c>
      <c r="K1182" s="5" t="s">
        <v>4</v>
      </c>
      <c r="L1182">
        <f t="shared" si="18"/>
        <v>1</v>
      </c>
    </row>
    <row r="1183" spans="1:12" x14ac:dyDescent="0.25">
      <c r="A1183" s="5">
        <v>46378</v>
      </c>
      <c r="B1183" t="s">
        <v>8965</v>
      </c>
      <c r="C1183" s="5" t="s">
        <v>9154</v>
      </c>
      <c r="D1183" t="s">
        <v>8966</v>
      </c>
      <c r="E1183" s="5" t="s">
        <v>3101</v>
      </c>
      <c r="F1183" s="6">
        <v>46051.561111111114</v>
      </c>
      <c r="G1183" s="5" t="s">
        <v>7595</v>
      </c>
      <c r="H1183" t="s">
        <v>7482</v>
      </c>
      <c r="I1183" s="5" t="s">
        <v>1535</v>
      </c>
      <c r="J1183" s="8">
        <v>3318</v>
      </c>
      <c r="K1183" s="5" t="s">
        <v>4</v>
      </c>
      <c r="L1183">
        <f t="shared" si="18"/>
        <v>1</v>
      </c>
    </row>
    <row r="1184" spans="1:12" x14ac:dyDescent="0.25">
      <c r="A1184" s="5">
        <v>46380</v>
      </c>
      <c r="B1184" t="s">
        <v>10044</v>
      </c>
      <c r="C1184" s="5" t="s">
        <v>10045</v>
      </c>
      <c r="D1184" t="s">
        <v>7644</v>
      </c>
      <c r="E1184" s="5" t="s">
        <v>4838</v>
      </c>
      <c r="F1184" s="6">
        <v>46051.6</v>
      </c>
      <c r="G1184" s="5" t="s">
        <v>7456</v>
      </c>
      <c r="H1184" s="5" t="s">
        <v>10046</v>
      </c>
      <c r="I1184" s="5" t="s">
        <v>1621</v>
      </c>
      <c r="J1184" s="8">
        <v>164.18</v>
      </c>
      <c r="K1184" s="5" t="s">
        <v>4</v>
      </c>
      <c r="L1184">
        <f t="shared" si="18"/>
        <v>1</v>
      </c>
    </row>
    <row r="1185" spans="1:12" x14ac:dyDescent="0.25">
      <c r="A1185" s="5">
        <v>46381</v>
      </c>
      <c r="B1185" t="s">
        <v>10047</v>
      </c>
      <c r="C1185" s="5" t="s">
        <v>10048</v>
      </c>
      <c r="D1185" t="s">
        <v>10049</v>
      </c>
      <c r="E1185" s="5" t="s">
        <v>1548</v>
      </c>
      <c r="F1185" s="6">
        <v>46051.611805555556</v>
      </c>
      <c r="G1185" s="5" t="s">
        <v>7456</v>
      </c>
      <c r="H1185" t="s">
        <v>7482</v>
      </c>
      <c r="I1185" s="5" t="s">
        <v>1564</v>
      </c>
      <c r="J1185" s="8">
        <v>4292</v>
      </c>
      <c r="K1185" s="5" t="s">
        <v>4</v>
      </c>
      <c r="L1185">
        <f t="shared" si="18"/>
        <v>1</v>
      </c>
    </row>
    <row r="1186" spans="1:12" x14ac:dyDescent="0.25">
      <c r="A1186" s="5">
        <v>46384</v>
      </c>
      <c r="B1186" t="s">
        <v>10050</v>
      </c>
      <c r="C1186" s="5" t="s">
        <v>162</v>
      </c>
      <c r="D1186" t="s">
        <v>10051</v>
      </c>
      <c r="E1186" s="5" t="s">
        <v>7373</v>
      </c>
      <c r="F1186" s="6">
        <v>46051.614583333336</v>
      </c>
      <c r="G1186" s="5" t="s">
        <v>7456</v>
      </c>
      <c r="H1186" s="5" t="s">
        <v>10052</v>
      </c>
      <c r="I1186" s="5" t="s">
        <v>1621</v>
      </c>
      <c r="J1186" s="8">
        <v>9.9</v>
      </c>
      <c r="K1186" s="5" t="s">
        <v>4</v>
      </c>
      <c r="L1186">
        <f t="shared" si="18"/>
        <v>1</v>
      </c>
    </row>
    <row r="1187" spans="1:12" x14ac:dyDescent="0.25">
      <c r="A1187" s="5">
        <v>46386</v>
      </c>
      <c r="B1187" t="s">
        <v>10053</v>
      </c>
      <c r="C1187" s="5" t="s">
        <v>10054</v>
      </c>
      <c r="D1187" t="s">
        <v>7644</v>
      </c>
      <c r="E1187" s="5" t="s">
        <v>7303</v>
      </c>
      <c r="F1187" s="6">
        <v>46051.627083333333</v>
      </c>
      <c r="G1187" s="5" t="s">
        <v>7456</v>
      </c>
      <c r="H1187" s="5" t="s">
        <v>10055</v>
      </c>
      <c r="I1187" s="5" t="s">
        <v>1621</v>
      </c>
      <c r="J1187" s="8">
        <v>17.93</v>
      </c>
      <c r="K1187" s="5" t="s">
        <v>4</v>
      </c>
      <c r="L1187">
        <f t="shared" si="18"/>
        <v>1</v>
      </c>
    </row>
    <row r="1188" spans="1:12" x14ac:dyDescent="0.25">
      <c r="A1188" s="5">
        <v>46387</v>
      </c>
      <c r="B1188" t="s">
        <v>10056</v>
      </c>
      <c r="C1188" s="5" t="s">
        <v>756</v>
      </c>
      <c r="D1188" t="s">
        <v>10057</v>
      </c>
      <c r="E1188" s="5" t="s">
        <v>6253</v>
      </c>
      <c r="F1188" s="6">
        <v>46051.631249999999</v>
      </c>
      <c r="G1188" s="5" t="s">
        <v>7456</v>
      </c>
      <c r="H1188" s="5" t="s">
        <v>10058</v>
      </c>
      <c r="I1188" s="5" t="s">
        <v>1621</v>
      </c>
      <c r="J1188" s="8">
        <v>77.349999999999994</v>
      </c>
      <c r="K1188" s="5" t="s">
        <v>4</v>
      </c>
      <c r="L1188">
        <f t="shared" si="18"/>
        <v>1</v>
      </c>
    </row>
    <row r="1189" spans="1:12" x14ac:dyDescent="0.25">
      <c r="A1189" s="5">
        <v>46388</v>
      </c>
      <c r="B1189" t="s">
        <v>10059</v>
      </c>
      <c r="C1189" s="5" t="s">
        <v>10060</v>
      </c>
      <c r="D1189" t="s">
        <v>10061</v>
      </c>
      <c r="E1189" s="5" t="s">
        <v>7014</v>
      </c>
      <c r="F1189" s="6">
        <v>46051.635416666664</v>
      </c>
      <c r="G1189" s="5" t="s">
        <v>7456</v>
      </c>
      <c r="H1189" s="5" t="s">
        <v>10062</v>
      </c>
      <c r="I1189" s="5" t="s">
        <v>1621</v>
      </c>
      <c r="J1189" s="8">
        <v>33.090000000000003</v>
      </c>
      <c r="K1189" s="5" t="s">
        <v>4</v>
      </c>
      <c r="L1189">
        <f t="shared" si="18"/>
        <v>1</v>
      </c>
    </row>
    <row r="1190" spans="1:12" x14ac:dyDescent="0.25">
      <c r="A1190" s="5">
        <v>46389</v>
      </c>
      <c r="B1190" t="s">
        <v>10063</v>
      </c>
      <c r="C1190" s="5" t="s">
        <v>629</v>
      </c>
      <c r="D1190" t="s">
        <v>10064</v>
      </c>
      <c r="E1190" s="5" t="s">
        <v>6657</v>
      </c>
      <c r="F1190" s="6">
        <v>46051.644444444442</v>
      </c>
      <c r="G1190" s="5" t="s">
        <v>7456</v>
      </c>
      <c r="H1190" s="5" t="s">
        <v>10065</v>
      </c>
      <c r="I1190" s="5" t="s">
        <v>1621</v>
      </c>
      <c r="J1190" s="8">
        <v>52.58</v>
      </c>
      <c r="K1190" s="5" t="s">
        <v>4</v>
      </c>
      <c r="L1190">
        <f t="shared" si="18"/>
        <v>1</v>
      </c>
    </row>
    <row r="1191" spans="1:12" x14ac:dyDescent="0.25">
      <c r="A1191" s="5">
        <v>46390</v>
      </c>
      <c r="B1191" t="s">
        <v>10066</v>
      </c>
      <c r="C1191" s="5" t="s">
        <v>521</v>
      </c>
      <c r="D1191" t="s">
        <v>10067</v>
      </c>
      <c r="E1191" s="5" t="s">
        <v>6774</v>
      </c>
      <c r="F1191" s="6">
        <v>46051.650694444441</v>
      </c>
      <c r="G1191" s="5" t="s">
        <v>7456</v>
      </c>
      <c r="H1191" s="5" t="s">
        <v>10068</v>
      </c>
      <c r="I1191" s="5" t="s">
        <v>1621</v>
      </c>
      <c r="J1191" s="8">
        <v>45.99</v>
      </c>
      <c r="K1191" s="5" t="s">
        <v>4</v>
      </c>
      <c r="L1191">
        <f t="shared" si="18"/>
        <v>1</v>
      </c>
    </row>
    <row r="1192" spans="1:12" x14ac:dyDescent="0.25">
      <c r="A1192" s="5">
        <v>46391</v>
      </c>
      <c r="B1192" t="s">
        <v>10069</v>
      </c>
      <c r="C1192" s="5" t="s">
        <v>10070</v>
      </c>
      <c r="D1192" t="s">
        <v>10071</v>
      </c>
      <c r="E1192" s="5" t="s">
        <v>1548</v>
      </c>
      <c r="F1192" s="6">
        <v>46051.654166666667</v>
      </c>
      <c r="G1192" s="5" t="s">
        <v>7456</v>
      </c>
      <c r="H1192" s="5" t="s">
        <v>10072</v>
      </c>
      <c r="I1192" s="5" t="s">
        <v>1564</v>
      </c>
      <c r="J1192" s="8">
        <v>112</v>
      </c>
      <c r="K1192" s="5" t="s">
        <v>4</v>
      </c>
      <c r="L1192">
        <f t="shared" si="18"/>
        <v>1</v>
      </c>
    </row>
    <row r="1193" spans="1:12" x14ac:dyDescent="0.25">
      <c r="A1193" s="5">
        <v>46392</v>
      </c>
      <c r="B1193" t="s">
        <v>10073</v>
      </c>
      <c r="C1193" s="5" t="s">
        <v>10074</v>
      </c>
      <c r="D1193" t="s">
        <v>10075</v>
      </c>
      <c r="E1193" s="5" t="s">
        <v>1813</v>
      </c>
      <c r="F1193" s="6">
        <v>46051.655555555553</v>
      </c>
      <c r="G1193" s="5" t="s">
        <v>7595</v>
      </c>
      <c r="H1193" t="s">
        <v>7482</v>
      </c>
      <c r="I1193" s="5" t="s">
        <v>1535</v>
      </c>
      <c r="J1193" s="8">
        <v>2012.2</v>
      </c>
      <c r="K1193" s="5" t="s">
        <v>4</v>
      </c>
      <c r="L1193">
        <f t="shared" si="18"/>
        <v>1</v>
      </c>
    </row>
    <row r="1194" spans="1:12" x14ac:dyDescent="0.25">
      <c r="A1194" s="5">
        <v>46393</v>
      </c>
      <c r="B1194" t="s">
        <v>10076</v>
      </c>
      <c r="C1194" s="5" t="s">
        <v>138</v>
      </c>
      <c r="D1194" t="s">
        <v>10077</v>
      </c>
      <c r="E1194" s="5" t="s">
        <v>7147</v>
      </c>
      <c r="F1194" s="6">
        <v>46051.655555555553</v>
      </c>
      <c r="G1194" s="5" t="s">
        <v>7456</v>
      </c>
      <c r="H1194" s="5" t="s">
        <v>10078</v>
      </c>
      <c r="I1194" s="5" t="s">
        <v>1621</v>
      </c>
      <c r="J1194" s="8">
        <v>27.78</v>
      </c>
      <c r="K1194" s="5" t="s">
        <v>4</v>
      </c>
      <c r="L1194">
        <f t="shared" si="18"/>
        <v>1</v>
      </c>
    </row>
    <row r="1195" spans="1:12" x14ac:dyDescent="0.25">
      <c r="A1195" s="5">
        <v>46394</v>
      </c>
      <c r="B1195" t="s">
        <v>10079</v>
      </c>
      <c r="C1195" s="5" t="s">
        <v>77</v>
      </c>
      <c r="D1195" t="s">
        <v>10080</v>
      </c>
      <c r="E1195" s="5" t="s">
        <v>5116</v>
      </c>
      <c r="F1195" s="6">
        <v>46051.662499999999</v>
      </c>
      <c r="G1195" s="5" t="s">
        <v>7456</v>
      </c>
      <c r="H1195" s="5" t="s">
        <v>10081</v>
      </c>
      <c r="I1195" s="5" t="s">
        <v>1621</v>
      </c>
      <c r="J1195" s="8">
        <v>145.11000000000001</v>
      </c>
      <c r="K1195" s="5" t="s">
        <v>4</v>
      </c>
      <c r="L1195">
        <f t="shared" si="18"/>
        <v>1</v>
      </c>
    </row>
    <row r="1196" spans="1:12" x14ac:dyDescent="0.25">
      <c r="A1196" s="5">
        <v>46395</v>
      </c>
      <c r="B1196" t="s">
        <v>10082</v>
      </c>
      <c r="C1196" s="5" t="s">
        <v>1133</v>
      </c>
      <c r="D1196" t="s">
        <v>10083</v>
      </c>
      <c r="E1196" s="5" t="s">
        <v>7096</v>
      </c>
      <c r="F1196" s="6">
        <v>46051.668749999997</v>
      </c>
      <c r="G1196" s="5" t="s">
        <v>7456</v>
      </c>
      <c r="H1196" s="5" t="s">
        <v>10084</v>
      </c>
      <c r="I1196" s="5" t="s">
        <v>1621</v>
      </c>
      <c r="J1196" s="8">
        <v>29.93</v>
      </c>
      <c r="K1196" s="5" t="s">
        <v>4</v>
      </c>
      <c r="L1196">
        <f t="shared" si="18"/>
        <v>1</v>
      </c>
    </row>
    <row r="1197" spans="1:12" x14ac:dyDescent="0.25">
      <c r="A1197" s="5">
        <v>46396</v>
      </c>
      <c r="B1197" t="s">
        <v>10085</v>
      </c>
      <c r="C1197" s="5" t="s">
        <v>380</v>
      </c>
      <c r="D1197" t="s">
        <v>10086</v>
      </c>
      <c r="E1197" s="5" t="s">
        <v>4177</v>
      </c>
      <c r="F1197" s="6">
        <v>46051.67291666667</v>
      </c>
      <c r="G1197" s="5" t="s">
        <v>7456</v>
      </c>
      <c r="H1197" s="5" t="s">
        <v>10087</v>
      </c>
      <c r="I1197" s="5" t="s">
        <v>1621</v>
      </c>
      <c r="J1197" s="8">
        <v>232.05</v>
      </c>
      <c r="K1197" s="5" t="s">
        <v>4</v>
      </c>
      <c r="L1197">
        <f t="shared" si="18"/>
        <v>1</v>
      </c>
    </row>
    <row r="1198" spans="1:12" x14ac:dyDescent="0.25">
      <c r="A1198" s="5">
        <v>46397</v>
      </c>
      <c r="B1198" t="s">
        <v>10088</v>
      </c>
      <c r="C1198" s="5" t="s">
        <v>10089</v>
      </c>
      <c r="D1198" t="s">
        <v>10090</v>
      </c>
      <c r="E1198" s="5" t="s">
        <v>3353</v>
      </c>
      <c r="F1198" s="6">
        <v>46051.678472222222</v>
      </c>
      <c r="G1198" s="5" t="s">
        <v>7456</v>
      </c>
      <c r="H1198" s="5" t="s">
        <v>10091</v>
      </c>
      <c r="I1198" s="5" t="s">
        <v>1621</v>
      </c>
      <c r="J1198" s="8">
        <v>350.6</v>
      </c>
      <c r="K1198" s="5" t="s">
        <v>4</v>
      </c>
      <c r="L1198">
        <f t="shared" si="18"/>
        <v>1</v>
      </c>
    </row>
    <row r="1199" spans="1:12" x14ac:dyDescent="0.25">
      <c r="A1199" s="5">
        <v>46399</v>
      </c>
      <c r="B1199" t="s">
        <v>10092</v>
      </c>
      <c r="C1199" s="5" t="s">
        <v>10093</v>
      </c>
      <c r="D1199" t="s">
        <v>10094</v>
      </c>
      <c r="E1199" s="5" t="s">
        <v>1548</v>
      </c>
      <c r="F1199" s="6">
        <v>46051.703472222223</v>
      </c>
      <c r="G1199" s="5" t="s">
        <v>7456</v>
      </c>
      <c r="H1199" s="5" t="s">
        <v>10095</v>
      </c>
      <c r="I1199" s="5" t="s">
        <v>1564</v>
      </c>
      <c r="J1199" s="8">
        <v>1927.2</v>
      </c>
      <c r="K1199" s="5" t="s">
        <v>4</v>
      </c>
      <c r="L1199">
        <f t="shared" si="18"/>
        <v>1</v>
      </c>
    </row>
    <row r="1200" spans="1:12" x14ac:dyDescent="0.25">
      <c r="A1200" s="5">
        <v>46401</v>
      </c>
      <c r="B1200" t="s">
        <v>7828</v>
      </c>
      <c r="C1200" s="5" t="s">
        <v>7829</v>
      </c>
      <c r="D1200" t="s">
        <v>7830</v>
      </c>
      <c r="E1200" s="5" t="s">
        <v>1548</v>
      </c>
      <c r="F1200" s="6">
        <v>46051.739583333336</v>
      </c>
      <c r="G1200" s="5" t="s">
        <v>7456</v>
      </c>
      <c r="H1200" t="s">
        <v>7482</v>
      </c>
      <c r="I1200" s="5" t="s">
        <v>1564</v>
      </c>
      <c r="J1200" s="8">
        <v>639.6</v>
      </c>
      <c r="K1200" s="5" t="s">
        <v>4</v>
      </c>
      <c r="L1200">
        <f t="shared" si="18"/>
        <v>1</v>
      </c>
    </row>
    <row r="1201" spans="1:12" x14ac:dyDescent="0.25">
      <c r="A1201" s="5">
        <v>46402</v>
      </c>
      <c r="B1201" t="s">
        <v>9743</v>
      </c>
      <c r="C1201" s="5" t="s">
        <v>178</v>
      </c>
      <c r="D1201" t="s">
        <v>9744</v>
      </c>
      <c r="E1201" s="5" t="s">
        <v>6197</v>
      </c>
      <c r="F1201" s="6">
        <v>46051.751388888886</v>
      </c>
      <c r="G1201" s="5" t="s">
        <v>7456</v>
      </c>
      <c r="H1201" s="5" t="s">
        <v>10096</v>
      </c>
      <c r="I1201" s="5" t="s">
        <v>1621</v>
      </c>
      <c r="J1201" s="8">
        <v>0</v>
      </c>
      <c r="K1201" s="5" t="s">
        <v>4</v>
      </c>
      <c r="L1201">
        <f t="shared" si="18"/>
        <v>1</v>
      </c>
    </row>
    <row r="1202" spans="1:12" x14ac:dyDescent="0.25">
      <c r="A1202" s="5">
        <v>46403</v>
      </c>
      <c r="B1202" t="s">
        <v>10097</v>
      </c>
      <c r="C1202" s="5" t="s">
        <v>382</v>
      </c>
      <c r="D1202" t="s">
        <v>10098</v>
      </c>
      <c r="E1202" s="5" t="s">
        <v>1548</v>
      </c>
      <c r="F1202" s="6">
        <v>46051.763888888891</v>
      </c>
      <c r="G1202" s="5" t="s">
        <v>7456</v>
      </c>
      <c r="H1202" s="5" t="s">
        <v>10099</v>
      </c>
      <c r="I1202" s="5" t="s">
        <v>1564</v>
      </c>
      <c r="J1202" s="8">
        <v>120.54</v>
      </c>
      <c r="K1202" s="5" t="s">
        <v>4</v>
      </c>
      <c r="L1202">
        <f t="shared" si="18"/>
        <v>1</v>
      </c>
    </row>
    <row r="1203" spans="1:12" x14ac:dyDescent="0.25">
      <c r="A1203" s="5">
        <v>46404</v>
      </c>
      <c r="B1203" t="s">
        <v>10100</v>
      </c>
      <c r="C1203" s="5" t="s">
        <v>10101</v>
      </c>
      <c r="D1203" t="s">
        <v>10102</v>
      </c>
      <c r="E1203" s="5" t="s">
        <v>1548</v>
      </c>
      <c r="F1203" s="6">
        <v>46051.773611111108</v>
      </c>
      <c r="G1203" s="5" t="s">
        <v>7456</v>
      </c>
      <c r="H1203" t="s">
        <v>7482</v>
      </c>
      <c r="I1203" s="5" t="s">
        <v>1564</v>
      </c>
      <c r="J1203" s="8">
        <v>142.9</v>
      </c>
      <c r="K1203" s="5" t="s">
        <v>4</v>
      </c>
      <c r="L1203">
        <f t="shared" si="18"/>
        <v>1</v>
      </c>
    </row>
    <row r="1204" spans="1:12" x14ac:dyDescent="0.25">
      <c r="A1204" s="5">
        <v>46405</v>
      </c>
      <c r="B1204" t="s">
        <v>10103</v>
      </c>
      <c r="C1204" s="5" t="s">
        <v>10104</v>
      </c>
      <c r="D1204" t="s">
        <v>10105</v>
      </c>
      <c r="E1204" s="5" t="s">
        <v>1548</v>
      </c>
      <c r="F1204" s="6">
        <v>46051.777777777781</v>
      </c>
      <c r="G1204" s="5" t="s">
        <v>7456</v>
      </c>
      <c r="H1204" t="s">
        <v>7482</v>
      </c>
      <c r="I1204" s="5" t="s">
        <v>1564</v>
      </c>
      <c r="J1204" s="8">
        <v>603</v>
      </c>
      <c r="K1204" s="5" t="s">
        <v>4</v>
      </c>
      <c r="L1204">
        <f t="shared" si="18"/>
        <v>1</v>
      </c>
    </row>
    <row r="1205" spans="1:12" x14ac:dyDescent="0.25">
      <c r="A1205" s="5">
        <v>46406</v>
      </c>
      <c r="B1205" t="s">
        <v>10106</v>
      </c>
      <c r="C1205" s="5" t="s">
        <v>10107</v>
      </c>
      <c r="D1205" t="s">
        <v>10108</v>
      </c>
      <c r="E1205" s="5" t="s">
        <v>1548</v>
      </c>
      <c r="F1205" s="6">
        <v>46052.384722222225</v>
      </c>
      <c r="G1205" s="5" t="s">
        <v>7456</v>
      </c>
      <c r="H1205" s="5" t="s">
        <v>10109</v>
      </c>
      <c r="I1205" s="5" t="s">
        <v>1564</v>
      </c>
      <c r="J1205" s="8">
        <v>881.9</v>
      </c>
      <c r="K1205" s="5" t="s">
        <v>4</v>
      </c>
      <c r="L1205">
        <f t="shared" si="18"/>
        <v>1</v>
      </c>
    </row>
    <row r="1206" spans="1:12" x14ac:dyDescent="0.25">
      <c r="A1206" s="5">
        <v>46407</v>
      </c>
      <c r="B1206" t="s">
        <v>10110</v>
      </c>
      <c r="C1206" s="5" t="s">
        <v>10111</v>
      </c>
      <c r="D1206" t="s">
        <v>10112</v>
      </c>
      <c r="E1206" s="5" t="s">
        <v>1759</v>
      </c>
      <c r="F1206" s="6">
        <v>46052.418055555558</v>
      </c>
      <c r="G1206" s="5" t="s">
        <v>7456</v>
      </c>
      <c r="H1206" s="5" t="s">
        <v>10113</v>
      </c>
      <c r="I1206" s="5" t="s">
        <v>1564</v>
      </c>
      <c r="J1206" s="8">
        <v>832</v>
      </c>
      <c r="K1206" s="5" t="s">
        <v>4</v>
      </c>
      <c r="L1206">
        <f t="shared" si="18"/>
        <v>1</v>
      </c>
    </row>
    <row r="1207" spans="1:12" x14ac:dyDescent="0.25">
      <c r="A1207" s="5">
        <v>46408</v>
      </c>
      <c r="B1207" t="s">
        <v>10114</v>
      </c>
      <c r="C1207" s="5" t="s">
        <v>10115</v>
      </c>
      <c r="D1207" t="s">
        <v>10116</v>
      </c>
      <c r="E1207" s="5" t="s">
        <v>1548</v>
      </c>
      <c r="F1207" s="6">
        <v>46052.43472222222</v>
      </c>
      <c r="G1207" s="5" t="s">
        <v>7456</v>
      </c>
      <c r="H1207" t="s">
        <v>7482</v>
      </c>
      <c r="I1207" s="5" t="s">
        <v>1564</v>
      </c>
      <c r="J1207" s="8">
        <v>25311.26</v>
      </c>
      <c r="K1207" s="5" t="s">
        <v>4</v>
      </c>
      <c r="L1207">
        <f t="shared" si="18"/>
        <v>1</v>
      </c>
    </row>
    <row r="1208" spans="1:12" x14ac:dyDescent="0.25">
      <c r="A1208" s="5">
        <v>46409</v>
      </c>
      <c r="B1208" t="s">
        <v>10117</v>
      </c>
      <c r="C1208" s="5" t="s">
        <v>10118</v>
      </c>
      <c r="D1208" t="s">
        <v>10119</v>
      </c>
      <c r="E1208" s="5" t="s">
        <v>1548</v>
      </c>
      <c r="F1208" s="6">
        <v>46052.461805555555</v>
      </c>
      <c r="G1208" s="5" t="s">
        <v>7456</v>
      </c>
      <c r="H1208" s="5" t="s">
        <v>10120</v>
      </c>
      <c r="I1208" s="5" t="s">
        <v>1564</v>
      </c>
      <c r="J1208" s="8">
        <v>60</v>
      </c>
      <c r="K1208" s="5" t="s">
        <v>4</v>
      </c>
      <c r="L1208">
        <f t="shared" si="18"/>
        <v>1</v>
      </c>
    </row>
    <row r="1209" spans="1:12" x14ac:dyDescent="0.25">
      <c r="A1209" s="5">
        <v>46410</v>
      </c>
      <c r="B1209" t="s">
        <v>9007</v>
      </c>
      <c r="C1209" s="5" t="s">
        <v>9008</v>
      </c>
      <c r="D1209" t="s">
        <v>9009</v>
      </c>
      <c r="E1209" s="5" t="s">
        <v>1548</v>
      </c>
      <c r="F1209" s="6">
        <v>46052.488888888889</v>
      </c>
      <c r="G1209" s="5" t="s">
        <v>7456</v>
      </c>
      <c r="H1209" s="5" t="s">
        <v>10121</v>
      </c>
      <c r="I1209" s="5" t="s">
        <v>1564</v>
      </c>
      <c r="J1209" s="8">
        <v>179</v>
      </c>
      <c r="K1209" s="5" t="s">
        <v>4</v>
      </c>
      <c r="L1209">
        <f t="shared" si="18"/>
        <v>1</v>
      </c>
    </row>
    <row r="1210" spans="1:12" x14ac:dyDescent="0.25">
      <c r="A1210" s="5">
        <v>46411</v>
      </c>
      <c r="B1210" t="s">
        <v>10122</v>
      </c>
      <c r="C1210" s="5" t="s">
        <v>10123</v>
      </c>
      <c r="D1210" t="s">
        <v>10124</v>
      </c>
      <c r="E1210" s="5" t="s">
        <v>1548</v>
      </c>
      <c r="F1210" s="6">
        <v>46052.49722222222</v>
      </c>
      <c r="G1210" s="5" t="s">
        <v>7456</v>
      </c>
      <c r="H1210" t="s">
        <v>7482</v>
      </c>
      <c r="I1210" s="5" t="s">
        <v>1564</v>
      </c>
      <c r="J1210" s="8">
        <v>652</v>
      </c>
      <c r="K1210" s="5" t="s">
        <v>4</v>
      </c>
      <c r="L1210">
        <f t="shared" si="18"/>
        <v>1</v>
      </c>
    </row>
    <row r="1211" spans="1:12" x14ac:dyDescent="0.25">
      <c r="A1211" s="5">
        <v>46412</v>
      </c>
      <c r="B1211" t="s">
        <v>10125</v>
      </c>
      <c r="C1211" s="5" t="s">
        <v>10126</v>
      </c>
      <c r="D1211" t="s">
        <v>10127</v>
      </c>
      <c r="E1211" s="5" t="s">
        <v>1548</v>
      </c>
      <c r="F1211" s="6">
        <v>46052.520833333336</v>
      </c>
      <c r="G1211" s="5" t="s">
        <v>7456</v>
      </c>
      <c r="H1211" s="5" t="s">
        <v>10128</v>
      </c>
      <c r="I1211" s="5" t="s">
        <v>1564</v>
      </c>
      <c r="J1211" s="8">
        <v>373</v>
      </c>
      <c r="K1211" s="5" t="s">
        <v>4</v>
      </c>
      <c r="L1211">
        <f t="shared" si="18"/>
        <v>1</v>
      </c>
    </row>
    <row r="1212" spans="1:12" x14ac:dyDescent="0.25">
      <c r="A1212" s="5">
        <v>46413</v>
      </c>
      <c r="B1212" t="s">
        <v>10129</v>
      </c>
      <c r="C1212" s="5" t="s">
        <v>7516</v>
      </c>
      <c r="D1212" t="s">
        <v>10130</v>
      </c>
      <c r="E1212" s="5" t="s">
        <v>1532</v>
      </c>
      <c r="F1212" s="6">
        <v>46052.574305555558</v>
      </c>
      <c r="G1212" s="5" t="s">
        <v>7456</v>
      </c>
      <c r="H1212" s="5" t="s">
        <v>10131</v>
      </c>
      <c r="I1212" s="5" t="s">
        <v>1535</v>
      </c>
      <c r="J1212" s="8">
        <v>669</v>
      </c>
      <c r="K1212" s="5" t="s">
        <v>4</v>
      </c>
      <c r="L1212">
        <f t="shared" si="18"/>
        <v>1</v>
      </c>
    </row>
    <row r="1213" spans="1:12" x14ac:dyDescent="0.25">
      <c r="A1213" s="5">
        <v>46414</v>
      </c>
      <c r="B1213" t="s">
        <v>10132</v>
      </c>
      <c r="C1213" s="5" t="s">
        <v>7516</v>
      </c>
      <c r="D1213" t="s">
        <v>10133</v>
      </c>
      <c r="E1213" s="5" t="s">
        <v>3574</v>
      </c>
      <c r="F1213" s="6">
        <v>46052.604861111111</v>
      </c>
      <c r="G1213" s="5" t="s">
        <v>7456</v>
      </c>
      <c r="H1213" s="5" t="s">
        <v>10134</v>
      </c>
      <c r="I1213" s="5" t="s">
        <v>1535</v>
      </c>
      <c r="J1213" s="8">
        <v>314</v>
      </c>
      <c r="K1213" s="5" t="s">
        <v>4</v>
      </c>
      <c r="L1213">
        <f t="shared" si="18"/>
        <v>1</v>
      </c>
    </row>
    <row r="1214" spans="1:12" x14ac:dyDescent="0.25">
      <c r="A1214" s="5">
        <v>46415</v>
      </c>
      <c r="B1214" t="s">
        <v>10135</v>
      </c>
      <c r="C1214" s="5" t="s">
        <v>10136</v>
      </c>
      <c r="D1214" t="s">
        <v>10137</v>
      </c>
      <c r="E1214" s="5" t="s">
        <v>1813</v>
      </c>
      <c r="F1214" s="6">
        <v>46052.611111111109</v>
      </c>
      <c r="G1214" s="5" t="s">
        <v>7595</v>
      </c>
      <c r="H1214" t="s">
        <v>7482</v>
      </c>
      <c r="I1214" s="5" t="s">
        <v>1535</v>
      </c>
      <c r="J1214" s="8">
        <v>1284</v>
      </c>
      <c r="K1214" s="5" t="s">
        <v>4</v>
      </c>
      <c r="L1214">
        <f t="shared" si="18"/>
        <v>1</v>
      </c>
    </row>
    <row r="1215" spans="1:12" x14ac:dyDescent="0.25">
      <c r="A1215" s="5">
        <v>46417</v>
      </c>
      <c r="B1215" t="s">
        <v>10138</v>
      </c>
      <c r="C1215" s="5" t="s">
        <v>7516</v>
      </c>
      <c r="D1215" t="s">
        <v>10139</v>
      </c>
      <c r="E1215" s="5" t="s">
        <v>2296</v>
      </c>
      <c r="F1215" s="6">
        <v>46052.623611111114</v>
      </c>
      <c r="G1215" s="5" t="s">
        <v>7456</v>
      </c>
      <c r="H1215" s="5" t="s">
        <v>10140</v>
      </c>
      <c r="I1215" s="5" t="s">
        <v>1535</v>
      </c>
      <c r="J1215" s="8">
        <v>834</v>
      </c>
      <c r="K1215" s="5" t="s">
        <v>4</v>
      </c>
      <c r="L1215">
        <f t="shared" si="18"/>
        <v>1</v>
      </c>
    </row>
    <row r="1216" spans="1:12" x14ac:dyDescent="0.25">
      <c r="A1216" s="5">
        <v>46418</v>
      </c>
      <c r="B1216" t="s">
        <v>10141</v>
      </c>
      <c r="C1216" s="5" t="s">
        <v>10142</v>
      </c>
      <c r="D1216" t="s">
        <v>10143</v>
      </c>
      <c r="E1216" s="5" t="s">
        <v>3041</v>
      </c>
      <c r="F1216" s="6">
        <v>46052.62777777778</v>
      </c>
      <c r="G1216" s="5" t="s">
        <v>7456</v>
      </c>
      <c r="H1216" s="5" t="s">
        <v>10144</v>
      </c>
      <c r="I1216" s="5" t="s">
        <v>1535</v>
      </c>
      <c r="J1216" s="8">
        <v>441</v>
      </c>
      <c r="K1216" s="5" t="s">
        <v>4</v>
      </c>
      <c r="L1216">
        <f t="shared" si="18"/>
        <v>1</v>
      </c>
    </row>
    <row r="1217" spans="1:12" x14ac:dyDescent="0.25">
      <c r="A1217" s="5">
        <v>46419</v>
      </c>
      <c r="B1217" t="s">
        <v>10145</v>
      </c>
      <c r="C1217" s="5" t="s">
        <v>356</v>
      </c>
      <c r="D1217" t="s">
        <v>10146</v>
      </c>
      <c r="E1217" s="5" t="s">
        <v>6046</v>
      </c>
      <c r="F1217" s="6">
        <v>46052.621527777781</v>
      </c>
      <c r="G1217" s="5" t="s">
        <v>7456</v>
      </c>
      <c r="H1217" s="5" t="s">
        <v>10147</v>
      </c>
      <c r="I1217" s="5" t="s">
        <v>1621</v>
      </c>
      <c r="J1217" s="8">
        <v>90.56</v>
      </c>
      <c r="K1217" s="5" t="s">
        <v>4</v>
      </c>
      <c r="L1217">
        <f t="shared" si="18"/>
        <v>1</v>
      </c>
    </row>
    <row r="1218" spans="1:12" x14ac:dyDescent="0.25">
      <c r="A1218" s="5">
        <v>46420</v>
      </c>
      <c r="B1218" t="s">
        <v>10148</v>
      </c>
      <c r="C1218" s="5" t="s">
        <v>10149</v>
      </c>
      <c r="D1218" t="s">
        <v>7644</v>
      </c>
      <c r="E1218" s="5" t="s">
        <v>6873</v>
      </c>
      <c r="F1218" s="6">
        <v>46052.632638888892</v>
      </c>
      <c r="G1218" s="5" t="s">
        <v>7456</v>
      </c>
      <c r="H1218" s="5" t="s">
        <v>10150</v>
      </c>
      <c r="I1218" s="5" t="s">
        <v>1621</v>
      </c>
      <c r="J1218" s="8">
        <v>41.54</v>
      </c>
      <c r="K1218" s="5" t="s">
        <v>4</v>
      </c>
      <c r="L1218">
        <f t="shared" si="18"/>
        <v>1</v>
      </c>
    </row>
    <row r="1219" spans="1:12" x14ac:dyDescent="0.25">
      <c r="A1219" s="5">
        <v>46421</v>
      </c>
      <c r="B1219" t="s">
        <v>10151</v>
      </c>
      <c r="C1219" s="5" t="s">
        <v>10152</v>
      </c>
      <c r="D1219" t="s">
        <v>10153</v>
      </c>
      <c r="E1219" s="5" t="s">
        <v>1532</v>
      </c>
      <c r="F1219" s="6">
        <v>46052.643055555556</v>
      </c>
      <c r="G1219" s="5" t="s">
        <v>7456</v>
      </c>
      <c r="H1219" s="5" t="s">
        <v>10154</v>
      </c>
      <c r="I1219" s="5" t="s">
        <v>1535</v>
      </c>
      <c r="J1219" s="8">
        <v>405</v>
      </c>
      <c r="K1219" s="5" t="s">
        <v>4</v>
      </c>
      <c r="L1219">
        <f t="shared" ref="L1219:L1282" si="19">MONTH(F1219)</f>
        <v>1</v>
      </c>
    </row>
    <row r="1220" spans="1:12" x14ac:dyDescent="0.25">
      <c r="A1220" s="5">
        <v>46422</v>
      </c>
      <c r="B1220" t="s">
        <v>8903</v>
      </c>
      <c r="C1220" s="5" t="s">
        <v>8904</v>
      </c>
      <c r="D1220" t="s">
        <v>8905</v>
      </c>
      <c r="E1220" s="5" t="s">
        <v>1532</v>
      </c>
      <c r="F1220" s="6">
        <v>46052.650694444441</v>
      </c>
      <c r="G1220" s="5" t="s">
        <v>7595</v>
      </c>
      <c r="H1220" t="s">
        <v>7482</v>
      </c>
      <c r="I1220" s="5" t="s">
        <v>1535</v>
      </c>
      <c r="J1220" s="8">
        <v>218</v>
      </c>
      <c r="K1220" s="5" t="s">
        <v>4</v>
      </c>
      <c r="L1220">
        <f t="shared" si="19"/>
        <v>1</v>
      </c>
    </row>
    <row r="1221" spans="1:12" x14ac:dyDescent="0.25">
      <c r="A1221" s="5">
        <v>46423</v>
      </c>
      <c r="B1221" t="s">
        <v>10155</v>
      </c>
      <c r="C1221" s="5" t="s">
        <v>10156</v>
      </c>
      <c r="D1221" t="s">
        <v>10157</v>
      </c>
      <c r="E1221" s="5" t="s">
        <v>1813</v>
      </c>
      <c r="F1221" s="6">
        <v>46052.654861111114</v>
      </c>
      <c r="G1221" s="5" t="s">
        <v>7595</v>
      </c>
      <c r="H1221" t="s">
        <v>7482</v>
      </c>
      <c r="I1221" s="5" t="s">
        <v>1535</v>
      </c>
      <c r="J1221" s="8">
        <v>5986.2</v>
      </c>
      <c r="K1221" s="5" t="s">
        <v>4</v>
      </c>
      <c r="L1221">
        <f t="shared" si="19"/>
        <v>1</v>
      </c>
    </row>
    <row r="1222" spans="1:12" x14ac:dyDescent="0.25">
      <c r="A1222" s="5">
        <v>46424</v>
      </c>
      <c r="B1222" t="s">
        <v>10158</v>
      </c>
      <c r="C1222" s="5" t="s">
        <v>10159</v>
      </c>
      <c r="D1222" t="s">
        <v>10160</v>
      </c>
      <c r="E1222" s="5" t="s">
        <v>2875</v>
      </c>
      <c r="F1222" s="6">
        <v>46052.660416666666</v>
      </c>
      <c r="G1222" s="5" t="s">
        <v>7595</v>
      </c>
      <c r="H1222" t="s">
        <v>7482</v>
      </c>
      <c r="I1222" s="5" t="s">
        <v>1535</v>
      </c>
      <c r="J1222" s="8">
        <v>150</v>
      </c>
      <c r="K1222" s="5" t="s">
        <v>4</v>
      </c>
      <c r="L1222">
        <f t="shared" si="19"/>
        <v>1</v>
      </c>
    </row>
    <row r="1223" spans="1:12" x14ac:dyDescent="0.25">
      <c r="A1223" s="5">
        <v>46425</v>
      </c>
      <c r="B1223" t="s">
        <v>10161</v>
      </c>
      <c r="C1223" s="5" t="s">
        <v>7827</v>
      </c>
      <c r="D1223" t="s">
        <v>10162</v>
      </c>
      <c r="E1223" s="5" t="s">
        <v>1548</v>
      </c>
      <c r="F1223" s="6">
        <v>46052.679166666669</v>
      </c>
      <c r="G1223" s="5" t="s">
        <v>7456</v>
      </c>
      <c r="H1223" s="5" t="s">
        <v>10163</v>
      </c>
      <c r="I1223" s="5" t="s">
        <v>1564</v>
      </c>
      <c r="J1223" s="8">
        <v>470.04</v>
      </c>
      <c r="K1223" s="5" t="s">
        <v>4</v>
      </c>
      <c r="L1223">
        <f t="shared" si="19"/>
        <v>1</v>
      </c>
    </row>
    <row r="1224" spans="1:12" x14ac:dyDescent="0.25">
      <c r="A1224" s="5">
        <v>46428</v>
      </c>
      <c r="B1224" t="s">
        <v>10164</v>
      </c>
      <c r="C1224" s="5" t="s">
        <v>10165</v>
      </c>
      <c r="D1224" t="s">
        <v>10166</v>
      </c>
      <c r="E1224" s="5" t="s">
        <v>1548</v>
      </c>
      <c r="F1224" s="6">
        <v>46052.731249999997</v>
      </c>
      <c r="G1224" s="5" t="s">
        <v>7456</v>
      </c>
      <c r="H1224" s="5" t="s">
        <v>10167</v>
      </c>
      <c r="I1224" s="5" t="s">
        <v>1564</v>
      </c>
      <c r="J1224" s="8">
        <v>175</v>
      </c>
      <c r="K1224" s="5" t="s">
        <v>4</v>
      </c>
      <c r="L1224">
        <f t="shared" si="19"/>
        <v>1</v>
      </c>
    </row>
    <row r="1225" spans="1:12" x14ac:dyDescent="0.25">
      <c r="A1225" s="5">
        <v>46429</v>
      </c>
      <c r="B1225" t="s">
        <v>7745</v>
      </c>
      <c r="C1225" s="5" t="s">
        <v>7827</v>
      </c>
      <c r="D1225" t="s">
        <v>7747</v>
      </c>
      <c r="E1225" s="5" t="s">
        <v>1532</v>
      </c>
      <c r="F1225" s="6">
        <v>46055.371527777781</v>
      </c>
      <c r="G1225" s="5" t="s">
        <v>7595</v>
      </c>
      <c r="H1225" t="s">
        <v>7482</v>
      </c>
      <c r="I1225" s="5" t="s">
        <v>1535</v>
      </c>
      <c r="J1225" s="8">
        <v>1683.85</v>
      </c>
      <c r="K1225" s="5" t="s">
        <v>4</v>
      </c>
      <c r="L1225">
        <f t="shared" si="19"/>
        <v>2</v>
      </c>
    </row>
    <row r="1226" spans="1:12" x14ac:dyDescent="0.25">
      <c r="A1226" s="5">
        <v>46431</v>
      </c>
      <c r="B1226" t="s">
        <v>10168</v>
      </c>
      <c r="C1226" s="5" t="s">
        <v>9481</v>
      </c>
      <c r="D1226" t="s">
        <v>10169</v>
      </c>
      <c r="E1226" s="5" t="s">
        <v>1813</v>
      </c>
      <c r="F1226" s="6">
        <v>46055.400694444441</v>
      </c>
      <c r="G1226" s="5" t="s">
        <v>7595</v>
      </c>
      <c r="H1226" t="s">
        <v>7482</v>
      </c>
      <c r="I1226" s="5" t="s">
        <v>1535</v>
      </c>
      <c r="J1226" s="8">
        <v>357.7</v>
      </c>
      <c r="K1226" s="5" t="s">
        <v>4</v>
      </c>
      <c r="L1226">
        <f t="shared" si="19"/>
        <v>2</v>
      </c>
    </row>
    <row r="1227" spans="1:12" x14ac:dyDescent="0.25">
      <c r="A1227" s="5">
        <v>46432</v>
      </c>
      <c r="B1227" t="s">
        <v>9003</v>
      </c>
      <c r="C1227" s="5" t="s">
        <v>9004</v>
      </c>
      <c r="D1227" t="s">
        <v>9005</v>
      </c>
      <c r="E1227" s="5" t="s">
        <v>1548</v>
      </c>
      <c r="F1227" s="6">
        <v>46055.415277777778</v>
      </c>
      <c r="G1227" s="5" t="s">
        <v>7456</v>
      </c>
      <c r="H1227" s="5" t="s">
        <v>10170</v>
      </c>
      <c r="I1227" s="5" t="s">
        <v>1621</v>
      </c>
      <c r="J1227" s="8">
        <v>0</v>
      </c>
      <c r="K1227" s="5" t="s">
        <v>4</v>
      </c>
      <c r="L1227">
        <f t="shared" si="19"/>
        <v>2</v>
      </c>
    </row>
    <row r="1228" spans="1:12" x14ac:dyDescent="0.25">
      <c r="A1228" s="5">
        <v>46434</v>
      </c>
      <c r="B1228" t="s">
        <v>10171</v>
      </c>
      <c r="C1228" s="5" t="s">
        <v>10172</v>
      </c>
      <c r="D1228" t="s">
        <v>10173</v>
      </c>
      <c r="E1228" s="5" t="s">
        <v>1548</v>
      </c>
      <c r="F1228" s="6">
        <v>46055.427777777775</v>
      </c>
      <c r="G1228" s="5" t="s">
        <v>7595</v>
      </c>
      <c r="H1228" t="s">
        <v>7482</v>
      </c>
      <c r="I1228" s="5" t="s">
        <v>1535</v>
      </c>
      <c r="J1228" s="8">
        <v>360</v>
      </c>
      <c r="K1228" s="5" t="s">
        <v>4</v>
      </c>
      <c r="L1228">
        <f t="shared" si="19"/>
        <v>2</v>
      </c>
    </row>
    <row r="1229" spans="1:12" x14ac:dyDescent="0.25">
      <c r="A1229" s="5">
        <v>46435</v>
      </c>
      <c r="B1229" t="s">
        <v>10174</v>
      </c>
      <c r="C1229" s="5" t="s">
        <v>10175</v>
      </c>
      <c r="D1229" t="s">
        <v>10176</v>
      </c>
      <c r="E1229" s="5" t="s">
        <v>1548</v>
      </c>
      <c r="F1229" s="6">
        <v>46055.438888888886</v>
      </c>
      <c r="G1229" s="5" t="s">
        <v>7456</v>
      </c>
      <c r="H1229" s="5" t="s">
        <v>10177</v>
      </c>
      <c r="I1229" s="5" t="s">
        <v>1564</v>
      </c>
      <c r="J1229" s="8">
        <v>303.8</v>
      </c>
      <c r="K1229" s="5" t="s">
        <v>4</v>
      </c>
      <c r="L1229">
        <f t="shared" si="19"/>
        <v>2</v>
      </c>
    </row>
    <row r="1230" spans="1:12" x14ac:dyDescent="0.25">
      <c r="A1230" s="5">
        <v>46438</v>
      </c>
      <c r="B1230" t="s">
        <v>10178</v>
      </c>
      <c r="C1230" s="5" t="s">
        <v>10179</v>
      </c>
      <c r="D1230" t="s">
        <v>10180</v>
      </c>
      <c r="E1230" s="5" t="s">
        <v>5940</v>
      </c>
      <c r="F1230" s="6">
        <v>46055.49722222222</v>
      </c>
      <c r="G1230" s="5" t="s">
        <v>7456</v>
      </c>
      <c r="H1230" s="5" t="s">
        <v>10181</v>
      </c>
      <c r="I1230" s="5" t="s">
        <v>1564</v>
      </c>
      <c r="J1230" s="8">
        <v>100</v>
      </c>
      <c r="K1230" s="5" t="s">
        <v>4</v>
      </c>
      <c r="L1230">
        <f t="shared" si="19"/>
        <v>2</v>
      </c>
    </row>
    <row r="1231" spans="1:12" x14ac:dyDescent="0.25">
      <c r="A1231" s="5">
        <v>46439</v>
      </c>
      <c r="B1231" t="s">
        <v>10182</v>
      </c>
      <c r="C1231" s="5" t="s">
        <v>758</v>
      </c>
      <c r="D1231" t="s">
        <v>10183</v>
      </c>
      <c r="E1231" s="5" t="s">
        <v>1548</v>
      </c>
      <c r="F1231" s="6">
        <v>46055.533333333333</v>
      </c>
      <c r="G1231" s="5" t="s">
        <v>7456</v>
      </c>
      <c r="H1231" s="5" t="s">
        <v>10184</v>
      </c>
      <c r="I1231" s="5" t="s">
        <v>1564</v>
      </c>
      <c r="J1231" s="8">
        <v>128</v>
      </c>
      <c r="K1231" s="5" t="s">
        <v>4</v>
      </c>
      <c r="L1231">
        <f t="shared" si="19"/>
        <v>2</v>
      </c>
    </row>
    <row r="1232" spans="1:12" x14ac:dyDescent="0.25">
      <c r="A1232" s="5">
        <v>46440</v>
      </c>
      <c r="B1232" t="s">
        <v>10185</v>
      </c>
      <c r="C1232" s="5" t="s">
        <v>7516</v>
      </c>
      <c r="D1232" t="s">
        <v>10186</v>
      </c>
      <c r="E1232" s="5" t="s">
        <v>1813</v>
      </c>
      <c r="F1232" s="6">
        <v>46055.559027777781</v>
      </c>
      <c r="G1232" s="5" t="s">
        <v>7595</v>
      </c>
      <c r="H1232" t="s">
        <v>7482</v>
      </c>
      <c r="I1232" s="5" t="s">
        <v>1535</v>
      </c>
      <c r="J1232" s="8">
        <v>317.8</v>
      </c>
      <c r="K1232" s="5" t="s">
        <v>4</v>
      </c>
      <c r="L1232">
        <f t="shared" si="19"/>
        <v>2</v>
      </c>
    </row>
    <row r="1233" spans="1:12" x14ac:dyDescent="0.25">
      <c r="A1233" s="5">
        <v>46443</v>
      </c>
      <c r="B1233" t="s">
        <v>10187</v>
      </c>
      <c r="C1233" s="5" t="s">
        <v>10188</v>
      </c>
      <c r="D1233" t="s">
        <v>10189</v>
      </c>
      <c r="E1233" s="5" t="s">
        <v>1532</v>
      </c>
      <c r="F1233" s="6">
        <v>46055.576388888891</v>
      </c>
      <c r="G1233" s="5" t="s">
        <v>7456</v>
      </c>
      <c r="H1233" s="5" t="s">
        <v>10190</v>
      </c>
      <c r="I1233" s="5" t="s">
        <v>1535</v>
      </c>
      <c r="J1233" s="8">
        <v>722.4</v>
      </c>
      <c r="K1233" s="5" t="s">
        <v>4</v>
      </c>
      <c r="L1233">
        <f t="shared" si="19"/>
        <v>2</v>
      </c>
    </row>
    <row r="1234" spans="1:12" x14ac:dyDescent="0.25">
      <c r="A1234" s="5">
        <v>46446</v>
      </c>
      <c r="B1234" t="s">
        <v>10191</v>
      </c>
      <c r="C1234" s="5" t="s">
        <v>10192</v>
      </c>
      <c r="D1234" t="s">
        <v>10193</v>
      </c>
      <c r="E1234" s="5" t="s">
        <v>1548</v>
      </c>
      <c r="F1234" s="6">
        <v>46055.632638888892</v>
      </c>
      <c r="G1234" s="5" t="s">
        <v>7456</v>
      </c>
      <c r="H1234" s="5" t="s">
        <v>10194</v>
      </c>
      <c r="I1234" s="5" t="s">
        <v>1535</v>
      </c>
      <c r="J1234" s="8">
        <v>406</v>
      </c>
      <c r="K1234" s="5" t="s">
        <v>4</v>
      </c>
      <c r="L1234">
        <f t="shared" si="19"/>
        <v>2</v>
      </c>
    </row>
    <row r="1235" spans="1:12" x14ac:dyDescent="0.25">
      <c r="A1235" s="5">
        <v>46447</v>
      </c>
      <c r="B1235" t="s">
        <v>10195</v>
      </c>
      <c r="C1235" s="5" t="s">
        <v>10196</v>
      </c>
      <c r="D1235" t="s">
        <v>10197</v>
      </c>
      <c r="E1235" s="5" t="s">
        <v>2875</v>
      </c>
      <c r="F1235" s="6">
        <v>46055.635416666664</v>
      </c>
      <c r="G1235" s="5" t="s">
        <v>7456</v>
      </c>
      <c r="H1235" s="5" t="s">
        <v>10198</v>
      </c>
      <c r="I1235" s="5" t="s">
        <v>1535</v>
      </c>
      <c r="J1235" s="8">
        <v>146</v>
      </c>
      <c r="K1235" s="5" t="s">
        <v>4</v>
      </c>
      <c r="L1235">
        <f t="shared" si="19"/>
        <v>2</v>
      </c>
    </row>
    <row r="1236" spans="1:12" x14ac:dyDescent="0.25">
      <c r="A1236" s="5">
        <v>46448</v>
      </c>
      <c r="B1236" t="s">
        <v>10199</v>
      </c>
      <c r="C1236" s="5" t="s">
        <v>10200</v>
      </c>
      <c r="D1236" t="s">
        <v>10201</v>
      </c>
      <c r="E1236" s="5" t="s">
        <v>1548</v>
      </c>
      <c r="F1236" s="6">
        <v>46055.647916666669</v>
      </c>
      <c r="G1236" s="5" t="s">
        <v>7456</v>
      </c>
      <c r="H1236" s="5" t="s">
        <v>10202</v>
      </c>
      <c r="I1236" s="5" t="s">
        <v>1564</v>
      </c>
      <c r="J1236" s="8">
        <v>226</v>
      </c>
      <c r="K1236" s="5" t="s">
        <v>4</v>
      </c>
      <c r="L1236">
        <f t="shared" si="19"/>
        <v>2</v>
      </c>
    </row>
    <row r="1237" spans="1:12" x14ac:dyDescent="0.25">
      <c r="A1237" s="5">
        <v>46449</v>
      </c>
      <c r="B1237" t="s">
        <v>10203</v>
      </c>
      <c r="C1237" s="5" t="s">
        <v>7507</v>
      </c>
      <c r="D1237" t="s">
        <v>10204</v>
      </c>
      <c r="E1237" s="5" t="s">
        <v>1548</v>
      </c>
      <c r="F1237" s="6">
        <v>46055.655555555553</v>
      </c>
      <c r="G1237" s="5" t="s">
        <v>7456</v>
      </c>
      <c r="H1237" s="5" t="s">
        <v>10205</v>
      </c>
      <c r="I1237" s="5" t="s">
        <v>1564</v>
      </c>
      <c r="J1237" s="8">
        <v>125</v>
      </c>
      <c r="K1237" s="5" t="s">
        <v>4</v>
      </c>
      <c r="L1237">
        <f t="shared" si="19"/>
        <v>2</v>
      </c>
    </row>
    <row r="1238" spans="1:12" x14ac:dyDescent="0.25">
      <c r="A1238" s="5">
        <v>46450</v>
      </c>
      <c r="B1238" t="s">
        <v>10206</v>
      </c>
      <c r="C1238" s="5" t="s">
        <v>10207</v>
      </c>
      <c r="D1238" t="s">
        <v>7644</v>
      </c>
      <c r="E1238" s="5" t="s">
        <v>4979</v>
      </c>
      <c r="F1238" s="6">
        <v>46055.656944444447</v>
      </c>
      <c r="G1238" s="5" t="s">
        <v>7456</v>
      </c>
      <c r="H1238" s="5" t="s">
        <v>10208</v>
      </c>
      <c r="I1238" s="5" t="s">
        <v>1621</v>
      </c>
      <c r="J1238" s="8">
        <v>154.91</v>
      </c>
      <c r="K1238" s="5" t="s">
        <v>4</v>
      </c>
      <c r="L1238">
        <f t="shared" si="19"/>
        <v>2</v>
      </c>
    </row>
    <row r="1239" spans="1:12" x14ac:dyDescent="0.25">
      <c r="A1239" s="5">
        <v>46451</v>
      </c>
      <c r="B1239" t="s">
        <v>10209</v>
      </c>
      <c r="C1239" s="5" t="s">
        <v>10210</v>
      </c>
      <c r="D1239" t="s">
        <v>9757</v>
      </c>
      <c r="E1239" s="5" t="s">
        <v>6456</v>
      </c>
      <c r="F1239" s="6">
        <v>46055.663194444445</v>
      </c>
      <c r="G1239" s="5" t="s">
        <v>7456</v>
      </c>
      <c r="H1239" s="5" t="s">
        <v>10211</v>
      </c>
      <c r="I1239" s="5" t="s">
        <v>1621</v>
      </c>
      <c r="J1239" s="8">
        <v>65.33</v>
      </c>
      <c r="K1239" s="5" t="s">
        <v>4</v>
      </c>
      <c r="L1239">
        <f t="shared" si="19"/>
        <v>2</v>
      </c>
    </row>
    <row r="1240" spans="1:12" x14ac:dyDescent="0.25">
      <c r="A1240" s="5">
        <v>46452</v>
      </c>
      <c r="B1240" t="s">
        <v>10212</v>
      </c>
      <c r="C1240" s="5" t="s">
        <v>428</v>
      </c>
      <c r="D1240" t="s">
        <v>10213</v>
      </c>
      <c r="E1240" s="5" t="s">
        <v>4670</v>
      </c>
      <c r="F1240" s="6">
        <v>46055.670138888891</v>
      </c>
      <c r="G1240" s="5" t="s">
        <v>7456</v>
      </c>
      <c r="H1240" s="5" t="s">
        <v>10214</v>
      </c>
      <c r="I1240" s="5" t="s">
        <v>1621</v>
      </c>
      <c r="J1240" s="8">
        <v>176.73</v>
      </c>
      <c r="K1240" s="5" t="s">
        <v>4</v>
      </c>
      <c r="L1240">
        <f t="shared" si="19"/>
        <v>2</v>
      </c>
    </row>
    <row r="1241" spans="1:12" x14ac:dyDescent="0.25">
      <c r="A1241" s="5">
        <v>46453</v>
      </c>
      <c r="B1241" t="s">
        <v>10215</v>
      </c>
      <c r="C1241" s="5" t="s">
        <v>10216</v>
      </c>
      <c r="D1241" t="s">
        <v>10217</v>
      </c>
      <c r="E1241" s="5" t="s">
        <v>5142</v>
      </c>
      <c r="F1241" s="6">
        <v>46055.674305555556</v>
      </c>
      <c r="G1241" s="5" t="s">
        <v>7456</v>
      </c>
      <c r="H1241" s="5" t="s">
        <v>10218</v>
      </c>
      <c r="I1241" s="5" t="s">
        <v>1621</v>
      </c>
      <c r="J1241" s="8">
        <v>142.94999999999999</v>
      </c>
      <c r="K1241" s="5" t="s">
        <v>4</v>
      </c>
      <c r="L1241">
        <f t="shared" si="19"/>
        <v>2</v>
      </c>
    </row>
    <row r="1242" spans="1:12" x14ac:dyDescent="0.25">
      <c r="A1242" s="5">
        <v>46454</v>
      </c>
      <c r="B1242" t="s">
        <v>10219</v>
      </c>
      <c r="C1242" s="5" t="s">
        <v>10220</v>
      </c>
      <c r="D1242" t="s">
        <v>10221</v>
      </c>
      <c r="E1242" s="5" t="s">
        <v>1563</v>
      </c>
      <c r="F1242" s="6">
        <v>46055.678472222222</v>
      </c>
      <c r="G1242" s="5" t="s">
        <v>7456</v>
      </c>
      <c r="H1242" s="5" t="s">
        <v>10222</v>
      </c>
      <c r="I1242" s="5" t="s">
        <v>1564</v>
      </c>
      <c r="J1242" s="8">
        <v>7420</v>
      </c>
      <c r="K1242" s="5" t="s">
        <v>4</v>
      </c>
      <c r="L1242">
        <f t="shared" si="19"/>
        <v>2</v>
      </c>
    </row>
    <row r="1243" spans="1:12" x14ac:dyDescent="0.25">
      <c r="A1243" s="5">
        <v>46456</v>
      </c>
      <c r="B1243" t="s">
        <v>10223</v>
      </c>
      <c r="C1243" s="5" t="s">
        <v>852</v>
      </c>
      <c r="D1243" t="s">
        <v>10224</v>
      </c>
      <c r="E1243" s="5" t="s">
        <v>6256</v>
      </c>
      <c r="F1243" s="6">
        <v>46055.679166666669</v>
      </c>
      <c r="G1243" s="5" t="s">
        <v>7456</v>
      </c>
      <c r="H1243" s="5" t="s">
        <v>10225</v>
      </c>
      <c r="I1243" s="5" t="s">
        <v>1621</v>
      </c>
      <c r="J1243" s="8">
        <v>77.17</v>
      </c>
      <c r="K1243" s="5" t="s">
        <v>4</v>
      </c>
      <c r="L1243">
        <f t="shared" si="19"/>
        <v>2</v>
      </c>
    </row>
    <row r="1244" spans="1:12" x14ac:dyDescent="0.25">
      <c r="A1244" s="5">
        <v>46458</v>
      </c>
      <c r="B1244" t="s">
        <v>10226</v>
      </c>
      <c r="C1244" s="5" t="s">
        <v>982</v>
      </c>
      <c r="D1244" t="s">
        <v>10227</v>
      </c>
      <c r="E1244" s="5" t="s">
        <v>6162</v>
      </c>
      <c r="F1244" s="6">
        <v>46055.693055555559</v>
      </c>
      <c r="G1244" s="5" t="s">
        <v>7456</v>
      </c>
      <c r="H1244" s="5" t="s">
        <v>10228</v>
      </c>
      <c r="I1244" s="5" t="s">
        <v>1621</v>
      </c>
      <c r="J1244" s="8">
        <v>83.66</v>
      </c>
      <c r="K1244" s="5" t="s">
        <v>4</v>
      </c>
      <c r="L1244">
        <f t="shared" si="19"/>
        <v>2</v>
      </c>
    </row>
    <row r="1245" spans="1:12" x14ac:dyDescent="0.25">
      <c r="A1245" s="5">
        <v>46459</v>
      </c>
      <c r="B1245" t="s">
        <v>10229</v>
      </c>
      <c r="C1245" s="5" t="s">
        <v>228</v>
      </c>
      <c r="D1245" t="s">
        <v>10230</v>
      </c>
      <c r="E1245" s="5" t="s">
        <v>7141</v>
      </c>
      <c r="F1245" s="6">
        <v>46055.697916666664</v>
      </c>
      <c r="G1245" s="5" t="s">
        <v>7456</v>
      </c>
      <c r="H1245" s="5" t="s">
        <v>10231</v>
      </c>
      <c r="I1245" s="5" t="s">
        <v>1621</v>
      </c>
      <c r="J1245" s="8">
        <v>28.19</v>
      </c>
      <c r="K1245" s="5" t="s">
        <v>4</v>
      </c>
      <c r="L1245">
        <f t="shared" si="19"/>
        <v>2</v>
      </c>
    </row>
    <row r="1246" spans="1:12" x14ac:dyDescent="0.25">
      <c r="A1246" s="5">
        <v>46460</v>
      </c>
      <c r="B1246" t="s">
        <v>10232</v>
      </c>
      <c r="C1246" s="5" t="s">
        <v>519</v>
      </c>
      <c r="D1246" t="s">
        <v>10233</v>
      </c>
      <c r="E1246" s="5" t="s">
        <v>5964</v>
      </c>
      <c r="F1246" s="6">
        <v>46055.706250000003</v>
      </c>
      <c r="G1246" s="5" t="s">
        <v>7456</v>
      </c>
      <c r="H1246" s="5" t="s">
        <v>10234</v>
      </c>
      <c r="I1246" s="5" t="s">
        <v>1621</v>
      </c>
      <c r="J1246" s="8">
        <v>99</v>
      </c>
      <c r="K1246" s="5" t="s">
        <v>4</v>
      </c>
      <c r="L1246">
        <f t="shared" si="19"/>
        <v>2</v>
      </c>
    </row>
    <row r="1247" spans="1:12" x14ac:dyDescent="0.25">
      <c r="A1247" s="5">
        <v>46461</v>
      </c>
      <c r="B1247" t="s">
        <v>10235</v>
      </c>
      <c r="C1247" s="5" t="s">
        <v>442</v>
      </c>
      <c r="D1247" t="s">
        <v>10236</v>
      </c>
      <c r="E1247" s="5" t="s">
        <v>7307</v>
      </c>
      <c r="F1247" s="6">
        <v>46055.711111111108</v>
      </c>
      <c r="G1247" s="5" t="s">
        <v>7456</v>
      </c>
      <c r="H1247" s="5" t="s">
        <v>10237</v>
      </c>
      <c r="I1247" s="5" t="s">
        <v>1621</v>
      </c>
      <c r="J1247" s="8">
        <v>17.23</v>
      </c>
      <c r="K1247" s="5" t="s">
        <v>4</v>
      </c>
      <c r="L1247">
        <f t="shared" si="19"/>
        <v>2</v>
      </c>
    </row>
    <row r="1248" spans="1:12" x14ac:dyDescent="0.25">
      <c r="A1248" s="5">
        <v>46464</v>
      </c>
      <c r="B1248" t="s">
        <v>10238</v>
      </c>
      <c r="C1248" s="5" t="s">
        <v>10239</v>
      </c>
      <c r="D1248" t="s">
        <v>10240</v>
      </c>
      <c r="E1248" s="5" t="s">
        <v>1548</v>
      </c>
      <c r="F1248" s="6">
        <v>46056.344444444447</v>
      </c>
      <c r="G1248" s="5" t="s">
        <v>7456</v>
      </c>
      <c r="H1248" s="5" t="s">
        <v>10241</v>
      </c>
      <c r="I1248" s="5" t="s">
        <v>1564</v>
      </c>
      <c r="J1248" s="8">
        <v>135</v>
      </c>
      <c r="K1248" s="5" t="s">
        <v>4</v>
      </c>
      <c r="L1248">
        <f t="shared" si="19"/>
        <v>2</v>
      </c>
    </row>
    <row r="1249" spans="1:12" x14ac:dyDescent="0.25">
      <c r="A1249" s="5">
        <v>46465</v>
      </c>
      <c r="B1249" t="s">
        <v>10242</v>
      </c>
      <c r="C1249" s="5" t="s">
        <v>10243</v>
      </c>
      <c r="D1249" t="s">
        <v>10244</v>
      </c>
      <c r="E1249" s="5" t="s">
        <v>1742</v>
      </c>
      <c r="F1249" s="6">
        <v>46056.345138888886</v>
      </c>
      <c r="G1249" s="5" t="s">
        <v>7456</v>
      </c>
      <c r="H1249" s="5" t="s">
        <v>10245</v>
      </c>
      <c r="I1249" s="5" t="s">
        <v>1535</v>
      </c>
      <c r="J1249" s="8">
        <v>722.6</v>
      </c>
      <c r="K1249" s="5" t="s">
        <v>4</v>
      </c>
      <c r="L1249">
        <f t="shared" si="19"/>
        <v>2</v>
      </c>
    </row>
    <row r="1250" spans="1:12" x14ac:dyDescent="0.25">
      <c r="A1250" s="5">
        <v>46466</v>
      </c>
      <c r="B1250" t="s">
        <v>10246</v>
      </c>
      <c r="C1250" s="5" t="s">
        <v>10247</v>
      </c>
      <c r="D1250" t="s">
        <v>10248</v>
      </c>
      <c r="E1250" s="5" t="s">
        <v>1548</v>
      </c>
      <c r="F1250" s="6">
        <v>46056.352083333331</v>
      </c>
      <c r="G1250" s="5" t="s">
        <v>9860</v>
      </c>
      <c r="H1250" t="s">
        <v>7482</v>
      </c>
      <c r="I1250" s="5" t="s">
        <v>1564</v>
      </c>
      <c r="J1250" s="8">
        <v>674.3</v>
      </c>
      <c r="K1250" s="5" t="s">
        <v>4</v>
      </c>
      <c r="L1250">
        <f t="shared" si="19"/>
        <v>2</v>
      </c>
    </row>
    <row r="1251" spans="1:12" x14ac:dyDescent="0.25">
      <c r="A1251" s="5">
        <v>46467</v>
      </c>
      <c r="B1251" t="s">
        <v>8125</v>
      </c>
      <c r="C1251" s="5" t="s">
        <v>10249</v>
      </c>
      <c r="D1251" t="s">
        <v>8127</v>
      </c>
      <c r="E1251" s="5" t="s">
        <v>1548</v>
      </c>
      <c r="F1251" s="6">
        <v>46056.352777777778</v>
      </c>
      <c r="G1251" s="5" t="s">
        <v>7456</v>
      </c>
      <c r="H1251" s="5" t="s">
        <v>10250</v>
      </c>
      <c r="I1251" s="5" t="s">
        <v>1535</v>
      </c>
      <c r="J1251" s="8">
        <v>171</v>
      </c>
      <c r="K1251" s="5" t="s">
        <v>4</v>
      </c>
      <c r="L1251">
        <f t="shared" si="19"/>
        <v>2</v>
      </c>
    </row>
    <row r="1252" spans="1:12" x14ac:dyDescent="0.25">
      <c r="A1252" s="5">
        <v>46468</v>
      </c>
      <c r="B1252" t="s">
        <v>10251</v>
      </c>
      <c r="C1252" s="5" t="s">
        <v>7516</v>
      </c>
      <c r="D1252" t="s">
        <v>10252</v>
      </c>
      <c r="E1252" s="5" t="s">
        <v>1813</v>
      </c>
      <c r="F1252" s="6">
        <v>46056.359027777777</v>
      </c>
      <c r="G1252" s="5" t="s">
        <v>7456</v>
      </c>
      <c r="H1252" s="5" t="s">
        <v>10253</v>
      </c>
      <c r="I1252" s="5" t="s">
        <v>1535</v>
      </c>
      <c r="J1252" s="8">
        <v>473.8</v>
      </c>
      <c r="K1252" s="5" t="s">
        <v>4</v>
      </c>
      <c r="L1252">
        <f t="shared" si="19"/>
        <v>2</v>
      </c>
    </row>
    <row r="1253" spans="1:12" x14ac:dyDescent="0.25">
      <c r="A1253" s="5">
        <v>46469</v>
      </c>
      <c r="B1253" t="s">
        <v>10254</v>
      </c>
      <c r="C1253" s="5" t="s">
        <v>10255</v>
      </c>
      <c r="D1253" t="s">
        <v>7644</v>
      </c>
      <c r="E1253" s="5" t="s">
        <v>1581</v>
      </c>
      <c r="F1253" s="6">
        <v>46056.364583333336</v>
      </c>
      <c r="G1253" s="5" t="s">
        <v>7456</v>
      </c>
      <c r="H1253" s="5" t="s">
        <v>10256</v>
      </c>
      <c r="I1253" s="5" t="s">
        <v>1535</v>
      </c>
      <c r="J1253" s="8">
        <v>6108</v>
      </c>
      <c r="K1253" s="5" t="s">
        <v>4</v>
      </c>
      <c r="L1253">
        <f t="shared" si="19"/>
        <v>2</v>
      </c>
    </row>
    <row r="1254" spans="1:12" x14ac:dyDescent="0.25">
      <c r="A1254" s="5">
        <v>46470</v>
      </c>
      <c r="B1254" t="s">
        <v>10257</v>
      </c>
      <c r="C1254" s="5" t="s">
        <v>10258</v>
      </c>
      <c r="D1254" t="s">
        <v>7644</v>
      </c>
      <c r="E1254" s="5" t="s">
        <v>1813</v>
      </c>
      <c r="F1254" s="6">
        <v>46056.372916666667</v>
      </c>
      <c r="G1254" s="5" t="s">
        <v>7456</v>
      </c>
      <c r="H1254" s="5" t="s">
        <v>10259</v>
      </c>
      <c r="I1254" s="5" t="s">
        <v>1535</v>
      </c>
      <c r="J1254" s="8">
        <v>338.5</v>
      </c>
      <c r="K1254" s="5" t="s">
        <v>4</v>
      </c>
      <c r="L1254">
        <f t="shared" si="19"/>
        <v>2</v>
      </c>
    </row>
    <row r="1255" spans="1:12" x14ac:dyDescent="0.25">
      <c r="A1255" s="5">
        <v>46471</v>
      </c>
      <c r="B1255" t="s">
        <v>10260</v>
      </c>
      <c r="C1255" s="5" t="s">
        <v>10261</v>
      </c>
      <c r="D1255" t="s">
        <v>10262</v>
      </c>
      <c r="E1255" s="5" t="s">
        <v>2905</v>
      </c>
      <c r="F1255" s="6">
        <v>46056.397222222222</v>
      </c>
      <c r="G1255" s="5" t="s">
        <v>7456</v>
      </c>
      <c r="H1255" s="5" t="s">
        <v>10263</v>
      </c>
      <c r="I1255" s="5" t="s">
        <v>1564</v>
      </c>
      <c r="J1255" s="8">
        <v>485</v>
      </c>
      <c r="K1255" s="5" t="s">
        <v>4</v>
      </c>
      <c r="L1255">
        <f t="shared" si="19"/>
        <v>2</v>
      </c>
    </row>
    <row r="1256" spans="1:12" x14ac:dyDescent="0.25">
      <c r="A1256" s="5">
        <v>46473</v>
      </c>
      <c r="B1256" t="s">
        <v>10264</v>
      </c>
      <c r="C1256" s="5" t="s">
        <v>9854</v>
      </c>
      <c r="D1256" t="s">
        <v>10265</v>
      </c>
      <c r="E1256" s="5" t="s">
        <v>6172</v>
      </c>
      <c r="F1256" s="6">
        <v>46056.410416666666</v>
      </c>
      <c r="G1256" s="5" t="s">
        <v>7456</v>
      </c>
      <c r="H1256" s="5" t="s">
        <v>10266</v>
      </c>
      <c r="I1256" s="5" t="s">
        <v>1535</v>
      </c>
      <c r="J1256" s="8">
        <v>82.5</v>
      </c>
      <c r="K1256" s="5" t="s">
        <v>4</v>
      </c>
      <c r="L1256">
        <f t="shared" si="19"/>
        <v>2</v>
      </c>
    </row>
    <row r="1257" spans="1:12" x14ac:dyDescent="0.25">
      <c r="A1257" s="5">
        <v>46474</v>
      </c>
      <c r="B1257" t="s">
        <v>10242</v>
      </c>
      <c r="C1257" s="5" t="s">
        <v>10243</v>
      </c>
      <c r="D1257" t="s">
        <v>10244</v>
      </c>
      <c r="E1257" s="5" t="s">
        <v>1742</v>
      </c>
      <c r="F1257" s="6">
        <v>46056.418749999997</v>
      </c>
      <c r="G1257" s="5" t="s">
        <v>7456</v>
      </c>
      <c r="H1257" s="5" t="s">
        <v>10267</v>
      </c>
      <c r="I1257" s="5" t="s">
        <v>1535</v>
      </c>
      <c r="J1257" s="8">
        <v>125</v>
      </c>
      <c r="K1257" s="5" t="s">
        <v>4</v>
      </c>
      <c r="L1257">
        <f t="shared" si="19"/>
        <v>2</v>
      </c>
    </row>
    <row r="1258" spans="1:12" x14ac:dyDescent="0.25">
      <c r="A1258" s="5">
        <v>46475</v>
      </c>
      <c r="B1258" t="s">
        <v>10268</v>
      </c>
      <c r="C1258" s="5" t="s">
        <v>8948</v>
      </c>
      <c r="D1258" t="s">
        <v>10269</v>
      </c>
      <c r="E1258" s="5" t="s">
        <v>1548</v>
      </c>
      <c r="F1258" s="6">
        <v>46056.477083333331</v>
      </c>
      <c r="G1258" s="5" t="s">
        <v>9860</v>
      </c>
      <c r="H1258" t="s">
        <v>7482</v>
      </c>
      <c r="I1258" s="5" t="s">
        <v>1564</v>
      </c>
      <c r="J1258" s="8">
        <v>178.2</v>
      </c>
      <c r="K1258" s="5" t="s">
        <v>4</v>
      </c>
      <c r="L1258">
        <f t="shared" si="19"/>
        <v>2</v>
      </c>
    </row>
    <row r="1259" spans="1:12" x14ac:dyDescent="0.25">
      <c r="A1259" s="5">
        <v>46476</v>
      </c>
      <c r="B1259" t="s">
        <v>10270</v>
      </c>
      <c r="C1259" s="5" t="s">
        <v>10271</v>
      </c>
      <c r="D1259" t="s">
        <v>10272</v>
      </c>
      <c r="E1259" s="5" t="s">
        <v>4466</v>
      </c>
      <c r="F1259" s="6">
        <v>46056.479861111111</v>
      </c>
      <c r="G1259" s="5" t="s">
        <v>7456</v>
      </c>
      <c r="H1259" s="5" t="s">
        <v>10273</v>
      </c>
      <c r="I1259" s="5" t="s">
        <v>1535</v>
      </c>
      <c r="J1259" s="8">
        <v>194.2</v>
      </c>
      <c r="K1259" s="5" t="s">
        <v>4</v>
      </c>
      <c r="L1259">
        <f t="shared" si="19"/>
        <v>2</v>
      </c>
    </row>
    <row r="1260" spans="1:12" x14ac:dyDescent="0.25">
      <c r="A1260" s="5">
        <v>46477</v>
      </c>
      <c r="B1260" t="s">
        <v>10274</v>
      </c>
      <c r="C1260" s="5" t="s">
        <v>10275</v>
      </c>
      <c r="D1260" t="s">
        <v>10276</v>
      </c>
      <c r="E1260" s="5" t="s">
        <v>1548</v>
      </c>
      <c r="F1260" s="6">
        <v>46056.500694444447</v>
      </c>
      <c r="G1260" s="5" t="s">
        <v>7456</v>
      </c>
      <c r="H1260" s="5" t="s">
        <v>10277</v>
      </c>
      <c r="I1260" s="5" t="s">
        <v>1564</v>
      </c>
      <c r="J1260" s="8">
        <v>365.3</v>
      </c>
      <c r="K1260" s="5" t="s">
        <v>4</v>
      </c>
      <c r="L1260">
        <f t="shared" si="19"/>
        <v>2</v>
      </c>
    </row>
    <row r="1261" spans="1:12" x14ac:dyDescent="0.25">
      <c r="A1261" s="5">
        <v>46479</v>
      </c>
      <c r="B1261" t="s">
        <v>10278</v>
      </c>
      <c r="C1261" s="5" t="s">
        <v>7516</v>
      </c>
      <c r="D1261" t="s">
        <v>10279</v>
      </c>
      <c r="E1261" s="5" t="s">
        <v>1548</v>
      </c>
      <c r="F1261" s="6">
        <v>46056.526388888888</v>
      </c>
      <c r="G1261" s="5" t="s">
        <v>9860</v>
      </c>
      <c r="H1261" t="s">
        <v>7482</v>
      </c>
      <c r="I1261" s="5" t="s">
        <v>1564</v>
      </c>
      <c r="J1261" s="8">
        <v>384</v>
      </c>
      <c r="K1261" s="5" t="s">
        <v>4</v>
      </c>
      <c r="L1261">
        <f t="shared" si="19"/>
        <v>2</v>
      </c>
    </row>
    <row r="1262" spans="1:12" x14ac:dyDescent="0.25">
      <c r="A1262" s="5">
        <v>46480</v>
      </c>
      <c r="B1262" t="s">
        <v>8965</v>
      </c>
      <c r="C1262" s="5" t="s">
        <v>10280</v>
      </c>
      <c r="D1262" t="s">
        <v>8966</v>
      </c>
      <c r="E1262" s="5" t="s">
        <v>1548</v>
      </c>
      <c r="F1262" s="6">
        <v>46056.571527777778</v>
      </c>
      <c r="G1262" s="5" t="s">
        <v>7595</v>
      </c>
      <c r="H1262" t="s">
        <v>7482</v>
      </c>
      <c r="I1262" s="5" t="s">
        <v>1535</v>
      </c>
      <c r="J1262" s="8">
        <v>2280</v>
      </c>
      <c r="K1262" s="5" t="s">
        <v>4</v>
      </c>
      <c r="L1262">
        <f t="shared" si="19"/>
        <v>2</v>
      </c>
    </row>
    <row r="1263" spans="1:12" x14ac:dyDescent="0.25">
      <c r="A1263" s="5">
        <v>46481</v>
      </c>
      <c r="B1263" t="s">
        <v>10281</v>
      </c>
      <c r="C1263" s="5" t="s">
        <v>244</v>
      </c>
      <c r="D1263" t="s">
        <v>10282</v>
      </c>
      <c r="E1263" s="5" t="s">
        <v>7330</v>
      </c>
      <c r="F1263" s="6">
        <v>46056.574999999997</v>
      </c>
      <c r="G1263" s="5" t="s">
        <v>7456</v>
      </c>
      <c r="H1263" s="5" t="s">
        <v>10283</v>
      </c>
      <c r="I1263" s="5" t="s">
        <v>1535</v>
      </c>
      <c r="J1263" s="8">
        <v>15</v>
      </c>
      <c r="K1263" s="5" t="s">
        <v>4</v>
      </c>
      <c r="L1263">
        <f t="shared" si="19"/>
        <v>2</v>
      </c>
    </row>
    <row r="1264" spans="1:12" x14ac:dyDescent="0.25">
      <c r="A1264" s="5">
        <v>46483</v>
      </c>
      <c r="B1264" t="s">
        <v>10284</v>
      </c>
      <c r="C1264" s="5" t="s">
        <v>10285</v>
      </c>
      <c r="D1264" t="s">
        <v>7644</v>
      </c>
      <c r="E1264" s="5" t="s">
        <v>6737</v>
      </c>
      <c r="F1264" s="6">
        <v>46056.618055555555</v>
      </c>
      <c r="G1264" s="5" t="s">
        <v>7456</v>
      </c>
      <c r="H1264" s="5" t="s">
        <v>10286</v>
      </c>
      <c r="I1264" s="5" t="s">
        <v>1621</v>
      </c>
      <c r="J1264" s="8">
        <v>49.85</v>
      </c>
      <c r="K1264" s="5" t="s">
        <v>4</v>
      </c>
      <c r="L1264">
        <f t="shared" si="19"/>
        <v>2</v>
      </c>
    </row>
    <row r="1265" spans="1:12" x14ac:dyDescent="0.25">
      <c r="A1265" s="5">
        <v>46484</v>
      </c>
      <c r="B1265" t="s">
        <v>10287</v>
      </c>
      <c r="C1265" s="5" t="s">
        <v>890</v>
      </c>
      <c r="D1265" t="s">
        <v>10288</v>
      </c>
      <c r="E1265" s="5" t="s">
        <v>5849</v>
      </c>
      <c r="F1265" s="6">
        <v>46056.628472222219</v>
      </c>
      <c r="G1265" s="5" t="s">
        <v>7456</v>
      </c>
      <c r="H1265" s="5" t="s">
        <v>10289</v>
      </c>
      <c r="I1265" s="5" t="s">
        <v>1621</v>
      </c>
      <c r="J1265" s="8">
        <v>104.89</v>
      </c>
      <c r="K1265" s="5" t="s">
        <v>4</v>
      </c>
      <c r="L1265">
        <f t="shared" si="19"/>
        <v>2</v>
      </c>
    </row>
    <row r="1266" spans="1:12" x14ac:dyDescent="0.25">
      <c r="A1266" s="5">
        <v>46485</v>
      </c>
      <c r="B1266" t="s">
        <v>10290</v>
      </c>
      <c r="C1266" s="5" t="s">
        <v>10291</v>
      </c>
      <c r="D1266" t="s">
        <v>10292</v>
      </c>
      <c r="E1266" s="5" t="s">
        <v>1588</v>
      </c>
      <c r="F1266" s="6">
        <v>46056.636111111111</v>
      </c>
      <c r="G1266" s="5" t="s">
        <v>7456</v>
      </c>
      <c r="H1266" s="5" t="s">
        <v>10293</v>
      </c>
      <c r="I1266" s="5" t="s">
        <v>1535</v>
      </c>
      <c r="J1266" s="8">
        <v>5636.95</v>
      </c>
      <c r="K1266" s="5" t="s">
        <v>4</v>
      </c>
      <c r="L1266">
        <f t="shared" si="19"/>
        <v>2</v>
      </c>
    </row>
    <row r="1267" spans="1:12" x14ac:dyDescent="0.25">
      <c r="A1267" s="5">
        <v>46486</v>
      </c>
      <c r="B1267" t="s">
        <v>10235</v>
      </c>
      <c r="C1267" s="5" t="s">
        <v>442</v>
      </c>
      <c r="D1267" t="s">
        <v>10236</v>
      </c>
      <c r="E1267" s="5" t="s">
        <v>7307</v>
      </c>
      <c r="F1267" s="6">
        <v>46056.638194444444</v>
      </c>
      <c r="G1267" s="5" t="s">
        <v>7456</v>
      </c>
      <c r="H1267" s="5" t="s">
        <v>7522</v>
      </c>
      <c r="I1267" s="5" t="s">
        <v>1621</v>
      </c>
      <c r="J1267" s="8">
        <v>17.23</v>
      </c>
      <c r="K1267" s="5" t="s">
        <v>4</v>
      </c>
      <c r="L1267">
        <f t="shared" si="19"/>
        <v>2</v>
      </c>
    </row>
    <row r="1268" spans="1:12" x14ac:dyDescent="0.25">
      <c r="A1268" s="5">
        <v>46487</v>
      </c>
      <c r="B1268" t="s">
        <v>10281</v>
      </c>
      <c r="C1268" s="5" t="s">
        <v>244</v>
      </c>
      <c r="D1268" t="s">
        <v>10282</v>
      </c>
      <c r="E1268" s="5" t="s">
        <v>10294</v>
      </c>
      <c r="F1268" s="6">
        <v>46056.643055555556</v>
      </c>
      <c r="G1268" s="5" t="s">
        <v>7456</v>
      </c>
      <c r="H1268" s="5" t="s">
        <v>7522</v>
      </c>
      <c r="I1268" s="5" t="s">
        <v>1621</v>
      </c>
      <c r="J1268" s="8">
        <v>15</v>
      </c>
      <c r="K1268" s="5" t="s">
        <v>4</v>
      </c>
      <c r="L1268">
        <f t="shared" si="19"/>
        <v>2</v>
      </c>
    </row>
    <row r="1269" spans="1:12" x14ac:dyDescent="0.25">
      <c r="A1269" s="5">
        <v>46488</v>
      </c>
      <c r="B1269" t="s">
        <v>10295</v>
      </c>
      <c r="C1269" s="5" t="s">
        <v>10296</v>
      </c>
      <c r="D1269" t="s">
        <v>9832</v>
      </c>
      <c r="E1269" s="5" t="s">
        <v>1813</v>
      </c>
      <c r="F1269" s="6">
        <v>46056.646527777775</v>
      </c>
      <c r="G1269" s="5" t="s">
        <v>7595</v>
      </c>
      <c r="H1269" t="s">
        <v>7482</v>
      </c>
      <c r="I1269" s="5" t="s">
        <v>1535</v>
      </c>
      <c r="J1269" s="8">
        <v>1105</v>
      </c>
      <c r="K1269" s="5" t="s">
        <v>4</v>
      </c>
      <c r="L1269">
        <f t="shared" si="19"/>
        <v>2</v>
      </c>
    </row>
    <row r="1270" spans="1:12" x14ac:dyDescent="0.25">
      <c r="A1270" s="5">
        <v>46489</v>
      </c>
      <c r="B1270" t="s">
        <v>10297</v>
      </c>
      <c r="C1270" s="5" t="s">
        <v>659</v>
      </c>
      <c r="D1270" t="s">
        <v>10298</v>
      </c>
      <c r="E1270" s="5" t="s">
        <v>7047</v>
      </c>
      <c r="F1270" s="6">
        <v>46056.647222222222</v>
      </c>
      <c r="G1270" s="5" t="s">
        <v>7456</v>
      </c>
      <c r="H1270" s="5" t="s">
        <v>10299</v>
      </c>
      <c r="I1270" s="5" t="s">
        <v>1621</v>
      </c>
      <c r="J1270" s="8">
        <v>31.93</v>
      </c>
      <c r="K1270" s="5" t="s">
        <v>4</v>
      </c>
      <c r="L1270">
        <f t="shared" si="19"/>
        <v>2</v>
      </c>
    </row>
    <row r="1271" spans="1:12" x14ac:dyDescent="0.25">
      <c r="A1271" s="5">
        <v>46490</v>
      </c>
      <c r="B1271" t="s">
        <v>10300</v>
      </c>
      <c r="C1271" s="5" t="s">
        <v>7516</v>
      </c>
      <c r="D1271" t="s">
        <v>10301</v>
      </c>
      <c r="E1271" s="5" t="s">
        <v>1813</v>
      </c>
      <c r="F1271" s="6">
        <v>46056.663194444445</v>
      </c>
      <c r="G1271" s="5" t="s">
        <v>7595</v>
      </c>
      <c r="H1271" t="s">
        <v>7482</v>
      </c>
      <c r="I1271" s="5" t="s">
        <v>1535</v>
      </c>
      <c r="J1271" s="8">
        <v>13245</v>
      </c>
      <c r="K1271" s="5" t="s">
        <v>4</v>
      </c>
      <c r="L1271">
        <f t="shared" si="19"/>
        <v>2</v>
      </c>
    </row>
    <row r="1272" spans="1:12" x14ac:dyDescent="0.25">
      <c r="A1272" s="5">
        <v>46492</v>
      </c>
      <c r="B1272" t="s">
        <v>10302</v>
      </c>
      <c r="C1272" s="5" t="s">
        <v>10303</v>
      </c>
      <c r="D1272" t="s">
        <v>10304</v>
      </c>
      <c r="E1272" s="5" t="s">
        <v>1548</v>
      </c>
      <c r="F1272" s="6">
        <v>46056.665277777778</v>
      </c>
      <c r="G1272" s="5" t="s">
        <v>7456</v>
      </c>
      <c r="H1272" s="5" t="s">
        <v>10305</v>
      </c>
      <c r="I1272" s="5" t="s">
        <v>1564</v>
      </c>
      <c r="J1272" s="8">
        <v>165</v>
      </c>
      <c r="K1272" s="5" t="s">
        <v>4</v>
      </c>
      <c r="L1272">
        <f t="shared" si="19"/>
        <v>2</v>
      </c>
    </row>
    <row r="1273" spans="1:12" x14ac:dyDescent="0.25">
      <c r="A1273" s="5">
        <v>46495</v>
      </c>
      <c r="B1273" t="s">
        <v>10306</v>
      </c>
      <c r="C1273" s="5" t="s">
        <v>10307</v>
      </c>
      <c r="D1273" t="s">
        <v>10308</v>
      </c>
      <c r="E1273" s="5" t="s">
        <v>2844</v>
      </c>
      <c r="F1273" s="6">
        <v>46056.705555555556</v>
      </c>
      <c r="G1273" s="5" t="s">
        <v>7456</v>
      </c>
      <c r="H1273" s="5" t="s">
        <v>10309</v>
      </c>
      <c r="I1273" s="5" t="s">
        <v>1564</v>
      </c>
      <c r="J1273" s="8">
        <v>505</v>
      </c>
      <c r="K1273" s="5" t="s">
        <v>4</v>
      </c>
      <c r="L1273">
        <f t="shared" si="19"/>
        <v>2</v>
      </c>
    </row>
    <row r="1274" spans="1:12" x14ac:dyDescent="0.25">
      <c r="A1274" s="5">
        <v>46496</v>
      </c>
      <c r="B1274" t="s">
        <v>10310</v>
      </c>
      <c r="C1274" s="5" t="s">
        <v>10311</v>
      </c>
      <c r="D1274" t="s">
        <v>7644</v>
      </c>
      <c r="E1274" s="5" t="s">
        <v>3035</v>
      </c>
      <c r="F1274" s="6">
        <v>46056.714583333334</v>
      </c>
      <c r="G1274" s="5" t="s">
        <v>7456</v>
      </c>
      <c r="H1274" s="5" t="s">
        <v>10312</v>
      </c>
      <c r="I1274" s="5" t="s">
        <v>1564</v>
      </c>
      <c r="J1274" s="8">
        <v>314.3</v>
      </c>
      <c r="K1274" s="5" t="s">
        <v>4</v>
      </c>
      <c r="L1274">
        <f t="shared" si="19"/>
        <v>2</v>
      </c>
    </row>
    <row r="1275" spans="1:12" x14ac:dyDescent="0.25">
      <c r="A1275" s="5">
        <v>46497</v>
      </c>
      <c r="B1275" t="s">
        <v>9735</v>
      </c>
      <c r="C1275" s="5" t="s">
        <v>7516</v>
      </c>
      <c r="D1275" t="s">
        <v>9736</v>
      </c>
      <c r="E1275" s="5" t="s">
        <v>1532</v>
      </c>
      <c r="F1275" s="6">
        <v>46057.367361111108</v>
      </c>
      <c r="G1275" s="5" t="s">
        <v>7456</v>
      </c>
      <c r="H1275" s="5" t="s">
        <v>10313</v>
      </c>
      <c r="I1275" s="5" t="s">
        <v>1535</v>
      </c>
      <c r="J1275" s="8">
        <v>120</v>
      </c>
      <c r="K1275" s="5" t="s">
        <v>4</v>
      </c>
      <c r="L1275">
        <f t="shared" si="19"/>
        <v>2</v>
      </c>
    </row>
    <row r="1276" spans="1:12" x14ac:dyDescent="0.25">
      <c r="A1276" s="5">
        <v>46498</v>
      </c>
      <c r="B1276" t="s">
        <v>9581</v>
      </c>
      <c r="C1276" s="5" t="s">
        <v>8147</v>
      </c>
      <c r="D1276" t="s">
        <v>9582</v>
      </c>
      <c r="E1276" s="5" t="s">
        <v>1532</v>
      </c>
      <c r="F1276" s="6">
        <v>46057.415277777778</v>
      </c>
      <c r="G1276" s="5" t="s">
        <v>7456</v>
      </c>
      <c r="H1276" s="5" t="s">
        <v>10314</v>
      </c>
      <c r="I1276" s="5" t="s">
        <v>1535</v>
      </c>
      <c r="J1276" s="8">
        <v>2000</v>
      </c>
      <c r="K1276" s="5" t="s">
        <v>4</v>
      </c>
      <c r="L1276">
        <f t="shared" si="19"/>
        <v>2</v>
      </c>
    </row>
    <row r="1277" spans="1:12" x14ac:dyDescent="0.25">
      <c r="A1277" s="5">
        <v>46499</v>
      </c>
      <c r="B1277" t="s">
        <v>10315</v>
      </c>
      <c r="C1277" s="5" t="s">
        <v>10316</v>
      </c>
      <c r="D1277" t="s">
        <v>10317</v>
      </c>
      <c r="E1277" s="5" t="s">
        <v>1548</v>
      </c>
      <c r="F1277" s="6">
        <v>46057.427083333336</v>
      </c>
      <c r="G1277" s="5" t="s">
        <v>9860</v>
      </c>
      <c r="H1277" t="s">
        <v>7482</v>
      </c>
      <c r="I1277" s="5" t="s">
        <v>1564</v>
      </c>
      <c r="J1277" s="8">
        <v>215</v>
      </c>
      <c r="K1277" s="5" t="s">
        <v>4</v>
      </c>
      <c r="L1277">
        <f t="shared" si="19"/>
        <v>2</v>
      </c>
    </row>
    <row r="1278" spans="1:12" x14ac:dyDescent="0.25">
      <c r="A1278" s="5">
        <v>46500</v>
      </c>
      <c r="B1278" t="s">
        <v>10318</v>
      </c>
      <c r="C1278" s="5" t="s">
        <v>10319</v>
      </c>
      <c r="D1278" t="s">
        <v>10320</v>
      </c>
      <c r="E1278" s="5" t="s">
        <v>1548</v>
      </c>
      <c r="F1278" s="6">
        <v>46057.432638888888</v>
      </c>
      <c r="G1278" s="5" t="s">
        <v>9860</v>
      </c>
      <c r="H1278" t="s">
        <v>7482</v>
      </c>
      <c r="I1278" s="5" t="s">
        <v>1564</v>
      </c>
      <c r="J1278" s="8">
        <v>120</v>
      </c>
      <c r="K1278" s="5" t="s">
        <v>4</v>
      </c>
      <c r="L1278">
        <f t="shared" si="19"/>
        <v>2</v>
      </c>
    </row>
    <row r="1279" spans="1:12" x14ac:dyDescent="0.25">
      <c r="A1279" s="5">
        <v>46503</v>
      </c>
      <c r="B1279" t="s">
        <v>10321</v>
      </c>
      <c r="C1279" s="5" t="s">
        <v>7516</v>
      </c>
      <c r="D1279" t="s">
        <v>10322</v>
      </c>
      <c r="E1279" s="5" t="s">
        <v>3907</v>
      </c>
      <c r="F1279" s="6">
        <v>46057.479861111111</v>
      </c>
      <c r="G1279" s="5" t="s">
        <v>7456</v>
      </c>
      <c r="H1279" s="5" t="s">
        <v>10323</v>
      </c>
      <c r="I1279" s="5" t="s">
        <v>1564</v>
      </c>
      <c r="J1279" s="8">
        <v>269</v>
      </c>
      <c r="K1279" s="5" t="s">
        <v>4</v>
      </c>
      <c r="L1279">
        <f t="shared" si="19"/>
        <v>2</v>
      </c>
    </row>
    <row r="1280" spans="1:12" x14ac:dyDescent="0.25">
      <c r="A1280" s="5">
        <v>46504</v>
      </c>
      <c r="B1280" t="s">
        <v>10324</v>
      </c>
      <c r="C1280" s="5" t="s">
        <v>10325</v>
      </c>
      <c r="D1280" t="s">
        <v>10326</v>
      </c>
      <c r="E1280" s="5" t="s">
        <v>1738</v>
      </c>
      <c r="F1280" s="6">
        <v>46057.519444444442</v>
      </c>
      <c r="G1280" s="5" t="s">
        <v>7456</v>
      </c>
      <c r="H1280" s="5" t="s">
        <v>10327</v>
      </c>
      <c r="I1280" s="5" t="s">
        <v>1564</v>
      </c>
      <c r="J1280" s="8">
        <v>935</v>
      </c>
      <c r="K1280" s="5" t="s">
        <v>4</v>
      </c>
      <c r="L1280">
        <f t="shared" si="19"/>
        <v>2</v>
      </c>
    </row>
    <row r="1281" spans="1:12" x14ac:dyDescent="0.25">
      <c r="A1281" s="5">
        <v>46505</v>
      </c>
      <c r="B1281" t="s">
        <v>10328</v>
      </c>
      <c r="C1281" s="5" t="s">
        <v>10329</v>
      </c>
      <c r="D1281" t="s">
        <v>10330</v>
      </c>
      <c r="E1281" s="5" t="s">
        <v>1548</v>
      </c>
      <c r="F1281" s="6">
        <v>46057.59375</v>
      </c>
      <c r="G1281" s="5" t="s">
        <v>7456</v>
      </c>
      <c r="H1281" s="5" t="s">
        <v>10331</v>
      </c>
      <c r="I1281" s="5" t="s">
        <v>1564</v>
      </c>
      <c r="J1281" s="8">
        <v>100</v>
      </c>
      <c r="K1281" s="5" t="s">
        <v>4</v>
      </c>
      <c r="L1281">
        <f t="shared" si="19"/>
        <v>2</v>
      </c>
    </row>
    <row r="1282" spans="1:12" x14ac:dyDescent="0.25">
      <c r="A1282" s="5">
        <v>46506</v>
      </c>
      <c r="B1282" t="s">
        <v>10332</v>
      </c>
      <c r="C1282" s="5" t="s">
        <v>10333</v>
      </c>
      <c r="D1282" t="s">
        <v>10334</v>
      </c>
      <c r="E1282" s="5" t="s">
        <v>1770</v>
      </c>
      <c r="F1282" s="6">
        <v>46057.606944444444</v>
      </c>
      <c r="G1282" s="5" t="s">
        <v>7456</v>
      </c>
      <c r="H1282" s="5" t="s">
        <v>10335</v>
      </c>
      <c r="I1282" s="5" t="s">
        <v>1564</v>
      </c>
      <c r="J1282" s="8">
        <v>140</v>
      </c>
      <c r="K1282" s="5" t="s">
        <v>4</v>
      </c>
      <c r="L1282">
        <f t="shared" si="19"/>
        <v>2</v>
      </c>
    </row>
    <row r="1283" spans="1:12" x14ac:dyDescent="0.25">
      <c r="A1283" s="5">
        <v>46507</v>
      </c>
      <c r="B1283" t="s">
        <v>10336</v>
      </c>
      <c r="C1283" s="5" t="s">
        <v>10337</v>
      </c>
      <c r="D1283" t="s">
        <v>10338</v>
      </c>
      <c r="E1283" s="5" t="s">
        <v>10339</v>
      </c>
      <c r="F1283" s="6">
        <v>46057.618750000001</v>
      </c>
      <c r="G1283" s="5" t="s">
        <v>7456</v>
      </c>
      <c r="H1283" s="5" t="s">
        <v>10340</v>
      </c>
      <c r="I1283" s="5" t="s">
        <v>1621</v>
      </c>
      <c r="J1283" s="8">
        <v>0</v>
      </c>
      <c r="K1283" s="5" t="s">
        <v>4</v>
      </c>
      <c r="L1283">
        <f t="shared" ref="L1283:L1346" si="20">MONTH(F1283)</f>
        <v>2</v>
      </c>
    </row>
    <row r="1284" spans="1:12" x14ac:dyDescent="0.25">
      <c r="A1284" s="5">
        <v>46508</v>
      </c>
      <c r="B1284" t="s">
        <v>10341</v>
      </c>
      <c r="C1284" s="5" t="s">
        <v>7516</v>
      </c>
      <c r="D1284" t="s">
        <v>9044</v>
      </c>
      <c r="E1284" s="5" t="s">
        <v>1738</v>
      </c>
      <c r="F1284" s="6">
        <v>46057.625</v>
      </c>
      <c r="G1284" s="5" t="s">
        <v>7456</v>
      </c>
      <c r="H1284" s="5" t="s">
        <v>10342</v>
      </c>
      <c r="I1284" s="5" t="s">
        <v>1564</v>
      </c>
      <c r="J1284" s="8">
        <v>155</v>
      </c>
      <c r="K1284" s="5" t="s">
        <v>4</v>
      </c>
      <c r="L1284">
        <f t="shared" si="20"/>
        <v>2</v>
      </c>
    </row>
    <row r="1285" spans="1:12" x14ac:dyDescent="0.25">
      <c r="A1285" s="5">
        <v>46511</v>
      </c>
      <c r="B1285" t="s">
        <v>8965</v>
      </c>
      <c r="C1285" s="5" t="s">
        <v>8082</v>
      </c>
      <c r="D1285" t="s">
        <v>8966</v>
      </c>
      <c r="E1285" s="5" t="s">
        <v>4402</v>
      </c>
      <c r="F1285" s="6">
        <v>46057.679166666669</v>
      </c>
      <c r="G1285" s="5" t="s">
        <v>7456</v>
      </c>
      <c r="H1285" s="5" t="s">
        <v>10343</v>
      </c>
      <c r="I1285" s="5" t="s">
        <v>1535</v>
      </c>
      <c r="J1285" s="8">
        <v>200</v>
      </c>
      <c r="K1285" s="5" t="s">
        <v>4</v>
      </c>
      <c r="L1285">
        <f t="shared" si="20"/>
        <v>2</v>
      </c>
    </row>
    <row r="1286" spans="1:12" x14ac:dyDescent="0.25">
      <c r="A1286" s="5">
        <v>46512</v>
      </c>
      <c r="B1286" t="s">
        <v>10344</v>
      </c>
      <c r="C1286" s="5" t="s">
        <v>10345</v>
      </c>
      <c r="D1286" t="s">
        <v>10346</v>
      </c>
      <c r="E1286" s="5" t="s">
        <v>1673</v>
      </c>
      <c r="F1286" s="6">
        <v>46057.688194444447</v>
      </c>
      <c r="G1286" s="5" t="s">
        <v>7456</v>
      </c>
      <c r="H1286" s="5" t="s">
        <v>10347</v>
      </c>
      <c r="I1286" s="5" t="s">
        <v>1564</v>
      </c>
      <c r="J1286" s="8">
        <v>1200</v>
      </c>
      <c r="K1286" s="5" t="s">
        <v>4</v>
      </c>
      <c r="L1286">
        <f t="shared" si="20"/>
        <v>2</v>
      </c>
    </row>
    <row r="1287" spans="1:12" x14ac:dyDescent="0.25">
      <c r="A1287" s="5">
        <v>46518</v>
      </c>
      <c r="B1287" t="s">
        <v>8965</v>
      </c>
      <c r="C1287" s="5" t="s">
        <v>10280</v>
      </c>
      <c r="D1287" t="s">
        <v>8966</v>
      </c>
      <c r="E1287" s="5" t="s">
        <v>1532</v>
      </c>
      <c r="F1287" s="6">
        <v>46057.703472222223</v>
      </c>
      <c r="G1287" s="5" t="s">
        <v>7595</v>
      </c>
      <c r="H1287" t="s">
        <v>7482</v>
      </c>
      <c r="I1287" s="5" t="s">
        <v>1535</v>
      </c>
      <c r="J1287" s="8">
        <v>1616.55</v>
      </c>
      <c r="K1287" s="5" t="s">
        <v>4</v>
      </c>
      <c r="L1287">
        <f t="shared" si="20"/>
        <v>2</v>
      </c>
    </row>
    <row r="1288" spans="1:12" x14ac:dyDescent="0.25">
      <c r="A1288" s="5">
        <v>46519</v>
      </c>
      <c r="B1288" t="s">
        <v>10348</v>
      </c>
      <c r="C1288" s="5" t="s">
        <v>10349</v>
      </c>
      <c r="D1288" t="s">
        <v>10350</v>
      </c>
      <c r="E1288" s="5" t="s">
        <v>1548</v>
      </c>
      <c r="F1288" s="6">
        <v>46057.707638888889</v>
      </c>
      <c r="G1288" s="5" t="s">
        <v>9860</v>
      </c>
      <c r="H1288" t="s">
        <v>7482</v>
      </c>
      <c r="I1288" s="5" t="s">
        <v>1564</v>
      </c>
      <c r="J1288" s="8">
        <v>4480</v>
      </c>
      <c r="K1288" s="5" t="s">
        <v>4</v>
      </c>
      <c r="L1288">
        <f t="shared" si="20"/>
        <v>2</v>
      </c>
    </row>
    <row r="1289" spans="1:12" x14ac:dyDescent="0.25">
      <c r="A1289" s="5">
        <v>46520</v>
      </c>
      <c r="B1289" t="s">
        <v>10351</v>
      </c>
      <c r="C1289" s="5" t="s">
        <v>747</v>
      </c>
      <c r="D1289" t="s">
        <v>10352</v>
      </c>
      <c r="E1289" s="5" t="s">
        <v>6340</v>
      </c>
      <c r="F1289" s="6">
        <v>46057.708333333336</v>
      </c>
      <c r="G1289" s="5" t="s">
        <v>7456</v>
      </c>
      <c r="H1289" s="5" t="s">
        <v>10353</v>
      </c>
      <c r="I1289" s="5" t="s">
        <v>1621</v>
      </c>
      <c r="J1289" s="8">
        <v>72.069999999999993</v>
      </c>
      <c r="K1289" s="5" t="s">
        <v>4</v>
      </c>
      <c r="L1289">
        <f t="shared" si="20"/>
        <v>2</v>
      </c>
    </row>
    <row r="1290" spans="1:12" x14ac:dyDescent="0.25">
      <c r="A1290" s="5">
        <v>46521</v>
      </c>
      <c r="B1290" t="s">
        <v>10354</v>
      </c>
      <c r="C1290" s="5" t="s">
        <v>10355</v>
      </c>
      <c r="D1290" t="s">
        <v>10356</v>
      </c>
      <c r="E1290" s="5" t="s">
        <v>4486</v>
      </c>
      <c r="F1290" s="6">
        <v>46057.713888888888</v>
      </c>
      <c r="G1290" s="5" t="s">
        <v>7456</v>
      </c>
      <c r="H1290" s="5" t="s">
        <v>10357</v>
      </c>
      <c r="I1290" s="5" t="s">
        <v>1621</v>
      </c>
      <c r="J1290" s="8">
        <v>193.27</v>
      </c>
      <c r="K1290" s="5" t="s">
        <v>4</v>
      </c>
      <c r="L1290">
        <f t="shared" si="20"/>
        <v>2</v>
      </c>
    </row>
    <row r="1291" spans="1:12" x14ac:dyDescent="0.25">
      <c r="A1291" s="5">
        <v>46522</v>
      </c>
      <c r="B1291" t="s">
        <v>10358</v>
      </c>
      <c r="C1291" s="5" t="s">
        <v>10359</v>
      </c>
      <c r="D1291" t="s">
        <v>7644</v>
      </c>
      <c r="E1291" s="5" t="s">
        <v>6962</v>
      </c>
      <c r="F1291" s="6">
        <v>46057.729861111111</v>
      </c>
      <c r="G1291" s="5" t="s">
        <v>7456</v>
      </c>
      <c r="H1291" s="5" t="s">
        <v>10360</v>
      </c>
      <c r="I1291" s="5" t="s">
        <v>1621</v>
      </c>
      <c r="J1291" s="8">
        <v>36.99</v>
      </c>
      <c r="K1291" s="5" t="s">
        <v>4</v>
      </c>
      <c r="L1291">
        <f t="shared" si="20"/>
        <v>2</v>
      </c>
    </row>
    <row r="1292" spans="1:12" x14ac:dyDescent="0.25">
      <c r="A1292" s="5">
        <v>46523</v>
      </c>
      <c r="B1292" t="s">
        <v>10361</v>
      </c>
      <c r="C1292" s="5" t="s">
        <v>10362</v>
      </c>
      <c r="D1292" t="s">
        <v>10363</v>
      </c>
      <c r="E1292" s="5" t="s">
        <v>4824</v>
      </c>
      <c r="F1292" s="6">
        <v>46057.740277777775</v>
      </c>
      <c r="G1292" s="5" t="s">
        <v>7456</v>
      </c>
      <c r="H1292" s="5" t="s">
        <v>10364</v>
      </c>
      <c r="I1292" s="5" t="s">
        <v>1621</v>
      </c>
      <c r="J1292" s="8">
        <v>164.9</v>
      </c>
      <c r="K1292" s="5" t="s">
        <v>4</v>
      </c>
      <c r="L1292">
        <f t="shared" si="20"/>
        <v>2</v>
      </c>
    </row>
    <row r="1293" spans="1:12" x14ac:dyDescent="0.25">
      <c r="A1293" s="5">
        <v>46524</v>
      </c>
      <c r="B1293" t="s">
        <v>10365</v>
      </c>
      <c r="C1293" s="5" t="s">
        <v>7731</v>
      </c>
      <c r="D1293" t="s">
        <v>10366</v>
      </c>
      <c r="E1293" s="5" t="s">
        <v>1813</v>
      </c>
      <c r="F1293" s="6">
        <v>46058.359027777777</v>
      </c>
      <c r="G1293" s="5" t="s">
        <v>7456</v>
      </c>
      <c r="H1293" s="5" t="s">
        <v>10367</v>
      </c>
      <c r="I1293" s="5" t="s">
        <v>1535</v>
      </c>
      <c r="J1293" s="8">
        <v>182</v>
      </c>
      <c r="K1293" s="5" t="s">
        <v>4</v>
      </c>
      <c r="L1293">
        <f t="shared" si="20"/>
        <v>2</v>
      </c>
    </row>
    <row r="1294" spans="1:12" x14ac:dyDescent="0.25">
      <c r="A1294" s="5">
        <v>46525</v>
      </c>
      <c r="B1294" t="s">
        <v>10368</v>
      </c>
      <c r="C1294" s="5" t="s">
        <v>92</v>
      </c>
      <c r="D1294" t="s">
        <v>10369</v>
      </c>
      <c r="E1294" s="5" t="s">
        <v>1813</v>
      </c>
      <c r="F1294" s="6">
        <v>46058.366666666669</v>
      </c>
      <c r="G1294" s="5" t="s">
        <v>7456</v>
      </c>
      <c r="H1294" s="5" t="s">
        <v>10370</v>
      </c>
      <c r="I1294" s="5" t="s">
        <v>1535</v>
      </c>
      <c r="J1294" s="8">
        <v>535</v>
      </c>
      <c r="K1294" s="5" t="s">
        <v>4</v>
      </c>
      <c r="L1294">
        <f t="shared" si="20"/>
        <v>2</v>
      </c>
    </row>
    <row r="1295" spans="1:12" x14ac:dyDescent="0.25">
      <c r="A1295" s="5">
        <v>46526</v>
      </c>
      <c r="B1295" t="s">
        <v>10371</v>
      </c>
      <c r="C1295" s="5" t="s">
        <v>10372</v>
      </c>
      <c r="D1295" t="s">
        <v>10373</v>
      </c>
      <c r="E1295" s="5" t="s">
        <v>1813</v>
      </c>
      <c r="F1295" s="6">
        <v>46058.376388888886</v>
      </c>
      <c r="G1295" s="5" t="s">
        <v>7456</v>
      </c>
      <c r="H1295" s="5" t="s">
        <v>10374</v>
      </c>
      <c r="I1295" s="5" t="s">
        <v>1535</v>
      </c>
      <c r="J1295" s="8">
        <v>847</v>
      </c>
      <c r="K1295" s="5" t="s">
        <v>4</v>
      </c>
      <c r="L1295">
        <f t="shared" si="20"/>
        <v>2</v>
      </c>
    </row>
    <row r="1296" spans="1:12" x14ac:dyDescent="0.25">
      <c r="A1296" s="5">
        <v>46527</v>
      </c>
      <c r="B1296" t="s">
        <v>10375</v>
      </c>
      <c r="C1296" s="5" t="s">
        <v>10372</v>
      </c>
      <c r="D1296" t="s">
        <v>10373</v>
      </c>
      <c r="E1296" s="5" t="s">
        <v>1813</v>
      </c>
      <c r="F1296" s="6">
        <v>46058.379166666666</v>
      </c>
      <c r="G1296" s="5" t="s">
        <v>7456</v>
      </c>
      <c r="H1296" s="5" t="s">
        <v>10376</v>
      </c>
      <c r="I1296" s="5" t="s">
        <v>1535</v>
      </c>
      <c r="J1296" s="8">
        <v>986.13</v>
      </c>
      <c r="K1296" s="5" t="s">
        <v>4</v>
      </c>
      <c r="L1296">
        <f t="shared" si="20"/>
        <v>2</v>
      </c>
    </row>
    <row r="1297" spans="1:12" x14ac:dyDescent="0.25">
      <c r="A1297" s="5">
        <v>46528</v>
      </c>
      <c r="B1297" t="s">
        <v>10377</v>
      </c>
      <c r="C1297" s="5" t="s">
        <v>10372</v>
      </c>
      <c r="D1297" t="s">
        <v>10373</v>
      </c>
      <c r="E1297" s="5" t="s">
        <v>1813</v>
      </c>
      <c r="F1297" s="6">
        <v>46058.381249999999</v>
      </c>
      <c r="G1297" s="5" t="s">
        <v>7456</v>
      </c>
      <c r="H1297" s="5" t="s">
        <v>10378</v>
      </c>
      <c r="I1297" s="5" t="s">
        <v>1535</v>
      </c>
      <c r="J1297" s="8">
        <v>986.13</v>
      </c>
      <c r="K1297" s="5" t="s">
        <v>4</v>
      </c>
      <c r="L1297">
        <f t="shared" si="20"/>
        <v>2</v>
      </c>
    </row>
    <row r="1298" spans="1:12" x14ac:dyDescent="0.25">
      <c r="A1298" s="5">
        <v>46529</v>
      </c>
      <c r="B1298" t="s">
        <v>10379</v>
      </c>
      <c r="C1298" s="5" t="s">
        <v>10372</v>
      </c>
      <c r="D1298" t="s">
        <v>10373</v>
      </c>
      <c r="E1298" s="5" t="s">
        <v>1813</v>
      </c>
      <c r="F1298" s="6">
        <v>46058.382638888892</v>
      </c>
      <c r="G1298" s="5" t="s">
        <v>7456</v>
      </c>
      <c r="H1298" s="5" t="s">
        <v>10380</v>
      </c>
      <c r="I1298" s="5" t="s">
        <v>1535</v>
      </c>
      <c r="J1298" s="8">
        <v>847</v>
      </c>
      <c r="K1298" s="5" t="s">
        <v>4</v>
      </c>
      <c r="L1298">
        <f t="shared" si="20"/>
        <v>2</v>
      </c>
    </row>
    <row r="1299" spans="1:12" x14ac:dyDescent="0.25">
      <c r="A1299" s="5">
        <v>46530</v>
      </c>
      <c r="B1299" t="s">
        <v>10381</v>
      </c>
      <c r="C1299" s="5" t="s">
        <v>10372</v>
      </c>
      <c r="D1299" t="s">
        <v>10373</v>
      </c>
      <c r="E1299" s="5" t="s">
        <v>1813</v>
      </c>
      <c r="F1299" s="6">
        <v>46058.384027777778</v>
      </c>
      <c r="G1299" s="5" t="s">
        <v>7456</v>
      </c>
      <c r="H1299" s="5" t="s">
        <v>10382</v>
      </c>
      <c r="I1299" s="5" t="s">
        <v>1535</v>
      </c>
      <c r="J1299" s="8">
        <v>1592.37</v>
      </c>
      <c r="K1299" s="5" t="s">
        <v>4</v>
      </c>
      <c r="L1299">
        <f t="shared" si="20"/>
        <v>2</v>
      </c>
    </row>
    <row r="1300" spans="1:12" x14ac:dyDescent="0.25">
      <c r="A1300" s="5">
        <v>46531</v>
      </c>
      <c r="B1300" t="s">
        <v>10383</v>
      </c>
      <c r="C1300" s="5" t="s">
        <v>10384</v>
      </c>
      <c r="D1300" t="s">
        <v>10385</v>
      </c>
      <c r="E1300" s="5" t="s">
        <v>1813</v>
      </c>
      <c r="F1300" s="6">
        <v>46058.411805555559</v>
      </c>
      <c r="G1300" s="5" t="s">
        <v>7456</v>
      </c>
      <c r="H1300" s="5" t="s">
        <v>10386</v>
      </c>
      <c r="I1300" s="5" t="s">
        <v>1535</v>
      </c>
      <c r="J1300" s="8">
        <v>571.29999999999995</v>
      </c>
      <c r="K1300" s="5" t="s">
        <v>4</v>
      </c>
      <c r="L1300">
        <f t="shared" si="20"/>
        <v>2</v>
      </c>
    </row>
    <row r="1301" spans="1:12" x14ac:dyDescent="0.25">
      <c r="A1301" s="5">
        <v>46532</v>
      </c>
      <c r="B1301" t="s">
        <v>10387</v>
      </c>
      <c r="C1301" s="5" t="s">
        <v>7516</v>
      </c>
      <c r="D1301" t="s">
        <v>10388</v>
      </c>
      <c r="E1301" s="5" t="s">
        <v>1738</v>
      </c>
      <c r="F1301" s="6">
        <v>46058.419444444444</v>
      </c>
      <c r="G1301" s="5" t="s">
        <v>7456</v>
      </c>
      <c r="H1301" s="5" t="s">
        <v>10389</v>
      </c>
      <c r="I1301" s="5" t="s">
        <v>1564</v>
      </c>
      <c r="J1301" s="8">
        <v>170</v>
      </c>
      <c r="K1301" s="5" t="s">
        <v>4</v>
      </c>
      <c r="L1301">
        <f t="shared" si="20"/>
        <v>2</v>
      </c>
    </row>
    <row r="1302" spans="1:12" x14ac:dyDescent="0.25">
      <c r="A1302" s="5">
        <v>46533</v>
      </c>
      <c r="B1302" t="s">
        <v>8852</v>
      </c>
      <c r="C1302" s="5" t="s">
        <v>8853</v>
      </c>
      <c r="D1302" t="s">
        <v>8854</v>
      </c>
      <c r="E1302" s="5" t="s">
        <v>1532</v>
      </c>
      <c r="F1302" s="6">
        <v>46058.432638888888</v>
      </c>
      <c r="G1302" s="5" t="s">
        <v>7595</v>
      </c>
      <c r="H1302" t="s">
        <v>7482</v>
      </c>
      <c r="I1302" s="5" t="s">
        <v>1535</v>
      </c>
      <c r="J1302" s="8">
        <v>21100</v>
      </c>
      <c r="K1302" s="5" t="s">
        <v>4</v>
      </c>
      <c r="L1302">
        <f t="shared" si="20"/>
        <v>2</v>
      </c>
    </row>
    <row r="1303" spans="1:12" x14ac:dyDescent="0.25">
      <c r="A1303" s="5">
        <v>46534</v>
      </c>
      <c r="B1303" t="s">
        <v>10390</v>
      </c>
      <c r="C1303" s="5" t="s">
        <v>10391</v>
      </c>
      <c r="D1303" t="s">
        <v>10392</v>
      </c>
      <c r="E1303" s="5" t="s">
        <v>1548</v>
      </c>
      <c r="F1303" s="6">
        <v>46058.449305555558</v>
      </c>
      <c r="G1303" s="5" t="s">
        <v>9860</v>
      </c>
      <c r="H1303" t="s">
        <v>7482</v>
      </c>
      <c r="I1303" s="5" t="s">
        <v>1564</v>
      </c>
      <c r="J1303" s="8">
        <v>660</v>
      </c>
      <c r="K1303" s="5" t="s">
        <v>4</v>
      </c>
      <c r="L1303">
        <f t="shared" si="20"/>
        <v>2</v>
      </c>
    </row>
    <row r="1304" spans="1:12" x14ac:dyDescent="0.25">
      <c r="A1304" s="5">
        <v>46537</v>
      </c>
      <c r="B1304" t="s">
        <v>10393</v>
      </c>
      <c r="C1304" s="5" t="s">
        <v>312</v>
      </c>
      <c r="D1304" t="s">
        <v>10394</v>
      </c>
      <c r="E1304" s="5" t="s">
        <v>1770</v>
      </c>
      <c r="F1304" s="6">
        <v>46058.474305555559</v>
      </c>
      <c r="G1304" s="5" t="s">
        <v>7456</v>
      </c>
      <c r="H1304" s="5" t="s">
        <v>10395</v>
      </c>
      <c r="I1304" s="5" t="s">
        <v>1564</v>
      </c>
      <c r="J1304" s="8">
        <v>171</v>
      </c>
      <c r="K1304" s="5" t="s">
        <v>4</v>
      </c>
      <c r="L1304">
        <f t="shared" si="20"/>
        <v>2</v>
      </c>
    </row>
    <row r="1305" spans="1:12" x14ac:dyDescent="0.25">
      <c r="A1305" s="5">
        <v>46540</v>
      </c>
      <c r="B1305" t="s">
        <v>10396</v>
      </c>
      <c r="C1305" s="5" t="s">
        <v>10397</v>
      </c>
      <c r="D1305" t="s">
        <v>10398</v>
      </c>
      <c r="E1305" s="5" t="s">
        <v>1813</v>
      </c>
      <c r="F1305" s="6">
        <v>46058.603472222225</v>
      </c>
      <c r="G1305" s="5" t="s">
        <v>7456</v>
      </c>
      <c r="H1305" s="5" t="s">
        <v>10399</v>
      </c>
      <c r="I1305" s="5" t="s">
        <v>1535</v>
      </c>
      <c r="J1305" s="8">
        <v>360</v>
      </c>
      <c r="K1305" s="5" t="s">
        <v>4</v>
      </c>
      <c r="L1305">
        <f t="shared" si="20"/>
        <v>2</v>
      </c>
    </row>
    <row r="1306" spans="1:12" x14ac:dyDescent="0.25">
      <c r="A1306" s="5">
        <v>46541</v>
      </c>
      <c r="B1306" t="s">
        <v>10092</v>
      </c>
      <c r="C1306" s="5" t="s">
        <v>10093</v>
      </c>
      <c r="D1306" t="s">
        <v>10094</v>
      </c>
      <c r="E1306" s="5" t="s">
        <v>1548</v>
      </c>
      <c r="F1306" s="6">
        <v>46058.604166666664</v>
      </c>
      <c r="G1306" s="5" t="s">
        <v>7456</v>
      </c>
      <c r="H1306" t="s">
        <v>7482</v>
      </c>
      <c r="I1306" s="5" t="s">
        <v>1564</v>
      </c>
      <c r="J1306" s="8">
        <v>115</v>
      </c>
      <c r="K1306" s="5" t="s">
        <v>4</v>
      </c>
      <c r="L1306">
        <f t="shared" si="20"/>
        <v>2</v>
      </c>
    </row>
    <row r="1307" spans="1:12" x14ac:dyDescent="0.25">
      <c r="A1307" s="5">
        <v>46542</v>
      </c>
      <c r="B1307" t="s">
        <v>10400</v>
      </c>
      <c r="C1307" s="5" t="s">
        <v>10401</v>
      </c>
      <c r="D1307" t="s">
        <v>10402</v>
      </c>
      <c r="E1307" s="5" t="s">
        <v>1548</v>
      </c>
      <c r="F1307" s="6">
        <v>46058.614583333336</v>
      </c>
      <c r="G1307" s="5" t="s">
        <v>7672</v>
      </c>
      <c r="H1307" t="s">
        <v>7482</v>
      </c>
      <c r="I1307" s="5" t="s">
        <v>1564</v>
      </c>
      <c r="J1307" s="8">
        <v>137</v>
      </c>
      <c r="K1307" s="5" t="s">
        <v>4</v>
      </c>
      <c r="L1307">
        <f t="shared" si="20"/>
        <v>2</v>
      </c>
    </row>
    <row r="1308" spans="1:12" x14ac:dyDescent="0.25">
      <c r="A1308" s="5">
        <v>46543</v>
      </c>
      <c r="B1308" t="s">
        <v>7869</v>
      </c>
      <c r="C1308" s="5" t="s">
        <v>7870</v>
      </c>
      <c r="D1308" t="s">
        <v>7871</v>
      </c>
      <c r="E1308" s="5" t="s">
        <v>1548</v>
      </c>
      <c r="F1308" s="6">
        <v>46058.629166666666</v>
      </c>
      <c r="G1308" s="5" t="s">
        <v>7595</v>
      </c>
      <c r="H1308" t="s">
        <v>7482</v>
      </c>
      <c r="I1308" s="5" t="s">
        <v>1535</v>
      </c>
      <c r="J1308" s="8">
        <v>2397</v>
      </c>
      <c r="K1308" s="5" t="s">
        <v>4</v>
      </c>
      <c r="L1308">
        <f t="shared" si="20"/>
        <v>2</v>
      </c>
    </row>
    <row r="1309" spans="1:12" x14ac:dyDescent="0.25">
      <c r="A1309" s="5">
        <v>46545</v>
      </c>
      <c r="B1309" t="s">
        <v>10403</v>
      </c>
      <c r="C1309" s="5" t="s">
        <v>10404</v>
      </c>
      <c r="D1309" t="s">
        <v>10405</v>
      </c>
      <c r="E1309" s="5" t="s">
        <v>1548</v>
      </c>
      <c r="F1309" s="6">
        <v>46058.646527777775</v>
      </c>
      <c r="G1309" s="5" t="s">
        <v>7456</v>
      </c>
      <c r="H1309" s="5" t="s">
        <v>10406</v>
      </c>
      <c r="I1309" s="5" t="s">
        <v>1535</v>
      </c>
      <c r="J1309" s="8">
        <v>63.9</v>
      </c>
      <c r="K1309" s="5" t="s">
        <v>4</v>
      </c>
      <c r="L1309">
        <f t="shared" si="20"/>
        <v>2</v>
      </c>
    </row>
    <row r="1310" spans="1:12" x14ac:dyDescent="0.25">
      <c r="A1310" s="5">
        <v>46546</v>
      </c>
      <c r="B1310" t="s">
        <v>10407</v>
      </c>
      <c r="C1310" s="5" t="s">
        <v>10408</v>
      </c>
      <c r="D1310" t="s">
        <v>10409</v>
      </c>
      <c r="E1310" s="5" t="s">
        <v>1548</v>
      </c>
      <c r="F1310" s="6">
        <v>46058.657638888886</v>
      </c>
      <c r="G1310" s="5" t="s">
        <v>7456</v>
      </c>
      <c r="H1310" s="5" t="s">
        <v>10410</v>
      </c>
      <c r="I1310" s="5" t="s">
        <v>1535</v>
      </c>
      <c r="J1310" s="8">
        <v>378</v>
      </c>
      <c r="K1310" s="5" t="s">
        <v>4</v>
      </c>
      <c r="L1310">
        <f t="shared" si="20"/>
        <v>2</v>
      </c>
    </row>
    <row r="1311" spans="1:12" x14ac:dyDescent="0.25">
      <c r="A1311" s="5">
        <v>46547</v>
      </c>
      <c r="B1311" t="s">
        <v>10411</v>
      </c>
      <c r="C1311" s="5" t="s">
        <v>7516</v>
      </c>
      <c r="D1311" t="s">
        <v>10412</v>
      </c>
      <c r="E1311" s="5" t="s">
        <v>5298</v>
      </c>
      <c r="F1311" s="6">
        <v>46058.668055555558</v>
      </c>
      <c r="G1311" s="5" t="s">
        <v>7456</v>
      </c>
      <c r="H1311" t="s">
        <v>7482</v>
      </c>
      <c r="I1311" s="5" t="s">
        <v>1564</v>
      </c>
      <c r="J1311" s="8">
        <v>21007.93</v>
      </c>
      <c r="K1311" s="5" t="s">
        <v>4</v>
      </c>
      <c r="L1311">
        <f t="shared" si="20"/>
        <v>2</v>
      </c>
    </row>
    <row r="1312" spans="1:12" x14ac:dyDescent="0.25">
      <c r="A1312" s="5">
        <v>46548</v>
      </c>
      <c r="B1312" t="s">
        <v>10413</v>
      </c>
      <c r="C1312" s="5" t="s">
        <v>10372</v>
      </c>
      <c r="D1312" t="s">
        <v>10373</v>
      </c>
      <c r="E1312" s="5" t="s">
        <v>1813</v>
      </c>
      <c r="F1312" s="6">
        <v>46058.668749999997</v>
      </c>
      <c r="G1312" s="5" t="s">
        <v>7456</v>
      </c>
      <c r="H1312" s="5" t="s">
        <v>10414</v>
      </c>
      <c r="I1312" s="5" t="s">
        <v>1535</v>
      </c>
      <c r="J1312" s="8">
        <v>827.12</v>
      </c>
      <c r="K1312" s="5" t="s">
        <v>4</v>
      </c>
      <c r="L1312">
        <f t="shared" si="20"/>
        <v>2</v>
      </c>
    </row>
    <row r="1313" spans="1:12" x14ac:dyDescent="0.25">
      <c r="A1313" s="5">
        <v>46549</v>
      </c>
      <c r="B1313" t="s">
        <v>10415</v>
      </c>
      <c r="C1313" s="5" t="s">
        <v>10372</v>
      </c>
      <c r="D1313" t="s">
        <v>10373</v>
      </c>
      <c r="E1313" s="5" t="s">
        <v>1813</v>
      </c>
      <c r="F1313" s="6">
        <v>46058.67083333333</v>
      </c>
      <c r="G1313" s="5" t="s">
        <v>7456</v>
      </c>
      <c r="H1313" s="5" t="s">
        <v>10416</v>
      </c>
      <c r="I1313" s="5" t="s">
        <v>1535</v>
      </c>
      <c r="J1313" s="8">
        <v>111.57</v>
      </c>
      <c r="K1313" s="5" t="s">
        <v>4</v>
      </c>
      <c r="L1313">
        <f t="shared" si="20"/>
        <v>2</v>
      </c>
    </row>
    <row r="1314" spans="1:12" x14ac:dyDescent="0.25">
      <c r="A1314" s="5">
        <v>46550</v>
      </c>
      <c r="B1314" t="s">
        <v>10417</v>
      </c>
      <c r="C1314" s="5" t="s">
        <v>10418</v>
      </c>
      <c r="D1314" t="s">
        <v>10419</v>
      </c>
      <c r="E1314" s="5" t="s">
        <v>1738</v>
      </c>
      <c r="F1314" s="6">
        <v>46058.67291666667</v>
      </c>
      <c r="G1314" s="5" t="s">
        <v>7672</v>
      </c>
      <c r="H1314" t="s">
        <v>7482</v>
      </c>
      <c r="I1314" s="5" t="s">
        <v>1564</v>
      </c>
      <c r="J1314" s="8">
        <v>621</v>
      </c>
      <c r="K1314" s="5" t="s">
        <v>4</v>
      </c>
      <c r="L1314">
        <f t="shared" si="20"/>
        <v>2</v>
      </c>
    </row>
    <row r="1315" spans="1:12" x14ac:dyDescent="0.25">
      <c r="A1315" s="5">
        <v>46551</v>
      </c>
      <c r="B1315" t="s">
        <v>10420</v>
      </c>
      <c r="C1315" s="5" t="s">
        <v>10421</v>
      </c>
      <c r="D1315" t="s">
        <v>10422</v>
      </c>
      <c r="E1315" s="5" t="s">
        <v>1548</v>
      </c>
      <c r="F1315" s="6">
        <v>46058.675694444442</v>
      </c>
      <c r="G1315" s="5" t="s">
        <v>7456</v>
      </c>
      <c r="H1315" s="5" t="s">
        <v>10423</v>
      </c>
      <c r="I1315" s="5" t="s">
        <v>1621</v>
      </c>
      <c r="J1315" s="8">
        <v>0</v>
      </c>
      <c r="K1315" s="5" t="s">
        <v>4</v>
      </c>
      <c r="L1315">
        <f t="shared" si="20"/>
        <v>2</v>
      </c>
    </row>
    <row r="1316" spans="1:12" x14ac:dyDescent="0.25">
      <c r="A1316" s="5">
        <v>46552</v>
      </c>
      <c r="B1316" t="s">
        <v>9989</v>
      </c>
      <c r="C1316" s="5" t="s">
        <v>9990</v>
      </c>
      <c r="D1316" t="s">
        <v>9991</v>
      </c>
      <c r="E1316" s="5" t="s">
        <v>1548</v>
      </c>
      <c r="F1316" s="6">
        <v>46058.679166666669</v>
      </c>
      <c r="G1316" s="5" t="s">
        <v>7595</v>
      </c>
      <c r="H1316" t="s">
        <v>7482</v>
      </c>
      <c r="I1316" s="5" t="s">
        <v>1535</v>
      </c>
      <c r="J1316" s="8">
        <v>2369.1999999999998</v>
      </c>
      <c r="K1316" s="5" t="s">
        <v>4</v>
      </c>
      <c r="L1316">
        <f t="shared" si="20"/>
        <v>2</v>
      </c>
    </row>
    <row r="1317" spans="1:12" x14ac:dyDescent="0.25">
      <c r="A1317" s="5">
        <v>46555</v>
      </c>
      <c r="B1317" t="s">
        <v>10424</v>
      </c>
      <c r="C1317" s="5" t="s">
        <v>10425</v>
      </c>
      <c r="D1317" t="s">
        <v>10426</v>
      </c>
      <c r="E1317" s="5" t="s">
        <v>1532</v>
      </c>
      <c r="F1317" s="6">
        <v>46058.713194444441</v>
      </c>
      <c r="G1317" s="5" t="s">
        <v>7595</v>
      </c>
      <c r="H1317" t="s">
        <v>7482</v>
      </c>
      <c r="I1317" s="5" t="s">
        <v>1535</v>
      </c>
      <c r="J1317" s="8">
        <v>3780</v>
      </c>
      <c r="K1317" s="5" t="s">
        <v>4</v>
      </c>
      <c r="L1317">
        <f t="shared" si="20"/>
        <v>2</v>
      </c>
    </row>
    <row r="1318" spans="1:12" x14ac:dyDescent="0.25">
      <c r="A1318" s="5">
        <v>46556</v>
      </c>
      <c r="B1318" t="s">
        <v>9989</v>
      </c>
      <c r="C1318" s="5" t="s">
        <v>9990</v>
      </c>
      <c r="D1318" t="s">
        <v>9991</v>
      </c>
      <c r="E1318" s="5" t="s">
        <v>1548</v>
      </c>
      <c r="F1318" s="6">
        <v>46058.719444444447</v>
      </c>
      <c r="G1318" s="5" t="s">
        <v>7595</v>
      </c>
      <c r="H1318" t="s">
        <v>7482</v>
      </c>
      <c r="I1318" s="5" t="s">
        <v>1535</v>
      </c>
      <c r="J1318" s="8">
        <v>314</v>
      </c>
      <c r="K1318" s="5" t="s">
        <v>4</v>
      </c>
      <c r="L1318">
        <f t="shared" si="20"/>
        <v>2</v>
      </c>
    </row>
    <row r="1319" spans="1:12" x14ac:dyDescent="0.25">
      <c r="A1319" s="5">
        <v>46557</v>
      </c>
      <c r="B1319" t="s">
        <v>10427</v>
      </c>
      <c r="C1319" s="5" t="s">
        <v>7516</v>
      </c>
      <c r="D1319" t="s">
        <v>10428</v>
      </c>
      <c r="E1319" s="5" t="s">
        <v>7098</v>
      </c>
      <c r="F1319" s="6">
        <v>46058.734027777777</v>
      </c>
      <c r="G1319" s="5" t="s">
        <v>7456</v>
      </c>
      <c r="H1319" s="5" t="s">
        <v>10429</v>
      </c>
      <c r="I1319" s="5" t="s">
        <v>1621</v>
      </c>
      <c r="J1319" s="8">
        <v>29.93</v>
      </c>
      <c r="K1319" s="5" t="s">
        <v>4</v>
      </c>
      <c r="L1319">
        <f t="shared" si="20"/>
        <v>2</v>
      </c>
    </row>
    <row r="1320" spans="1:12" x14ac:dyDescent="0.25">
      <c r="A1320" s="5">
        <v>46558</v>
      </c>
      <c r="B1320" t="s">
        <v>10430</v>
      </c>
      <c r="C1320" s="5" t="s">
        <v>24</v>
      </c>
      <c r="D1320" t="s">
        <v>10431</v>
      </c>
      <c r="E1320" s="5" t="s">
        <v>6036</v>
      </c>
      <c r="F1320" s="6">
        <v>46058.738888888889</v>
      </c>
      <c r="G1320" s="5" t="s">
        <v>7456</v>
      </c>
      <c r="H1320" s="5" t="s">
        <v>10432</v>
      </c>
      <c r="I1320" s="5" t="s">
        <v>1621</v>
      </c>
      <c r="J1320" s="8">
        <v>92.37</v>
      </c>
      <c r="K1320" s="5" t="s">
        <v>4</v>
      </c>
      <c r="L1320">
        <f t="shared" si="20"/>
        <v>2</v>
      </c>
    </row>
    <row r="1321" spans="1:12" x14ac:dyDescent="0.25">
      <c r="A1321" s="5">
        <v>46560</v>
      </c>
      <c r="B1321" t="s">
        <v>10433</v>
      </c>
      <c r="C1321" s="5" t="s">
        <v>10434</v>
      </c>
      <c r="D1321" t="s">
        <v>10435</v>
      </c>
      <c r="E1321" s="5" t="s">
        <v>5077</v>
      </c>
      <c r="F1321" s="6">
        <v>46058.746527777781</v>
      </c>
      <c r="G1321" s="5" t="s">
        <v>7456</v>
      </c>
      <c r="H1321" s="5" t="s">
        <v>10436</v>
      </c>
      <c r="I1321" s="5" t="s">
        <v>1621</v>
      </c>
      <c r="J1321" s="8">
        <v>148.38999999999999</v>
      </c>
      <c r="K1321" s="5" t="s">
        <v>4</v>
      </c>
      <c r="L1321">
        <f t="shared" si="20"/>
        <v>2</v>
      </c>
    </row>
    <row r="1322" spans="1:12" x14ac:dyDescent="0.25">
      <c r="A1322" s="5">
        <v>46562</v>
      </c>
      <c r="B1322" t="s">
        <v>8965</v>
      </c>
      <c r="C1322" s="5" t="s">
        <v>9154</v>
      </c>
      <c r="D1322" t="s">
        <v>8966</v>
      </c>
      <c r="E1322" s="5" t="s">
        <v>10437</v>
      </c>
      <c r="F1322" s="6">
        <v>46059.383333333331</v>
      </c>
      <c r="G1322" s="5" t="s">
        <v>7456</v>
      </c>
      <c r="H1322" s="5" t="s">
        <v>7522</v>
      </c>
      <c r="I1322" s="5" t="s">
        <v>1535</v>
      </c>
      <c r="J1322" s="8">
        <v>118.5</v>
      </c>
      <c r="K1322" s="5" t="s">
        <v>4</v>
      </c>
      <c r="L1322">
        <f t="shared" si="20"/>
        <v>2</v>
      </c>
    </row>
    <row r="1323" spans="1:12" x14ac:dyDescent="0.25">
      <c r="A1323" s="5">
        <v>46563</v>
      </c>
      <c r="B1323" t="s">
        <v>10438</v>
      </c>
      <c r="C1323" s="5" t="s">
        <v>7708</v>
      </c>
      <c r="D1323" t="s">
        <v>10439</v>
      </c>
      <c r="E1323" s="5" t="s">
        <v>1828</v>
      </c>
      <c r="F1323" s="6">
        <v>46059.459027777775</v>
      </c>
      <c r="G1323" s="5" t="s">
        <v>7456</v>
      </c>
      <c r="H1323" s="5" t="s">
        <v>10440</v>
      </c>
      <c r="I1323" s="5" t="s">
        <v>1564</v>
      </c>
      <c r="J1323" s="8">
        <v>1925</v>
      </c>
      <c r="K1323" s="5" t="s">
        <v>4</v>
      </c>
      <c r="L1323">
        <f t="shared" si="20"/>
        <v>2</v>
      </c>
    </row>
    <row r="1324" spans="1:12" x14ac:dyDescent="0.25">
      <c r="A1324" s="5">
        <v>46565</v>
      </c>
      <c r="B1324" t="s">
        <v>10441</v>
      </c>
      <c r="C1324" s="5" t="s">
        <v>10442</v>
      </c>
      <c r="D1324" t="s">
        <v>10443</v>
      </c>
      <c r="E1324" s="5" t="s">
        <v>1548</v>
      </c>
      <c r="F1324" s="6">
        <v>46059.470833333333</v>
      </c>
      <c r="G1324" s="5" t="s">
        <v>7456</v>
      </c>
      <c r="H1324" s="5" t="s">
        <v>10444</v>
      </c>
      <c r="I1324" s="5" t="s">
        <v>1564</v>
      </c>
      <c r="J1324" s="8">
        <v>615.5</v>
      </c>
      <c r="K1324" s="5" t="s">
        <v>4</v>
      </c>
      <c r="L1324">
        <f t="shared" si="20"/>
        <v>2</v>
      </c>
    </row>
    <row r="1325" spans="1:12" x14ac:dyDescent="0.25">
      <c r="A1325" s="5">
        <v>46566</v>
      </c>
      <c r="B1325" t="s">
        <v>10445</v>
      </c>
      <c r="C1325" s="5" t="s">
        <v>10446</v>
      </c>
      <c r="D1325" t="s">
        <v>10447</v>
      </c>
      <c r="E1325" s="5" t="s">
        <v>4964</v>
      </c>
      <c r="F1325" s="6">
        <v>46059.481944444444</v>
      </c>
      <c r="G1325" s="5" t="s">
        <v>7456</v>
      </c>
      <c r="H1325" s="5" t="s">
        <v>10448</v>
      </c>
      <c r="I1325" s="5" t="s">
        <v>1564</v>
      </c>
      <c r="J1325" s="8">
        <v>155</v>
      </c>
      <c r="K1325" s="5" t="s">
        <v>4</v>
      </c>
      <c r="L1325">
        <f t="shared" si="20"/>
        <v>2</v>
      </c>
    </row>
    <row r="1326" spans="1:12" x14ac:dyDescent="0.25">
      <c r="A1326" s="5">
        <v>46567</v>
      </c>
      <c r="B1326" t="s">
        <v>10449</v>
      </c>
      <c r="C1326" s="5" t="s">
        <v>10450</v>
      </c>
      <c r="D1326" t="s">
        <v>10451</v>
      </c>
      <c r="E1326" s="5" t="s">
        <v>1548</v>
      </c>
      <c r="F1326" s="6">
        <v>46059.500694444447</v>
      </c>
      <c r="G1326" s="5" t="s">
        <v>7672</v>
      </c>
      <c r="H1326" t="s">
        <v>7482</v>
      </c>
      <c r="I1326" s="5" t="s">
        <v>1564</v>
      </c>
      <c r="J1326" s="8">
        <v>1180.4000000000001</v>
      </c>
      <c r="K1326" s="5" t="s">
        <v>4</v>
      </c>
      <c r="L1326">
        <f t="shared" si="20"/>
        <v>2</v>
      </c>
    </row>
    <row r="1327" spans="1:12" x14ac:dyDescent="0.25">
      <c r="A1327" s="5">
        <v>46568</v>
      </c>
      <c r="B1327" t="s">
        <v>10452</v>
      </c>
      <c r="C1327" s="5" t="s">
        <v>10453</v>
      </c>
      <c r="D1327" t="s">
        <v>10454</v>
      </c>
      <c r="E1327" s="5" t="s">
        <v>1738</v>
      </c>
      <c r="F1327" s="6">
        <v>46059.520138888889</v>
      </c>
      <c r="G1327" s="5" t="s">
        <v>7456</v>
      </c>
      <c r="H1327" s="5" t="s">
        <v>10455</v>
      </c>
      <c r="I1327" s="5" t="s">
        <v>1564</v>
      </c>
      <c r="J1327" s="8">
        <v>334</v>
      </c>
      <c r="K1327" s="5" t="s">
        <v>4</v>
      </c>
      <c r="L1327">
        <f t="shared" si="20"/>
        <v>2</v>
      </c>
    </row>
    <row r="1328" spans="1:12" x14ac:dyDescent="0.25">
      <c r="A1328" s="5">
        <v>46569</v>
      </c>
      <c r="B1328" t="s">
        <v>9417</v>
      </c>
      <c r="C1328" s="5" t="s">
        <v>10456</v>
      </c>
      <c r="D1328" t="s">
        <v>9419</v>
      </c>
      <c r="E1328" s="5" t="s">
        <v>1532</v>
      </c>
      <c r="F1328" s="6">
        <v>46059.570138888892</v>
      </c>
      <c r="G1328" s="5" t="s">
        <v>7595</v>
      </c>
      <c r="H1328" t="s">
        <v>7482</v>
      </c>
      <c r="I1328" s="5" t="s">
        <v>1535</v>
      </c>
      <c r="J1328" s="8">
        <v>490</v>
      </c>
      <c r="K1328" s="5" t="s">
        <v>4</v>
      </c>
      <c r="L1328">
        <f t="shared" si="20"/>
        <v>2</v>
      </c>
    </row>
    <row r="1329" spans="1:12" x14ac:dyDescent="0.25">
      <c r="A1329" s="5">
        <v>46571</v>
      </c>
      <c r="B1329" t="s">
        <v>10457</v>
      </c>
      <c r="C1329" s="5" t="s">
        <v>10458</v>
      </c>
      <c r="D1329" t="s">
        <v>10459</v>
      </c>
      <c r="E1329" s="5" t="s">
        <v>4143</v>
      </c>
      <c r="F1329" s="6">
        <v>46059.638888888891</v>
      </c>
      <c r="G1329" s="5" t="s">
        <v>7456</v>
      </c>
      <c r="H1329" s="5" t="s">
        <v>10460</v>
      </c>
      <c r="I1329" s="5" t="s">
        <v>1564</v>
      </c>
      <c r="J1329" s="8">
        <v>235</v>
      </c>
      <c r="K1329" s="5" t="s">
        <v>4</v>
      </c>
      <c r="L1329">
        <f t="shared" si="20"/>
        <v>2</v>
      </c>
    </row>
    <row r="1330" spans="1:12" x14ac:dyDescent="0.25">
      <c r="A1330" s="5">
        <v>46572</v>
      </c>
      <c r="B1330" t="s">
        <v>10461</v>
      </c>
      <c r="C1330" s="5" t="s">
        <v>10462</v>
      </c>
      <c r="D1330" t="s">
        <v>10463</v>
      </c>
      <c r="E1330" s="5" t="s">
        <v>1751</v>
      </c>
      <c r="F1330" s="6">
        <v>46059.678472222222</v>
      </c>
      <c r="G1330" s="5" t="s">
        <v>7456</v>
      </c>
      <c r="H1330" s="5" t="s">
        <v>10464</v>
      </c>
      <c r="I1330" s="5" t="s">
        <v>1564</v>
      </c>
      <c r="J1330" s="8">
        <v>2424</v>
      </c>
      <c r="K1330" s="5" t="s">
        <v>4</v>
      </c>
      <c r="L1330">
        <f t="shared" si="20"/>
        <v>2</v>
      </c>
    </row>
    <row r="1331" spans="1:12" x14ac:dyDescent="0.25">
      <c r="A1331" s="5">
        <v>46573</v>
      </c>
      <c r="B1331" t="s">
        <v>10465</v>
      </c>
      <c r="C1331" s="5" t="s">
        <v>10466</v>
      </c>
      <c r="D1331" t="s">
        <v>10467</v>
      </c>
      <c r="E1331" s="5" t="s">
        <v>1548</v>
      </c>
      <c r="F1331" s="6">
        <v>46059.681250000001</v>
      </c>
      <c r="G1331" s="5" t="s">
        <v>7672</v>
      </c>
      <c r="H1331" t="s">
        <v>7482</v>
      </c>
      <c r="I1331" s="5" t="s">
        <v>1564</v>
      </c>
      <c r="J1331" s="8">
        <v>225</v>
      </c>
      <c r="K1331" s="5" t="s">
        <v>4</v>
      </c>
      <c r="L1331">
        <f t="shared" si="20"/>
        <v>2</v>
      </c>
    </row>
    <row r="1332" spans="1:12" x14ac:dyDescent="0.25">
      <c r="A1332" s="5">
        <v>46574</v>
      </c>
      <c r="B1332" t="s">
        <v>10468</v>
      </c>
      <c r="C1332" s="5" t="s">
        <v>10469</v>
      </c>
      <c r="D1332" t="s">
        <v>10470</v>
      </c>
      <c r="E1332" s="5" t="s">
        <v>10471</v>
      </c>
      <c r="F1332" s="6">
        <v>46059.704861111109</v>
      </c>
      <c r="G1332" s="5" t="s">
        <v>7672</v>
      </c>
      <c r="H1332" t="s">
        <v>7482</v>
      </c>
      <c r="I1332" s="5" t="s">
        <v>1564</v>
      </c>
      <c r="J1332" s="8">
        <v>814.91</v>
      </c>
      <c r="K1332" s="5" t="s">
        <v>4</v>
      </c>
      <c r="L1332">
        <f t="shared" si="20"/>
        <v>2</v>
      </c>
    </row>
    <row r="1333" spans="1:12" x14ac:dyDescent="0.25">
      <c r="A1333" s="5">
        <v>46575</v>
      </c>
      <c r="B1333" t="s">
        <v>10472</v>
      </c>
      <c r="C1333" s="5" t="s">
        <v>10473</v>
      </c>
      <c r="D1333" t="s">
        <v>7644</v>
      </c>
      <c r="E1333" s="5" t="s">
        <v>2030</v>
      </c>
      <c r="F1333" s="6">
        <v>46059.709027777775</v>
      </c>
      <c r="G1333" s="5" t="s">
        <v>7456</v>
      </c>
      <c r="H1333" s="5" t="s">
        <v>10474</v>
      </c>
      <c r="I1333" s="5" t="s">
        <v>1621</v>
      </c>
      <c r="J1333" s="8">
        <v>1192</v>
      </c>
      <c r="K1333" s="5" t="s">
        <v>4</v>
      </c>
      <c r="L1333">
        <f t="shared" si="20"/>
        <v>2</v>
      </c>
    </row>
    <row r="1334" spans="1:12" x14ac:dyDescent="0.25">
      <c r="A1334" s="5">
        <v>46576</v>
      </c>
      <c r="B1334" t="s">
        <v>10475</v>
      </c>
      <c r="C1334" s="5" t="s">
        <v>10476</v>
      </c>
      <c r="D1334" t="s">
        <v>10477</v>
      </c>
      <c r="E1334" s="5" t="s">
        <v>1738</v>
      </c>
      <c r="F1334" s="6">
        <v>46059.71597222222</v>
      </c>
      <c r="G1334" s="5" t="s">
        <v>7672</v>
      </c>
      <c r="H1334" t="s">
        <v>7482</v>
      </c>
      <c r="I1334" s="5" t="s">
        <v>1564</v>
      </c>
      <c r="J1334" s="8">
        <v>1685</v>
      </c>
      <c r="K1334" s="5" t="s">
        <v>4</v>
      </c>
      <c r="L1334">
        <f t="shared" si="20"/>
        <v>2</v>
      </c>
    </row>
    <row r="1335" spans="1:12" x14ac:dyDescent="0.25">
      <c r="A1335" s="5">
        <v>46577</v>
      </c>
      <c r="B1335" t="s">
        <v>10478</v>
      </c>
      <c r="C1335" s="5" t="s">
        <v>10479</v>
      </c>
      <c r="D1335" t="s">
        <v>7644</v>
      </c>
      <c r="E1335" s="5" t="s">
        <v>6153</v>
      </c>
      <c r="F1335" s="6">
        <v>46059.713194444441</v>
      </c>
      <c r="G1335" s="5" t="s">
        <v>7456</v>
      </c>
      <c r="H1335" s="5" t="s">
        <v>10480</v>
      </c>
      <c r="I1335" s="5" t="s">
        <v>1621</v>
      </c>
      <c r="J1335" s="8">
        <v>84.49</v>
      </c>
      <c r="K1335" s="5" t="s">
        <v>4</v>
      </c>
      <c r="L1335">
        <f t="shared" si="20"/>
        <v>2</v>
      </c>
    </row>
    <row r="1336" spans="1:12" x14ac:dyDescent="0.25">
      <c r="A1336" s="5">
        <v>46578</v>
      </c>
      <c r="B1336" t="s">
        <v>10481</v>
      </c>
      <c r="C1336" s="5" t="s">
        <v>10482</v>
      </c>
      <c r="D1336" t="s">
        <v>10483</v>
      </c>
      <c r="E1336" s="5" t="s">
        <v>2200</v>
      </c>
      <c r="F1336" s="6">
        <v>46059.722222222219</v>
      </c>
      <c r="G1336" s="5" t="s">
        <v>7456</v>
      </c>
      <c r="H1336" s="5" t="s">
        <v>10484</v>
      </c>
      <c r="I1336" s="5" t="s">
        <v>1564</v>
      </c>
      <c r="J1336" s="8">
        <v>950</v>
      </c>
      <c r="K1336" s="5" t="s">
        <v>4</v>
      </c>
      <c r="L1336">
        <f t="shared" si="20"/>
        <v>2</v>
      </c>
    </row>
    <row r="1337" spans="1:12" x14ac:dyDescent="0.25">
      <c r="A1337" s="5">
        <v>46579</v>
      </c>
      <c r="B1337" t="s">
        <v>10485</v>
      </c>
      <c r="C1337" s="5" t="s">
        <v>430</v>
      </c>
      <c r="D1337" t="s">
        <v>10486</v>
      </c>
      <c r="E1337" s="5" t="s">
        <v>5796</v>
      </c>
      <c r="F1337" s="6">
        <v>46059.720833333333</v>
      </c>
      <c r="G1337" s="5" t="s">
        <v>7456</v>
      </c>
      <c r="H1337" s="5" t="s">
        <v>10487</v>
      </c>
      <c r="I1337" s="5" t="s">
        <v>1621</v>
      </c>
      <c r="J1337" s="8">
        <v>108.27</v>
      </c>
      <c r="K1337" s="5" t="s">
        <v>4</v>
      </c>
      <c r="L1337">
        <f t="shared" si="20"/>
        <v>2</v>
      </c>
    </row>
    <row r="1338" spans="1:12" x14ac:dyDescent="0.25">
      <c r="A1338" s="5">
        <v>46580</v>
      </c>
      <c r="B1338" t="s">
        <v>10488</v>
      </c>
      <c r="C1338" s="5" t="s">
        <v>10489</v>
      </c>
      <c r="D1338" t="s">
        <v>7644</v>
      </c>
      <c r="E1338" s="5" t="s">
        <v>6694</v>
      </c>
      <c r="F1338" s="6">
        <v>46059.726388888892</v>
      </c>
      <c r="G1338" s="5" t="s">
        <v>7456</v>
      </c>
      <c r="H1338" s="5" t="s">
        <v>10490</v>
      </c>
      <c r="I1338" s="5" t="s">
        <v>1621</v>
      </c>
      <c r="J1338" s="8">
        <v>52.07</v>
      </c>
      <c r="K1338" s="5" t="s">
        <v>4</v>
      </c>
      <c r="L1338">
        <f t="shared" si="20"/>
        <v>2</v>
      </c>
    </row>
    <row r="1339" spans="1:12" x14ac:dyDescent="0.25">
      <c r="A1339" s="5">
        <v>46581</v>
      </c>
      <c r="B1339" t="s">
        <v>10491</v>
      </c>
      <c r="C1339" s="5" t="s">
        <v>10492</v>
      </c>
      <c r="D1339" t="s">
        <v>10493</v>
      </c>
      <c r="E1339" s="5" t="s">
        <v>1738</v>
      </c>
      <c r="F1339" s="6">
        <v>46059.731944444444</v>
      </c>
      <c r="G1339" s="5" t="s">
        <v>7456</v>
      </c>
      <c r="H1339" s="5" t="s">
        <v>10494</v>
      </c>
      <c r="I1339" s="5" t="s">
        <v>1564</v>
      </c>
      <c r="J1339" s="8">
        <v>280</v>
      </c>
      <c r="K1339" s="5" t="s">
        <v>4</v>
      </c>
      <c r="L1339">
        <f t="shared" si="20"/>
        <v>2</v>
      </c>
    </row>
    <row r="1340" spans="1:12" x14ac:dyDescent="0.25">
      <c r="A1340" s="5">
        <v>46582</v>
      </c>
      <c r="B1340" t="s">
        <v>10495</v>
      </c>
      <c r="C1340" s="5" t="s">
        <v>745</v>
      </c>
      <c r="D1340" t="s">
        <v>10496</v>
      </c>
      <c r="E1340" s="5" t="s">
        <v>7376</v>
      </c>
      <c r="F1340" s="6">
        <v>46059.731944444444</v>
      </c>
      <c r="G1340" s="5" t="s">
        <v>7456</v>
      </c>
      <c r="H1340" s="5" t="s">
        <v>10497</v>
      </c>
      <c r="I1340" s="5" t="s">
        <v>1621</v>
      </c>
      <c r="J1340" s="8">
        <v>9.9</v>
      </c>
      <c r="K1340" s="5" t="s">
        <v>4</v>
      </c>
      <c r="L1340">
        <f t="shared" si="20"/>
        <v>2</v>
      </c>
    </row>
    <row r="1341" spans="1:12" x14ac:dyDescent="0.25">
      <c r="A1341" s="5">
        <v>46583</v>
      </c>
      <c r="B1341" t="s">
        <v>10498</v>
      </c>
      <c r="C1341" s="5" t="s">
        <v>10499</v>
      </c>
      <c r="D1341" t="s">
        <v>10500</v>
      </c>
      <c r="E1341" s="5" t="s">
        <v>1759</v>
      </c>
      <c r="F1341" s="6">
        <v>46062.343055555553</v>
      </c>
      <c r="G1341" s="5" t="s">
        <v>7672</v>
      </c>
      <c r="H1341" t="s">
        <v>7482</v>
      </c>
      <c r="I1341" s="5" t="s">
        <v>1564</v>
      </c>
      <c r="J1341" s="8">
        <v>1157.0999999999999</v>
      </c>
      <c r="K1341" s="5" t="s">
        <v>4</v>
      </c>
      <c r="L1341">
        <f t="shared" si="20"/>
        <v>2</v>
      </c>
    </row>
    <row r="1342" spans="1:12" x14ac:dyDescent="0.25">
      <c r="A1342" s="5">
        <v>46584</v>
      </c>
      <c r="B1342" t="s">
        <v>10501</v>
      </c>
      <c r="C1342" s="5" t="s">
        <v>10502</v>
      </c>
      <c r="D1342" t="s">
        <v>10503</v>
      </c>
      <c r="E1342" s="5" t="s">
        <v>1548</v>
      </c>
      <c r="F1342" s="6">
        <v>46062.370138888888</v>
      </c>
      <c r="G1342" s="5" t="s">
        <v>7456</v>
      </c>
      <c r="H1342" s="5" t="s">
        <v>10504</v>
      </c>
      <c r="I1342" s="5" t="s">
        <v>1535</v>
      </c>
      <c r="J1342" s="8">
        <v>1410</v>
      </c>
      <c r="K1342" s="5" t="s">
        <v>4</v>
      </c>
      <c r="L1342">
        <f t="shared" si="20"/>
        <v>2</v>
      </c>
    </row>
    <row r="1343" spans="1:12" x14ac:dyDescent="0.25">
      <c r="A1343" s="5">
        <v>46585</v>
      </c>
      <c r="B1343" t="s">
        <v>10505</v>
      </c>
      <c r="C1343" s="5" t="s">
        <v>10506</v>
      </c>
      <c r="D1343" t="s">
        <v>10507</v>
      </c>
      <c r="E1343" s="5" t="s">
        <v>1813</v>
      </c>
      <c r="F1343" s="6">
        <v>46062.37777777778</v>
      </c>
      <c r="G1343" s="5" t="s">
        <v>7456</v>
      </c>
      <c r="H1343" s="5" t="s">
        <v>10508</v>
      </c>
      <c r="I1343" s="5" t="s">
        <v>1535</v>
      </c>
      <c r="J1343" s="8">
        <v>293</v>
      </c>
      <c r="K1343" s="5" t="s">
        <v>4</v>
      </c>
      <c r="L1343">
        <f t="shared" si="20"/>
        <v>2</v>
      </c>
    </row>
    <row r="1344" spans="1:12" x14ac:dyDescent="0.25">
      <c r="A1344" s="5">
        <v>46586</v>
      </c>
      <c r="B1344" t="s">
        <v>9581</v>
      </c>
      <c r="C1344" s="5" t="s">
        <v>8147</v>
      </c>
      <c r="D1344" t="s">
        <v>9582</v>
      </c>
      <c r="E1344" s="5" t="s">
        <v>1770</v>
      </c>
      <c r="F1344" s="6">
        <v>46062.406944444447</v>
      </c>
      <c r="G1344" s="5" t="s">
        <v>7672</v>
      </c>
      <c r="H1344" t="s">
        <v>7482</v>
      </c>
      <c r="I1344" s="5" t="s">
        <v>1564</v>
      </c>
      <c r="J1344" s="8">
        <v>2690</v>
      </c>
      <c r="K1344" s="5" t="s">
        <v>4</v>
      </c>
      <c r="L1344">
        <f t="shared" si="20"/>
        <v>2</v>
      </c>
    </row>
    <row r="1345" spans="1:12" x14ac:dyDescent="0.25">
      <c r="A1345" s="5">
        <v>46587</v>
      </c>
      <c r="B1345" t="s">
        <v>9525</v>
      </c>
      <c r="C1345" s="5" t="s">
        <v>7516</v>
      </c>
      <c r="D1345" t="s">
        <v>9526</v>
      </c>
      <c r="E1345" s="5" t="s">
        <v>1656</v>
      </c>
      <c r="F1345" s="6">
        <v>46062.415972222225</v>
      </c>
      <c r="G1345" s="5" t="s">
        <v>7456</v>
      </c>
      <c r="H1345" s="5" t="s">
        <v>10509</v>
      </c>
      <c r="I1345" s="5" t="s">
        <v>1535</v>
      </c>
      <c r="J1345" s="8">
        <v>3255.4</v>
      </c>
      <c r="K1345" s="5" t="s">
        <v>4</v>
      </c>
      <c r="L1345">
        <f t="shared" si="20"/>
        <v>2</v>
      </c>
    </row>
    <row r="1346" spans="1:12" x14ac:dyDescent="0.25">
      <c r="A1346" s="5">
        <v>46592</v>
      </c>
      <c r="B1346" t="s">
        <v>10510</v>
      </c>
      <c r="C1346" s="5" t="s">
        <v>7661</v>
      </c>
      <c r="D1346" t="s">
        <v>10511</v>
      </c>
      <c r="E1346" s="5" t="s">
        <v>2751</v>
      </c>
      <c r="F1346" s="6">
        <v>46062.463888888888</v>
      </c>
      <c r="G1346" s="5" t="s">
        <v>7456</v>
      </c>
      <c r="H1346" s="5" t="s">
        <v>10512</v>
      </c>
      <c r="I1346" s="5" t="s">
        <v>1564</v>
      </c>
      <c r="J1346" s="8">
        <v>535</v>
      </c>
      <c r="K1346" s="5" t="s">
        <v>4</v>
      </c>
      <c r="L1346">
        <f t="shared" si="20"/>
        <v>2</v>
      </c>
    </row>
    <row r="1347" spans="1:12" x14ac:dyDescent="0.25">
      <c r="A1347" s="5">
        <v>46594</v>
      </c>
      <c r="B1347" t="s">
        <v>10513</v>
      </c>
      <c r="C1347" s="5" t="s">
        <v>10514</v>
      </c>
      <c r="D1347" t="s">
        <v>10515</v>
      </c>
      <c r="E1347" s="5" t="s">
        <v>1759</v>
      </c>
      <c r="F1347" s="6">
        <v>46062.52847222222</v>
      </c>
      <c r="G1347" s="5" t="s">
        <v>7456</v>
      </c>
      <c r="H1347" s="5" t="s">
        <v>10516</v>
      </c>
      <c r="I1347" s="5" t="s">
        <v>1564</v>
      </c>
      <c r="J1347" s="8">
        <v>1130</v>
      </c>
      <c r="K1347" s="5" t="s">
        <v>4</v>
      </c>
      <c r="L1347">
        <f t="shared" ref="L1347:L1410" si="21">MONTH(F1347)</f>
        <v>2</v>
      </c>
    </row>
    <row r="1348" spans="1:12" x14ac:dyDescent="0.25">
      <c r="A1348" s="5">
        <v>46595</v>
      </c>
      <c r="B1348" t="s">
        <v>10517</v>
      </c>
      <c r="C1348" s="5" t="s">
        <v>10518</v>
      </c>
      <c r="D1348" t="s">
        <v>10519</v>
      </c>
      <c r="E1348" s="5" t="s">
        <v>1813</v>
      </c>
      <c r="F1348" s="6">
        <v>46062.570833333331</v>
      </c>
      <c r="G1348" s="5" t="s">
        <v>7595</v>
      </c>
      <c r="H1348" t="s">
        <v>7482</v>
      </c>
      <c r="I1348" s="5" t="s">
        <v>1535</v>
      </c>
      <c r="J1348" s="8">
        <v>975</v>
      </c>
      <c r="K1348" s="5" t="s">
        <v>4</v>
      </c>
      <c r="L1348">
        <f t="shared" si="21"/>
        <v>2</v>
      </c>
    </row>
    <row r="1349" spans="1:12" x14ac:dyDescent="0.25">
      <c r="A1349" s="5">
        <v>46596</v>
      </c>
      <c r="B1349" t="s">
        <v>10520</v>
      </c>
      <c r="C1349" s="5" t="s">
        <v>10521</v>
      </c>
      <c r="D1349" t="s">
        <v>10522</v>
      </c>
      <c r="E1349" s="5" t="s">
        <v>1548</v>
      </c>
      <c r="F1349" s="6">
        <v>46062.595833333333</v>
      </c>
      <c r="G1349" s="5" t="s">
        <v>7456</v>
      </c>
      <c r="H1349" s="5" t="s">
        <v>10523</v>
      </c>
      <c r="I1349" s="5" t="s">
        <v>1535</v>
      </c>
      <c r="J1349" s="8">
        <v>351</v>
      </c>
      <c r="K1349" s="5" t="s">
        <v>4</v>
      </c>
      <c r="L1349">
        <f t="shared" si="21"/>
        <v>2</v>
      </c>
    </row>
    <row r="1350" spans="1:12" x14ac:dyDescent="0.25">
      <c r="A1350" s="5">
        <v>46597</v>
      </c>
      <c r="B1350" t="s">
        <v>9707</v>
      </c>
      <c r="C1350" s="5" t="s">
        <v>9708</v>
      </c>
      <c r="D1350" t="s">
        <v>9709</v>
      </c>
      <c r="E1350" s="5" t="s">
        <v>1548</v>
      </c>
      <c r="F1350" s="6">
        <v>46062.612500000003</v>
      </c>
      <c r="G1350" s="5" t="s">
        <v>7456</v>
      </c>
      <c r="H1350" t="s">
        <v>7482</v>
      </c>
      <c r="I1350" s="5" t="s">
        <v>1564</v>
      </c>
      <c r="J1350" s="8">
        <v>1435</v>
      </c>
      <c r="K1350" s="5" t="s">
        <v>4</v>
      </c>
      <c r="L1350">
        <f t="shared" si="21"/>
        <v>2</v>
      </c>
    </row>
    <row r="1351" spans="1:12" x14ac:dyDescent="0.25">
      <c r="A1351" s="5">
        <v>46600</v>
      </c>
      <c r="B1351" t="s">
        <v>10524</v>
      </c>
      <c r="C1351" s="5" t="s">
        <v>10525</v>
      </c>
      <c r="D1351" t="s">
        <v>10526</v>
      </c>
      <c r="E1351" s="5" t="s">
        <v>1548</v>
      </c>
      <c r="F1351" s="6">
        <v>46062.648611111108</v>
      </c>
      <c r="G1351" s="5" t="s">
        <v>7456</v>
      </c>
      <c r="H1351" s="5" t="s">
        <v>10527</v>
      </c>
      <c r="I1351" s="5" t="s">
        <v>1535</v>
      </c>
      <c r="J1351" s="8">
        <v>9780</v>
      </c>
      <c r="K1351" s="5" t="s">
        <v>4</v>
      </c>
      <c r="L1351">
        <f t="shared" si="21"/>
        <v>2</v>
      </c>
    </row>
    <row r="1352" spans="1:12" x14ac:dyDescent="0.25">
      <c r="A1352" s="5">
        <v>46601</v>
      </c>
      <c r="B1352" t="s">
        <v>8759</v>
      </c>
      <c r="C1352" s="5" t="s">
        <v>7516</v>
      </c>
      <c r="D1352" t="s">
        <v>7644</v>
      </c>
      <c r="E1352" s="5" t="s">
        <v>1548</v>
      </c>
      <c r="F1352" s="6">
        <v>46062.648611111108</v>
      </c>
      <c r="G1352" s="5" t="s">
        <v>7456</v>
      </c>
      <c r="H1352" s="5" t="s">
        <v>10528</v>
      </c>
      <c r="I1352" s="5" t="s">
        <v>1535</v>
      </c>
      <c r="J1352" s="8">
        <v>1137.7</v>
      </c>
      <c r="K1352" s="5" t="s">
        <v>4</v>
      </c>
      <c r="L1352">
        <f t="shared" si="21"/>
        <v>2</v>
      </c>
    </row>
    <row r="1353" spans="1:12" x14ac:dyDescent="0.25">
      <c r="A1353" s="5">
        <v>46602</v>
      </c>
      <c r="B1353" t="s">
        <v>10529</v>
      </c>
      <c r="C1353" s="5" t="s">
        <v>10530</v>
      </c>
      <c r="D1353" t="s">
        <v>10531</v>
      </c>
      <c r="E1353" s="5" t="s">
        <v>4243</v>
      </c>
      <c r="F1353" s="6">
        <v>46062.658333333333</v>
      </c>
      <c r="G1353" s="5" t="s">
        <v>7456</v>
      </c>
      <c r="H1353" s="5" t="s">
        <v>10532</v>
      </c>
      <c r="I1353" s="5" t="s">
        <v>1564</v>
      </c>
      <c r="J1353" s="8">
        <v>227.5</v>
      </c>
      <c r="K1353" s="5" t="s">
        <v>4</v>
      </c>
      <c r="L1353">
        <f t="shared" si="21"/>
        <v>2</v>
      </c>
    </row>
    <row r="1354" spans="1:12" x14ac:dyDescent="0.25">
      <c r="A1354" s="5">
        <v>46603</v>
      </c>
      <c r="B1354" t="s">
        <v>10533</v>
      </c>
      <c r="C1354" s="5" t="s">
        <v>10534</v>
      </c>
      <c r="D1354" t="s">
        <v>10535</v>
      </c>
      <c r="E1354" s="5" t="s">
        <v>6272</v>
      </c>
      <c r="F1354" s="6">
        <v>46062.668749999997</v>
      </c>
      <c r="G1354" s="5" t="s">
        <v>7456</v>
      </c>
      <c r="H1354" s="5" t="s">
        <v>10536</v>
      </c>
      <c r="I1354" s="5" t="s">
        <v>1621</v>
      </c>
      <c r="J1354" s="8">
        <v>76.61</v>
      </c>
      <c r="K1354" s="5" t="s">
        <v>4</v>
      </c>
      <c r="L1354">
        <f t="shared" si="21"/>
        <v>2</v>
      </c>
    </row>
    <row r="1355" spans="1:12" x14ac:dyDescent="0.25">
      <c r="A1355" s="5">
        <v>46604</v>
      </c>
      <c r="B1355" t="s">
        <v>10537</v>
      </c>
      <c r="C1355" s="5" t="s">
        <v>925</v>
      </c>
      <c r="D1355" t="s">
        <v>10538</v>
      </c>
      <c r="E1355" s="5" t="s">
        <v>2726</v>
      </c>
      <c r="F1355" s="6">
        <v>46062.684027777781</v>
      </c>
      <c r="G1355" s="5" t="s">
        <v>7456</v>
      </c>
      <c r="H1355" s="5" t="s">
        <v>10539</v>
      </c>
      <c r="I1355" s="5" t="s">
        <v>1621</v>
      </c>
      <c r="J1355" s="8">
        <v>546.45000000000005</v>
      </c>
      <c r="K1355" s="5" t="s">
        <v>4</v>
      </c>
      <c r="L1355">
        <f t="shared" si="21"/>
        <v>2</v>
      </c>
    </row>
    <row r="1356" spans="1:12" x14ac:dyDescent="0.25">
      <c r="A1356" s="5">
        <v>46605</v>
      </c>
      <c r="B1356" t="s">
        <v>10540</v>
      </c>
      <c r="C1356" s="5" t="s">
        <v>10541</v>
      </c>
      <c r="D1356" t="s">
        <v>10542</v>
      </c>
      <c r="E1356" s="5" t="s">
        <v>1813</v>
      </c>
      <c r="F1356" s="6">
        <v>46062.697222222225</v>
      </c>
      <c r="G1356" s="5" t="s">
        <v>7595</v>
      </c>
      <c r="H1356" t="s">
        <v>7482</v>
      </c>
      <c r="I1356" s="5" t="s">
        <v>1535</v>
      </c>
      <c r="J1356" s="8">
        <v>3123</v>
      </c>
      <c r="K1356" s="5" t="s">
        <v>4</v>
      </c>
      <c r="L1356">
        <f t="shared" si="21"/>
        <v>2</v>
      </c>
    </row>
    <row r="1357" spans="1:12" x14ac:dyDescent="0.25">
      <c r="A1357" s="5">
        <v>46606</v>
      </c>
      <c r="B1357" t="s">
        <v>10543</v>
      </c>
      <c r="C1357" s="5" t="s">
        <v>296</v>
      </c>
      <c r="D1357" t="s">
        <v>10544</v>
      </c>
      <c r="E1357" s="5" t="s">
        <v>4048</v>
      </c>
      <c r="F1357" s="6">
        <v>46062.699305555558</v>
      </c>
      <c r="G1357" s="5" t="s">
        <v>7456</v>
      </c>
      <c r="H1357" s="5" t="s">
        <v>10545</v>
      </c>
      <c r="I1357" s="5" t="s">
        <v>1621</v>
      </c>
      <c r="J1357" s="8">
        <v>250.78</v>
      </c>
      <c r="K1357" s="5" t="s">
        <v>4</v>
      </c>
      <c r="L1357">
        <f t="shared" si="21"/>
        <v>2</v>
      </c>
    </row>
    <row r="1358" spans="1:12" x14ac:dyDescent="0.25">
      <c r="A1358" s="5">
        <v>46607</v>
      </c>
      <c r="B1358" t="s">
        <v>10546</v>
      </c>
      <c r="C1358" s="5" t="s">
        <v>10547</v>
      </c>
      <c r="D1358" t="s">
        <v>10548</v>
      </c>
      <c r="E1358" s="5" t="s">
        <v>1548</v>
      </c>
      <c r="F1358" s="6">
        <v>46062.718055555553</v>
      </c>
      <c r="G1358" s="5" t="s">
        <v>7456</v>
      </c>
      <c r="H1358" s="5" t="s">
        <v>10549</v>
      </c>
      <c r="I1358" s="5" t="s">
        <v>1554</v>
      </c>
      <c r="J1358" s="8">
        <v>398.9</v>
      </c>
      <c r="K1358" s="5" t="s">
        <v>4</v>
      </c>
      <c r="L1358">
        <f t="shared" si="21"/>
        <v>2</v>
      </c>
    </row>
    <row r="1359" spans="1:12" x14ac:dyDescent="0.25">
      <c r="A1359" s="5">
        <v>46612</v>
      </c>
      <c r="B1359" t="s">
        <v>9949</v>
      </c>
      <c r="C1359" s="5" t="s">
        <v>9950</v>
      </c>
      <c r="D1359" t="s">
        <v>9951</v>
      </c>
      <c r="E1359" s="5" t="s">
        <v>4146</v>
      </c>
      <c r="F1359" s="6">
        <v>46063.354861111111</v>
      </c>
      <c r="G1359" s="5" t="s">
        <v>7456</v>
      </c>
      <c r="H1359" s="5" t="s">
        <v>10550</v>
      </c>
      <c r="I1359" s="5" t="s">
        <v>1564</v>
      </c>
      <c r="J1359" s="8">
        <v>135</v>
      </c>
      <c r="K1359" s="5" t="s">
        <v>4</v>
      </c>
      <c r="L1359">
        <f t="shared" si="21"/>
        <v>2</v>
      </c>
    </row>
    <row r="1360" spans="1:12" x14ac:dyDescent="0.25">
      <c r="A1360" s="5">
        <v>46613</v>
      </c>
      <c r="B1360" t="s">
        <v>10551</v>
      </c>
      <c r="C1360" s="5" t="s">
        <v>10552</v>
      </c>
      <c r="D1360" t="s">
        <v>10553</v>
      </c>
      <c r="E1360" s="5" t="s">
        <v>1813</v>
      </c>
      <c r="F1360" s="6">
        <v>46063.365972222222</v>
      </c>
      <c r="G1360" s="5" t="s">
        <v>7595</v>
      </c>
      <c r="H1360" t="s">
        <v>7482</v>
      </c>
      <c r="I1360" s="5" t="s">
        <v>1535</v>
      </c>
      <c r="J1360" s="8">
        <v>1194</v>
      </c>
      <c r="K1360" s="5" t="s">
        <v>4</v>
      </c>
      <c r="L1360">
        <f t="shared" si="21"/>
        <v>2</v>
      </c>
    </row>
    <row r="1361" spans="1:12" x14ac:dyDescent="0.25">
      <c r="A1361" s="5">
        <v>46614</v>
      </c>
      <c r="B1361" t="s">
        <v>10554</v>
      </c>
      <c r="C1361" s="5" t="s">
        <v>10555</v>
      </c>
      <c r="D1361" t="s">
        <v>10556</v>
      </c>
      <c r="E1361" s="5" t="s">
        <v>1548</v>
      </c>
      <c r="F1361" s="6">
        <v>46063.368055555555</v>
      </c>
      <c r="G1361" s="5" t="s">
        <v>7595</v>
      </c>
      <c r="H1361" t="s">
        <v>7482</v>
      </c>
      <c r="I1361" s="5" t="s">
        <v>1535</v>
      </c>
      <c r="J1361" s="8">
        <v>85.5</v>
      </c>
      <c r="K1361" s="5" t="s">
        <v>4</v>
      </c>
      <c r="L1361">
        <f t="shared" si="21"/>
        <v>2</v>
      </c>
    </row>
    <row r="1362" spans="1:12" x14ac:dyDescent="0.25">
      <c r="A1362" s="5">
        <v>46615</v>
      </c>
      <c r="B1362" t="s">
        <v>8965</v>
      </c>
      <c r="C1362" s="5" t="s">
        <v>9291</v>
      </c>
      <c r="D1362" t="s">
        <v>8966</v>
      </c>
      <c r="E1362" s="5" t="s">
        <v>1532</v>
      </c>
      <c r="F1362" s="6">
        <v>46063.380555555559</v>
      </c>
      <c r="G1362" s="5" t="s">
        <v>7595</v>
      </c>
      <c r="H1362" t="s">
        <v>7482</v>
      </c>
      <c r="I1362" s="5" t="s">
        <v>1535</v>
      </c>
      <c r="J1362" s="8">
        <v>2578.9499999999998</v>
      </c>
      <c r="K1362" s="5" t="s">
        <v>4</v>
      </c>
      <c r="L1362">
        <f t="shared" si="21"/>
        <v>2</v>
      </c>
    </row>
    <row r="1363" spans="1:12" x14ac:dyDescent="0.25">
      <c r="A1363" s="5">
        <v>46616</v>
      </c>
      <c r="B1363" t="s">
        <v>10557</v>
      </c>
      <c r="C1363" s="5" t="s">
        <v>10558</v>
      </c>
      <c r="D1363" t="s">
        <v>10559</v>
      </c>
      <c r="E1363" s="5" t="s">
        <v>1813</v>
      </c>
      <c r="F1363" s="6">
        <v>46063.40902777778</v>
      </c>
      <c r="G1363" s="5" t="s">
        <v>7595</v>
      </c>
      <c r="H1363" t="s">
        <v>7482</v>
      </c>
      <c r="I1363" s="5" t="s">
        <v>1535</v>
      </c>
      <c r="J1363" s="8">
        <v>5108</v>
      </c>
      <c r="K1363" s="5" t="s">
        <v>4</v>
      </c>
      <c r="L1363">
        <f t="shared" si="21"/>
        <v>2</v>
      </c>
    </row>
    <row r="1364" spans="1:12" x14ac:dyDescent="0.25">
      <c r="A1364" s="5">
        <v>46617</v>
      </c>
      <c r="B1364" t="s">
        <v>10557</v>
      </c>
      <c r="C1364" s="5" t="s">
        <v>10558</v>
      </c>
      <c r="D1364" t="s">
        <v>10559</v>
      </c>
      <c r="E1364" s="5" t="s">
        <v>1813</v>
      </c>
      <c r="F1364" s="6">
        <v>46063.411111111112</v>
      </c>
      <c r="G1364" s="5" t="s">
        <v>7595</v>
      </c>
      <c r="H1364" t="s">
        <v>7482</v>
      </c>
      <c r="I1364" s="5" t="s">
        <v>1535</v>
      </c>
      <c r="J1364" s="8">
        <v>2307.6999999999998</v>
      </c>
      <c r="K1364" s="5" t="s">
        <v>4</v>
      </c>
      <c r="L1364">
        <f t="shared" si="21"/>
        <v>2</v>
      </c>
    </row>
    <row r="1365" spans="1:12" x14ac:dyDescent="0.25">
      <c r="A1365" s="5">
        <v>46618</v>
      </c>
      <c r="B1365" t="s">
        <v>10560</v>
      </c>
      <c r="C1365" s="5" t="s">
        <v>10561</v>
      </c>
      <c r="D1365" t="s">
        <v>10562</v>
      </c>
      <c r="E1365" s="5" t="s">
        <v>1738</v>
      </c>
      <c r="F1365" s="6">
        <v>46063.42291666667</v>
      </c>
      <c r="G1365" s="5" t="s">
        <v>7456</v>
      </c>
      <c r="H1365" s="5" t="s">
        <v>10563</v>
      </c>
      <c r="I1365" s="5" t="s">
        <v>1564</v>
      </c>
      <c r="J1365" s="8">
        <v>220</v>
      </c>
      <c r="K1365" s="5" t="s">
        <v>4</v>
      </c>
      <c r="L1365">
        <f t="shared" si="21"/>
        <v>2</v>
      </c>
    </row>
    <row r="1366" spans="1:12" x14ac:dyDescent="0.25">
      <c r="A1366" s="5">
        <v>46619</v>
      </c>
      <c r="B1366" t="s">
        <v>9861</v>
      </c>
      <c r="C1366" s="5" t="s">
        <v>10564</v>
      </c>
      <c r="D1366" t="s">
        <v>9863</v>
      </c>
      <c r="E1366" s="5" t="s">
        <v>1759</v>
      </c>
      <c r="F1366" s="6">
        <v>46063.438888888886</v>
      </c>
      <c r="G1366" s="5" t="s">
        <v>7456</v>
      </c>
      <c r="H1366" s="5" t="s">
        <v>10565</v>
      </c>
      <c r="I1366" s="5" t="s">
        <v>1564</v>
      </c>
      <c r="J1366" s="8">
        <v>133</v>
      </c>
      <c r="K1366" s="5" t="s">
        <v>4</v>
      </c>
      <c r="L1366">
        <f t="shared" si="21"/>
        <v>2</v>
      </c>
    </row>
    <row r="1367" spans="1:12" x14ac:dyDescent="0.25">
      <c r="A1367" s="5">
        <v>46620</v>
      </c>
      <c r="B1367" t="s">
        <v>9989</v>
      </c>
      <c r="C1367" s="5" t="s">
        <v>9990</v>
      </c>
      <c r="D1367" t="s">
        <v>9991</v>
      </c>
      <c r="E1367" s="5" t="s">
        <v>1548</v>
      </c>
      <c r="F1367" s="6">
        <v>46063.446527777778</v>
      </c>
      <c r="G1367" s="5" t="s">
        <v>7456</v>
      </c>
      <c r="H1367" s="5" t="s">
        <v>10566</v>
      </c>
      <c r="I1367" s="5" t="s">
        <v>1535</v>
      </c>
      <c r="J1367" s="8">
        <v>2638.3</v>
      </c>
      <c r="K1367" s="5" t="s">
        <v>4</v>
      </c>
      <c r="L1367">
        <f t="shared" si="21"/>
        <v>2</v>
      </c>
    </row>
    <row r="1368" spans="1:12" x14ac:dyDescent="0.25">
      <c r="A1368" s="5">
        <v>46621</v>
      </c>
      <c r="B1368" t="s">
        <v>10158</v>
      </c>
      <c r="C1368" s="5" t="s">
        <v>10159</v>
      </c>
      <c r="D1368" t="s">
        <v>10160</v>
      </c>
      <c r="E1368" s="5" t="s">
        <v>2875</v>
      </c>
      <c r="F1368" s="6">
        <v>46063.459027777775</v>
      </c>
      <c r="G1368" s="5" t="s">
        <v>7595</v>
      </c>
      <c r="H1368" t="s">
        <v>7482</v>
      </c>
      <c r="I1368" s="5" t="s">
        <v>1535</v>
      </c>
      <c r="J1368" s="8">
        <v>836</v>
      </c>
      <c r="K1368" s="5" t="s">
        <v>4</v>
      </c>
      <c r="L1368">
        <f t="shared" si="21"/>
        <v>2</v>
      </c>
    </row>
    <row r="1369" spans="1:12" x14ac:dyDescent="0.25">
      <c r="A1369" s="5">
        <v>46622</v>
      </c>
      <c r="B1369" t="s">
        <v>10567</v>
      </c>
      <c r="C1369" s="5" t="s">
        <v>10568</v>
      </c>
      <c r="D1369" t="s">
        <v>10569</v>
      </c>
      <c r="E1369" s="5" t="s">
        <v>3035</v>
      </c>
      <c r="F1369" s="6">
        <v>46063.459722222222</v>
      </c>
      <c r="G1369" s="5" t="s">
        <v>7456</v>
      </c>
      <c r="H1369" s="5" t="s">
        <v>10570</v>
      </c>
      <c r="I1369" s="5" t="s">
        <v>1564</v>
      </c>
      <c r="J1369" s="8">
        <v>204.33</v>
      </c>
      <c r="K1369" s="5" t="s">
        <v>4</v>
      </c>
      <c r="L1369">
        <f t="shared" si="21"/>
        <v>2</v>
      </c>
    </row>
    <row r="1370" spans="1:12" x14ac:dyDescent="0.25">
      <c r="A1370" s="5">
        <v>46623</v>
      </c>
      <c r="B1370" t="s">
        <v>10571</v>
      </c>
      <c r="C1370" s="5" t="s">
        <v>10572</v>
      </c>
      <c r="D1370" t="s">
        <v>10573</v>
      </c>
      <c r="E1370" s="5" t="s">
        <v>1770</v>
      </c>
      <c r="F1370" s="6">
        <v>46063.495138888888</v>
      </c>
      <c r="G1370" s="5" t="s">
        <v>7672</v>
      </c>
      <c r="H1370" t="s">
        <v>7482</v>
      </c>
      <c r="I1370" s="5" t="s">
        <v>1564</v>
      </c>
      <c r="J1370" s="8">
        <v>3840</v>
      </c>
      <c r="K1370" s="5" t="s">
        <v>4</v>
      </c>
      <c r="L1370">
        <f t="shared" si="21"/>
        <v>2</v>
      </c>
    </row>
    <row r="1371" spans="1:12" x14ac:dyDescent="0.25">
      <c r="A1371" s="5">
        <v>46624</v>
      </c>
      <c r="B1371" t="s">
        <v>10574</v>
      </c>
      <c r="C1371" s="5" t="s">
        <v>7470</v>
      </c>
      <c r="D1371" t="s">
        <v>10575</v>
      </c>
      <c r="E1371" s="5" t="s">
        <v>1759</v>
      </c>
      <c r="F1371" s="6">
        <v>46063.512499999997</v>
      </c>
      <c r="G1371" s="5" t="s">
        <v>7672</v>
      </c>
      <c r="H1371" t="s">
        <v>7482</v>
      </c>
      <c r="I1371" s="5" t="s">
        <v>1564</v>
      </c>
      <c r="J1371" s="8">
        <v>140.6</v>
      </c>
      <c r="K1371" s="5" t="s">
        <v>4</v>
      </c>
      <c r="L1371">
        <f t="shared" si="21"/>
        <v>2</v>
      </c>
    </row>
    <row r="1372" spans="1:12" x14ac:dyDescent="0.25">
      <c r="A1372" s="5">
        <v>46625</v>
      </c>
      <c r="B1372" t="s">
        <v>10576</v>
      </c>
      <c r="C1372" s="5" t="s">
        <v>10577</v>
      </c>
      <c r="D1372" t="s">
        <v>10578</v>
      </c>
      <c r="E1372" s="5" t="s">
        <v>2703</v>
      </c>
      <c r="F1372" s="6">
        <v>46063.522916666669</v>
      </c>
      <c r="G1372" s="5" t="s">
        <v>7456</v>
      </c>
      <c r="H1372" s="5" t="s">
        <v>10579</v>
      </c>
      <c r="I1372" s="5" t="s">
        <v>1564</v>
      </c>
      <c r="J1372" s="8">
        <v>560</v>
      </c>
      <c r="K1372" s="5" t="s">
        <v>4</v>
      </c>
      <c r="L1372">
        <f t="shared" si="21"/>
        <v>2</v>
      </c>
    </row>
    <row r="1373" spans="1:12" x14ac:dyDescent="0.25">
      <c r="A1373" s="5">
        <v>46626</v>
      </c>
      <c r="B1373" t="s">
        <v>10580</v>
      </c>
      <c r="C1373" s="5" t="s">
        <v>10581</v>
      </c>
      <c r="D1373" t="s">
        <v>10582</v>
      </c>
      <c r="E1373" s="5" t="s">
        <v>4490</v>
      </c>
      <c r="F1373" s="6">
        <v>46063.580555555556</v>
      </c>
      <c r="G1373" s="5" t="s">
        <v>7456</v>
      </c>
      <c r="H1373" s="5" t="s">
        <v>10583</v>
      </c>
      <c r="I1373" s="5" t="s">
        <v>1535</v>
      </c>
      <c r="J1373" s="8">
        <v>192.5</v>
      </c>
      <c r="K1373" s="5" t="s">
        <v>4</v>
      </c>
      <c r="L1373">
        <f t="shared" si="21"/>
        <v>2</v>
      </c>
    </row>
    <row r="1374" spans="1:12" x14ac:dyDescent="0.25">
      <c r="A1374" s="5">
        <v>46627</v>
      </c>
      <c r="B1374" t="s">
        <v>7869</v>
      </c>
      <c r="C1374" s="5" t="s">
        <v>7870</v>
      </c>
      <c r="D1374" t="s">
        <v>7871</v>
      </c>
      <c r="E1374" s="5" t="s">
        <v>1548</v>
      </c>
      <c r="F1374" s="6">
        <v>46063.603472222225</v>
      </c>
      <c r="G1374" s="5" t="s">
        <v>7595</v>
      </c>
      <c r="H1374" t="s">
        <v>7482</v>
      </c>
      <c r="I1374" s="5" t="s">
        <v>1535</v>
      </c>
      <c r="J1374" s="8">
        <v>1732.9</v>
      </c>
      <c r="K1374" s="5" t="s">
        <v>4</v>
      </c>
      <c r="L1374">
        <f t="shared" si="21"/>
        <v>2</v>
      </c>
    </row>
    <row r="1375" spans="1:12" x14ac:dyDescent="0.25">
      <c r="A1375" s="5">
        <v>46631</v>
      </c>
      <c r="B1375" t="s">
        <v>10584</v>
      </c>
      <c r="C1375" s="5" t="s">
        <v>8093</v>
      </c>
      <c r="D1375" t="s">
        <v>10585</v>
      </c>
      <c r="E1375" s="5" t="s">
        <v>2637</v>
      </c>
      <c r="F1375" s="6">
        <v>46063.638888888891</v>
      </c>
      <c r="G1375" s="5" t="s">
        <v>7456</v>
      </c>
      <c r="H1375" s="5" t="s">
        <v>10586</v>
      </c>
      <c r="I1375" s="5" t="s">
        <v>1564</v>
      </c>
      <c r="J1375" s="8">
        <v>319.8</v>
      </c>
      <c r="K1375" s="5" t="s">
        <v>4</v>
      </c>
      <c r="L1375">
        <f t="shared" si="21"/>
        <v>2</v>
      </c>
    </row>
    <row r="1376" spans="1:12" x14ac:dyDescent="0.25">
      <c r="A1376" s="5">
        <v>46632</v>
      </c>
      <c r="B1376" t="s">
        <v>10587</v>
      </c>
      <c r="C1376" s="5" t="s">
        <v>10588</v>
      </c>
      <c r="D1376" t="s">
        <v>10589</v>
      </c>
      <c r="E1376" s="5" t="s">
        <v>1548</v>
      </c>
      <c r="F1376" s="6">
        <v>46063.707638888889</v>
      </c>
      <c r="G1376" s="5" t="s">
        <v>7672</v>
      </c>
      <c r="H1376" t="s">
        <v>7482</v>
      </c>
      <c r="I1376" s="5" t="s">
        <v>1564</v>
      </c>
      <c r="J1376" s="8">
        <v>143</v>
      </c>
      <c r="K1376" s="5" t="s">
        <v>4</v>
      </c>
      <c r="L1376">
        <f t="shared" si="21"/>
        <v>2</v>
      </c>
    </row>
    <row r="1377" spans="1:12" x14ac:dyDescent="0.25">
      <c r="A1377" s="5">
        <v>46633</v>
      </c>
      <c r="B1377" t="s">
        <v>10590</v>
      </c>
      <c r="C1377" s="5" t="s">
        <v>10591</v>
      </c>
      <c r="D1377" t="s">
        <v>10592</v>
      </c>
      <c r="E1377" s="5" t="s">
        <v>1738</v>
      </c>
      <c r="F1377" s="6">
        <v>46063.719444444447</v>
      </c>
      <c r="G1377" s="5" t="s">
        <v>7456</v>
      </c>
      <c r="H1377" s="5" t="s">
        <v>10593</v>
      </c>
      <c r="I1377" s="5" t="s">
        <v>1564</v>
      </c>
      <c r="J1377" s="8">
        <v>243</v>
      </c>
      <c r="K1377" s="5" t="s">
        <v>4</v>
      </c>
      <c r="L1377">
        <f t="shared" si="21"/>
        <v>2</v>
      </c>
    </row>
    <row r="1378" spans="1:12" x14ac:dyDescent="0.25">
      <c r="A1378" s="5">
        <v>46634</v>
      </c>
      <c r="B1378" t="s">
        <v>10594</v>
      </c>
      <c r="C1378" s="5" t="s">
        <v>10595</v>
      </c>
      <c r="D1378" t="s">
        <v>10596</v>
      </c>
      <c r="E1378" s="5" t="s">
        <v>1738</v>
      </c>
      <c r="F1378" s="6">
        <v>46063.741666666669</v>
      </c>
      <c r="G1378" s="5" t="s">
        <v>7672</v>
      </c>
      <c r="H1378" t="s">
        <v>7482</v>
      </c>
      <c r="I1378" s="5" t="s">
        <v>1564</v>
      </c>
      <c r="J1378" s="8">
        <v>1024</v>
      </c>
      <c r="K1378" s="5" t="s">
        <v>4</v>
      </c>
      <c r="L1378">
        <f t="shared" si="21"/>
        <v>2</v>
      </c>
    </row>
    <row r="1379" spans="1:12" x14ac:dyDescent="0.25">
      <c r="A1379" s="5">
        <v>46635</v>
      </c>
      <c r="B1379" t="s">
        <v>10597</v>
      </c>
      <c r="C1379" s="5" t="s">
        <v>686</v>
      </c>
      <c r="D1379" t="s">
        <v>10598</v>
      </c>
      <c r="E1379" s="5" t="s">
        <v>6986</v>
      </c>
      <c r="F1379" s="6">
        <v>46063.772916666669</v>
      </c>
      <c r="G1379" s="5" t="s">
        <v>7456</v>
      </c>
      <c r="H1379" s="5" t="s">
        <v>10599</v>
      </c>
      <c r="I1379" s="5" t="s">
        <v>1564</v>
      </c>
      <c r="J1379" s="8">
        <v>35.35</v>
      </c>
      <c r="K1379" s="5" t="s">
        <v>4</v>
      </c>
      <c r="L1379">
        <f t="shared" si="21"/>
        <v>2</v>
      </c>
    </row>
    <row r="1380" spans="1:12" x14ac:dyDescent="0.25">
      <c r="A1380" s="5">
        <v>46636</v>
      </c>
      <c r="B1380" t="s">
        <v>10600</v>
      </c>
      <c r="C1380" s="5" t="s">
        <v>10601</v>
      </c>
      <c r="D1380" t="s">
        <v>7644</v>
      </c>
      <c r="E1380" s="5" t="s">
        <v>6520</v>
      </c>
      <c r="F1380" s="6">
        <v>46063.776388888888</v>
      </c>
      <c r="G1380" s="5" t="s">
        <v>7456</v>
      </c>
      <c r="H1380" s="5" t="s">
        <v>10602</v>
      </c>
      <c r="I1380" s="5" t="s">
        <v>1564</v>
      </c>
      <c r="J1380" s="8">
        <v>60.65</v>
      </c>
      <c r="K1380" s="5" t="s">
        <v>4</v>
      </c>
      <c r="L1380">
        <f t="shared" si="21"/>
        <v>2</v>
      </c>
    </row>
    <row r="1381" spans="1:12" x14ac:dyDescent="0.25">
      <c r="A1381" s="5">
        <v>46637</v>
      </c>
      <c r="B1381" t="s">
        <v>10603</v>
      </c>
      <c r="C1381" s="5" t="s">
        <v>10604</v>
      </c>
      <c r="D1381" t="s">
        <v>10356</v>
      </c>
      <c r="E1381" s="5" t="s">
        <v>6085</v>
      </c>
      <c r="F1381" s="6">
        <v>46063.78125</v>
      </c>
      <c r="G1381" s="5" t="s">
        <v>7456</v>
      </c>
      <c r="H1381" s="5" t="s">
        <v>10605</v>
      </c>
      <c r="I1381" s="5" t="s">
        <v>1564</v>
      </c>
      <c r="J1381" s="8">
        <v>89.4</v>
      </c>
      <c r="K1381" s="5" t="s">
        <v>4</v>
      </c>
      <c r="L1381">
        <f t="shared" si="21"/>
        <v>2</v>
      </c>
    </row>
    <row r="1382" spans="1:12" x14ac:dyDescent="0.25">
      <c r="A1382" s="5">
        <v>46638</v>
      </c>
      <c r="B1382" t="s">
        <v>10606</v>
      </c>
      <c r="C1382" s="5" t="s">
        <v>225</v>
      </c>
      <c r="D1382" t="s">
        <v>10607</v>
      </c>
      <c r="E1382" s="5" t="s">
        <v>3071</v>
      </c>
      <c r="F1382" s="6">
        <v>46063.784722222219</v>
      </c>
      <c r="G1382" s="5" t="s">
        <v>7456</v>
      </c>
      <c r="H1382" s="5" t="s">
        <v>10608</v>
      </c>
      <c r="I1382" s="5" t="s">
        <v>1564</v>
      </c>
      <c r="J1382" s="8">
        <v>428.38</v>
      </c>
      <c r="K1382" s="5" t="s">
        <v>4</v>
      </c>
      <c r="L1382">
        <f t="shared" si="21"/>
        <v>2</v>
      </c>
    </row>
    <row r="1383" spans="1:12" x14ac:dyDescent="0.25">
      <c r="A1383" s="5">
        <v>46640</v>
      </c>
      <c r="B1383" t="s">
        <v>10609</v>
      </c>
      <c r="C1383" s="5" t="s">
        <v>10610</v>
      </c>
      <c r="D1383" t="s">
        <v>10611</v>
      </c>
      <c r="E1383" s="5" t="s">
        <v>1742</v>
      </c>
      <c r="F1383" s="6">
        <v>46064.37222222222</v>
      </c>
      <c r="G1383" s="5" t="s">
        <v>7456</v>
      </c>
      <c r="H1383" s="5" t="s">
        <v>10612</v>
      </c>
      <c r="I1383" s="5" t="s">
        <v>1535</v>
      </c>
      <c r="J1383" s="8">
        <v>531.20000000000005</v>
      </c>
      <c r="K1383" s="5" t="s">
        <v>4</v>
      </c>
      <c r="L1383">
        <f t="shared" si="21"/>
        <v>2</v>
      </c>
    </row>
    <row r="1384" spans="1:12" x14ac:dyDescent="0.25">
      <c r="A1384" s="5">
        <v>46641</v>
      </c>
      <c r="B1384" t="s">
        <v>9731</v>
      </c>
      <c r="C1384" s="5" t="s">
        <v>9732</v>
      </c>
      <c r="D1384" t="s">
        <v>9733</v>
      </c>
      <c r="E1384" s="5" t="s">
        <v>1611</v>
      </c>
      <c r="F1384" s="6">
        <v>46064.40902777778</v>
      </c>
      <c r="G1384" s="5" t="s">
        <v>7456</v>
      </c>
      <c r="H1384" s="5" t="s">
        <v>10613</v>
      </c>
      <c r="I1384" s="5" t="s">
        <v>1535</v>
      </c>
      <c r="J1384" s="8">
        <v>4529.2</v>
      </c>
      <c r="K1384" s="5" t="s">
        <v>4</v>
      </c>
      <c r="L1384">
        <f t="shared" si="21"/>
        <v>2</v>
      </c>
    </row>
    <row r="1385" spans="1:12" x14ac:dyDescent="0.25">
      <c r="A1385" s="5">
        <v>46642</v>
      </c>
      <c r="B1385" t="s">
        <v>10614</v>
      </c>
      <c r="C1385" s="5" t="s">
        <v>10615</v>
      </c>
      <c r="D1385" t="s">
        <v>10616</v>
      </c>
      <c r="E1385" s="5" t="s">
        <v>1567</v>
      </c>
      <c r="F1385" s="6">
        <v>46064.427083333336</v>
      </c>
      <c r="G1385" s="5" t="s">
        <v>7456</v>
      </c>
      <c r="H1385" s="5" t="s">
        <v>10617</v>
      </c>
      <c r="I1385" s="5" t="s">
        <v>1564</v>
      </c>
      <c r="J1385" s="8">
        <v>546.20000000000005</v>
      </c>
      <c r="K1385" s="5" t="s">
        <v>4</v>
      </c>
      <c r="L1385">
        <f t="shared" si="21"/>
        <v>2</v>
      </c>
    </row>
    <row r="1386" spans="1:12" x14ac:dyDescent="0.25">
      <c r="A1386" s="5">
        <v>46643</v>
      </c>
      <c r="B1386" t="s">
        <v>10618</v>
      </c>
      <c r="C1386" s="5" t="s">
        <v>7687</v>
      </c>
      <c r="D1386" t="s">
        <v>10619</v>
      </c>
      <c r="E1386" s="5" t="s">
        <v>1738</v>
      </c>
      <c r="F1386" s="6">
        <v>46064.431250000001</v>
      </c>
      <c r="G1386" s="5" t="s">
        <v>7456</v>
      </c>
      <c r="H1386" s="5" t="s">
        <v>10620</v>
      </c>
      <c r="I1386" s="5" t="s">
        <v>1564</v>
      </c>
      <c r="J1386" s="8">
        <v>300</v>
      </c>
      <c r="K1386" s="5" t="s">
        <v>4</v>
      </c>
      <c r="L1386">
        <f t="shared" si="21"/>
        <v>2</v>
      </c>
    </row>
    <row r="1387" spans="1:12" x14ac:dyDescent="0.25">
      <c r="A1387" s="5">
        <v>46644</v>
      </c>
      <c r="B1387" t="s">
        <v>10621</v>
      </c>
      <c r="C1387" s="5" t="s">
        <v>10622</v>
      </c>
      <c r="D1387" t="s">
        <v>10623</v>
      </c>
      <c r="E1387" s="5" t="s">
        <v>10624</v>
      </c>
      <c r="F1387" s="6">
        <v>46064.438194444447</v>
      </c>
      <c r="G1387" s="5" t="s">
        <v>7672</v>
      </c>
      <c r="H1387" t="s">
        <v>7482</v>
      </c>
      <c r="I1387" s="5" t="s">
        <v>1564</v>
      </c>
      <c r="J1387" s="8">
        <v>2470</v>
      </c>
      <c r="K1387" s="5" t="s">
        <v>4</v>
      </c>
      <c r="L1387">
        <f t="shared" si="21"/>
        <v>2</v>
      </c>
    </row>
    <row r="1388" spans="1:12" x14ac:dyDescent="0.25">
      <c r="A1388" s="5">
        <v>46645</v>
      </c>
      <c r="B1388" t="s">
        <v>10625</v>
      </c>
      <c r="C1388" s="5" t="s">
        <v>10626</v>
      </c>
      <c r="D1388" t="s">
        <v>10627</v>
      </c>
      <c r="E1388" s="5" t="s">
        <v>2637</v>
      </c>
      <c r="F1388" s="6">
        <v>46064.479166666664</v>
      </c>
      <c r="G1388" s="5" t="s">
        <v>7456</v>
      </c>
      <c r="H1388" s="5" t="s">
        <v>10628</v>
      </c>
      <c r="I1388" s="5" t="s">
        <v>1564</v>
      </c>
      <c r="J1388" s="8">
        <v>434.8</v>
      </c>
      <c r="K1388" s="5" t="s">
        <v>4</v>
      </c>
      <c r="L1388">
        <f t="shared" si="21"/>
        <v>2</v>
      </c>
    </row>
    <row r="1389" spans="1:12" x14ac:dyDescent="0.25">
      <c r="A1389" s="5">
        <v>46646</v>
      </c>
      <c r="B1389" t="s">
        <v>8725</v>
      </c>
      <c r="C1389" s="5" t="s">
        <v>8726</v>
      </c>
      <c r="D1389" t="s">
        <v>8727</v>
      </c>
      <c r="E1389" s="5" t="s">
        <v>1770</v>
      </c>
      <c r="F1389" s="6">
        <v>46064.507638888892</v>
      </c>
      <c r="G1389" s="5" t="s">
        <v>7456</v>
      </c>
      <c r="H1389" s="5" t="s">
        <v>10629</v>
      </c>
      <c r="I1389" s="5" t="s">
        <v>1564</v>
      </c>
      <c r="J1389" s="8">
        <v>227</v>
      </c>
      <c r="K1389" s="5" t="s">
        <v>4</v>
      </c>
      <c r="L1389">
        <f t="shared" si="21"/>
        <v>2</v>
      </c>
    </row>
    <row r="1390" spans="1:12" x14ac:dyDescent="0.25">
      <c r="A1390" s="5">
        <v>46647</v>
      </c>
      <c r="B1390" t="s">
        <v>10630</v>
      </c>
      <c r="C1390" s="5" t="s">
        <v>962</v>
      </c>
      <c r="D1390" t="s">
        <v>10631</v>
      </c>
      <c r="E1390" s="5" t="s">
        <v>5291</v>
      </c>
      <c r="F1390" s="6">
        <v>46064.511111111111</v>
      </c>
      <c r="G1390" s="5" t="s">
        <v>7456</v>
      </c>
      <c r="H1390" s="5" t="s">
        <v>10632</v>
      </c>
      <c r="I1390" s="5" t="s">
        <v>1564</v>
      </c>
      <c r="J1390" s="8">
        <v>135</v>
      </c>
      <c r="K1390" s="5" t="s">
        <v>4</v>
      </c>
      <c r="L1390">
        <f t="shared" si="21"/>
        <v>2</v>
      </c>
    </row>
    <row r="1391" spans="1:12" x14ac:dyDescent="0.25">
      <c r="A1391" s="5">
        <v>46648</v>
      </c>
      <c r="B1391" t="s">
        <v>10633</v>
      </c>
      <c r="C1391" s="5" t="s">
        <v>10634</v>
      </c>
      <c r="D1391" t="s">
        <v>10635</v>
      </c>
      <c r="E1391" s="5" t="s">
        <v>1759</v>
      </c>
      <c r="F1391" s="6">
        <v>46064.546527777777</v>
      </c>
      <c r="G1391" s="5" t="s">
        <v>7672</v>
      </c>
      <c r="H1391" t="s">
        <v>7482</v>
      </c>
      <c r="I1391" s="5" t="s">
        <v>1564</v>
      </c>
      <c r="J1391" s="8">
        <v>271</v>
      </c>
      <c r="K1391" s="5" t="s">
        <v>4</v>
      </c>
      <c r="L1391">
        <f t="shared" si="21"/>
        <v>2</v>
      </c>
    </row>
    <row r="1392" spans="1:12" x14ac:dyDescent="0.25">
      <c r="A1392" s="5">
        <v>46649</v>
      </c>
      <c r="B1392" t="s">
        <v>10636</v>
      </c>
      <c r="C1392" s="5" t="s">
        <v>10637</v>
      </c>
      <c r="D1392" t="s">
        <v>10638</v>
      </c>
      <c r="E1392" s="5" t="s">
        <v>1548</v>
      </c>
      <c r="F1392" s="6">
        <v>46064.554166666669</v>
      </c>
      <c r="G1392" s="5" t="s">
        <v>10639</v>
      </c>
      <c r="H1392" t="s">
        <v>7482</v>
      </c>
      <c r="I1392" s="5" t="s">
        <v>1535</v>
      </c>
      <c r="J1392" s="8">
        <v>1859.4</v>
      </c>
      <c r="K1392" s="5" t="s">
        <v>4</v>
      </c>
      <c r="L1392">
        <f t="shared" si="21"/>
        <v>2</v>
      </c>
    </row>
    <row r="1393" spans="1:12" x14ac:dyDescent="0.25">
      <c r="A1393" s="5">
        <v>46650</v>
      </c>
      <c r="B1393" t="s">
        <v>10640</v>
      </c>
      <c r="C1393" s="5" t="s">
        <v>7516</v>
      </c>
      <c r="D1393" t="s">
        <v>10641</v>
      </c>
      <c r="E1393" s="5" t="s">
        <v>1813</v>
      </c>
      <c r="F1393" s="6">
        <v>46064.6</v>
      </c>
      <c r="G1393" s="5" t="s">
        <v>7595</v>
      </c>
      <c r="H1393" t="s">
        <v>7482</v>
      </c>
      <c r="I1393" s="5" t="s">
        <v>1535</v>
      </c>
      <c r="J1393" s="8">
        <v>181.7</v>
      </c>
      <c r="K1393" s="5" t="s">
        <v>4</v>
      </c>
      <c r="L1393">
        <f t="shared" si="21"/>
        <v>2</v>
      </c>
    </row>
    <row r="1394" spans="1:12" x14ac:dyDescent="0.25">
      <c r="A1394" s="5">
        <v>46651</v>
      </c>
      <c r="B1394" t="s">
        <v>10642</v>
      </c>
      <c r="C1394" s="5" t="s">
        <v>7516</v>
      </c>
      <c r="D1394" t="s">
        <v>10643</v>
      </c>
      <c r="E1394" s="5" t="s">
        <v>1548</v>
      </c>
      <c r="F1394" s="6">
        <v>46064.604166666664</v>
      </c>
      <c r="G1394" s="5" t="s">
        <v>7456</v>
      </c>
      <c r="H1394" s="5" t="s">
        <v>10644</v>
      </c>
      <c r="I1394" s="5" t="s">
        <v>1535</v>
      </c>
      <c r="J1394" s="8">
        <v>232</v>
      </c>
      <c r="K1394" s="5" t="s">
        <v>4</v>
      </c>
      <c r="L1394">
        <f t="shared" si="21"/>
        <v>2</v>
      </c>
    </row>
    <row r="1395" spans="1:12" x14ac:dyDescent="0.25">
      <c r="A1395" s="5">
        <v>46652</v>
      </c>
      <c r="B1395" t="s">
        <v>10645</v>
      </c>
      <c r="C1395" s="5" t="s">
        <v>8029</v>
      </c>
      <c r="D1395" t="s">
        <v>10646</v>
      </c>
      <c r="E1395" s="5" t="s">
        <v>2118</v>
      </c>
      <c r="F1395" s="6">
        <v>46064.611111111109</v>
      </c>
      <c r="G1395" s="5" t="s">
        <v>7456</v>
      </c>
      <c r="H1395" s="5" t="s">
        <v>10647</v>
      </c>
      <c r="I1395" s="5" t="s">
        <v>1564</v>
      </c>
      <c r="J1395" s="8">
        <v>423.7</v>
      </c>
      <c r="K1395" s="5" t="s">
        <v>4</v>
      </c>
      <c r="L1395">
        <f t="shared" si="21"/>
        <v>2</v>
      </c>
    </row>
    <row r="1396" spans="1:12" x14ac:dyDescent="0.25">
      <c r="A1396" s="5">
        <v>46653</v>
      </c>
      <c r="B1396" t="s">
        <v>10648</v>
      </c>
      <c r="C1396" s="5" t="s">
        <v>7516</v>
      </c>
      <c r="D1396" t="s">
        <v>10649</v>
      </c>
      <c r="E1396" s="5" t="s">
        <v>1813</v>
      </c>
      <c r="F1396" s="6">
        <v>46064.623611111114</v>
      </c>
      <c r="G1396" s="5" t="s">
        <v>7456</v>
      </c>
      <c r="H1396" s="5" t="s">
        <v>10650</v>
      </c>
      <c r="I1396" s="5" t="s">
        <v>1535</v>
      </c>
      <c r="J1396" s="8">
        <v>799.6</v>
      </c>
      <c r="K1396" s="5" t="s">
        <v>4</v>
      </c>
      <c r="L1396">
        <f t="shared" si="21"/>
        <v>2</v>
      </c>
    </row>
    <row r="1397" spans="1:12" x14ac:dyDescent="0.25">
      <c r="A1397" s="5">
        <v>46655</v>
      </c>
      <c r="B1397" t="s">
        <v>10651</v>
      </c>
      <c r="C1397" s="5" t="s">
        <v>1084</v>
      </c>
      <c r="D1397" t="s">
        <v>10652</v>
      </c>
      <c r="E1397" s="5" t="s">
        <v>3505</v>
      </c>
      <c r="F1397" s="6">
        <v>46064.638888888891</v>
      </c>
      <c r="G1397" s="5" t="s">
        <v>7456</v>
      </c>
      <c r="H1397" s="5" t="s">
        <v>10653</v>
      </c>
      <c r="I1397" s="5" t="s">
        <v>1621</v>
      </c>
      <c r="J1397" s="8">
        <v>319.88</v>
      </c>
      <c r="K1397" s="5" t="s">
        <v>4</v>
      </c>
      <c r="L1397">
        <f t="shared" si="21"/>
        <v>2</v>
      </c>
    </row>
    <row r="1398" spans="1:12" x14ac:dyDescent="0.25">
      <c r="A1398" s="5">
        <v>46656</v>
      </c>
      <c r="B1398" t="s">
        <v>10654</v>
      </c>
      <c r="C1398" s="5" t="s">
        <v>10655</v>
      </c>
      <c r="D1398" t="s">
        <v>7644</v>
      </c>
      <c r="E1398" s="5" t="s">
        <v>5834</v>
      </c>
      <c r="F1398" s="6">
        <v>46064.647222222222</v>
      </c>
      <c r="G1398" s="5" t="s">
        <v>7456</v>
      </c>
      <c r="H1398" s="5" t="s">
        <v>10656</v>
      </c>
      <c r="I1398" s="5" t="s">
        <v>1554</v>
      </c>
      <c r="J1398" s="8">
        <v>105</v>
      </c>
      <c r="K1398" s="5" t="s">
        <v>4</v>
      </c>
      <c r="L1398">
        <f t="shared" si="21"/>
        <v>2</v>
      </c>
    </row>
    <row r="1399" spans="1:12" x14ac:dyDescent="0.25">
      <c r="A1399" s="5">
        <v>46657</v>
      </c>
      <c r="B1399" t="s">
        <v>10657</v>
      </c>
      <c r="C1399" s="5" t="s">
        <v>10658</v>
      </c>
      <c r="D1399" t="s">
        <v>10659</v>
      </c>
      <c r="E1399" s="5" t="s">
        <v>1738</v>
      </c>
      <c r="F1399" s="6">
        <v>46064.648611111108</v>
      </c>
      <c r="G1399" s="5" t="s">
        <v>7456</v>
      </c>
      <c r="H1399" s="5" t="s">
        <v>10660</v>
      </c>
      <c r="I1399" s="5" t="s">
        <v>1564</v>
      </c>
      <c r="J1399" s="8">
        <v>105</v>
      </c>
      <c r="K1399" s="5" t="s">
        <v>4</v>
      </c>
      <c r="L1399">
        <f t="shared" si="21"/>
        <v>2</v>
      </c>
    </row>
    <row r="1400" spans="1:12" x14ac:dyDescent="0.25">
      <c r="A1400" s="5">
        <v>46658</v>
      </c>
      <c r="B1400" t="s">
        <v>10661</v>
      </c>
      <c r="C1400" s="5" t="s">
        <v>10662</v>
      </c>
      <c r="D1400" t="s">
        <v>10663</v>
      </c>
      <c r="E1400" s="5" t="s">
        <v>10664</v>
      </c>
      <c r="F1400" s="6">
        <v>46064.660416666666</v>
      </c>
      <c r="G1400" s="5" t="s">
        <v>7672</v>
      </c>
      <c r="H1400" t="s">
        <v>7482</v>
      </c>
      <c r="I1400" s="5" t="s">
        <v>1564</v>
      </c>
      <c r="J1400" s="8">
        <v>270</v>
      </c>
      <c r="K1400" s="5" t="s">
        <v>4</v>
      </c>
      <c r="L1400">
        <f t="shared" si="21"/>
        <v>2</v>
      </c>
    </row>
    <row r="1401" spans="1:12" x14ac:dyDescent="0.25">
      <c r="A1401" s="5">
        <v>46659</v>
      </c>
      <c r="B1401" t="s">
        <v>10665</v>
      </c>
      <c r="C1401" s="5" t="s">
        <v>950</v>
      </c>
      <c r="D1401" t="s">
        <v>10666</v>
      </c>
      <c r="E1401" s="5" t="s">
        <v>6009</v>
      </c>
      <c r="F1401" s="6">
        <v>46064.667361111111</v>
      </c>
      <c r="G1401" s="5" t="s">
        <v>7456</v>
      </c>
      <c r="H1401" s="5" t="s">
        <v>10667</v>
      </c>
      <c r="I1401" s="5" t="s">
        <v>1621</v>
      </c>
      <c r="J1401" s="8">
        <v>94.38</v>
      </c>
      <c r="K1401" s="5" t="s">
        <v>4</v>
      </c>
      <c r="L1401">
        <f t="shared" si="21"/>
        <v>2</v>
      </c>
    </row>
    <row r="1402" spans="1:12" x14ac:dyDescent="0.25">
      <c r="A1402" s="5">
        <v>46661</v>
      </c>
      <c r="B1402" t="s">
        <v>10668</v>
      </c>
      <c r="C1402" s="5" t="s">
        <v>461</v>
      </c>
      <c r="D1402" t="s">
        <v>10669</v>
      </c>
      <c r="E1402" s="5" t="s">
        <v>7101</v>
      </c>
      <c r="F1402" s="6">
        <v>46064.672222222223</v>
      </c>
      <c r="G1402" s="5" t="s">
        <v>7456</v>
      </c>
      <c r="H1402" s="5" t="s">
        <v>10670</v>
      </c>
      <c r="I1402" s="5" t="s">
        <v>1621</v>
      </c>
      <c r="J1402" s="8">
        <v>29.93</v>
      </c>
      <c r="K1402" s="5" t="s">
        <v>4</v>
      </c>
      <c r="L1402">
        <f t="shared" si="21"/>
        <v>2</v>
      </c>
    </row>
    <row r="1403" spans="1:12" x14ac:dyDescent="0.25">
      <c r="A1403" s="5">
        <v>46662</v>
      </c>
      <c r="B1403" t="s">
        <v>10671</v>
      </c>
      <c r="C1403" s="5" t="s">
        <v>854</v>
      </c>
      <c r="D1403" t="s">
        <v>10672</v>
      </c>
      <c r="E1403" s="5" t="s">
        <v>3945</v>
      </c>
      <c r="F1403" s="6">
        <v>46064.683333333334</v>
      </c>
      <c r="G1403" s="5" t="s">
        <v>7456</v>
      </c>
      <c r="H1403" s="5" t="s">
        <v>10673</v>
      </c>
      <c r="I1403" s="5" t="s">
        <v>1621</v>
      </c>
      <c r="J1403" s="8">
        <v>264.89999999999998</v>
      </c>
      <c r="K1403" s="5" t="s">
        <v>4</v>
      </c>
      <c r="L1403">
        <f t="shared" si="21"/>
        <v>2</v>
      </c>
    </row>
    <row r="1404" spans="1:12" x14ac:dyDescent="0.25">
      <c r="A1404" s="5">
        <v>46663</v>
      </c>
      <c r="B1404" t="s">
        <v>10674</v>
      </c>
      <c r="C1404" s="5" t="s">
        <v>91</v>
      </c>
      <c r="D1404" t="s">
        <v>10675</v>
      </c>
      <c r="E1404" s="5" t="s">
        <v>6013</v>
      </c>
      <c r="F1404" s="6">
        <v>46064.688194444447</v>
      </c>
      <c r="G1404" s="5" t="s">
        <v>7456</v>
      </c>
      <c r="H1404" s="5" t="s">
        <v>10676</v>
      </c>
      <c r="I1404" s="5" t="s">
        <v>1621</v>
      </c>
      <c r="J1404" s="8">
        <v>94.38</v>
      </c>
      <c r="K1404" s="5" t="s">
        <v>4</v>
      </c>
      <c r="L1404">
        <f t="shared" si="21"/>
        <v>2</v>
      </c>
    </row>
    <row r="1405" spans="1:12" x14ac:dyDescent="0.25">
      <c r="A1405" s="5">
        <v>46664</v>
      </c>
      <c r="B1405" t="s">
        <v>10677</v>
      </c>
      <c r="C1405" s="5" t="s">
        <v>665</v>
      </c>
      <c r="D1405" t="s">
        <v>10678</v>
      </c>
      <c r="E1405" s="5" t="s">
        <v>6347</v>
      </c>
      <c r="F1405" s="6">
        <v>46064.693055555559</v>
      </c>
      <c r="G1405" s="5" t="s">
        <v>7456</v>
      </c>
      <c r="H1405" s="5" t="s">
        <v>10679</v>
      </c>
      <c r="I1405" s="5" t="s">
        <v>1621</v>
      </c>
      <c r="J1405" s="8">
        <v>72.02</v>
      </c>
      <c r="K1405" s="5" t="s">
        <v>4</v>
      </c>
      <c r="L1405">
        <f t="shared" si="21"/>
        <v>2</v>
      </c>
    </row>
    <row r="1406" spans="1:12" x14ac:dyDescent="0.25">
      <c r="A1406" s="5">
        <v>46665</v>
      </c>
      <c r="B1406" t="s">
        <v>10680</v>
      </c>
      <c r="C1406" s="5" t="s">
        <v>599</v>
      </c>
      <c r="D1406" t="s">
        <v>10681</v>
      </c>
      <c r="E1406" s="5" t="s">
        <v>5167</v>
      </c>
      <c r="F1406" s="6">
        <v>46064.699305555558</v>
      </c>
      <c r="G1406" s="5" t="s">
        <v>7456</v>
      </c>
      <c r="H1406" s="5" t="s">
        <v>10682</v>
      </c>
      <c r="I1406" s="5" t="s">
        <v>1621</v>
      </c>
      <c r="J1406" s="8">
        <v>140.94</v>
      </c>
      <c r="K1406" s="5" t="s">
        <v>4</v>
      </c>
      <c r="L1406">
        <f t="shared" si="21"/>
        <v>2</v>
      </c>
    </row>
    <row r="1407" spans="1:12" x14ac:dyDescent="0.25">
      <c r="A1407" s="5">
        <v>46666</v>
      </c>
      <c r="B1407" t="s">
        <v>10683</v>
      </c>
      <c r="C1407" s="5" t="s">
        <v>10684</v>
      </c>
      <c r="D1407" t="s">
        <v>10685</v>
      </c>
      <c r="E1407" s="5" t="s">
        <v>10686</v>
      </c>
      <c r="F1407" s="6">
        <v>46064.715277777781</v>
      </c>
      <c r="G1407" s="5" t="s">
        <v>7672</v>
      </c>
      <c r="H1407" t="s">
        <v>7482</v>
      </c>
      <c r="I1407" s="5" t="s">
        <v>1564</v>
      </c>
      <c r="J1407" s="8">
        <v>8815</v>
      </c>
      <c r="K1407" s="5" t="s">
        <v>4</v>
      </c>
      <c r="L1407">
        <f t="shared" si="21"/>
        <v>2</v>
      </c>
    </row>
    <row r="1408" spans="1:12" x14ac:dyDescent="0.25">
      <c r="A1408" s="5">
        <v>46667</v>
      </c>
      <c r="B1408" t="s">
        <v>10687</v>
      </c>
      <c r="C1408" s="5" t="s">
        <v>10688</v>
      </c>
      <c r="D1408" t="s">
        <v>10689</v>
      </c>
      <c r="E1408" s="5" t="s">
        <v>1770</v>
      </c>
      <c r="F1408" s="6">
        <v>46064.727083333331</v>
      </c>
      <c r="G1408" s="5" t="s">
        <v>7672</v>
      </c>
      <c r="H1408" t="s">
        <v>7482</v>
      </c>
      <c r="I1408" s="5" t="s">
        <v>1564</v>
      </c>
      <c r="J1408" s="8">
        <v>553.4</v>
      </c>
      <c r="K1408" s="5" t="s">
        <v>4</v>
      </c>
      <c r="L1408">
        <f t="shared" si="21"/>
        <v>2</v>
      </c>
    </row>
    <row r="1409" spans="1:12" x14ac:dyDescent="0.25">
      <c r="A1409" s="5">
        <v>46668</v>
      </c>
      <c r="B1409" t="s">
        <v>10687</v>
      </c>
      <c r="C1409" s="5" t="s">
        <v>10688</v>
      </c>
      <c r="D1409" t="s">
        <v>10689</v>
      </c>
      <c r="E1409" s="5" t="s">
        <v>1759</v>
      </c>
      <c r="F1409" s="6">
        <v>46064.738194444442</v>
      </c>
      <c r="G1409" s="5" t="s">
        <v>7456</v>
      </c>
      <c r="H1409" s="5" t="s">
        <v>10690</v>
      </c>
      <c r="I1409" s="5" t="s">
        <v>1564</v>
      </c>
      <c r="J1409" s="8">
        <v>193.4</v>
      </c>
      <c r="K1409" s="5" t="s">
        <v>4</v>
      </c>
      <c r="L1409">
        <f t="shared" si="21"/>
        <v>2</v>
      </c>
    </row>
    <row r="1410" spans="1:12" x14ac:dyDescent="0.25">
      <c r="A1410" s="5">
        <v>46669</v>
      </c>
      <c r="B1410" t="s">
        <v>10424</v>
      </c>
      <c r="C1410" s="5" t="s">
        <v>10425</v>
      </c>
      <c r="D1410" t="s">
        <v>10426</v>
      </c>
      <c r="E1410" s="5" t="s">
        <v>1532</v>
      </c>
      <c r="F1410" s="6">
        <v>46065.350694444445</v>
      </c>
      <c r="G1410" s="5" t="s">
        <v>7595</v>
      </c>
      <c r="H1410" t="s">
        <v>7482</v>
      </c>
      <c r="I1410" s="5" t="s">
        <v>1535</v>
      </c>
      <c r="J1410" s="8">
        <v>10400</v>
      </c>
      <c r="K1410" s="5" t="s">
        <v>4</v>
      </c>
      <c r="L1410">
        <f t="shared" si="21"/>
        <v>2</v>
      </c>
    </row>
    <row r="1411" spans="1:12" x14ac:dyDescent="0.25">
      <c r="A1411" s="5">
        <v>46670</v>
      </c>
      <c r="B1411" t="s">
        <v>10691</v>
      </c>
      <c r="C1411" s="5" t="s">
        <v>10692</v>
      </c>
      <c r="D1411" t="s">
        <v>10693</v>
      </c>
      <c r="E1411" s="5" t="s">
        <v>10694</v>
      </c>
      <c r="F1411" s="6">
        <v>46065.385416666664</v>
      </c>
      <c r="G1411" s="5" t="s">
        <v>7595</v>
      </c>
      <c r="H1411" t="s">
        <v>7482</v>
      </c>
      <c r="I1411" s="5" t="s">
        <v>1535</v>
      </c>
      <c r="J1411" s="8">
        <v>4042</v>
      </c>
      <c r="K1411" s="5" t="s">
        <v>4</v>
      </c>
      <c r="L1411">
        <f t="shared" ref="L1411:L1474" si="22">MONTH(F1411)</f>
        <v>2</v>
      </c>
    </row>
    <row r="1412" spans="1:12" x14ac:dyDescent="0.25">
      <c r="A1412" s="5">
        <v>46672</v>
      </c>
      <c r="B1412" t="s">
        <v>10695</v>
      </c>
      <c r="C1412" s="5" t="s">
        <v>10696</v>
      </c>
      <c r="D1412" t="s">
        <v>10697</v>
      </c>
      <c r="E1412" s="5" t="s">
        <v>1548</v>
      </c>
      <c r="F1412" s="6">
        <v>46065.375694444447</v>
      </c>
      <c r="G1412" s="5" t="s">
        <v>7672</v>
      </c>
      <c r="H1412" t="s">
        <v>7482</v>
      </c>
      <c r="I1412" s="5" t="s">
        <v>1564</v>
      </c>
      <c r="J1412" s="8">
        <v>5218.75</v>
      </c>
      <c r="K1412" s="5" t="s">
        <v>4</v>
      </c>
      <c r="L1412">
        <f t="shared" si="22"/>
        <v>2</v>
      </c>
    </row>
    <row r="1413" spans="1:12" x14ac:dyDescent="0.25">
      <c r="A1413" s="5">
        <v>46676</v>
      </c>
      <c r="B1413" t="s">
        <v>8744</v>
      </c>
      <c r="C1413" s="5" t="s">
        <v>8745</v>
      </c>
      <c r="D1413" t="s">
        <v>8746</v>
      </c>
      <c r="E1413" s="5" t="s">
        <v>1532</v>
      </c>
      <c r="F1413" s="6">
        <v>46065.413194444445</v>
      </c>
      <c r="G1413" s="5" t="s">
        <v>7595</v>
      </c>
      <c r="H1413" t="s">
        <v>7482</v>
      </c>
      <c r="I1413" s="5" t="s">
        <v>1535</v>
      </c>
      <c r="J1413" s="8">
        <v>1268</v>
      </c>
      <c r="K1413" s="5" t="s">
        <v>4</v>
      </c>
      <c r="L1413">
        <f t="shared" si="22"/>
        <v>2</v>
      </c>
    </row>
    <row r="1414" spans="1:12" x14ac:dyDescent="0.25">
      <c r="A1414" s="5">
        <v>46677</v>
      </c>
      <c r="B1414" t="s">
        <v>10106</v>
      </c>
      <c r="C1414" s="5" t="s">
        <v>10107</v>
      </c>
      <c r="D1414" t="s">
        <v>10108</v>
      </c>
      <c r="E1414" s="5" t="s">
        <v>1548</v>
      </c>
      <c r="F1414" s="6">
        <v>46065.457638888889</v>
      </c>
      <c r="G1414" s="5" t="s">
        <v>7456</v>
      </c>
      <c r="H1414" s="5" t="s">
        <v>10698</v>
      </c>
      <c r="I1414" s="5" t="s">
        <v>1535</v>
      </c>
      <c r="J1414" s="8">
        <v>1781</v>
      </c>
      <c r="K1414" s="5" t="s">
        <v>4</v>
      </c>
      <c r="L1414">
        <f t="shared" si="22"/>
        <v>2</v>
      </c>
    </row>
    <row r="1415" spans="1:12" x14ac:dyDescent="0.25">
      <c r="A1415" s="5">
        <v>46678</v>
      </c>
      <c r="B1415" t="s">
        <v>10699</v>
      </c>
      <c r="C1415" s="5" t="s">
        <v>7516</v>
      </c>
      <c r="D1415" t="s">
        <v>10700</v>
      </c>
      <c r="E1415" s="5" t="s">
        <v>1813</v>
      </c>
      <c r="F1415" s="6">
        <v>46065.472916666666</v>
      </c>
      <c r="G1415" s="5" t="s">
        <v>7456</v>
      </c>
      <c r="H1415" s="5" t="s">
        <v>10701</v>
      </c>
      <c r="I1415" s="5" t="s">
        <v>1535</v>
      </c>
      <c r="J1415" s="8">
        <v>1800</v>
      </c>
      <c r="K1415" s="5" t="s">
        <v>4</v>
      </c>
      <c r="L1415">
        <f t="shared" si="22"/>
        <v>2</v>
      </c>
    </row>
    <row r="1416" spans="1:12" x14ac:dyDescent="0.25">
      <c r="A1416" s="5">
        <v>46679</v>
      </c>
      <c r="B1416" t="s">
        <v>8151</v>
      </c>
      <c r="C1416" s="5" t="s">
        <v>8545</v>
      </c>
      <c r="D1416" t="s">
        <v>8546</v>
      </c>
      <c r="E1416" s="5" t="s">
        <v>4894</v>
      </c>
      <c r="F1416" s="6">
        <v>46065.586805555555</v>
      </c>
      <c r="G1416" s="5" t="s">
        <v>7456</v>
      </c>
      <c r="H1416" s="5" t="s">
        <v>10702</v>
      </c>
      <c r="I1416" s="5" t="s">
        <v>1535</v>
      </c>
      <c r="J1416" s="8">
        <v>159.9</v>
      </c>
      <c r="K1416" s="5" t="s">
        <v>4</v>
      </c>
      <c r="L1416">
        <f t="shared" si="22"/>
        <v>2</v>
      </c>
    </row>
    <row r="1417" spans="1:12" x14ac:dyDescent="0.25">
      <c r="A1417" s="5">
        <v>46681</v>
      </c>
      <c r="B1417" t="s">
        <v>10703</v>
      </c>
      <c r="C1417" s="5" t="s">
        <v>10704</v>
      </c>
      <c r="D1417" t="s">
        <v>10705</v>
      </c>
      <c r="E1417" s="5" t="s">
        <v>1813</v>
      </c>
      <c r="F1417" s="6">
        <v>46065.606249999997</v>
      </c>
      <c r="G1417" s="5" t="s">
        <v>7456</v>
      </c>
      <c r="H1417" s="5" t="s">
        <v>10706</v>
      </c>
      <c r="I1417" s="5" t="s">
        <v>1535</v>
      </c>
      <c r="J1417" s="8">
        <v>192</v>
      </c>
      <c r="K1417" s="5" t="s">
        <v>4</v>
      </c>
      <c r="L1417">
        <f t="shared" si="22"/>
        <v>2</v>
      </c>
    </row>
    <row r="1418" spans="1:12" x14ac:dyDescent="0.25">
      <c r="A1418" s="5">
        <v>46682</v>
      </c>
      <c r="B1418" t="s">
        <v>10707</v>
      </c>
      <c r="C1418" s="5" t="s">
        <v>10708</v>
      </c>
      <c r="D1418" t="s">
        <v>10709</v>
      </c>
      <c r="E1418" s="5" t="s">
        <v>1849</v>
      </c>
      <c r="F1418" s="6">
        <v>46065.609722222223</v>
      </c>
      <c r="G1418" s="5" t="s">
        <v>7456</v>
      </c>
      <c r="H1418" s="5" t="s">
        <v>10710</v>
      </c>
      <c r="I1418" s="5" t="s">
        <v>1535</v>
      </c>
      <c r="J1418" s="8">
        <v>1825</v>
      </c>
      <c r="K1418" s="5" t="s">
        <v>4</v>
      </c>
      <c r="L1418">
        <f t="shared" si="22"/>
        <v>2</v>
      </c>
    </row>
    <row r="1419" spans="1:12" x14ac:dyDescent="0.25">
      <c r="A1419" s="5">
        <v>46683</v>
      </c>
      <c r="B1419" t="s">
        <v>10711</v>
      </c>
      <c r="C1419" s="5" t="s">
        <v>10712</v>
      </c>
      <c r="D1419" t="s">
        <v>10713</v>
      </c>
      <c r="E1419" s="5" t="s">
        <v>1759</v>
      </c>
      <c r="F1419" s="6">
        <v>46065.635416666664</v>
      </c>
      <c r="G1419" s="5" t="s">
        <v>7456</v>
      </c>
      <c r="H1419" s="5" t="s">
        <v>10714</v>
      </c>
      <c r="I1419" s="5" t="s">
        <v>1564</v>
      </c>
      <c r="J1419" s="8">
        <v>196.9</v>
      </c>
      <c r="K1419" s="5" t="s">
        <v>4</v>
      </c>
      <c r="L1419">
        <f t="shared" si="22"/>
        <v>2</v>
      </c>
    </row>
    <row r="1420" spans="1:12" x14ac:dyDescent="0.25">
      <c r="A1420" s="5">
        <v>46690</v>
      </c>
      <c r="B1420" t="s">
        <v>10715</v>
      </c>
      <c r="C1420" s="5" t="s">
        <v>10716</v>
      </c>
      <c r="D1420" t="s">
        <v>10717</v>
      </c>
      <c r="E1420" s="5" t="s">
        <v>3062</v>
      </c>
      <c r="F1420" s="6">
        <v>46065.664583333331</v>
      </c>
      <c r="G1420" s="5" t="s">
        <v>7456</v>
      </c>
      <c r="H1420" s="5" t="s">
        <v>10718</v>
      </c>
      <c r="I1420" s="5" t="s">
        <v>1535</v>
      </c>
      <c r="J1420" s="8">
        <v>430</v>
      </c>
      <c r="K1420" s="5" t="s">
        <v>4</v>
      </c>
      <c r="L1420">
        <f t="shared" si="22"/>
        <v>2</v>
      </c>
    </row>
    <row r="1421" spans="1:12" x14ac:dyDescent="0.25">
      <c r="A1421" s="5">
        <v>46692</v>
      </c>
      <c r="B1421" t="s">
        <v>10719</v>
      </c>
      <c r="C1421" s="5" t="s">
        <v>10720</v>
      </c>
      <c r="D1421" t="s">
        <v>10721</v>
      </c>
      <c r="E1421" s="5" t="s">
        <v>5347</v>
      </c>
      <c r="F1421" s="6">
        <v>46065.671527777777</v>
      </c>
      <c r="G1421" s="5" t="s">
        <v>7456</v>
      </c>
      <c r="H1421" s="5" t="s">
        <v>10722</v>
      </c>
      <c r="I1421" s="5" t="s">
        <v>1621</v>
      </c>
      <c r="J1421" s="8">
        <v>133.27000000000001</v>
      </c>
      <c r="K1421" s="5" t="s">
        <v>4</v>
      </c>
      <c r="L1421">
        <f t="shared" si="22"/>
        <v>2</v>
      </c>
    </row>
    <row r="1422" spans="1:12" x14ac:dyDescent="0.25">
      <c r="A1422" s="5">
        <v>46693</v>
      </c>
      <c r="B1422" t="s">
        <v>10723</v>
      </c>
      <c r="C1422" s="5" t="s">
        <v>10724</v>
      </c>
      <c r="D1422" t="s">
        <v>10725</v>
      </c>
      <c r="E1422" s="5" t="s">
        <v>1738</v>
      </c>
      <c r="F1422" s="6">
        <v>46065.680555555555</v>
      </c>
      <c r="G1422" s="5" t="s">
        <v>7456</v>
      </c>
      <c r="H1422" s="5" t="s">
        <v>10726</v>
      </c>
      <c r="I1422" s="5" t="s">
        <v>1564</v>
      </c>
      <c r="J1422" s="8">
        <v>369.8</v>
      </c>
      <c r="K1422" s="5" t="s">
        <v>4</v>
      </c>
      <c r="L1422">
        <f t="shared" si="22"/>
        <v>2</v>
      </c>
    </row>
    <row r="1423" spans="1:12" x14ac:dyDescent="0.25">
      <c r="A1423" s="5">
        <v>46694</v>
      </c>
      <c r="B1423" t="s">
        <v>10727</v>
      </c>
      <c r="C1423" s="5" t="s">
        <v>10728</v>
      </c>
      <c r="D1423" t="s">
        <v>10729</v>
      </c>
      <c r="E1423" s="5" t="s">
        <v>1813</v>
      </c>
      <c r="F1423" s="6">
        <v>46065.681250000001</v>
      </c>
      <c r="G1423" s="5" t="s">
        <v>7595</v>
      </c>
      <c r="H1423" t="s">
        <v>7482</v>
      </c>
      <c r="I1423" s="5" t="s">
        <v>1535</v>
      </c>
      <c r="J1423" s="8">
        <v>1070</v>
      </c>
      <c r="K1423" s="5" t="s">
        <v>4</v>
      </c>
      <c r="L1423">
        <f t="shared" si="22"/>
        <v>2</v>
      </c>
    </row>
    <row r="1424" spans="1:12" x14ac:dyDescent="0.25">
      <c r="A1424" s="5">
        <v>46696</v>
      </c>
      <c r="B1424" t="s">
        <v>10730</v>
      </c>
      <c r="C1424" s="5" t="s">
        <v>10731</v>
      </c>
      <c r="D1424" t="s">
        <v>7644</v>
      </c>
      <c r="E1424" s="5" t="s">
        <v>1813</v>
      </c>
      <c r="F1424" s="6">
        <v>46065.685416666667</v>
      </c>
      <c r="G1424" s="5" t="s">
        <v>7595</v>
      </c>
      <c r="H1424" t="s">
        <v>7482</v>
      </c>
      <c r="I1424" s="5" t="s">
        <v>1535</v>
      </c>
      <c r="J1424" s="8">
        <v>637.79999999999995</v>
      </c>
      <c r="K1424" s="5" t="s">
        <v>4</v>
      </c>
      <c r="L1424">
        <f t="shared" si="22"/>
        <v>2</v>
      </c>
    </row>
    <row r="1425" spans="1:12" x14ac:dyDescent="0.25">
      <c r="A1425" s="5">
        <v>46697</v>
      </c>
      <c r="B1425" t="s">
        <v>10732</v>
      </c>
      <c r="C1425" s="5" t="s">
        <v>984</v>
      </c>
      <c r="D1425" t="s">
        <v>10733</v>
      </c>
      <c r="E1425" s="5" t="s">
        <v>6585</v>
      </c>
      <c r="F1425" s="6">
        <v>46065.682638888888</v>
      </c>
      <c r="G1425" s="5" t="s">
        <v>7456</v>
      </c>
      <c r="H1425" s="5" t="s">
        <v>10734</v>
      </c>
      <c r="I1425" s="5" t="s">
        <v>1621</v>
      </c>
      <c r="J1425" s="8">
        <v>57.48</v>
      </c>
      <c r="K1425" s="5" t="s">
        <v>4</v>
      </c>
      <c r="L1425">
        <f t="shared" si="22"/>
        <v>2</v>
      </c>
    </row>
    <row r="1426" spans="1:12" x14ac:dyDescent="0.25">
      <c r="A1426" s="5">
        <v>46698</v>
      </c>
      <c r="B1426" t="s">
        <v>10735</v>
      </c>
      <c r="C1426" s="5" t="s">
        <v>10736</v>
      </c>
      <c r="D1426" t="s">
        <v>10737</v>
      </c>
      <c r="E1426" s="5" t="s">
        <v>1532</v>
      </c>
      <c r="F1426" s="6">
        <v>46065.688888888886</v>
      </c>
      <c r="G1426" s="5" t="s">
        <v>7595</v>
      </c>
      <c r="H1426" t="s">
        <v>7482</v>
      </c>
      <c r="I1426" s="5" t="s">
        <v>1535</v>
      </c>
      <c r="J1426" s="8">
        <v>1854.4</v>
      </c>
      <c r="K1426" s="5" t="s">
        <v>4</v>
      </c>
      <c r="L1426">
        <f t="shared" si="22"/>
        <v>2</v>
      </c>
    </row>
    <row r="1427" spans="1:12" x14ac:dyDescent="0.25">
      <c r="A1427" s="5">
        <v>46699</v>
      </c>
      <c r="B1427" t="s">
        <v>10738</v>
      </c>
      <c r="C1427" s="5" t="s">
        <v>7516</v>
      </c>
      <c r="D1427" t="s">
        <v>10739</v>
      </c>
      <c r="E1427" s="5" t="s">
        <v>7247</v>
      </c>
      <c r="F1427" s="6">
        <v>46065.688888888886</v>
      </c>
      <c r="G1427" s="5" t="s">
        <v>7456</v>
      </c>
      <c r="H1427" s="5" t="s">
        <v>10740</v>
      </c>
      <c r="I1427" s="5" t="s">
        <v>1621</v>
      </c>
      <c r="J1427" s="8">
        <v>21.79</v>
      </c>
      <c r="K1427" s="5" t="s">
        <v>4</v>
      </c>
      <c r="L1427">
        <f t="shared" si="22"/>
        <v>2</v>
      </c>
    </row>
    <row r="1428" spans="1:12" x14ac:dyDescent="0.25">
      <c r="A1428" s="5">
        <v>46701</v>
      </c>
      <c r="B1428" t="s">
        <v>10741</v>
      </c>
      <c r="C1428" s="5" t="s">
        <v>145</v>
      </c>
      <c r="D1428" t="s">
        <v>10742</v>
      </c>
      <c r="E1428" s="5" t="s">
        <v>6505</v>
      </c>
      <c r="F1428" s="6">
        <v>46065.693749999999</v>
      </c>
      <c r="G1428" s="5" t="s">
        <v>7456</v>
      </c>
      <c r="H1428" s="5" t="s">
        <v>10743</v>
      </c>
      <c r="I1428" s="5" t="s">
        <v>1621</v>
      </c>
      <c r="J1428" s="8">
        <v>61.85</v>
      </c>
      <c r="K1428" s="5" t="s">
        <v>4</v>
      </c>
      <c r="L1428">
        <f t="shared" si="22"/>
        <v>2</v>
      </c>
    </row>
    <row r="1429" spans="1:12" x14ac:dyDescent="0.25">
      <c r="A1429" s="5">
        <v>46702</v>
      </c>
      <c r="B1429" t="s">
        <v>10744</v>
      </c>
      <c r="C1429" s="5" t="s">
        <v>10745</v>
      </c>
      <c r="D1429" t="s">
        <v>10746</v>
      </c>
      <c r="E1429" s="5" t="s">
        <v>1770</v>
      </c>
      <c r="F1429" s="6">
        <v>46065.693749999999</v>
      </c>
      <c r="G1429" s="5" t="s">
        <v>7595</v>
      </c>
      <c r="H1429" s="5" t="s">
        <v>10747</v>
      </c>
      <c r="I1429" s="5" t="s">
        <v>1564</v>
      </c>
      <c r="J1429" s="8">
        <v>790</v>
      </c>
      <c r="K1429" s="5" t="s">
        <v>4</v>
      </c>
      <c r="L1429">
        <f t="shared" si="22"/>
        <v>2</v>
      </c>
    </row>
    <row r="1430" spans="1:12" x14ac:dyDescent="0.25">
      <c r="A1430" s="5">
        <v>46703</v>
      </c>
      <c r="B1430" t="s">
        <v>10748</v>
      </c>
      <c r="C1430" s="5" t="s">
        <v>577</v>
      </c>
      <c r="D1430" t="s">
        <v>10749</v>
      </c>
      <c r="E1430" s="5" t="s">
        <v>3714</v>
      </c>
      <c r="F1430" s="6">
        <v>46065.699305555558</v>
      </c>
      <c r="G1430" s="5" t="s">
        <v>7456</v>
      </c>
      <c r="H1430" s="5" t="s">
        <v>10750</v>
      </c>
      <c r="I1430" s="5" t="s">
        <v>1621</v>
      </c>
      <c r="J1430" s="8">
        <v>299.60000000000002</v>
      </c>
      <c r="K1430" s="5" t="s">
        <v>4</v>
      </c>
      <c r="L1430">
        <f t="shared" si="22"/>
        <v>2</v>
      </c>
    </row>
    <row r="1431" spans="1:12" x14ac:dyDescent="0.25">
      <c r="A1431" s="5">
        <v>46705</v>
      </c>
      <c r="B1431" t="s">
        <v>10751</v>
      </c>
      <c r="C1431" s="5" t="s">
        <v>7516</v>
      </c>
      <c r="D1431" t="s">
        <v>10752</v>
      </c>
      <c r="E1431" s="5" t="s">
        <v>10753</v>
      </c>
      <c r="F1431" s="6">
        <v>46066.371527777781</v>
      </c>
      <c r="G1431" s="5" t="s">
        <v>7672</v>
      </c>
      <c r="H1431" t="s">
        <v>7482</v>
      </c>
      <c r="I1431" s="5" t="s">
        <v>1564</v>
      </c>
      <c r="J1431" s="8">
        <v>1216.5999999999999</v>
      </c>
      <c r="K1431" s="5" t="s">
        <v>4</v>
      </c>
      <c r="L1431">
        <f t="shared" si="22"/>
        <v>2</v>
      </c>
    </row>
    <row r="1432" spans="1:12" x14ac:dyDescent="0.25">
      <c r="A1432" s="5">
        <v>46706</v>
      </c>
      <c r="B1432" t="s">
        <v>10754</v>
      </c>
      <c r="C1432" s="5" t="s">
        <v>7516</v>
      </c>
      <c r="D1432" t="s">
        <v>10755</v>
      </c>
      <c r="E1432" s="5" t="s">
        <v>1813</v>
      </c>
      <c r="F1432" s="6">
        <v>46066.371527777781</v>
      </c>
      <c r="G1432" s="5" t="s">
        <v>7456</v>
      </c>
      <c r="H1432" s="5" t="s">
        <v>10756</v>
      </c>
      <c r="I1432" s="5" t="s">
        <v>1535</v>
      </c>
      <c r="J1432" s="8">
        <v>578</v>
      </c>
      <c r="K1432" s="5" t="s">
        <v>4</v>
      </c>
      <c r="L1432">
        <f t="shared" si="22"/>
        <v>2</v>
      </c>
    </row>
    <row r="1433" spans="1:12" x14ac:dyDescent="0.25">
      <c r="A1433" s="5">
        <v>46707</v>
      </c>
      <c r="B1433" t="s">
        <v>8965</v>
      </c>
      <c r="C1433" s="5" t="s">
        <v>9154</v>
      </c>
      <c r="D1433" t="s">
        <v>8966</v>
      </c>
      <c r="E1433" s="5" t="s">
        <v>1532</v>
      </c>
      <c r="F1433" s="6">
        <v>46066.377083333333</v>
      </c>
      <c r="G1433" s="5" t="s">
        <v>7595</v>
      </c>
      <c r="H1433" t="s">
        <v>7482</v>
      </c>
      <c r="I1433" s="5" t="s">
        <v>1535</v>
      </c>
      <c r="J1433" s="8">
        <v>495</v>
      </c>
      <c r="K1433" s="5" t="s">
        <v>4</v>
      </c>
      <c r="L1433">
        <f t="shared" si="22"/>
        <v>2</v>
      </c>
    </row>
    <row r="1434" spans="1:12" x14ac:dyDescent="0.25">
      <c r="A1434" s="5">
        <v>46708</v>
      </c>
      <c r="B1434" t="s">
        <v>10757</v>
      </c>
      <c r="C1434" s="5" t="s">
        <v>10758</v>
      </c>
      <c r="D1434" t="s">
        <v>10759</v>
      </c>
      <c r="E1434" s="5" t="s">
        <v>10760</v>
      </c>
      <c r="F1434" s="6">
        <v>46066.393055555556</v>
      </c>
      <c r="G1434" s="5" t="s">
        <v>7672</v>
      </c>
      <c r="H1434" t="s">
        <v>7482</v>
      </c>
      <c r="I1434" s="5" t="s">
        <v>1564</v>
      </c>
      <c r="J1434" s="8">
        <v>997</v>
      </c>
      <c r="K1434" s="5" t="s">
        <v>4</v>
      </c>
      <c r="L1434">
        <f t="shared" si="22"/>
        <v>2</v>
      </c>
    </row>
    <row r="1435" spans="1:12" x14ac:dyDescent="0.25">
      <c r="A1435" s="5">
        <v>46709</v>
      </c>
      <c r="B1435" t="s">
        <v>9968</v>
      </c>
      <c r="C1435" s="5" t="s">
        <v>9969</v>
      </c>
      <c r="D1435" t="s">
        <v>9970</v>
      </c>
      <c r="E1435" s="5" t="s">
        <v>1548</v>
      </c>
      <c r="F1435" s="6">
        <v>46066.393055555556</v>
      </c>
      <c r="G1435" s="5" t="s">
        <v>7456</v>
      </c>
      <c r="H1435" s="5" t="s">
        <v>10761</v>
      </c>
      <c r="I1435" s="5" t="s">
        <v>1535</v>
      </c>
      <c r="J1435" s="8">
        <v>13</v>
      </c>
      <c r="K1435" s="5" t="s">
        <v>4</v>
      </c>
      <c r="L1435">
        <f t="shared" si="22"/>
        <v>2</v>
      </c>
    </row>
    <row r="1436" spans="1:12" x14ac:dyDescent="0.25">
      <c r="A1436" s="5">
        <v>46710</v>
      </c>
      <c r="B1436" t="s">
        <v>10762</v>
      </c>
      <c r="C1436" s="5" t="s">
        <v>10763</v>
      </c>
      <c r="D1436" t="s">
        <v>10764</v>
      </c>
      <c r="E1436" s="5" t="s">
        <v>2118</v>
      </c>
      <c r="F1436" s="6">
        <v>46066.420138888891</v>
      </c>
      <c r="G1436" s="5" t="s">
        <v>7672</v>
      </c>
      <c r="H1436" t="s">
        <v>7482</v>
      </c>
      <c r="I1436" s="5" t="s">
        <v>1564</v>
      </c>
      <c r="J1436" s="8">
        <v>153</v>
      </c>
      <c r="K1436" s="5" t="s">
        <v>4</v>
      </c>
      <c r="L1436">
        <f t="shared" si="22"/>
        <v>2</v>
      </c>
    </row>
    <row r="1437" spans="1:12" x14ac:dyDescent="0.25">
      <c r="A1437" s="5">
        <v>46712</v>
      </c>
      <c r="B1437" t="s">
        <v>10765</v>
      </c>
      <c r="C1437" s="5" t="s">
        <v>10766</v>
      </c>
      <c r="D1437" t="s">
        <v>10767</v>
      </c>
      <c r="E1437" s="5" t="s">
        <v>2020</v>
      </c>
      <c r="F1437" s="6">
        <v>46066.443055555559</v>
      </c>
      <c r="G1437" s="5" t="s">
        <v>7672</v>
      </c>
      <c r="H1437" t="s">
        <v>7482</v>
      </c>
      <c r="I1437" s="5" t="s">
        <v>1564</v>
      </c>
      <c r="J1437" s="8">
        <v>1221.5</v>
      </c>
      <c r="K1437" s="5" t="s">
        <v>4</v>
      </c>
      <c r="L1437">
        <f t="shared" si="22"/>
        <v>2</v>
      </c>
    </row>
    <row r="1438" spans="1:12" x14ac:dyDescent="0.25">
      <c r="A1438" s="5">
        <v>46713</v>
      </c>
      <c r="B1438" t="s">
        <v>10768</v>
      </c>
      <c r="C1438" s="5" t="s">
        <v>7580</v>
      </c>
      <c r="D1438" t="s">
        <v>10769</v>
      </c>
      <c r="E1438" s="5" t="s">
        <v>1548</v>
      </c>
      <c r="F1438" s="6">
        <v>46066.474999999999</v>
      </c>
      <c r="G1438" s="5" t="s">
        <v>7456</v>
      </c>
      <c r="H1438" t="s">
        <v>7482</v>
      </c>
      <c r="I1438" s="5" t="s">
        <v>1564</v>
      </c>
      <c r="J1438" s="8">
        <v>242</v>
      </c>
      <c r="K1438" s="5" t="s">
        <v>4</v>
      </c>
      <c r="L1438">
        <f t="shared" si="22"/>
        <v>2</v>
      </c>
    </row>
    <row r="1439" spans="1:12" x14ac:dyDescent="0.25">
      <c r="A1439" s="5">
        <v>46714</v>
      </c>
      <c r="B1439" t="s">
        <v>9060</v>
      </c>
      <c r="C1439" s="5" t="s">
        <v>1482</v>
      </c>
      <c r="D1439" t="s">
        <v>9061</v>
      </c>
      <c r="E1439" s="5" t="s">
        <v>1770</v>
      </c>
      <c r="F1439" s="6">
        <v>46066.513194444444</v>
      </c>
      <c r="G1439" s="5" t="s">
        <v>7456</v>
      </c>
      <c r="H1439" s="5" t="s">
        <v>10770</v>
      </c>
      <c r="I1439" s="5" t="s">
        <v>1564</v>
      </c>
      <c r="J1439" s="8">
        <v>125</v>
      </c>
      <c r="K1439" s="5" t="s">
        <v>4</v>
      </c>
      <c r="L1439">
        <f t="shared" si="22"/>
        <v>2</v>
      </c>
    </row>
    <row r="1440" spans="1:12" x14ac:dyDescent="0.25">
      <c r="A1440" s="5">
        <v>46715</v>
      </c>
      <c r="B1440" t="s">
        <v>10771</v>
      </c>
      <c r="C1440" s="5" t="s">
        <v>10772</v>
      </c>
      <c r="D1440" t="s">
        <v>10773</v>
      </c>
      <c r="E1440" s="5" t="s">
        <v>1813</v>
      </c>
      <c r="F1440" s="6">
        <v>46066.554861111108</v>
      </c>
      <c r="G1440" s="5" t="s">
        <v>7595</v>
      </c>
      <c r="H1440" t="s">
        <v>7482</v>
      </c>
      <c r="I1440" s="5" t="s">
        <v>1535</v>
      </c>
      <c r="J1440" s="8">
        <v>1198.5999999999999</v>
      </c>
      <c r="K1440" s="5" t="s">
        <v>4</v>
      </c>
      <c r="L1440">
        <f t="shared" si="22"/>
        <v>2</v>
      </c>
    </row>
    <row r="1441" spans="1:12" x14ac:dyDescent="0.25">
      <c r="A1441" s="5">
        <v>46716</v>
      </c>
      <c r="B1441" t="s">
        <v>7904</v>
      </c>
      <c r="C1441" s="5" t="s">
        <v>7905</v>
      </c>
      <c r="D1441" t="s">
        <v>7906</v>
      </c>
      <c r="E1441" s="5" t="s">
        <v>1532</v>
      </c>
      <c r="F1441" s="6">
        <v>46066.556944444441</v>
      </c>
      <c r="G1441" s="5" t="s">
        <v>7595</v>
      </c>
      <c r="H1441" t="s">
        <v>7482</v>
      </c>
      <c r="I1441" s="5" t="s">
        <v>1535</v>
      </c>
      <c r="J1441" s="8">
        <v>262.5</v>
      </c>
      <c r="K1441" s="5" t="s">
        <v>4</v>
      </c>
      <c r="L1441">
        <f t="shared" si="22"/>
        <v>2</v>
      </c>
    </row>
    <row r="1442" spans="1:12" x14ac:dyDescent="0.25">
      <c r="A1442" s="5">
        <v>46717</v>
      </c>
      <c r="B1442" t="s">
        <v>10774</v>
      </c>
      <c r="C1442" s="5" t="s">
        <v>10775</v>
      </c>
      <c r="D1442" t="s">
        <v>10776</v>
      </c>
      <c r="E1442" s="5" t="s">
        <v>1532</v>
      </c>
      <c r="F1442" s="6">
        <v>46066.561805555553</v>
      </c>
      <c r="G1442" s="5" t="s">
        <v>7456</v>
      </c>
      <c r="H1442" s="5" t="s">
        <v>10777</v>
      </c>
      <c r="I1442" s="5" t="s">
        <v>1535</v>
      </c>
      <c r="J1442" s="8">
        <v>161.9</v>
      </c>
      <c r="K1442" s="5" t="s">
        <v>4</v>
      </c>
      <c r="L1442">
        <f t="shared" si="22"/>
        <v>2</v>
      </c>
    </row>
    <row r="1443" spans="1:12" x14ac:dyDescent="0.25">
      <c r="A1443" s="5">
        <v>46719</v>
      </c>
      <c r="B1443" t="s">
        <v>10778</v>
      </c>
      <c r="C1443" s="5" t="s">
        <v>10779</v>
      </c>
      <c r="D1443" t="s">
        <v>10780</v>
      </c>
      <c r="E1443" s="5" t="s">
        <v>4564</v>
      </c>
      <c r="F1443" s="6">
        <v>46066.61041666667</v>
      </c>
      <c r="G1443" s="5" t="s">
        <v>7456</v>
      </c>
      <c r="H1443" s="5" t="s">
        <v>10781</v>
      </c>
      <c r="I1443" s="5" t="s">
        <v>1564</v>
      </c>
      <c r="J1443" s="8">
        <v>188.35</v>
      </c>
      <c r="K1443" s="5" t="s">
        <v>4</v>
      </c>
      <c r="L1443">
        <f t="shared" si="22"/>
        <v>2</v>
      </c>
    </row>
    <row r="1444" spans="1:12" x14ac:dyDescent="0.25">
      <c r="A1444" s="5">
        <v>46720</v>
      </c>
      <c r="B1444" t="s">
        <v>10132</v>
      </c>
      <c r="C1444" s="5" t="s">
        <v>7516</v>
      </c>
      <c r="D1444" t="s">
        <v>10133</v>
      </c>
      <c r="E1444" s="5" t="s">
        <v>5295</v>
      </c>
      <c r="F1444" s="6">
        <v>46066.618750000001</v>
      </c>
      <c r="G1444" s="5" t="s">
        <v>7456</v>
      </c>
      <c r="H1444" s="5" t="s">
        <v>10782</v>
      </c>
      <c r="I1444" s="5" t="s">
        <v>1564</v>
      </c>
      <c r="J1444" s="8">
        <v>135</v>
      </c>
      <c r="K1444" s="5" t="s">
        <v>4</v>
      </c>
      <c r="L1444">
        <f t="shared" si="22"/>
        <v>2</v>
      </c>
    </row>
    <row r="1445" spans="1:12" x14ac:dyDescent="0.25">
      <c r="A1445" s="5">
        <v>46721</v>
      </c>
      <c r="B1445" t="s">
        <v>10783</v>
      </c>
      <c r="C1445" s="5" t="s">
        <v>10784</v>
      </c>
      <c r="D1445" t="s">
        <v>10785</v>
      </c>
      <c r="E1445" s="5" t="s">
        <v>1813</v>
      </c>
      <c r="F1445" s="6">
        <v>46066.626388888886</v>
      </c>
      <c r="G1445" s="5" t="s">
        <v>7595</v>
      </c>
      <c r="H1445" t="s">
        <v>7482</v>
      </c>
      <c r="I1445" s="5" t="s">
        <v>1535</v>
      </c>
      <c r="J1445" s="8">
        <v>872</v>
      </c>
      <c r="K1445" s="5" t="s">
        <v>4</v>
      </c>
      <c r="L1445">
        <f t="shared" si="22"/>
        <v>2</v>
      </c>
    </row>
    <row r="1446" spans="1:12" x14ac:dyDescent="0.25">
      <c r="A1446" s="5">
        <v>46722</v>
      </c>
      <c r="B1446" t="s">
        <v>10786</v>
      </c>
      <c r="C1446" s="5" t="s">
        <v>7516</v>
      </c>
      <c r="D1446" t="s">
        <v>10787</v>
      </c>
      <c r="E1446" s="5" t="s">
        <v>2273</v>
      </c>
      <c r="F1446" s="6">
        <v>46066.626388888886</v>
      </c>
      <c r="G1446" s="5" t="s">
        <v>7456</v>
      </c>
      <c r="H1446" s="5" t="s">
        <v>10788</v>
      </c>
      <c r="I1446" s="5" t="s">
        <v>1564</v>
      </c>
      <c r="J1446" s="8">
        <v>855</v>
      </c>
      <c r="K1446" s="5" t="s">
        <v>4</v>
      </c>
      <c r="L1446">
        <f t="shared" si="22"/>
        <v>2</v>
      </c>
    </row>
    <row r="1447" spans="1:12" x14ac:dyDescent="0.25">
      <c r="A1447" s="5">
        <v>46723</v>
      </c>
      <c r="B1447" t="s">
        <v>10789</v>
      </c>
      <c r="C1447" s="5" t="s">
        <v>7516</v>
      </c>
      <c r="D1447" t="s">
        <v>10790</v>
      </c>
      <c r="E1447" s="5" t="s">
        <v>3105</v>
      </c>
      <c r="F1447" s="6">
        <v>46066.647916666669</v>
      </c>
      <c r="G1447" s="5" t="s">
        <v>7456</v>
      </c>
      <c r="H1447" s="5" t="s">
        <v>10791</v>
      </c>
      <c r="I1447" s="5" t="s">
        <v>1535</v>
      </c>
      <c r="J1447" s="8">
        <v>420</v>
      </c>
      <c r="K1447" s="5" t="s">
        <v>4</v>
      </c>
      <c r="L1447">
        <f t="shared" si="22"/>
        <v>2</v>
      </c>
    </row>
    <row r="1448" spans="1:12" x14ac:dyDescent="0.25">
      <c r="A1448" s="5">
        <v>46724</v>
      </c>
      <c r="B1448" t="s">
        <v>10792</v>
      </c>
      <c r="C1448" s="5" t="s">
        <v>10793</v>
      </c>
      <c r="D1448" t="s">
        <v>10794</v>
      </c>
      <c r="E1448" s="5" t="s">
        <v>1770</v>
      </c>
      <c r="F1448" s="6">
        <v>46066.65625</v>
      </c>
      <c r="G1448" s="5" t="s">
        <v>7672</v>
      </c>
      <c r="H1448" t="s">
        <v>7482</v>
      </c>
      <c r="I1448" s="5" t="s">
        <v>1564</v>
      </c>
      <c r="J1448" s="8">
        <v>785</v>
      </c>
      <c r="K1448" s="5" t="s">
        <v>4</v>
      </c>
      <c r="L1448">
        <f t="shared" si="22"/>
        <v>2</v>
      </c>
    </row>
    <row r="1449" spans="1:12" x14ac:dyDescent="0.25">
      <c r="A1449" s="5">
        <v>46726</v>
      </c>
      <c r="B1449" t="s">
        <v>10795</v>
      </c>
      <c r="C1449" s="5" t="s">
        <v>10796</v>
      </c>
      <c r="D1449" t="s">
        <v>7644</v>
      </c>
      <c r="E1449" s="5" t="s">
        <v>1813</v>
      </c>
      <c r="F1449" s="6">
        <v>46066.660416666666</v>
      </c>
      <c r="G1449" s="5" t="s">
        <v>7456</v>
      </c>
      <c r="H1449" s="5" t="s">
        <v>10797</v>
      </c>
      <c r="I1449" s="5" t="s">
        <v>1535</v>
      </c>
      <c r="J1449" s="8">
        <v>256</v>
      </c>
      <c r="K1449" s="5" t="s">
        <v>4</v>
      </c>
      <c r="L1449">
        <f t="shared" si="22"/>
        <v>2</v>
      </c>
    </row>
    <row r="1450" spans="1:12" x14ac:dyDescent="0.25">
      <c r="A1450" s="5">
        <v>46729</v>
      </c>
      <c r="B1450" t="s">
        <v>8965</v>
      </c>
      <c r="C1450" s="5" t="s">
        <v>8082</v>
      </c>
      <c r="D1450" t="s">
        <v>8966</v>
      </c>
      <c r="E1450" s="5" t="s">
        <v>3073</v>
      </c>
      <c r="F1450" s="6">
        <v>46066.664583333331</v>
      </c>
      <c r="G1450" s="5" t="s">
        <v>7456</v>
      </c>
      <c r="H1450" s="5" t="s">
        <v>10798</v>
      </c>
      <c r="I1450" s="5" t="s">
        <v>1535</v>
      </c>
      <c r="J1450" s="8">
        <v>428</v>
      </c>
      <c r="K1450" s="5" t="s">
        <v>4</v>
      </c>
      <c r="L1450">
        <f t="shared" si="22"/>
        <v>2</v>
      </c>
    </row>
    <row r="1451" spans="1:12" x14ac:dyDescent="0.25">
      <c r="A1451" s="5">
        <v>46730</v>
      </c>
      <c r="B1451" t="s">
        <v>10799</v>
      </c>
      <c r="C1451" s="5" t="s">
        <v>10800</v>
      </c>
      <c r="D1451" t="s">
        <v>10801</v>
      </c>
      <c r="E1451" s="5" t="s">
        <v>1738</v>
      </c>
      <c r="F1451" s="6">
        <v>46066.665972222225</v>
      </c>
      <c r="G1451" s="5" t="s">
        <v>7672</v>
      </c>
      <c r="H1451" t="s">
        <v>7482</v>
      </c>
      <c r="I1451" s="5" t="s">
        <v>1564</v>
      </c>
      <c r="J1451" s="8">
        <v>163</v>
      </c>
      <c r="K1451" s="5" t="s">
        <v>4</v>
      </c>
      <c r="L1451">
        <f t="shared" si="22"/>
        <v>2</v>
      </c>
    </row>
    <row r="1452" spans="1:12" x14ac:dyDescent="0.25">
      <c r="A1452" s="5">
        <v>46732</v>
      </c>
      <c r="B1452" t="s">
        <v>8965</v>
      </c>
      <c r="C1452" s="5" t="s">
        <v>8082</v>
      </c>
      <c r="D1452" t="s">
        <v>8966</v>
      </c>
      <c r="E1452" s="5" t="s">
        <v>2144</v>
      </c>
      <c r="F1452" s="6">
        <v>46066.671527777777</v>
      </c>
      <c r="G1452" s="5" t="s">
        <v>7456</v>
      </c>
      <c r="H1452" s="5" t="s">
        <v>10802</v>
      </c>
      <c r="I1452" s="5" t="s">
        <v>1535</v>
      </c>
      <c r="J1452" s="8">
        <v>1000</v>
      </c>
      <c r="K1452" s="5" t="s">
        <v>4</v>
      </c>
      <c r="L1452">
        <f t="shared" si="22"/>
        <v>2</v>
      </c>
    </row>
    <row r="1453" spans="1:12" x14ac:dyDescent="0.25">
      <c r="A1453" s="5">
        <v>46733</v>
      </c>
      <c r="B1453" t="s">
        <v>10803</v>
      </c>
      <c r="C1453" s="5" t="s">
        <v>10804</v>
      </c>
      <c r="D1453" t="s">
        <v>10805</v>
      </c>
      <c r="E1453" s="5" t="s">
        <v>5417</v>
      </c>
      <c r="F1453" s="6">
        <v>46066.674305555556</v>
      </c>
      <c r="G1453" s="5" t="s">
        <v>7456</v>
      </c>
      <c r="H1453" s="5" t="s">
        <v>10806</v>
      </c>
      <c r="I1453" s="5" t="s">
        <v>1564</v>
      </c>
      <c r="J1453" s="8">
        <v>130</v>
      </c>
      <c r="K1453" s="5" t="s">
        <v>4</v>
      </c>
      <c r="L1453">
        <f t="shared" si="22"/>
        <v>2</v>
      </c>
    </row>
    <row r="1454" spans="1:12" x14ac:dyDescent="0.25">
      <c r="A1454" s="5">
        <v>46734</v>
      </c>
      <c r="B1454" t="s">
        <v>10807</v>
      </c>
      <c r="C1454" s="5" t="s">
        <v>10808</v>
      </c>
      <c r="D1454" t="s">
        <v>10809</v>
      </c>
      <c r="E1454" s="5" t="s">
        <v>4013</v>
      </c>
      <c r="F1454" s="6">
        <v>46066.690972222219</v>
      </c>
      <c r="G1454" s="5" t="s">
        <v>7456</v>
      </c>
      <c r="H1454" s="5" t="s">
        <v>10810</v>
      </c>
      <c r="I1454" s="5" t="s">
        <v>1564</v>
      </c>
      <c r="J1454" s="8">
        <v>257</v>
      </c>
      <c r="K1454" s="5" t="s">
        <v>4</v>
      </c>
      <c r="L1454">
        <f t="shared" si="22"/>
        <v>2</v>
      </c>
    </row>
    <row r="1455" spans="1:12" x14ac:dyDescent="0.25">
      <c r="A1455" s="5">
        <v>46735</v>
      </c>
      <c r="B1455" t="s">
        <v>10811</v>
      </c>
      <c r="C1455" s="5" t="s">
        <v>840</v>
      </c>
      <c r="D1455" t="s">
        <v>10812</v>
      </c>
      <c r="E1455" s="5" t="s">
        <v>6259</v>
      </c>
      <c r="F1455" s="6">
        <v>46066.690972222219</v>
      </c>
      <c r="G1455" s="5" t="s">
        <v>7456</v>
      </c>
      <c r="H1455" s="5" t="s">
        <v>10813</v>
      </c>
      <c r="I1455" s="5" t="s">
        <v>1621</v>
      </c>
      <c r="J1455" s="8">
        <v>77</v>
      </c>
      <c r="K1455" s="5" t="s">
        <v>4</v>
      </c>
      <c r="L1455">
        <f t="shared" si="22"/>
        <v>2</v>
      </c>
    </row>
    <row r="1456" spans="1:12" x14ac:dyDescent="0.25">
      <c r="A1456" s="5">
        <v>46743</v>
      </c>
      <c r="B1456" t="s">
        <v>10814</v>
      </c>
      <c r="C1456" s="5" t="s">
        <v>10815</v>
      </c>
      <c r="D1456" t="s">
        <v>10816</v>
      </c>
      <c r="E1456" s="5" t="s">
        <v>6601</v>
      </c>
      <c r="F1456" s="6">
        <v>46069.568749999999</v>
      </c>
      <c r="G1456" s="5" t="s">
        <v>7456</v>
      </c>
      <c r="H1456" s="5" t="s">
        <v>10817</v>
      </c>
      <c r="I1456" s="5" t="s">
        <v>1621</v>
      </c>
      <c r="J1456" s="8">
        <v>56.62</v>
      </c>
      <c r="K1456" s="5" t="s">
        <v>4</v>
      </c>
      <c r="L1456">
        <f t="shared" si="22"/>
        <v>2</v>
      </c>
    </row>
    <row r="1457" spans="1:12" x14ac:dyDescent="0.25">
      <c r="A1457" s="5">
        <v>46744</v>
      </c>
      <c r="B1457" t="s">
        <v>10818</v>
      </c>
      <c r="C1457" s="5" t="s">
        <v>10819</v>
      </c>
      <c r="D1457" t="s">
        <v>10820</v>
      </c>
      <c r="E1457" s="5" t="s">
        <v>6443</v>
      </c>
      <c r="F1457" s="6">
        <v>46069.578472222223</v>
      </c>
      <c r="G1457" s="5" t="s">
        <v>7456</v>
      </c>
      <c r="H1457" s="5" t="s">
        <v>10821</v>
      </c>
      <c r="I1457" s="5" t="s">
        <v>1621</v>
      </c>
      <c r="J1457" s="8">
        <v>66</v>
      </c>
      <c r="K1457" s="5" t="s">
        <v>4</v>
      </c>
      <c r="L1457">
        <f t="shared" si="22"/>
        <v>2</v>
      </c>
    </row>
    <row r="1458" spans="1:12" x14ac:dyDescent="0.25">
      <c r="A1458" s="5">
        <v>46745</v>
      </c>
      <c r="B1458" t="s">
        <v>10822</v>
      </c>
      <c r="C1458" s="5" t="s">
        <v>861</v>
      </c>
      <c r="D1458" t="s">
        <v>10823</v>
      </c>
      <c r="E1458" s="5" t="s">
        <v>6661</v>
      </c>
      <c r="F1458" s="6">
        <v>46069.582638888889</v>
      </c>
      <c r="G1458" s="5" t="s">
        <v>7456</v>
      </c>
      <c r="H1458" s="5" t="s">
        <v>10824</v>
      </c>
      <c r="I1458" s="5" t="s">
        <v>1621</v>
      </c>
      <c r="J1458" s="8">
        <v>52.58</v>
      </c>
      <c r="K1458" s="5" t="s">
        <v>4</v>
      </c>
      <c r="L1458">
        <f t="shared" si="22"/>
        <v>2</v>
      </c>
    </row>
    <row r="1459" spans="1:12" x14ac:dyDescent="0.25">
      <c r="A1459" s="5">
        <v>46746</v>
      </c>
      <c r="B1459" t="s">
        <v>10825</v>
      </c>
      <c r="C1459" s="5" t="s">
        <v>10826</v>
      </c>
      <c r="D1459" t="s">
        <v>10827</v>
      </c>
      <c r="E1459" s="5" t="s">
        <v>6356</v>
      </c>
      <c r="F1459" s="6">
        <v>46070.577777777777</v>
      </c>
      <c r="G1459" s="5" t="s">
        <v>7456</v>
      </c>
      <c r="H1459" s="5" t="s">
        <v>10828</v>
      </c>
      <c r="I1459" s="5" t="s">
        <v>1621</v>
      </c>
      <c r="J1459" s="8">
        <v>71.349999999999994</v>
      </c>
      <c r="K1459" s="5" t="s">
        <v>4</v>
      </c>
      <c r="L1459">
        <f t="shared" si="22"/>
        <v>2</v>
      </c>
    </row>
    <row r="1460" spans="1:12" x14ac:dyDescent="0.25">
      <c r="A1460" s="5">
        <v>46747</v>
      </c>
      <c r="B1460" t="s">
        <v>10829</v>
      </c>
      <c r="C1460" s="5" t="s">
        <v>778</v>
      </c>
      <c r="D1460" t="s">
        <v>10830</v>
      </c>
      <c r="E1460" s="5" t="s">
        <v>6165</v>
      </c>
      <c r="F1460" s="6">
        <v>46070.588194444441</v>
      </c>
      <c r="G1460" s="5" t="s">
        <v>7456</v>
      </c>
      <c r="H1460" s="5" t="s">
        <v>10831</v>
      </c>
      <c r="I1460" s="5" t="s">
        <v>1621</v>
      </c>
      <c r="J1460" s="8">
        <v>83.24</v>
      </c>
      <c r="K1460" s="5" t="s">
        <v>4</v>
      </c>
      <c r="L1460">
        <f t="shared" si="22"/>
        <v>2</v>
      </c>
    </row>
    <row r="1461" spans="1:12" x14ac:dyDescent="0.25">
      <c r="A1461" s="5">
        <v>46748</v>
      </c>
      <c r="B1461" t="s">
        <v>10832</v>
      </c>
      <c r="C1461" s="5" t="s">
        <v>350</v>
      </c>
      <c r="D1461" t="s">
        <v>10833</v>
      </c>
      <c r="E1461" s="5" t="s">
        <v>6967</v>
      </c>
      <c r="F1461" s="6">
        <v>46070.595138888886</v>
      </c>
      <c r="G1461" s="5" t="s">
        <v>7456</v>
      </c>
      <c r="H1461" s="5" t="s">
        <v>10834</v>
      </c>
      <c r="I1461" s="5" t="s">
        <v>1621</v>
      </c>
      <c r="J1461" s="8">
        <v>36.700000000000003</v>
      </c>
      <c r="K1461" s="5" t="s">
        <v>4</v>
      </c>
      <c r="L1461">
        <f t="shared" si="22"/>
        <v>2</v>
      </c>
    </row>
    <row r="1462" spans="1:12" x14ac:dyDescent="0.25">
      <c r="A1462" s="5">
        <v>46750</v>
      </c>
      <c r="B1462" t="s">
        <v>10835</v>
      </c>
      <c r="C1462" s="5" t="s">
        <v>7560</v>
      </c>
      <c r="D1462" t="s">
        <v>10836</v>
      </c>
      <c r="E1462" s="5" t="s">
        <v>1567</v>
      </c>
      <c r="F1462" s="6">
        <v>46071.374305555553</v>
      </c>
      <c r="G1462" s="5" t="s">
        <v>7456</v>
      </c>
      <c r="H1462" s="5" t="s">
        <v>10837</v>
      </c>
      <c r="I1462" s="5" t="s">
        <v>1564</v>
      </c>
      <c r="J1462" s="8">
        <v>7391</v>
      </c>
      <c r="K1462" s="5" t="s">
        <v>4</v>
      </c>
      <c r="L1462">
        <f t="shared" si="22"/>
        <v>2</v>
      </c>
    </row>
    <row r="1463" spans="1:12" x14ac:dyDescent="0.25">
      <c r="A1463" s="5">
        <v>46751</v>
      </c>
      <c r="B1463" t="s">
        <v>10838</v>
      </c>
      <c r="C1463" s="5" t="s">
        <v>10839</v>
      </c>
      <c r="D1463" t="s">
        <v>10840</v>
      </c>
      <c r="E1463" s="5" t="s">
        <v>1738</v>
      </c>
      <c r="F1463" s="6">
        <v>46071.390277777777</v>
      </c>
      <c r="G1463" s="5" t="s">
        <v>7672</v>
      </c>
      <c r="H1463" t="s">
        <v>7482</v>
      </c>
      <c r="I1463" s="5" t="s">
        <v>1564</v>
      </c>
      <c r="J1463" s="8">
        <v>7365</v>
      </c>
      <c r="K1463" s="5" t="s">
        <v>4</v>
      </c>
      <c r="L1463">
        <f t="shared" si="22"/>
        <v>2</v>
      </c>
    </row>
    <row r="1464" spans="1:12" x14ac:dyDescent="0.25">
      <c r="A1464" s="5">
        <v>46752</v>
      </c>
      <c r="B1464" t="s">
        <v>10841</v>
      </c>
      <c r="C1464" s="5" t="s">
        <v>1324</v>
      </c>
      <c r="D1464" t="s">
        <v>10842</v>
      </c>
      <c r="E1464" s="5" t="s">
        <v>1770</v>
      </c>
      <c r="F1464" s="6">
        <v>46071.426388888889</v>
      </c>
      <c r="G1464" s="5" t="s">
        <v>7456</v>
      </c>
      <c r="H1464" s="5" t="s">
        <v>10843</v>
      </c>
      <c r="I1464" s="5" t="s">
        <v>1564</v>
      </c>
      <c r="J1464" s="8">
        <v>100</v>
      </c>
      <c r="K1464" s="5" t="s">
        <v>4</v>
      </c>
      <c r="L1464">
        <f t="shared" si="22"/>
        <v>2</v>
      </c>
    </row>
    <row r="1465" spans="1:12" x14ac:dyDescent="0.25">
      <c r="A1465" s="5">
        <v>46753</v>
      </c>
      <c r="B1465" t="s">
        <v>10844</v>
      </c>
      <c r="C1465" s="5" t="s">
        <v>10845</v>
      </c>
      <c r="D1465" t="s">
        <v>10846</v>
      </c>
      <c r="E1465" s="5" t="s">
        <v>1738</v>
      </c>
      <c r="F1465" s="6">
        <v>46071.429166666669</v>
      </c>
      <c r="G1465" s="5" t="s">
        <v>7672</v>
      </c>
      <c r="H1465" t="s">
        <v>7482</v>
      </c>
      <c r="I1465" s="5" t="s">
        <v>1564</v>
      </c>
      <c r="J1465" s="8">
        <v>3062.4</v>
      </c>
      <c r="K1465" s="5" t="s">
        <v>4</v>
      </c>
      <c r="L1465">
        <f t="shared" si="22"/>
        <v>2</v>
      </c>
    </row>
    <row r="1466" spans="1:12" x14ac:dyDescent="0.25">
      <c r="A1466" s="5">
        <v>46754</v>
      </c>
      <c r="B1466" t="s">
        <v>10847</v>
      </c>
      <c r="C1466" s="5" t="s">
        <v>10848</v>
      </c>
      <c r="D1466" t="s">
        <v>10849</v>
      </c>
      <c r="E1466" s="5" t="s">
        <v>1813</v>
      </c>
      <c r="F1466" s="6">
        <v>46071.451388888891</v>
      </c>
      <c r="G1466" s="5" t="s">
        <v>7595</v>
      </c>
      <c r="H1466" t="s">
        <v>7482</v>
      </c>
      <c r="I1466" s="5" t="s">
        <v>1535</v>
      </c>
      <c r="J1466" s="8">
        <v>1700</v>
      </c>
      <c r="K1466" s="5" t="s">
        <v>4</v>
      </c>
      <c r="L1466">
        <f t="shared" si="22"/>
        <v>2</v>
      </c>
    </row>
    <row r="1467" spans="1:12" x14ac:dyDescent="0.25">
      <c r="A1467" s="5">
        <v>46755</v>
      </c>
      <c r="B1467" t="s">
        <v>10850</v>
      </c>
      <c r="C1467" s="5" t="s">
        <v>7516</v>
      </c>
      <c r="D1467" t="s">
        <v>10851</v>
      </c>
      <c r="E1467" s="5" t="s">
        <v>1813</v>
      </c>
      <c r="F1467" s="6">
        <v>46071.457638888889</v>
      </c>
      <c r="G1467" s="5" t="s">
        <v>7456</v>
      </c>
      <c r="H1467" s="5" t="s">
        <v>10852</v>
      </c>
      <c r="I1467" s="5" t="s">
        <v>1535</v>
      </c>
      <c r="J1467" s="8">
        <v>149.30000000000001</v>
      </c>
      <c r="K1467" s="5" t="s">
        <v>4</v>
      </c>
      <c r="L1467">
        <f t="shared" si="22"/>
        <v>2</v>
      </c>
    </row>
    <row r="1468" spans="1:12" x14ac:dyDescent="0.25">
      <c r="A1468" s="5">
        <v>46756</v>
      </c>
      <c r="B1468" t="s">
        <v>10853</v>
      </c>
      <c r="C1468" s="5" t="s">
        <v>10854</v>
      </c>
      <c r="D1468" t="s">
        <v>10855</v>
      </c>
      <c r="E1468" s="5" t="s">
        <v>3022</v>
      </c>
      <c r="F1468" s="6">
        <v>46071.463888888888</v>
      </c>
      <c r="G1468" s="5" t="s">
        <v>7595</v>
      </c>
      <c r="H1468" t="s">
        <v>7482</v>
      </c>
      <c r="I1468" s="5" t="s">
        <v>1535</v>
      </c>
      <c r="J1468" s="8">
        <v>65.599999999999994</v>
      </c>
      <c r="K1468" s="5" t="s">
        <v>4</v>
      </c>
      <c r="L1468">
        <f t="shared" si="22"/>
        <v>2</v>
      </c>
    </row>
    <row r="1469" spans="1:12" x14ac:dyDescent="0.25">
      <c r="A1469" s="5">
        <v>46757</v>
      </c>
      <c r="B1469" t="s">
        <v>10856</v>
      </c>
      <c r="C1469" s="5" t="s">
        <v>7516</v>
      </c>
      <c r="D1469" t="s">
        <v>10857</v>
      </c>
      <c r="E1469" s="5" t="s">
        <v>1813</v>
      </c>
      <c r="F1469" s="6">
        <v>46071.477777777778</v>
      </c>
      <c r="G1469" s="5" t="s">
        <v>7595</v>
      </c>
      <c r="H1469" t="s">
        <v>7482</v>
      </c>
      <c r="I1469" s="5" t="s">
        <v>1535</v>
      </c>
      <c r="J1469" s="8">
        <v>371</v>
      </c>
      <c r="K1469" s="5" t="s">
        <v>4</v>
      </c>
      <c r="L1469">
        <f t="shared" si="22"/>
        <v>2</v>
      </c>
    </row>
    <row r="1470" spans="1:12" x14ac:dyDescent="0.25">
      <c r="A1470" s="5">
        <v>46758</v>
      </c>
      <c r="B1470" t="s">
        <v>10858</v>
      </c>
      <c r="C1470" s="5" t="s">
        <v>10859</v>
      </c>
      <c r="D1470" t="s">
        <v>10860</v>
      </c>
      <c r="E1470" s="5" t="s">
        <v>1532</v>
      </c>
      <c r="F1470" s="6">
        <v>46071.479861111111</v>
      </c>
      <c r="G1470" s="5" t="s">
        <v>7456</v>
      </c>
      <c r="H1470" s="5" t="s">
        <v>10861</v>
      </c>
      <c r="I1470" s="5" t="s">
        <v>1535</v>
      </c>
      <c r="J1470" s="8">
        <v>352</v>
      </c>
      <c r="K1470" s="5" t="s">
        <v>4</v>
      </c>
      <c r="L1470">
        <f t="shared" si="22"/>
        <v>2</v>
      </c>
    </row>
    <row r="1471" spans="1:12" x14ac:dyDescent="0.25">
      <c r="A1471" s="5">
        <v>46759</v>
      </c>
      <c r="B1471" t="s">
        <v>10171</v>
      </c>
      <c r="C1471" s="5" t="s">
        <v>10172</v>
      </c>
      <c r="D1471" t="s">
        <v>10173</v>
      </c>
      <c r="E1471" s="5" t="s">
        <v>1677</v>
      </c>
      <c r="F1471" s="6">
        <v>46071.481944444444</v>
      </c>
      <c r="G1471" s="5" t="s">
        <v>7456</v>
      </c>
      <c r="H1471" s="5" t="s">
        <v>10862</v>
      </c>
      <c r="I1471" s="5" t="s">
        <v>1535</v>
      </c>
      <c r="J1471" s="8">
        <v>3042</v>
      </c>
      <c r="K1471" s="5" t="s">
        <v>4</v>
      </c>
      <c r="L1471">
        <f t="shared" si="22"/>
        <v>2</v>
      </c>
    </row>
    <row r="1472" spans="1:12" x14ac:dyDescent="0.25">
      <c r="A1472" s="5">
        <v>46760</v>
      </c>
      <c r="B1472" t="s">
        <v>10863</v>
      </c>
      <c r="C1472" s="5" t="s">
        <v>1407</v>
      </c>
      <c r="D1472" t="s">
        <v>10864</v>
      </c>
      <c r="E1472" s="5" t="s">
        <v>1759</v>
      </c>
      <c r="F1472" s="6">
        <v>46071.511111111111</v>
      </c>
      <c r="G1472" s="5" t="s">
        <v>7456</v>
      </c>
      <c r="H1472" s="5" t="s">
        <v>10865</v>
      </c>
      <c r="I1472" s="5" t="s">
        <v>1564</v>
      </c>
      <c r="J1472" s="8">
        <v>155</v>
      </c>
      <c r="K1472" s="5" t="s">
        <v>4</v>
      </c>
      <c r="L1472">
        <f t="shared" si="22"/>
        <v>2</v>
      </c>
    </row>
    <row r="1473" spans="1:12" x14ac:dyDescent="0.25">
      <c r="A1473" s="5">
        <v>46761</v>
      </c>
      <c r="B1473" t="s">
        <v>10866</v>
      </c>
      <c r="C1473" s="5" t="s">
        <v>10867</v>
      </c>
      <c r="D1473" t="s">
        <v>10868</v>
      </c>
      <c r="E1473" s="5" t="s">
        <v>1770</v>
      </c>
      <c r="F1473" s="6">
        <v>46071.515972222223</v>
      </c>
      <c r="G1473" s="5" t="s">
        <v>7456</v>
      </c>
      <c r="H1473" s="5" t="s">
        <v>10869</v>
      </c>
      <c r="I1473" s="5" t="s">
        <v>1564</v>
      </c>
      <c r="J1473" s="8">
        <v>124.5</v>
      </c>
      <c r="K1473" s="5" t="s">
        <v>4</v>
      </c>
      <c r="L1473">
        <f t="shared" si="22"/>
        <v>2</v>
      </c>
    </row>
    <row r="1474" spans="1:12" x14ac:dyDescent="0.25">
      <c r="A1474" s="5">
        <v>46762</v>
      </c>
      <c r="B1474" t="s">
        <v>10870</v>
      </c>
      <c r="C1474" s="5" t="s">
        <v>10871</v>
      </c>
      <c r="D1474" t="s">
        <v>10872</v>
      </c>
      <c r="E1474" s="5" t="s">
        <v>1738</v>
      </c>
      <c r="F1474" s="6">
        <v>46071.521527777775</v>
      </c>
      <c r="G1474" s="5" t="s">
        <v>7456</v>
      </c>
      <c r="H1474" s="5" t="s">
        <v>10873</v>
      </c>
      <c r="I1474" s="5" t="s">
        <v>1564</v>
      </c>
      <c r="J1474" s="8">
        <v>135</v>
      </c>
      <c r="K1474" s="5" t="s">
        <v>4</v>
      </c>
      <c r="L1474">
        <f t="shared" si="22"/>
        <v>2</v>
      </c>
    </row>
    <row r="1475" spans="1:12" x14ac:dyDescent="0.25">
      <c r="A1475" s="5">
        <v>46763</v>
      </c>
      <c r="B1475" t="s">
        <v>10874</v>
      </c>
      <c r="C1475" s="5" t="s">
        <v>10875</v>
      </c>
      <c r="D1475" t="s">
        <v>10876</v>
      </c>
      <c r="E1475" s="5" t="s">
        <v>1738</v>
      </c>
      <c r="F1475" s="6">
        <v>46071.525000000001</v>
      </c>
      <c r="G1475" s="5" t="s">
        <v>7456</v>
      </c>
      <c r="H1475" s="5" t="s">
        <v>10877</v>
      </c>
      <c r="I1475" s="5" t="s">
        <v>1564</v>
      </c>
      <c r="J1475" s="8">
        <v>185</v>
      </c>
      <c r="K1475" s="5" t="s">
        <v>4</v>
      </c>
      <c r="L1475">
        <f t="shared" ref="L1475:L1538" si="23">MONTH(F1475)</f>
        <v>2</v>
      </c>
    </row>
    <row r="1476" spans="1:12" x14ac:dyDescent="0.25">
      <c r="A1476" s="5">
        <v>46764</v>
      </c>
      <c r="B1476" t="s">
        <v>10878</v>
      </c>
      <c r="C1476" s="5" t="s">
        <v>1052</v>
      </c>
      <c r="D1476" t="s">
        <v>10879</v>
      </c>
      <c r="E1476" s="5" t="s">
        <v>1532</v>
      </c>
      <c r="F1476" s="6">
        <v>46071.571527777778</v>
      </c>
      <c r="G1476" s="5" t="s">
        <v>7456</v>
      </c>
      <c r="H1476" s="5" t="s">
        <v>10880</v>
      </c>
      <c r="I1476" s="5" t="s">
        <v>1535</v>
      </c>
      <c r="J1476" s="8">
        <v>386.2</v>
      </c>
      <c r="K1476" s="5" t="s">
        <v>4</v>
      </c>
      <c r="L1476">
        <f t="shared" si="23"/>
        <v>2</v>
      </c>
    </row>
    <row r="1477" spans="1:12" x14ac:dyDescent="0.25">
      <c r="A1477" s="5">
        <v>46765</v>
      </c>
      <c r="B1477" t="s">
        <v>10881</v>
      </c>
      <c r="C1477" s="5" t="s">
        <v>7516</v>
      </c>
      <c r="D1477" t="s">
        <v>10882</v>
      </c>
      <c r="E1477" s="5" t="s">
        <v>1813</v>
      </c>
      <c r="F1477" s="6">
        <v>46071.578472222223</v>
      </c>
      <c r="G1477" s="5" t="s">
        <v>7595</v>
      </c>
      <c r="H1477" t="s">
        <v>7482</v>
      </c>
      <c r="I1477" s="5" t="s">
        <v>1535</v>
      </c>
      <c r="J1477" s="8">
        <v>354.8</v>
      </c>
      <c r="K1477" s="5" t="s">
        <v>4</v>
      </c>
      <c r="L1477">
        <f t="shared" si="23"/>
        <v>2</v>
      </c>
    </row>
    <row r="1478" spans="1:12" x14ac:dyDescent="0.25">
      <c r="A1478" s="5">
        <v>46766</v>
      </c>
      <c r="B1478" t="s">
        <v>10883</v>
      </c>
      <c r="C1478" s="5" t="s">
        <v>8857</v>
      </c>
      <c r="D1478" t="s">
        <v>10884</v>
      </c>
      <c r="E1478" s="5" t="s">
        <v>6225</v>
      </c>
      <c r="F1478" s="6">
        <v>46071.605555555558</v>
      </c>
      <c r="G1478" s="5" t="s">
        <v>7456</v>
      </c>
      <c r="H1478" s="5" t="s">
        <v>10885</v>
      </c>
      <c r="I1478" s="5" t="s">
        <v>1564</v>
      </c>
      <c r="J1478" s="8">
        <v>79.8</v>
      </c>
      <c r="K1478" s="5" t="s">
        <v>4</v>
      </c>
      <c r="L1478">
        <f t="shared" si="23"/>
        <v>2</v>
      </c>
    </row>
    <row r="1479" spans="1:12" x14ac:dyDescent="0.25">
      <c r="A1479" s="5">
        <v>46767</v>
      </c>
      <c r="B1479" t="s">
        <v>10886</v>
      </c>
      <c r="C1479" s="5" t="s">
        <v>10887</v>
      </c>
      <c r="D1479" t="s">
        <v>7644</v>
      </c>
      <c r="E1479" s="5" t="s">
        <v>4066</v>
      </c>
      <c r="F1479" s="6">
        <v>46071.634027777778</v>
      </c>
      <c r="G1479" s="5" t="s">
        <v>7456</v>
      </c>
      <c r="H1479" s="5" t="s">
        <v>10888</v>
      </c>
      <c r="I1479" s="5" t="s">
        <v>1621</v>
      </c>
      <c r="J1479" s="8">
        <v>246.98</v>
      </c>
      <c r="K1479" s="5" t="s">
        <v>4</v>
      </c>
      <c r="L1479">
        <f t="shared" si="23"/>
        <v>2</v>
      </c>
    </row>
    <row r="1480" spans="1:12" x14ac:dyDescent="0.25">
      <c r="A1480" s="5">
        <v>46768</v>
      </c>
      <c r="B1480" t="s">
        <v>10889</v>
      </c>
      <c r="C1480" s="5" t="s">
        <v>10890</v>
      </c>
      <c r="D1480" t="s">
        <v>10891</v>
      </c>
      <c r="E1480" s="5" t="s">
        <v>6664</v>
      </c>
      <c r="F1480" s="6">
        <v>46071.63958333333</v>
      </c>
      <c r="G1480" s="5" t="s">
        <v>7456</v>
      </c>
      <c r="H1480" s="5" t="s">
        <v>10892</v>
      </c>
      <c r="I1480" s="5" t="s">
        <v>1621</v>
      </c>
      <c r="J1480" s="8">
        <v>52.58</v>
      </c>
      <c r="K1480" s="5" t="s">
        <v>4</v>
      </c>
      <c r="L1480">
        <f t="shared" si="23"/>
        <v>2</v>
      </c>
    </row>
    <row r="1481" spans="1:12" x14ac:dyDescent="0.25">
      <c r="A1481" s="5">
        <v>46769</v>
      </c>
      <c r="B1481" t="s">
        <v>8965</v>
      </c>
      <c r="C1481" s="5" t="s">
        <v>9154</v>
      </c>
      <c r="D1481" t="s">
        <v>8966</v>
      </c>
      <c r="E1481" s="5" t="s">
        <v>1532</v>
      </c>
      <c r="F1481" s="6">
        <v>46071.65902777778</v>
      </c>
      <c r="G1481" s="5" t="s">
        <v>7595</v>
      </c>
      <c r="H1481" t="s">
        <v>7482</v>
      </c>
      <c r="I1481" s="5" t="s">
        <v>1535</v>
      </c>
      <c r="J1481" s="8">
        <v>244.7</v>
      </c>
      <c r="K1481" s="5" t="s">
        <v>4</v>
      </c>
      <c r="L1481">
        <f t="shared" si="23"/>
        <v>2</v>
      </c>
    </row>
    <row r="1482" spans="1:12" x14ac:dyDescent="0.25">
      <c r="A1482" s="5">
        <v>46770</v>
      </c>
      <c r="B1482" t="s">
        <v>9305</v>
      </c>
      <c r="C1482" s="5" t="s">
        <v>9306</v>
      </c>
      <c r="D1482" t="s">
        <v>9307</v>
      </c>
      <c r="E1482" s="5" t="s">
        <v>1604</v>
      </c>
      <c r="F1482" s="6">
        <v>46071.668749999997</v>
      </c>
      <c r="G1482" s="5" t="s">
        <v>7456</v>
      </c>
      <c r="H1482" s="5" t="s">
        <v>10893</v>
      </c>
      <c r="I1482" s="5" t="s">
        <v>1564</v>
      </c>
      <c r="J1482" s="8">
        <v>4788</v>
      </c>
      <c r="K1482" s="5" t="s">
        <v>4</v>
      </c>
      <c r="L1482">
        <f t="shared" si="23"/>
        <v>2</v>
      </c>
    </row>
    <row r="1483" spans="1:12" x14ac:dyDescent="0.25">
      <c r="A1483" s="5">
        <v>46771</v>
      </c>
      <c r="B1483" t="s">
        <v>10894</v>
      </c>
      <c r="C1483" s="5" t="s">
        <v>10895</v>
      </c>
      <c r="D1483" t="s">
        <v>10896</v>
      </c>
      <c r="E1483" s="5" t="s">
        <v>1770</v>
      </c>
      <c r="F1483" s="6">
        <v>46071.6875</v>
      </c>
      <c r="G1483" s="5" t="s">
        <v>7456</v>
      </c>
      <c r="H1483" s="5" t="s">
        <v>10897</v>
      </c>
      <c r="I1483" s="5" t="s">
        <v>1564</v>
      </c>
      <c r="J1483" s="8">
        <v>930</v>
      </c>
      <c r="K1483" s="5" t="s">
        <v>4</v>
      </c>
      <c r="L1483">
        <f t="shared" si="23"/>
        <v>2</v>
      </c>
    </row>
    <row r="1484" spans="1:12" x14ac:dyDescent="0.25">
      <c r="A1484" s="5">
        <v>46773</v>
      </c>
      <c r="B1484" t="s">
        <v>10898</v>
      </c>
      <c r="C1484" s="5" t="s">
        <v>422</v>
      </c>
      <c r="D1484" t="s">
        <v>10899</v>
      </c>
      <c r="E1484" s="5" t="s">
        <v>3840</v>
      </c>
      <c r="F1484" s="6">
        <v>46071.697222222225</v>
      </c>
      <c r="G1484" s="5" t="s">
        <v>7456</v>
      </c>
      <c r="H1484" s="5" t="s">
        <v>10900</v>
      </c>
      <c r="I1484" s="5" t="s">
        <v>1621</v>
      </c>
      <c r="J1484" s="8">
        <v>279.89999999999998</v>
      </c>
      <c r="K1484" s="5" t="s">
        <v>4</v>
      </c>
      <c r="L1484">
        <f t="shared" si="23"/>
        <v>2</v>
      </c>
    </row>
    <row r="1485" spans="1:12" x14ac:dyDescent="0.25">
      <c r="A1485" s="5">
        <v>46774</v>
      </c>
      <c r="B1485" t="s">
        <v>10901</v>
      </c>
      <c r="C1485" s="5" t="s">
        <v>10902</v>
      </c>
      <c r="D1485" t="s">
        <v>10903</v>
      </c>
      <c r="E1485" s="5" t="s">
        <v>1663</v>
      </c>
      <c r="F1485" s="6">
        <v>46071.704861111109</v>
      </c>
      <c r="G1485" s="5" t="s">
        <v>7456</v>
      </c>
      <c r="H1485" s="5" t="s">
        <v>10904</v>
      </c>
      <c r="I1485" s="5" t="s">
        <v>1564</v>
      </c>
      <c r="J1485" s="8">
        <v>1075</v>
      </c>
      <c r="K1485" s="5" t="s">
        <v>4</v>
      </c>
      <c r="L1485">
        <f t="shared" si="23"/>
        <v>2</v>
      </c>
    </row>
    <row r="1486" spans="1:12" x14ac:dyDescent="0.25">
      <c r="A1486" s="5">
        <v>46775</v>
      </c>
      <c r="B1486" t="s">
        <v>10905</v>
      </c>
      <c r="C1486" s="5" t="s">
        <v>10906</v>
      </c>
      <c r="D1486" t="s">
        <v>10907</v>
      </c>
      <c r="E1486" s="5" t="s">
        <v>3035</v>
      </c>
      <c r="F1486" s="6">
        <v>46071.710416666669</v>
      </c>
      <c r="G1486" s="5" t="s">
        <v>7456</v>
      </c>
      <c r="H1486" t="s">
        <v>7482</v>
      </c>
      <c r="I1486" s="5" t="s">
        <v>1564</v>
      </c>
      <c r="J1486" s="8">
        <v>194.6</v>
      </c>
      <c r="K1486" s="5" t="s">
        <v>4</v>
      </c>
      <c r="L1486">
        <f t="shared" si="23"/>
        <v>2</v>
      </c>
    </row>
    <row r="1487" spans="1:12" x14ac:dyDescent="0.25">
      <c r="A1487" s="5">
        <v>46776</v>
      </c>
      <c r="B1487" t="s">
        <v>10908</v>
      </c>
      <c r="C1487" s="5" t="s">
        <v>221</v>
      </c>
      <c r="D1487" t="s">
        <v>10909</v>
      </c>
      <c r="E1487" s="5" t="s">
        <v>6648</v>
      </c>
      <c r="F1487" s="6">
        <v>46071.708333333336</v>
      </c>
      <c r="G1487" s="5" t="s">
        <v>7456</v>
      </c>
      <c r="H1487" s="5" t="s">
        <v>10910</v>
      </c>
      <c r="I1487" s="5" t="s">
        <v>1621</v>
      </c>
      <c r="J1487" s="8">
        <v>53.13</v>
      </c>
      <c r="K1487" s="5" t="s">
        <v>4</v>
      </c>
      <c r="L1487">
        <f t="shared" si="23"/>
        <v>2</v>
      </c>
    </row>
    <row r="1488" spans="1:12" x14ac:dyDescent="0.25">
      <c r="A1488" s="5">
        <v>46777</v>
      </c>
      <c r="B1488" t="s">
        <v>10911</v>
      </c>
      <c r="C1488" s="5" t="s">
        <v>10912</v>
      </c>
      <c r="D1488" t="s">
        <v>10913</v>
      </c>
      <c r="E1488" s="5" t="s">
        <v>1813</v>
      </c>
      <c r="F1488" s="6">
        <v>46071.714583333334</v>
      </c>
      <c r="G1488" s="5" t="s">
        <v>7456</v>
      </c>
      <c r="H1488" s="5" t="s">
        <v>10914</v>
      </c>
      <c r="I1488" s="5" t="s">
        <v>1535</v>
      </c>
      <c r="J1488" s="8">
        <v>171.9</v>
      </c>
      <c r="K1488" s="5" t="s">
        <v>4</v>
      </c>
      <c r="L1488">
        <f t="shared" si="23"/>
        <v>2</v>
      </c>
    </row>
    <row r="1489" spans="1:12" x14ac:dyDescent="0.25">
      <c r="A1489" s="5">
        <v>46778</v>
      </c>
      <c r="B1489" t="s">
        <v>10161</v>
      </c>
      <c r="C1489" s="5" t="s">
        <v>7827</v>
      </c>
      <c r="D1489" t="s">
        <v>10162</v>
      </c>
      <c r="E1489" s="5" t="s">
        <v>1548</v>
      </c>
      <c r="F1489" s="6">
        <v>46071.71875</v>
      </c>
      <c r="G1489" s="5" t="s">
        <v>7456</v>
      </c>
      <c r="H1489" s="5" t="s">
        <v>10915</v>
      </c>
      <c r="I1489" s="5" t="s">
        <v>1535</v>
      </c>
      <c r="J1489" s="8">
        <v>108.5</v>
      </c>
      <c r="K1489" s="5" t="s">
        <v>4</v>
      </c>
      <c r="L1489">
        <f t="shared" si="23"/>
        <v>2</v>
      </c>
    </row>
    <row r="1490" spans="1:12" x14ac:dyDescent="0.25">
      <c r="A1490" s="5">
        <v>46780</v>
      </c>
      <c r="B1490" t="s">
        <v>10916</v>
      </c>
      <c r="C1490" s="5" t="s">
        <v>10917</v>
      </c>
      <c r="D1490" t="s">
        <v>10918</v>
      </c>
      <c r="E1490" s="5" t="s">
        <v>2718</v>
      </c>
      <c r="F1490" s="6">
        <v>46071.723611111112</v>
      </c>
      <c r="G1490" s="5" t="s">
        <v>7456</v>
      </c>
      <c r="H1490" s="5" t="s">
        <v>10919</v>
      </c>
      <c r="I1490" s="5" t="s">
        <v>1564</v>
      </c>
      <c r="J1490" s="8">
        <v>550.75</v>
      </c>
      <c r="K1490" s="5" t="s">
        <v>4</v>
      </c>
      <c r="L1490">
        <f t="shared" si="23"/>
        <v>2</v>
      </c>
    </row>
    <row r="1491" spans="1:12" x14ac:dyDescent="0.25">
      <c r="A1491" s="5">
        <v>46781</v>
      </c>
      <c r="B1491" t="s">
        <v>8706</v>
      </c>
      <c r="C1491" s="5" t="s">
        <v>8707</v>
      </c>
      <c r="D1491" t="s">
        <v>8708</v>
      </c>
      <c r="E1491" s="5" t="s">
        <v>2306</v>
      </c>
      <c r="F1491" s="6">
        <v>46071.743750000001</v>
      </c>
      <c r="G1491" s="5" t="s">
        <v>7456</v>
      </c>
      <c r="H1491" s="5" t="s">
        <v>10920</v>
      </c>
      <c r="I1491" s="5" t="s">
        <v>1564</v>
      </c>
      <c r="J1491" s="8">
        <v>19.8</v>
      </c>
      <c r="K1491" s="5" t="s">
        <v>4</v>
      </c>
      <c r="L1491">
        <f t="shared" si="23"/>
        <v>2</v>
      </c>
    </row>
    <row r="1492" spans="1:12" x14ac:dyDescent="0.25">
      <c r="A1492" s="5">
        <v>46782</v>
      </c>
      <c r="B1492" t="s">
        <v>10921</v>
      </c>
      <c r="C1492" s="5" t="s">
        <v>10922</v>
      </c>
      <c r="D1492" t="s">
        <v>10923</v>
      </c>
      <c r="E1492" s="5" t="s">
        <v>1770</v>
      </c>
      <c r="F1492" s="6">
        <v>46071.754861111112</v>
      </c>
      <c r="G1492" s="5" t="s">
        <v>7456</v>
      </c>
      <c r="H1492" s="5" t="s">
        <v>10924</v>
      </c>
      <c r="I1492" s="5" t="s">
        <v>1564</v>
      </c>
      <c r="J1492" s="8">
        <v>220.9</v>
      </c>
      <c r="K1492" s="5" t="s">
        <v>4</v>
      </c>
      <c r="L1492">
        <f t="shared" si="23"/>
        <v>2</v>
      </c>
    </row>
    <row r="1493" spans="1:12" x14ac:dyDescent="0.25">
      <c r="A1493" s="5">
        <v>46784</v>
      </c>
      <c r="B1493" t="s">
        <v>10925</v>
      </c>
      <c r="C1493" s="5" t="s">
        <v>10926</v>
      </c>
      <c r="D1493" t="s">
        <v>10927</v>
      </c>
      <c r="E1493" s="5" t="s">
        <v>2791</v>
      </c>
      <c r="F1493" s="6">
        <v>46072.355555555558</v>
      </c>
      <c r="G1493" s="5" t="s">
        <v>7456</v>
      </c>
      <c r="H1493" s="5" t="s">
        <v>10928</v>
      </c>
      <c r="I1493" s="5" t="s">
        <v>1535</v>
      </c>
      <c r="J1493" s="8">
        <v>525</v>
      </c>
      <c r="K1493" s="5" t="s">
        <v>4</v>
      </c>
      <c r="L1493">
        <f t="shared" si="23"/>
        <v>2</v>
      </c>
    </row>
    <row r="1494" spans="1:12" x14ac:dyDescent="0.25">
      <c r="A1494" s="5">
        <v>46785</v>
      </c>
      <c r="B1494" t="s">
        <v>10929</v>
      </c>
      <c r="C1494" s="5" t="s">
        <v>7491</v>
      </c>
      <c r="D1494" t="s">
        <v>10930</v>
      </c>
      <c r="E1494" s="5" t="s">
        <v>1759</v>
      </c>
      <c r="F1494" s="6">
        <v>46072.370833333334</v>
      </c>
      <c r="G1494" s="5" t="s">
        <v>7672</v>
      </c>
      <c r="H1494" t="s">
        <v>7482</v>
      </c>
      <c r="I1494" s="5" t="s">
        <v>1564</v>
      </c>
      <c r="J1494" s="8">
        <v>1076</v>
      </c>
      <c r="K1494" s="5" t="s">
        <v>4</v>
      </c>
      <c r="L1494">
        <f t="shared" si="23"/>
        <v>2</v>
      </c>
    </row>
    <row r="1495" spans="1:12" x14ac:dyDescent="0.25">
      <c r="A1495" s="5">
        <v>46786</v>
      </c>
      <c r="B1495" t="s">
        <v>10931</v>
      </c>
      <c r="C1495" s="5" t="s">
        <v>10932</v>
      </c>
      <c r="D1495" t="s">
        <v>10933</v>
      </c>
      <c r="E1495" s="5" t="s">
        <v>5377</v>
      </c>
      <c r="F1495" s="6">
        <v>46072.380555555559</v>
      </c>
      <c r="G1495" s="5" t="s">
        <v>7456</v>
      </c>
      <c r="H1495" s="5" t="s">
        <v>10934</v>
      </c>
      <c r="I1495" s="5" t="s">
        <v>1535</v>
      </c>
      <c r="J1495" s="8">
        <v>132.80000000000001</v>
      </c>
      <c r="K1495" s="5" t="s">
        <v>4</v>
      </c>
      <c r="L1495">
        <f t="shared" si="23"/>
        <v>2</v>
      </c>
    </row>
    <row r="1496" spans="1:12" x14ac:dyDescent="0.25">
      <c r="A1496" s="5">
        <v>46787</v>
      </c>
      <c r="B1496" t="s">
        <v>10935</v>
      </c>
      <c r="C1496" s="5" t="s">
        <v>10936</v>
      </c>
      <c r="D1496" t="s">
        <v>10937</v>
      </c>
      <c r="E1496" s="5" t="s">
        <v>1738</v>
      </c>
      <c r="F1496" s="6">
        <v>46072.393055555556</v>
      </c>
      <c r="G1496" s="5" t="s">
        <v>7672</v>
      </c>
      <c r="H1496" t="s">
        <v>7482</v>
      </c>
      <c r="I1496" s="5" t="s">
        <v>1564</v>
      </c>
      <c r="J1496" s="8">
        <v>710</v>
      </c>
      <c r="K1496" s="5" t="s">
        <v>4</v>
      </c>
      <c r="L1496">
        <f t="shared" si="23"/>
        <v>2</v>
      </c>
    </row>
    <row r="1497" spans="1:12" x14ac:dyDescent="0.25">
      <c r="A1497" s="5">
        <v>46788</v>
      </c>
      <c r="B1497" t="s">
        <v>8066</v>
      </c>
      <c r="C1497" s="5" t="s">
        <v>7516</v>
      </c>
      <c r="D1497" t="s">
        <v>8067</v>
      </c>
      <c r="E1497" s="5" t="s">
        <v>2269</v>
      </c>
      <c r="F1497" s="6">
        <v>46072.411805555559</v>
      </c>
      <c r="G1497" s="5" t="s">
        <v>7456</v>
      </c>
      <c r="H1497" s="5" t="s">
        <v>10938</v>
      </c>
      <c r="I1497" s="5" t="s">
        <v>1564</v>
      </c>
      <c r="J1497" s="8">
        <v>855.9</v>
      </c>
      <c r="K1497" s="5" t="s">
        <v>4</v>
      </c>
      <c r="L1497">
        <f t="shared" si="23"/>
        <v>2</v>
      </c>
    </row>
    <row r="1498" spans="1:12" x14ac:dyDescent="0.25">
      <c r="A1498" s="5">
        <v>46789</v>
      </c>
      <c r="B1498" t="s">
        <v>8965</v>
      </c>
      <c r="C1498" s="5" t="s">
        <v>9333</v>
      </c>
      <c r="D1498" t="s">
        <v>8966</v>
      </c>
      <c r="E1498" s="5" t="s">
        <v>4213</v>
      </c>
      <c r="F1498" s="6">
        <v>46072.417361111111</v>
      </c>
      <c r="G1498" s="5" t="s">
        <v>7456</v>
      </c>
      <c r="H1498" s="5" t="s">
        <v>10939</v>
      </c>
      <c r="I1498" s="5" t="s">
        <v>1535</v>
      </c>
      <c r="J1498" s="8">
        <v>230</v>
      </c>
      <c r="K1498" s="5" t="s">
        <v>4</v>
      </c>
      <c r="L1498">
        <f t="shared" si="23"/>
        <v>2</v>
      </c>
    </row>
    <row r="1499" spans="1:12" x14ac:dyDescent="0.25">
      <c r="A1499" s="5">
        <v>46791</v>
      </c>
      <c r="B1499" t="s">
        <v>10940</v>
      </c>
      <c r="C1499" s="5" t="s">
        <v>10941</v>
      </c>
      <c r="D1499" t="s">
        <v>10942</v>
      </c>
      <c r="E1499" s="5" t="s">
        <v>1759</v>
      </c>
      <c r="F1499" s="6">
        <v>46072.425000000003</v>
      </c>
      <c r="G1499" s="5" t="s">
        <v>7456</v>
      </c>
      <c r="H1499" s="5" t="s">
        <v>10943</v>
      </c>
      <c r="I1499" s="5" t="s">
        <v>1564</v>
      </c>
      <c r="J1499" s="8">
        <v>110</v>
      </c>
      <c r="K1499" s="5" t="s">
        <v>4</v>
      </c>
      <c r="L1499">
        <f t="shared" si="23"/>
        <v>2</v>
      </c>
    </row>
    <row r="1500" spans="1:12" x14ac:dyDescent="0.25">
      <c r="A1500" s="5">
        <v>46792</v>
      </c>
      <c r="B1500" t="s">
        <v>10944</v>
      </c>
      <c r="C1500" s="5" t="s">
        <v>10945</v>
      </c>
      <c r="D1500" t="s">
        <v>10946</v>
      </c>
      <c r="E1500" s="5" t="s">
        <v>5351</v>
      </c>
      <c r="F1500" s="6">
        <v>46072.429166666669</v>
      </c>
      <c r="G1500" s="5" t="s">
        <v>7456</v>
      </c>
      <c r="H1500" s="5" t="s">
        <v>10947</v>
      </c>
      <c r="I1500" s="5" t="s">
        <v>1621</v>
      </c>
      <c r="J1500" s="8">
        <v>133.27000000000001</v>
      </c>
      <c r="K1500" s="5" t="s">
        <v>4</v>
      </c>
      <c r="L1500">
        <f t="shared" si="23"/>
        <v>2</v>
      </c>
    </row>
    <row r="1501" spans="1:12" x14ac:dyDescent="0.25">
      <c r="A1501" s="5">
        <v>46793</v>
      </c>
      <c r="B1501" t="s">
        <v>10948</v>
      </c>
      <c r="C1501" s="5" t="s">
        <v>10949</v>
      </c>
      <c r="D1501" t="s">
        <v>10950</v>
      </c>
      <c r="E1501" s="5" t="s">
        <v>6836</v>
      </c>
      <c r="F1501" s="6">
        <v>46072.435416666667</v>
      </c>
      <c r="G1501" s="5" t="s">
        <v>7456</v>
      </c>
      <c r="H1501" s="5" t="s">
        <v>10951</v>
      </c>
      <c r="I1501" s="5" t="s">
        <v>1621</v>
      </c>
      <c r="J1501" s="8">
        <v>42.88</v>
      </c>
      <c r="K1501" s="5" t="s">
        <v>4</v>
      </c>
      <c r="L1501">
        <f t="shared" si="23"/>
        <v>2</v>
      </c>
    </row>
    <row r="1502" spans="1:12" x14ac:dyDescent="0.25">
      <c r="A1502" s="5">
        <v>46794</v>
      </c>
      <c r="B1502" t="s">
        <v>10952</v>
      </c>
      <c r="C1502" s="5" t="s">
        <v>768</v>
      </c>
      <c r="D1502" t="s">
        <v>10953</v>
      </c>
      <c r="E1502" s="5" t="s">
        <v>6049</v>
      </c>
      <c r="F1502" s="6">
        <v>46072.441666666666</v>
      </c>
      <c r="G1502" s="5" t="s">
        <v>7456</v>
      </c>
      <c r="H1502" s="5" t="s">
        <v>10954</v>
      </c>
      <c r="I1502" s="5" t="s">
        <v>1621</v>
      </c>
      <c r="J1502" s="8">
        <v>90.56</v>
      </c>
      <c r="K1502" s="5" t="s">
        <v>4</v>
      </c>
      <c r="L1502">
        <f t="shared" si="23"/>
        <v>2</v>
      </c>
    </row>
    <row r="1503" spans="1:12" x14ac:dyDescent="0.25">
      <c r="A1503" s="5">
        <v>46795</v>
      </c>
      <c r="B1503" t="s">
        <v>8852</v>
      </c>
      <c r="C1503" s="5" t="s">
        <v>8853</v>
      </c>
      <c r="D1503" t="s">
        <v>8854</v>
      </c>
      <c r="E1503" s="5" t="s">
        <v>1778</v>
      </c>
      <c r="F1503" s="6">
        <v>46072.445138888892</v>
      </c>
      <c r="G1503" s="5" t="s">
        <v>7456</v>
      </c>
      <c r="H1503" s="5" t="s">
        <v>10955</v>
      </c>
      <c r="I1503" s="5" t="s">
        <v>1535</v>
      </c>
      <c r="J1503" s="8">
        <v>10</v>
      </c>
      <c r="K1503" s="5" t="s">
        <v>4</v>
      </c>
      <c r="L1503">
        <f t="shared" si="23"/>
        <v>2</v>
      </c>
    </row>
    <row r="1504" spans="1:12" x14ac:dyDescent="0.25">
      <c r="A1504" s="5">
        <v>46796</v>
      </c>
      <c r="B1504" t="s">
        <v>9417</v>
      </c>
      <c r="C1504" s="5" t="s">
        <v>10456</v>
      </c>
      <c r="D1504" t="s">
        <v>9419</v>
      </c>
      <c r="E1504" s="5" t="s">
        <v>1709</v>
      </c>
      <c r="F1504" s="6">
        <v>46072.449305555558</v>
      </c>
      <c r="G1504" s="5" t="s">
        <v>7456</v>
      </c>
      <c r="H1504" s="5" t="s">
        <v>10956</v>
      </c>
      <c r="I1504" s="5" t="s">
        <v>1535</v>
      </c>
      <c r="J1504" s="8">
        <v>2785.5</v>
      </c>
      <c r="K1504" s="5" t="s">
        <v>4</v>
      </c>
      <c r="L1504">
        <f t="shared" si="23"/>
        <v>2</v>
      </c>
    </row>
    <row r="1505" spans="1:12" x14ac:dyDescent="0.25">
      <c r="A1505" s="5">
        <v>46797</v>
      </c>
      <c r="B1505" t="s">
        <v>10957</v>
      </c>
      <c r="C1505" s="5" t="s">
        <v>10958</v>
      </c>
      <c r="D1505" t="s">
        <v>10959</v>
      </c>
      <c r="E1505" s="5" t="s">
        <v>5596</v>
      </c>
      <c r="F1505" s="6">
        <v>46072.45</v>
      </c>
      <c r="G1505" s="5" t="s">
        <v>7456</v>
      </c>
      <c r="H1505" s="5" t="s">
        <v>10960</v>
      </c>
      <c r="I1505" s="5" t="s">
        <v>1621</v>
      </c>
      <c r="J1505" s="8">
        <v>115.77</v>
      </c>
      <c r="K1505" s="5" t="s">
        <v>4</v>
      </c>
      <c r="L1505">
        <f t="shared" si="23"/>
        <v>2</v>
      </c>
    </row>
    <row r="1506" spans="1:12" x14ac:dyDescent="0.25">
      <c r="A1506" s="5">
        <v>46798</v>
      </c>
      <c r="B1506" t="s">
        <v>10961</v>
      </c>
      <c r="C1506" s="5" t="s">
        <v>10962</v>
      </c>
      <c r="D1506" t="s">
        <v>10963</v>
      </c>
      <c r="E1506" s="5" t="s">
        <v>6200</v>
      </c>
      <c r="F1506" s="6">
        <v>46072.454861111109</v>
      </c>
      <c r="G1506" s="5" t="s">
        <v>7456</v>
      </c>
      <c r="H1506" s="5" t="s">
        <v>10964</v>
      </c>
      <c r="I1506" s="5" t="s">
        <v>1621</v>
      </c>
      <c r="J1506" s="8">
        <v>80.39</v>
      </c>
      <c r="K1506" s="5" t="s">
        <v>4</v>
      </c>
      <c r="L1506">
        <f t="shared" si="23"/>
        <v>2</v>
      </c>
    </row>
    <row r="1507" spans="1:12" x14ac:dyDescent="0.25">
      <c r="A1507" s="5">
        <v>46799</v>
      </c>
      <c r="B1507" t="s">
        <v>10965</v>
      </c>
      <c r="C1507" s="5" t="s">
        <v>910</v>
      </c>
      <c r="D1507" t="s">
        <v>10966</v>
      </c>
      <c r="E1507" s="5" t="s">
        <v>6446</v>
      </c>
      <c r="F1507" s="6">
        <v>46072.465277777781</v>
      </c>
      <c r="G1507" s="5" t="s">
        <v>7456</v>
      </c>
      <c r="H1507" s="5" t="s">
        <v>10967</v>
      </c>
      <c r="I1507" s="5" t="s">
        <v>1621</v>
      </c>
      <c r="J1507" s="8">
        <v>66</v>
      </c>
      <c r="K1507" s="5" t="s">
        <v>4</v>
      </c>
      <c r="L1507">
        <f t="shared" si="23"/>
        <v>2</v>
      </c>
    </row>
    <row r="1508" spans="1:12" x14ac:dyDescent="0.25">
      <c r="A1508" s="5">
        <v>46800</v>
      </c>
      <c r="B1508" t="s">
        <v>9019</v>
      </c>
      <c r="C1508" s="5" t="s">
        <v>9020</v>
      </c>
      <c r="D1508" t="s">
        <v>9021</v>
      </c>
      <c r="E1508" s="5" t="s">
        <v>1759</v>
      </c>
      <c r="F1508" s="6">
        <v>46072.472222222219</v>
      </c>
      <c r="G1508" s="5" t="s">
        <v>7672</v>
      </c>
      <c r="H1508" t="s">
        <v>7482</v>
      </c>
      <c r="I1508" s="5" t="s">
        <v>1564</v>
      </c>
      <c r="J1508" s="8">
        <v>279</v>
      </c>
      <c r="K1508" s="5" t="s">
        <v>4</v>
      </c>
      <c r="L1508">
        <f t="shared" si="23"/>
        <v>2</v>
      </c>
    </row>
    <row r="1509" spans="1:12" x14ac:dyDescent="0.25">
      <c r="A1509" s="5">
        <v>46801</v>
      </c>
      <c r="B1509" t="s">
        <v>8852</v>
      </c>
      <c r="C1509" s="5" t="s">
        <v>8853</v>
      </c>
      <c r="D1509" t="s">
        <v>8854</v>
      </c>
      <c r="E1509" s="5" t="s">
        <v>1548</v>
      </c>
      <c r="F1509" s="6">
        <v>46072.472222222219</v>
      </c>
      <c r="G1509" s="5" t="s">
        <v>7456</v>
      </c>
      <c r="H1509" s="5" t="s">
        <v>10968</v>
      </c>
      <c r="I1509" s="5" t="s">
        <v>1535</v>
      </c>
      <c r="J1509" s="8">
        <v>5200</v>
      </c>
      <c r="K1509" s="5" t="s">
        <v>4</v>
      </c>
      <c r="L1509">
        <f t="shared" si="23"/>
        <v>2</v>
      </c>
    </row>
    <row r="1510" spans="1:12" x14ac:dyDescent="0.25">
      <c r="A1510" s="5">
        <v>46802</v>
      </c>
      <c r="B1510" t="s">
        <v>10969</v>
      </c>
      <c r="C1510" s="5" t="s">
        <v>10970</v>
      </c>
      <c r="D1510" t="s">
        <v>10971</v>
      </c>
      <c r="E1510" s="5" t="s">
        <v>4540</v>
      </c>
      <c r="F1510" s="6">
        <v>46072.476388888892</v>
      </c>
      <c r="G1510" s="5" t="s">
        <v>7456</v>
      </c>
      <c r="H1510" s="5" t="s">
        <v>10972</v>
      </c>
      <c r="I1510" s="5" t="s">
        <v>1564</v>
      </c>
      <c r="J1510" s="8">
        <v>189.5</v>
      </c>
      <c r="K1510" s="5" t="s">
        <v>4</v>
      </c>
      <c r="L1510">
        <f t="shared" si="23"/>
        <v>2</v>
      </c>
    </row>
    <row r="1511" spans="1:12" x14ac:dyDescent="0.25">
      <c r="A1511" s="5">
        <v>46803</v>
      </c>
      <c r="B1511" t="s">
        <v>10035</v>
      </c>
      <c r="C1511" s="5" t="s">
        <v>10036</v>
      </c>
      <c r="D1511" t="s">
        <v>10037</v>
      </c>
      <c r="E1511" s="5" t="s">
        <v>1738</v>
      </c>
      <c r="F1511" s="6">
        <v>46072.53402777778</v>
      </c>
      <c r="G1511" s="5" t="s">
        <v>7456</v>
      </c>
      <c r="H1511" s="5" t="s">
        <v>10973</v>
      </c>
      <c r="I1511" s="5" t="s">
        <v>1564</v>
      </c>
      <c r="J1511" s="8">
        <v>808</v>
      </c>
      <c r="K1511" s="5" t="s">
        <v>4</v>
      </c>
      <c r="L1511">
        <f t="shared" si="23"/>
        <v>2</v>
      </c>
    </row>
    <row r="1512" spans="1:12" x14ac:dyDescent="0.25">
      <c r="A1512" s="5">
        <v>46804</v>
      </c>
      <c r="B1512" t="s">
        <v>10974</v>
      </c>
      <c r="C1512" s="5" t="s">
        <v>10975</v>
      </c>
      <c r="D1512" t="s">
        <v>10976</v>
      </c>
      <c r="E1512" s="5" t="s">
        <v>1548</v>
      </c>
      <c r="F1512" s="6">
        <v>46072.584027777775</v>
      </c>
      <c r="G1512" s="5" t="s">
        <v>7595</v>
      </c>
      <c r="H1512" t="s">
        <v>7482</v>
      </c>
      <c r="I1512" s="5" t="s">
        <v>1535</v>
      </c>
      <c r="J1512" s="8">
        <v>1528.5</v>
      </c>
      <c r="K1512" s="5" t="s">
        <v>4</v>
      </c>
      <c r="L1512">
        <f t="shared" si="23"/>
        <v>2</v>
      </c>
    </row>
    <row r="1513" spans="1:12" x14ac:dyDescent="0.25">
      <c r="A1513" s="5">
        <v>46806</v>
      </c>
      <c r="B1513" t="s">
        <v>10977</v>
      </c>
      <c r="C1513" s="5" t="s">
        <v>10978</v>
      </c>
      <c r="D1513" t="s">
        <v>10979</v>
      </c>
      <c r="E1513" s="5" t="s">
        <v>1548</v>
      </c>
      <c r="F1513" s="6">
        <v>46072.603472222225</v>
      </c>
      <c r="G1513" s="5" t="s">
        <v>7456</v>
      </c>
      <c r="H1513" s="5" t="s">
        <v>10980</v>
      </c>
      <c r="I1513" s="5" t="s">
        <v>1535</v>
      </c>
      <c r="J1513" s="8">
        <v>389.7</v>
      </c>
      <c r="K1513" s="5" t="s">
        <v>4</v>
      </c>
      <c r="L1513">
        <f t="shared" si="23"/>
        <v>2</v>
      </c>
    </row>
    <row r="1514" spans="1:12" x14ac:dyDescent="0.25">
      <c r="A1514" s="5">
        <v>46808</v>
      </c>
      <c r="B1514" t="s">
        <v>10035</v>
      </c>
      <c r="C1514" s="5" t="s">
        <v>10036</v>
      </c>
      <c r="D1514" t="s">
        <v>10037</v>
      </c>
      <c r="E1514" s="5" t="s">
        <v>1759</v>
      </c>
      <c r="F1514" s="6">
        <v>46072.672222222223</v>
      </c>
      <c r="G1514" s="5" t="s">
        <v>7456</v>
      </c>
      <c r="H1514" s="5" t="s">
        <v>10981</v>
      </c>
      <c r="I1514" s="5" t="s">
        <v>1621</v>
      </c>
      <c r="J1514" s="8">
        <v>0</v>
      </c>
      <c r="K1514" s="5" t="s">
        <v>4</v>
      </c>
      <c r="L1514">
        <f t="shared" si="23"/>
        <v>2</v>
      </c>
    </row>
    <row r="1515" spans="1:12" x14ac:dyDescent="0.25">
      <c r="A1515" s="5">
        <v>46812</v>
      </c>
      <c r="B1515" t="s">
        <v>10982</v>
      </c>
      <c r="C1515" s="5" t="s">
        <v>374</v>
      </c>
      <c r="D1515" t="s">
        <v>10983</v>
      </c>
      <c r="E1515" s="5" t="s">
        <v>7225</v>
      </c>
      <c r="F1515" s="6">
        <v>46072.692361111112</v>
      </c>
      <c r="G1515" s="5" t="s">
        <v>7456</v>
      </c>
      <c r="H1515" s="5" t="s">
        <v>10984</v>
      </c>
      <c r="I1515" s="5" t="s">
        <v>1621</v>
      </c>
      <c r="J1515" s="8">
        <v>23.98</v>
      </c>
      <c r="K1515" s="5" t="s">
        <v>4</v>
      </c>
      <c r="L1515">
        <f t="shared" si="23"/>
        <v>2</v>
      </c>
    </row>
    <row r="1516" spans="1:12" x14ac:dyDescent="0.25">
      <c r="A1516" s="5">
        <v>46813</v>
      </c>
      <c r="B1516" t="s">
        <v>10985</v>
      </c>
      <c r="C1516" s="5" t="s">
        <v>10986</v>
      </c>
      <c r="D1516" t="s">
        <v>10987</v>
      </c>
      <c r="E1516" s="5" t="s">
        <v>1770</v>
      </c>
      <c r="F1516" s="6">
        <v>46072.701388888891</v>
      </c>
      <c r="G1516" s="5" t="s">
        <v>7456</v>
      </c>
      <c r="H1516" s="5" t="s">
        <v>10988</v>
      </c>
      <c r="I1516" s="5" t="s">
        <v>1564</v>
      </c>
      <c r="J1516" s="8">
        <v>612.4</v>
      </c>
      <c r="K1516" s="5" t="s">
        <v>4</v>
      </c>
      <c r="L1516">
        <f t="shared" si="23"/>
        <v>2</v>
      </c>
    </row>
    <row r="1517" spans="1:12" x14ac:dyDescent="0.25">
      <c r="A1517" s="5">
        <v>46815</v>
      </c>
      <c r="B1517" t="s">
        <v>10989</v>
      </c>
      <c r="C1517" s="5" t="s">
        <v>10990</v>
      </c>
      <c r="D1517" t="s">
        <v>10991</v>
      </c>
      <c r="E1517" s="5" t="s">
        <v>6437</v>
      </c>
      <c r="F1517" s="6">
        <v>46072.707638888889</v>
      </c>
      <c r="G1517" s="5" t="s">
        <v>7456</v>
      </c>
      <c r="H1517" s="5" t="s">
        <v>10992</v>
      </c>
      <c r="I1517" s="5" t="s">
        <v>1621</v>
      </c>
      <c r="J1517" s="8">
        <v>66.010000000000005</v>
      </c>
      <c r="K1517" s="5" t="s">
        <v>4</v>
      </c>
      <c r="L1517">
        <f t="shared" si="23"/>
        <v>2</v>
      </c>
    </row>
    <row r="1518" spans="1:12" x14ac:dyDescent="0.25">
      <c r="A1518" s="5">
        <v>46816</v>
      </c>
      <c r="B1518" t="s">
        <v>10993</v>
      </c>
      <c r="C1518" s="5" t="s">
        <v>10994</v>
      </c>
      <c r="D1518" t="s">
        <v>10995</v>
      </c>
      <c r="E1518" s="5" t="s">
        <v>6916</v>
      </c>
      <c r="F1518" s="6">
        <v>46072.711805555555</v>
      </c>
      <c r="G1518" s="5" t="s">
        <v>7456</v>
      </c>
      <c r="H1518" s="5" t="s">
        <v>10996</v>
      </c>
      <c r="I1518" s="5" t="s">
        <v>1621</v>
      </c>
      <c r="J1518" s="8">
        <v>39.6</v>
      </c>
      <c r="K1518" s="5" t="s">
        <v>4</v>
      </c>
      <c r="L1518">
        <f t="shared" si="23"/>
        <v>2</v>
      </c>
    </row>
    <row r="1519" spans="1:12" x14ac:dyDescent="0.25">
      <c r="A1519" s="5">
        <v>46817</v>
      </c>
      <c r="B1519" t="s">
        <v>10997</v>
      </c>
      <c r="C1519" s="5" t="s">
        <v>10998</v>
      </c>
      <c r="D1519" t="s">
        <v>10999</v>
      </c>
      <c r="E1519" s="5" t="s">
        <v>2074</v>
      </c>
      <c r="F1519" s="6">
        <v>46072.771527777775</v>
      </c>
      <c r="G1519" s="5" t="s">
        <v>7456</v>
      </c>
      <c r="H1519" s="5" t="s">
        <v>11000</v>
      </c>
      <c r="I1519" s="5" t="s">
        <v>1564</v>
      </c>
      <c r="J1519" s="8">
        <v>775</v>
      </c>
      <c r="K1519" s="5" t="s">
        <v>4</v>
      </c>
      <c r="L1519">
        <f t="shared" si="23"/>
        <v>2</v>
      </c>
    </row>
    <row r="1520" spans="1:12" x14ac:dyDescent="0.25">
      <c r="A1520" s="5">
        <v>46818</v>
      </c>
      <c r="B1520" t="s">
        <v>10974</v>
      </c>
      <c r="C1520" s="5" t="s">
        <v>10975</v>
      </c>
      <c r="D1520" t="s">
        <v>10976</v>
      </c>
      <c r="E1520" s="5" t="s">
        <v>2341</v>
      </c>
      <c r="F1520" s="6">
        <v>46073.365972222222</v>
      </c>
      <c r="G1520" s="5" t="s">
        <v>7456</v>
      </c>
      <c r="H1520" s="5" t="s">
        <v>11001</v>
      </c>
      <c r="I1520" s="5" t="s">
        <v>1535</v>
      </c>
      <c r="J1520" s="8">
        <v>799.1</v>
      </c>
      <c r="K1520" s="5" t="s">
        <v>4</v>
      </c>
      <c r="L1520">
        <f t="shared" si="23"/>
        <v>2</v>
      </c>
    </row>
    <row r="1521" spans="1:12" x14ac:dyDescent="0.25">
      <c r="A1521" s="5">
        <v>46819</v>
      </c>
      <c r="B1521" t="s">
        <v>11002</v>
      </c>
      <c r="C1521" s="5" t="s">
        <v>7516</v>
      </c>
      <c r="D1521" t="s">
        <v>11003</v>
      </c>
      <c r="E1521" s="5" t="s">
        <v>1813</v>
      </c>
      <c r="F1521" s="6">
        <v>46073.383333333331</v>
      </c>
      <c r="G1521" s="5" t="s">
        <v>7456</v>
      </c>
      <c r="H1521" s="5" t="s">
        <v>11004</v>
      </c>
      <c r="I1521" s="5" t="s">
        <v>1535</v>
      </c>
      <c r="J1521" s="8">
        <v>348.6</v>
      </c>
      <c r="K1521" s="5" t="s">
        <v>4</v>
      </c>
      <c r="L1521">
        <f t="shared" si="23"/>
        <v>2</v>
      </c>
    </row>
    <row r="1522" spans="1:12" x14ac:dyDescent="0.25">
      <c r="A1522" s="5">
        <v>46821</v>
      </c>
      <c r="B1522" t="s">
        <v>11005</v>
      </c>
      <c r="C1522" s="5" t="s">
        <v>11006</v>
      </c>
      <c r="D1522" t="s">
        <v>11007</v>
      </c>
      <c r="E1522" s="5" t="s">
        <v>1663</v>
      </c>
      <c r="F1522" s="6">
        <v>46073.443749999999</v>
      </c>
      <c r="G1522" s="5" t="s">
        <v>7672</v>
      </c>
      <c r="H1522" t="s">
        <v>7482</v>
      </c>
      <c r="I1522" s="5" t="s">
        <v>1564</v>
      </c>
      <c r="J1522" s="8">
        <v>1596.8</v>
      </c>
      <c r="K1522" s="5" t="s">
        <v>4</v>
      </c>
      <c r="L1522">
        <f t="shared" si="23"/>
        <v>2</v>
      </c>
    </row>
    <row r="1523" spans="1:12" x14ac:dyDescent="0.25">
      <c r="A1523" s="5">
        <v>46822</v>
      </c>
      <c r="B1523" t="s">
        <v>11008</v>
      </c>
      <c r="C1523" s="5" t="s">
        <v>9456</v>
      </c>
      <c r="D1523" t="s">
        <v>11009</v>
      </c>
      <c r="E1523" s="5" t="s">
        <v>1770</v>
      </c>
      <c r="F1523" s="6">
        <v>46073.447222222225</v>
      </c>
      <c r="G1523" s="5" t="s">
        <v>7456</v>
      </c>
      <c r="H1523" s="5" t="s">
        <v>11010</v>
      </c>
      <c r="I1523" s="5" t="s">
        <v>1564</v>
      </c>
      <c r="J1523" s="8">
        <v>110</v>
      </c>
      <c r="K1523" s="5" t="s">
        <v>4</v>
      </c>
      <c r="L1523">
        <f t="shared" si="23"/>
        <v>2</v>
      </c>
    </row>
    <row r="1524" spans="1:12" x14ac:dyDescent="0.25">
      <c r="A1524" s="5">
        <v>46823</v>
      </c>
      <c r="B1524" t="s">
        <v>9949</v>
      </c>
      <c r="C1524" s="5" t="s">
        <v>9950</v>
      </c>
      <c r="D1524" t="s">
        <v>9951</v>
      </c>
      <c r="E1524" s="5" t="s">
        <v>4146</v>
      </c>
      <c r="F1524" s="6">
        <v>46073.448611111111</v>
      </c>
      <c r="G1524" s="5" t="s">
        <v>7456</v>
      </c>
      <c r="H1524" s="5" t="s">
        <v>11011</v>
      </c>
      <c r="I1524" s="5" t="s">
        <v>1535</v>
      </c>
      <c r="J1524" s="8">
        <v>235</v>
      </c>
      <c r="K1524" s="5" t="s">
        <v>4</v>
      </c>
      <c r="L1524">
        <f t="shared" si="23"/>
        <v>2</v>
      </c>
    </row>
    <row r="1525" spans="1:12" x14ac:dyDescent="0.25">
      <c r="A1525" s="5">
        <v>46825</v>
      </c>
      <c r="B1525" t="s">
        <v>11012</v>
      </c>
      <c r="C1525" s="5" t="s">
        <v>11013</v>
      </c>
      <c r="D1525" t="s">
        <v>11014</v>
      </c>
      <c r="E1525" s="5" t="s">
        <v>11015</v>
      </c>
      <c r="F1525" s="6">
        <v>46073.459027777775</v>
      </c>
      <c r="G1525" s="5" t="s">
        <v>7672</v>
      </c>
      <c r="H1525" t="s">
        <v>7482</v>
      </c>
      <c r="I1525" s="5" t="s">
        <v>1564</v>
      </c>
      <c r="J1525" s="8">
        <v>826.8</v>
      </c>
      <c r="K1525" s="5" t="s">
        <v>4</v>
      </c>
      <c r="L1525">
        <f t="shared" si="23"/>
        <v>2</v>
      </c>
    </row>
    <row r="1526" spans="1:12" x14ac:dyDescent="0.25">
      <c r="A1526" s="5">
        <v>46826</v>
      </c>
      <c r="B1526" t="s">
        <v>11016</v>
      </c>
      <c r="C1526" s="5" t="s">
        <v>11017</v>
      </c>
      <c r="D1526" t="s">
        <v>11018</v>
      </c>
      <c r="E1526" s="5" t="s">
        <v>1548</v>
      </c>
      <c r="F1526" s="6">
        <v>46073.459722222222</v>
      </c>
      <c r="G1526" s="5" t="s">
        <v>7456</v>
      </c>
      <c r="H1526" s="5" t="s">
        <v>11019</v>
      </c>
      <c r="I1526" s="5" t="s">
        <v>1535</v>
      </c>
      <c r="J1526" s="8">
        <v>472</v>
      </c>
      <c r="K1526" s="5" t="s">
        <v>4</v>
      </c>
      <c r="L1526">
        <f t="shared" si="23"/>
        <v>2</v>
      </c>
    </row>
    <row r="1527" spans="1:12" x14ac:dyDescent="0.25">
      <c r="A1527" s="5">
        <v>46827</v>
      </c>
      <c r="B1527" t="s">
        <v>11020</v>
      </c>
      <c r="C1527" s="5" t="s">
        <v>11021</v>
      </c>
      <c r="D1527" t="s">
        <v>11022</v>
      </c>
      <c r="E1527" s="5" t="s">
        <v>1770</v>
      </c>
      <c r="F1527" s="6">
        <v>46073.47152777778</v>
      </c>
      <c r="G1527" s="5" t="s">
        <v>7456</v>
      </c>
      <c r="H1527" s="5" t="s">
        <v>11023</v>
      </c>
      <c r="I1527" s="5" t="s">
        <v>1564</v>
      </c>
      <c r="J1527" s="8">
        <v>156.25</v>
      </c>
      <c r="K1527" s="5" t="s">
        <v>4</v>
      </c>
      <c r="L1527">
        <f t="shared" si="23"/>
        <v>2</v>
      </c>
    </row>
    <row r="1528" spans="1:12" x14ac:dyDescent="0.25">
      <c r="A1528" s="5">
        <v>46829</v>
      </c>
      <c r="B1528" t="s">
        <v>11024</v>
      </c>
      <c r="C1528" s="5" t="s">
        <v>11025</v>
      </c>
      <c r="D1528" t="s">
        <v>11026</v>
      </c>
      <c r="E1528" s="5" t="s">
        <v>2637</v>
      </c>
      <c r="F1528" s="6">
        <v>46073.518055555556</v>
      </c>
      <c r="G1528" s="5" t="s">
        <v>7456</v>
      </c>
      <c r="H1528" s="5" t="s">
        <v>11027</v>
      </c>
      <c r="I1528" s="5" t="s">
        <v>1564</v>
      </c>
      <c r="J1528" s="8">
        <v>160</v>
      </c>
      <c r="K1528" s="5" t="s">
        <v>4</v>
      </c>
      <c r="L1528">
        <f t="shared" si="23"/>
        <v>2</v>
      </c>
    </row>
    <row r="1529" spans="1:12" x14ac:dyDescent="0.25">
      <c r="A1529" s="5">
        <v>46830</v>
      </c>
      <c r="B1529" t="s">
        <v>11028</v>
      </c>
      <c r="C1529" s="5" t="s">
        <v>11029</v>
      </c>
      <c r="D1529" t="s">
        <v>11030</v>
      </c>
      <c r="E1529" s="5" t="s">
        <v>1813</v>
      </c>
      <c r="F1529" s="6">
        <v>46073.592361111114</v>
      </c>
      <c r="G1529" s="5" t="s">
        <v>7595</v>
      </c>
      <c r="H1529" t="s">
        <v>7482</v>
      </c>
      <c r="I1529" s="5" t="s">
        <v>1535</v>
      </c>
      <c r="J1529" s="8">
        <v>435.5</v>
      </c>
      <c r="K1529" s="5" t="s">
        <v>4</v>
      </c>
      <c r="L1529">
        <f t="shared" si="23"/>
        <v>2</v>
      </c>
    </row>
    <row r="1530" spans="1:12" x14ac:dyDescent="0.25">
      <c r="A1530" s="5">
        <v>46831</v>
      </c>
      <c r="B1530" t="s">
        <v>11031</v>
      </c>
      <c r="C1530" s="5" t="s">
        <v>11032</v>
      </c>
      <c r="D1530" t="s">
        <v>11033</v>
      </c>
      <c r="E1530" s="5" t="s">
        <v>1813</v>
      </c>
      <c r="F1530" s="6">
        <v>46073.623611111114</v>
      </c>
      <c r="G1530" s="5" t="s">
        <v>7456</v>
      </c>
      <c r="H1530" s="5" t="s">
        <v>11034</v>
      </c>
      <c r="I1530" s="5" t="s">
        <v>1535</v>
      </c>
      <c r="J1530" s="8">
        <v>1802</v>
      </c>
      <c r="K1530" s="5" t="s">
        <v>4</v>
      </c>
      <c r="L1530">
        <f t="shared" si="23"/>
        <v>2</v>
      </c>
    </row>
    <row r="1531" spans="1:12" x14ac:dyDescent="0.25">
      <c r="A1531" s="5">
        <v>46833</v>
      </c>
      <c r="B1531" t="s">
        <v>11035</v>
      </c>
      <c r="C1531" s="5" t="s">
        <v>728</v>
      </c>
      <c r="D1531" t="s">
        <v>11036</v>
      </c>
      <c r="E1531" s="5" t="s">
        <v>6281</v>
      </c>
      <c r="F1531" s="6">
        <v>46073.629166666666</v>
      </c>
      <c r="G1531" s="5" t="s">
        <v>7456</v>
      </c>
      <c r="H1531" s="5" t="s">
        <v>11037</v>
      </c>
      <c r="I1531" s="5" t="s">
        <v>1621</v>
      </c>
      <c r="J1531" s="8">
        <v>76.459999999999994</v>
      </c>
      <c r="K1531" s="5" t="s">
        <v>4</v>
      </c>
      <c r="L1531">
        <f t="shared" si="23"/>
        <v>2</v>
      </c>
    </row>
    <row r="1532" spans="1:12" x14ac:dyDescent="0.25">
      <c r="A1532" s="5">
        <v>46834</v>
      </c>
      <c r="B1532" t="s">
        <v>11038</v>
      </c>
      <c r="C1532" s="5" t="s">
        <v>11039</v>
      </c>
      <c r="D1532" t="s">
        <v>11040</v>
      </c>
      <c r="E1532" s="5" t="s">
        <v>3557</v>
      </c>
      <c r="F1532" s="6">
        <v>46073.644444444442</v>
      </c>
      <c r="G1532" s="5" t="s">
        <v>7456</v>
      </c>
      <c r="H1532" s="5" t="s">
        <v>11041</v>
      </c>
      <c r="I1532" s="5" t="s">
        <v>1564</v>
      </c>
      <c r="J1532" s="8">
        <v>316</v>
      </c>
      <c r="K1532" s="5" t="s">
        <v>4</v>
      </c>
      <c r="L1532">
        <f t="shared" si="23"/>
        <v>2</v>
      </c>
    </row>
    <row r="1533" spans="1:12" x14ac:dyDescent="0.25">
      <c r="A1533" s="5">
        <v>46835</v>
      </c>
      <c r="B1533" t="s">
        <v>8965</v>
      </c>
      <c r="C1533" s="5" t="s">
        <v>9154</v>
      </c>
      <c r="D1533" t="s">
        <v>8966</v>
      </c>
      <c r="E1533" s="5" t="s">
        <v>5546</v>
      </c>
      <c r="F1533" s="6">
        <v>46073.648611111108</v>
      </c>
      <c r="G1533" s="5" t="s">
        <v>7456</v>
      </c>
      <c r="H1533" s="5" t="s">
        <v>11042</v>
      </c>
      <c r="I1533" s="5" t="s">
        <v>1535</v>
      </c>
      <c r="J1533" s="8">
        <v>118.5</v>
      </c>
      <c r="K1533" s="5" t="s">
        <v>4</v>
      </c>
      <c r="L1533">
        <f t="shared" si="23"/>
        <v>2</v>
      </c>
    </row>
    <row r="1534" spans="1:12" x14ac:dyDescent="0.25">
      <c r="A1534" s="5">
        <v>46837</v>
      </c>
      <c r="B1534" t="s">
        <v>11043</v>
      </c>
      <c r="C1534" s="5" t="s">
        <v>11044</v>
      </c>
      <c r="D1534" t="s">
        <v>11045</v>
      </c>
      <c r="E1534" s="5" t="s">
        <v>2366</v>
      </c>
      <c r="F1534" s="6">
        <v>46073.636111111111</v>
      </c>
      <c r="G1534" s="5" t="s">
        <v>7456</v>
      </c>
      <c r="H1534" s="5" t="s">
        <v>11046</v>
      </c>
      <c r="I1534" s="5" t="s">
        <v>1621</v>
      </c>
      <c r="J1534" s="8">
        <v>785.56</v>
      </c>
      <c r="K1534" s="5" t="s">
        <v>4</v>
      </c>
      <c r="L1534">
        <f t="shared" si="23"/>
        <v>2</v>
      </c>
    </row>
    <row r="1535" spans="1:12" x14ac:dyDescent="0.25">
      <c r="A1535" s="5">
        <v>46838</v>
      </c>
      <c r="B1535" t="s">
        <v>11047</v>
      </c>
      <c r="C1535" s="5" t="s">
        <v>11048</v>
      </c>
      <c r="D1535" t="s">
        <v>11049</v>
      </c>
      <c r="E1535" s="5" t="s">
        <v>1813</v>
      </c>
      <c r="F1535" s="6">
        <v>46073.668055555558</v>
      </c>
      <c r="G1535" s="5" t="s">
        <v>7456</v>
      </c>
      <c r="H1535" s="5" t="s">
        <v>11050</v>
      </c>
      <c r="I1535" s="5" t="s">
        <v>1535</v>
      </c>
      <c r="J1535" s="8">
        <v>1750</v>
      </c>
      <c r="K1535" s="5" t="s">
        <v>4</v>
      </c>
      <c r="L1535">
        <f t="shared" si="23"/>
        <v>2</v>
      </c>
    </row>
    <row r="1536" spans="1:12" x14ac:dyDescent="0.25">
      <c r="A1536" s="5">
        <v>46839</v>
      </c>
      <c r="B1536" t="s">
        <v>11051</v>
      </c>
      <c r="C1536" s="5" t="s">
        <v>11052</v>
      </c>
      <c r="D1536" t="s">
        <v>11053</v>
      </c>
      <c r="E1536" s="5" t="s">
        <v>3145</v>
      </c>
      <c r="F1536" s="6">
        <v>46073.668749999997</v>
      </c>
      <c r="G1536" s="5" t="s">
        <v>7456</v>
      </c>
      <c r="H1536" s="5" t="s">
        <v>11054</v>
      </c>
      <c r="I1536" s="5" t="s">
        <v>1621</v>
      </c>
      <c r="J1536" s="8">
        <v>407.55</v>
      </c>
      <c r="K1536" s="5" t="s">
        <v>4</v>
      </c>
      <c r="L1536">
        <f t="shared" si="23"/>
        <v>2</v>
      </c>
    </row>
    <row r="1537" spans="1:12" x14ac:dyDescent="0.25">
      <c r="A1537" s="5">
        <v>46846</v>
      </c>
      <c r="B1537" t="s">
        <v>11055</v>
      </c>
      <c r="C1537" s="5" t="s">
        <v>912</v>
      </c>
      <c r="D1537" t="s">
        <v>11056</v>
      </c>
      <c r="E1537" s="5" t="s">
        <v>6878</v>
      </c>
      <c r="F1537" s="6">
        <v>46073.68472222222</v>
      </c>
      <c r="G1537" s="5" t="s">
        <v>7456</v>
      </c>
      <c r="H1537" s="5" t="s">
        <v>11057</v>
      </c>
      <c r="I1537" s="5" t="s">
        <v>1621</v>
      </c>
      <c r="J1537" s="8">
        <v>40.96</v>
      </c>
      <c r="K1537" s="5" t="s">
        <v>4</v>
      </c>
      <c r="L1537">
        <f t="shared" si="23"/>
        <v>2</v>
      </c>
    </row>
    <row r="1538" spans="1:12" x14ac:dyDescent="0.25">
      <c r="A1538" s="5">
        <v>46847</v>
      </c>
      <c r="B1538" t="s">
        <v>9857</v>
      </c>
      <c r="C1538" s="5" t="s">
        <v>11058</v>
      </c>
      <c r="D1538" t="s">
        <v>9859</v>
      </c>
      <c r="E1538" s="5" t="s">
        <v>1548</v>
      </c>
      <c r="F1538" s="6">
        <v>46076.4</v>
      </c>
      <c r="G1538" s="5" t="s">
        <v>7456</v>
      </c>
      <c r="H1538" s="5" t="s">
        <v>11059</v>
      </c>
      <c r="I1538" s="5" t="s">
        <v>1535</v>
      </c>
      <c r="J1538" s="8">
        <v>588</v>
      </c>
      <c r="K1538" s="5" t="s">
        <v>4</v>
      </c>
      <c r="L1538">
        <f t="shared" si="23"/>
        <v>2</v>
      </c>
    </row>
    <row r="1539" spans="1:12" x14ac:dyDescent="0.25">
      <c r="A1539" s="5">
        <v>46848</v>
      </c>
      <c r="B1539" t="s">
        <v>11060</v>
      </c>
      <c r="C1539" s="5" t="s">
        <v>11061</v>
      </c>
      <c r="D1539" t="s">
        <v>11062</v>
      </c>
      <c r="E1539" s="5" t="s">
        <v>1813</v>
      </c>
      <c r="F1539" s="6">
        <v>46076.40347222222</v>
      </c>
      <c r="G1539" s="5" t="s">
        <v>7595</v>
      </c>
      <c r="H1539" t="s">
        <v>7482</v>
      </c>
      <c r="I1539" s="5" t="s">
        <v>1535</v>
      </c>
      <c r="J1539" s="8">
        <v>369.6</v>
      </c>
      <c r="K1539" s="5" t="s">
        <v>4</v>
      </c>
      <c r="L1539">
        <f t="shared" ref="L1539:L1602" si="24">MONTH(F1539)</f>
        <v>2</v>
      </c>
    </row>
    <row r="1540" spans="1:12" x14ac:dyDescent="0.25">
      <c r="A1540" s="5">
        <v>46849</v>
      </c>
      <c r="B1540" t="s">
        <v>11063</v>
      </c>
      <c r="C1540" s="5" t="s">
        <v>11064</v>
      </c>
      <c r="D1540" t="s">
        <v>11065</v>
      </c>
      <c r="E1540" s="5" t="s">
        <v>11066</v>
      </c>
      <c r="F1540" s="6">
        <v>46076.405555555553</v>
      </c>
      <c r="G1540" s="5" t="s">
        <v>7672</v>
      </c>
      <c r="H1540" t="s">
        <v>7482</v>
      </c>
      <c r="I1540" s="5" t="s">
        <v>1564</v>
      </c>
      <c r="J1540" s="8">
        <v>249</v>
      </c>
      <c r="K1540" s="5" t="s">
        <v>4</v>
      </c>
      <c r="L1540">
        <f t="shared" si="24"/>
        <v>2</v>
      </c>
    </row>
    <row r="1541" spans="1:12" x14ac:dyDescent="0.25">
      <c r="A1541" s="5">
        <v>46850</v>
      </c>
      <c r="B1541" t="s">
        <v>11067</v>
      </c>
      <c r="C1541" s="5" t="s">
        <v>11068</v>
      </c>
      <c r="D1541" t="s">
        <v>11069</v>
      </c>
      <c r="E1541" s="5" t="s">
        <v>1770</v>
      </c>
      <c r="F1541" s="6">
        <v>46076.421527777777</v>
      </c>
      <c r="G1541" s="5" t="s">
        <v>7456</v>
      </c>
      <c r="H1541" s="5" t="s">
        <v>11070</v>
      </c>
      <c r="I1541" s="5" t="s">
        <v>1564</v>
      </c>
      <c r="J1541" s="8">
        <v>363.5</v>
      </c>
      <c r="K1541" s="5" t="s">
        <v>4</v>
      </c>
      <c r="L1541">
        <f t="shared" si="24"/>
        <v>2</v>
      </c>
    </row>
    <row r="1542" spans="1:12" x14ac:dyDescent="0.25">
      <c r="A1542" s="5">
        <v>46851</v>
      </c>
      <c r="B1542" t="s">
        <v>11071</v>
      </c>
      <c r="C1542" s="5" t="s">
        <v>8082</v>
      </c>
      <c r="D1542" t="s">
        <v>11072</v>
      </c>
      <c r="E1542" s="5" t="s">
        <v>4238</v>
      </c>
      <c r="F1542" s="6">
        <v>46076.447222222225</v>
      </c>
      <c r="G1542" s="5" t="s">
        <v>7456</v>
      </c>
      <c r="H1542" s="5" t="s">
        <v>11073</v>
      </c>
      <c r="I1542" s="5" t="s">
        <v>1564</v>
      </c>
      <c r="J1542" s="8">
        <v>227.8</v>
      </c>
      <c r="K1542" s="5" t="s">
        <v>4</v>
      </c>
      <c r="L1542">
        <f t="shared" si="24"/>
        <v>2</v>
      </c>
    </row>
    <row r="1543" spans="1:12" x14ac:dyDescent="0.25">
      <c r="A1543" s="5">
        <v>46852</v>
      </c>
      <c r="B1543" t="s">
        <v>11074</v>
      </c>
      <c r="C1543" s="5" t="s">
        <v>11075</v>
      </c>
      <c r="D1543" t="s">
        <v>11076</v>
      </c>
      <c r="E1543" s="5" t="s">
        <v>1813</v>
      </c>
      <c r="F1543" s="6">
        <v>46076.459722222222</v>
      </c>
      <c r="G1543" s="5" t="s">
        <v>7595</v>
      </c>
      <c r="H1543" t="s">
        <v>7482</v>
      </c>
      <c r="I1543" s="5" t="s">
        <v>1535</v>
      </c>
      <c r="J1543" s="8">
        <v>1758.15</v>
      </c>
      <c r="K1543" s="5" t="s">
        <v>4</v>
      </c>
      <c r="L1543">
        <f t="shared" si="24"/>
        <v>2</v>
      </c>
    </row>
    <row r="1544" spans="1:12" x14ac:dyDescent="0.25">
      <c r="A1544" s="5">
        <v>46853</v>
      </c>
      <c r="B1544" t="s">
        <v>11077</v>
      </c>
      <c r="C1544" s="5" t="s">
        <v>11078</v>
      </c>
      <c r="D1544" t="s">
        <v>11079</v>
      </c>
      <c r="E1544" s="5" t="s">
        <v>1770</v>
      </c>
      <c r="F1544" s="6">
        <v>46076.527083333334</v>
      </c>
      <c r="G1544" s="5" t="s">
        <v>7456</v>
      </c>
      <c r="H1544" s="5" t="s">
        <v>11080</v>
      </c>
      <c r="I1544" s="5" t="s">
        <v>1564</v>
      </c>
      <c r="J1544" s="8">
        <v>195</v>
      </c>
      <c r="K1544" s="5" t="s">
        <v>4</v>
      </c>
      <c r="L1544">
        <f t="shared" si="24"/>
        <v>2</v>
      </c>
    </row>
    <row r="1545" spans="1:12" x14ac:dyDescent="0.25">
      <c r="A1545" s="5">
        <v>46854</v>
      </c>
      <c r="B1545" t="s">
        <v>8965</v>
      </c>
      <c r="C1545" s="5" t="s">
        <v>9154</v>
      </c>
      <c r="D1545" t="s">
        <v>8966</v>
      </c>
      <c r="E1545" s="5" t="s">
        <v>1532</v>
      </c>
      <c r="F1545" s="6">
        <v>46076.607638888891</v>
      </c>
      <c r="G1545" s="5" t="s">
        <v>7595</v>
      </c>
      <c r="H1545" t="s">
        <v>7482</v>
      </c>
      <c r="I1545" s="5" t="s">
        <v>1535</v>
      </c>
      <c r="J1545" s="8">
        <v>2880</v>
      </c>
      <c r="K1545" s="5" t="s">
        <v>4</v>
      </c>
      <c r="L1545">
        <f t="shared" si="24"/>
        <v>2</v>
      </c>
    </row>
    <row r="1546" spans="1:12" x14ac:dyDescent="0.25">
      <c r="A1546" s="5">
        <v>46855</v>
      </c>
      <c r="B1546" t="s">
        <v>11081</v>
      </c>
      <c r="C1546" s="5" t="s">
        <v>11082</v>
      </c>
      <c r="D1546" t="s">
        <v>11083</v>
      </c>
      <c r="E1546" s="5" t="s">
        <v>1904</v>
      </c>
      <c r="F1546" s="6">
        <v>46076.607638888891</v>
      </c>
      <c r="G1546" s="5" t="s">
        <v>7456</v>
      </c>
      <c r="H1546" s="5" t="s">
        <v>11084</v>
      </c>
      <c r="I1546" s="5" t="s">
        <v>1564</v>
      </c>
      <c r="J1546" s="8">
        <v>1597.5</v>
      </c>
      <c r="K1546" s="5" t="s">
        <v>4</v>
      </c>
      <c r="L1546">
        <f t="shared" si="24"/>
        <v>2</v>
      </c>
    </row>
    <row r="1547" spans="1:12" x14ac:dyDescent="0.25">
      <c r="A1547" s="5">
        <v>46856</v>
      </c>
      <c r="B1547" t="s">
        <v>11085</v>
      </c>
      <c r="C1547" s="5" t="s">
        <v>11086</v>
      </c>
      <c r="D1547" t="s">
        <v>11087</v>
      </c>
      <c r="E1547" s="5" t="s">
        <v>1641</v>
      </c>
      <c r="F1547" s="6">
        <v>46076.613888888889</v>
      </c>
      <c r="G1547" s="5" t="s">
        <v>7456</v>
      </c>
      <c r="H1547" s="5" t="s">
        <v>11088</v>
      </c>
      <c r="I1547" s="5" t="s">
        <v>1564</v>
      </c>
      <c r="J1547" s="8">
        <v>197.2</v>
      </c>
      <c r="K1547" s="5" t="s">
        <v>4</v>
      </c>
      <c r="L1547">
        <f t="shared" si="24"/>
        <v>2</v>
      </c>
    </row>
    <row r="1548" spans="1:12" x14ac:dyDescent="0.25">
      <c r="A1548" s="5">
        <v>46857</v>
      </c>
      <c r="B1548" t="s">
        <v>11089</v>
      </c>
      <c r="C1548" s="5" t="s">
        <v>11090</v>
      </c>
      <c r="D1548" t="s">
        <v>11091</v>
      </c>
      <c r="E1548" s="5" t="s">
        <v>2118</v>
      </c>
      <c r="F1548" s="6">
        <v>46076.63958333333</v>
      </c>
      <c r="G1548" s="5" t="s">
        <v>7456</v>
      </c>
      <c r="H1548" s="5" t="s">
        <v>11092</v>
      </c>
      <c r="I1548" s="5" t="s">
        <v>1564</v>
      </c>
      <c r="J1548" s="8">
        <v>170.2</v>
      </c>
      <c r="K1548" s="5" t="s">
        <v>4</v>
      </c>
      <c r="L1548">
        <f t="shared" si="24"/>
        <v>2</v>
      </c>
    </row>
    <row r="1549" spans="1:12" x14ac:dyDescent="0.25">
      <c r="A1549" s="5">
        <v>46858</v>
      </c>
      <c r="B1549" t="s">
        <v>11093</v>
      </c>
      <c r="C1549" s="5" t="s">
        <v>1286</v>
      </c>
      <c r="D1549" t="s">
        <v>11094</v>
      </c>
      <c r="E1549" s="5" t="s">
        <v>6627</v>
      </c>
      <c r="F1549" s="6">
        <v>46076.63958333333</v>
      </c>
      <c r="G1549" s="5" t="s">
        <v>7456</v>
      </c>
      <c r="H1549" s="5" t="s">
        <v>11095</v>
      </c>
      <c r="I1549" s="5" t="s">
        <v>1621</v>
      </c>
      <c r="J1549" s="8">
        <v>53.9</v>
      </c>
      <c r="K1549" s="5" t="s">
        <v>4</v>
      </c>
      <c r="L1549">
        <f t="shared" si="24"/>
        <v>2</v>
      </c>
    </row>
    <row r="1550" spans="1:12" x14ac:dyDescent="0.25">
      <c r="A1550" s="5">
        <v>46859</v>
      </c>
      <c r="B1550" t="s">
        <v>11096</v>
      </c>
      <c r="C1550" s="5" t="s">
        <v>9353</v>
      </c>
      <c r="D1550" t="s">
        <v>11097</v>
      </c>
      <c r="E1550" s="5" t="s">
        <v>2916</v>
      </c>
      <c r="F1550" s="6">
        <v>46076.643055555556</v>
      </c>
      <c r="G1550" s="5" t="s">
        <v>7456</v>
      </c>
      <c r="H1550" s="5" t="s">
        <v>11098</v>
      </c>
      <c r="I1550" s="5" t="s">
        <v>1621</v>
      </c>
      <c r="J1550" s="8">
        <v>481.52</v>
      </c>
      <c r="K1550" s="5" t="s">
        <v>4</v>
      </c>
      <c r="L1550">
        <f t="shared" si="24"/>
        <v>2</v>
      </c>
    </row>
    <row r="1551" spans="1:12" x14ac:dyDescent="0.25">
      <c r="A1551" s="5">
        <v>46860</v>
      </c>
      <c r="B1551" t="s">
        <v>11099</v>
      </c>
      <c r="C1551" s="5" t="s">
        <v>143</v>
      </c>
      <c r="D1551" t="s">
        <v>11100</v>
      </c>
      <c r="E1551" s="5" t="s">
        <v>6863</v>
      </c>
      <c r="F1551" s="6">
        <v>46076.65347222222</v>
      </c>
      <c r="G1551" s="5" t="s">
        <v>7456</v>
      </c>
      <c r="H1551" s="5" t="s">
        <v>11101</v>
      </c>
      <c r="I1551" s="5" t="s">
        <v>1621</v>
      </c>
      <c r="J1551" s="8">
        <v>42.05</v>
      </c>
      <c r="K1551" s="5" t="s">
        <v>4</v>
      </c>
      <c r="L1551">
        <f t="shared" si="24"/>
        <v>2</v>
      </c>
    </row>
    <row r="1552" spans="1:12" x14ac:dyDescent="0.25">
      <c r="A1552" s="5">
        <v>46861</v>
      </c>
      <c r="B1552" t="s">
        <v>11102</v>
      </c>
      <c r="C1552" s="5" t="s">
        <v>946</v>
      </c>
      <c r="D1552" t="s">
        <v>11103</v>
      </c>
      <c r="E1552" s="5" t="s">
        <v>6176</v>
      </c>
      <c r="F1552" s="6">
        <v>46076.67291666667</v>
      </c>
      <c r="G1552" s="5" t="s">
        <v>7456</v>
      </c>
      <c r="H1552" s="5" t="s">
        <v>11104</v>
      </c>
      <c r="I1552" s="5" t="s">
        <v>1621</v>
      </c>
      <c r="J1552" s="8">
        <v>82.37</v>
      </c>
      <c r="K1552" s="5" t="s">
        <v>4</v>
      </c>
      <c r="L1552">
        <f t="shared" si="24"/>
        <v>2</v>
      </c>
    </row>
    <row r="1553" spans="1:12" x14ac:dyDescent="0.25">
      <c r="A1553" s="5">
        <v>46862</v>
      </c>
      <c r="B1553" t="s">
        <v>11105</v>
      </c>
      <c r="C1553" s="5" t="s">
        <v>1226</v>
      </c>
      <c r="D1553" t="s">
        <v>11106</v>
      </c>
      <c r="E1553" s="5" t="s">
        <v>6567</v>
      </c>
      <c r="F1553" s="6">
        <v>46076.686111111114</v>
      </c>
      <c r="G1553" s="5" t="s">
        <v>7456</v>
      </c>
      <c r="H1553" s="5" t="s">
        <v>11107</v>
      </c>
      <c r="I1553" s="5" t="s">
        <v>1621</v>
      </c>
      <c r="J1553" s="8">
        <v>58.63</v>
      </c>
      <c r="K1553" s="5" t="s">
        <v>4</v>
      </c>
      <c r="L1553">
        <f t="shared" si="24"/>
        <v>2</v>
      </c>
    </row>
    <row r="1554" spans="1:12" x14ac:dyDescent="0.25">
      <c r="A1554" s="5">
        <v>46863</v>
      </c>
      <c r="B1554" t="s">
        <v>11108</v>
      </c>
      <c r="C1554" s="5" t="s">
        <v>11109</v>
      </c>
      <c r="D1554" t="s">
        <v>11110</v>
      </c>
      <c r="E1554" s="5" t="s">
        <v>4500</v>
      </c>
      <c r="F1554" s="6">
        <v>46076.695138888892</v>
      </c>
      <c r="G1554" s="5" t="s">
        <v>7456</v>
      </c>
      <c r="H1554" s="5" t="s">
        <v>11111</v>
      </c>
      <c r="I1554" s="5" t="s">
        <v>1621</v>
      </c>
      <c r="J1554" s="8">
        <v>192.18</v>
      </c>
      <c r="K1554" s="5" t="s">
        <v>4</v>
      </c>
      <c r="L1554">
        <f t="shared" si="24"/>
        <v>2</v>
      </c>
    </row>
    <row r="1555" spans="1:12" x14ac:dyDescent="0.25">
      <c r="A1555" s="5">
        <v>46864</v>
      </c>
      <c r="B1555" t="s">
        <v>11112</v>
      </c>
      <c r="C1555" s="5" t="s">
        <v>11113</v>
      </c>
      <c r="D1555" t="s">
        <v>11114</v>
      </c>
      <c r="E1555" s="5" t="s">
        <v>2930</v>
      </c>
      <c r="F1555" s="6">
        <v>46076.704861111109</v>
      </c>
      <c r="G1555" s="5" t="s">
        <v>7456</v>
      </c>
      <c r="H1555" s="5" t="s">
        <v>11115</v>
      </c>
      <c r="I1555" s="5" t="s">
        <v>1621</v>
      </c>
      <c r="J1555" s="8">
        <v>474.42</v>
      </c>
      <c r="K1555" s="5" t="s">
        <v>4</v>
      </c>
      <c r="L1555">
        <f t="shared" si="24"/>
        <v>2</v>
      </c>
    </row>
    <row r="1556" spans="1:12" x14ac:dyDescent="0.25">
      <c r="A1556" s="5">
        <v>46865</v>
      </c>
      <c r="B1556" t="s">
        <v>11116</v>
      </c>
      <c r="C1556" s="5" t="s">
        <v>923</v>
      </c>
      <c r="D1556" t="s">
        <v>11117</v>
      </c>
      <c r="E1556" s="5" t="s">
        <v>7238</v>
      </c>
      <c r="F1556" s="6">
        <v>46076.709722222222</v>
      </c>
      <c r="G1556" s="5" t="s">
        <v>7456</v>
      </c>
      <c r="H1556" s="5" t="s">
        <v>11118</v>
      </c>
      <c r="I1556" s="5" t="s">
        <v>1621</v>
      </c>
      <c r="J1556" s="8">
        <v>21.93</v>
      </c>
      <c r="K1556" s="5" t="s">
        <v>4</v>
      </c>
      <c r="L1556">
        <f t="shared" si="24"/>
        <v>2</v>
      </c>
    </row>
    <row r="1557" spans="1:12" x14ac:dyDescent="0.25">
      <c r="A1557" s="5">
        <v>46866</v>
      </c>
      <c r="B1557" t="s">
        <v>11119</v>
      </c>
      <c r="C1557" s="5" t="s">
        <v>207</v>
      </c>
      <c r="D1557" t="s">
        <v>11120</v>
      </c>
      <c r="E1557" s="5" t="s">
        <v>4519</v>
      </c>
      <c r="F1557" s="6">
        <v>46076.714583333334</v>
      </c>
      <c r="G1557" s="5" t="s">
        <v>7456</v>
      </c>
      <c r="H1557" s="5" t="s">
        <v>11121</v>
      </c>
      <c r="I1557" s="5" t="s">
        <v>1621</v>
      </c>
      <c r="J1557" s="8">
        <v>190.44</v>
      </c>
      <c r="K1557" s="5" t="s">
        <v>4</v>
      </c>
      <c r="L1557">
        <f t="shared" si="24"/>
        <v>2</v>
      </c>
    </row>
    <row r="1558" spans="1:12" x14ac:dyDescent="0.25">
      <c r="A1558" s="5">
        <v>46870</v>
      </c>
      <c r="B1558" t="s">
        <v>9791</v>
      </c>
      <c r="C1558" s="5" t="s">
        <v>7516</v>
      </c>
      <c r="D1558" t="s">
        <v>9792</v>
      </c>
      <c r="E1558" s="5" t="s">
        <v>1548</v>
      </c>
      <c r="F1558" s="6">
        <v>46077.40347222222</v>
      </c>
      <c r="G1558" s="5" t="s">
        <v>7456</v>
      </c>
      <c r="H1558" s="5" t="s">
        <v>11122</v>
      </c>
      <c r="I1558" s="5" t="s">
        <v>1535</v>
      </c>
      <c r="J1558" s="8">
        <v>678.1</v>
      </c>
      <c r="K1558" s="5" t="s">
        <v>4</v>
      </c>
      <c r="L1558">
        <f t="shared" si="24"/>
        <v>2</v>
      </c>
    </row>
    <row r="1559" spans="1:12" x14ac:dyDescent="0.25">
      <c r="A1559" s="5">
        <v>46871</v>
      </c>
      <c r="B1559" t="s">
        <v>11123</v>
      </c>
      <c r="C1559" s="5" t="s">
        <v>7516</v>
      </c>
      <c r="D1559" t="s">
        <v>11124</v>
      </c>
      <c r="E1559" s="5" t="s">
        <v>1813</v>
      </c>
      <c r="F1559" s="6">
        <v>46077.413194444445</v>
      </c>
      <c r="G1559" s="5" t="s">
        <v>7456</v>
      </c>
      <c r="H1559" s="5" t="s">
        <v>11125</v>
      </c>
      <c r="I1559" s="5" t="s">
        <v>1535</v>
      </c>
      <c r="J1559" s="8">
        <v>394.3</v>
      </c>
      <c r="K1559" s="5" t="s">
        <v>4</v>
      </c>
      <c r="L1559">
        <f t="shared" si="24"/>
        <v>2</v>
      </c>
    </row>
    <row r="1560" spans="1:12" x14ac:dyDescent="0.25">
      <c r="A1560" s="5">
        <v>46873</v>
      </c>
      <c r="B1560" t="s">
        <v>11126</v>
      </c>
      <c r="C1560" s="5" t="s">
        <v>11127</v>
      </c>
      <c r="D1560" t="s">
        <v>11128</v>
      </c>
      <c r="E1560" s="5" t="s">
        <v>1904</v>
      </c>
      <c r="F1560" s="6">
        <v>46077.446527777778</v>
      </c>
      <c r="G1560" s="5" t="s">
        <v>7456</v>
      </c>
      <c r="H1560" s="5" t="s">
        <v>11129</v>
      </c>
      <c r="I1560" s="5" t="s">
        <v>1564</v>
      </c>
      <c r="J1560" s="8">
        <v>63.9</v>
      </c>
      <c r="K1560" s="5" t="s">
        <v>4</v>
      </c>
      <c r="L1560">
        <f t="shared" si="24"/>
        <v>2</v>
      </c>
    </row>
    <row r="1561" spans="1:12" x14ac:dyDescent="0.25">
      <c r="A1561" s="5">
        <v>46874</v>
      </c>
      <c r="B1561" t="s">
        <v>11130</v>
      </c>
      <c r="C1561" s="5" t="s">
        <v>941</v>
      </c>
      <c r="D1561" t="s">
        <v>11131</v>
      </c>
      <c r="E1561" s="5" t="s">
        <v>1770</v>
      </c>
      <c r="F1561" s="6">
        <v>46077.45208333333</v>
      </c>
      <c r="G1561" s="5" t="s">
        <v>7456</v>
      </c>
      <c r="H1561" s="5" t="s">
        <v>11132</v>
      </c>
      <c r="I1561" s="5" t="s">
        <v>1564</v>
      </c>
      <c r="J1561" s="8">
        <v>185</v>
      </c>
      <c r="K1561" s="5" t="s">
        <v>4</v>
      </c>
      <c r="L1561">
        <f t="shared" si="24"/>
        <v>2</v>
      </c>
    </row>
    <row r="1562" spans="1:12" x14ac:dyDescent="0.25">
      <c r="A1562" s="5">
        <v>46875</v>
      </c>
      <c r="B1562" t="s">
        <v>11133</v>
      </c>
      <c r="C1562" s="5" t="s">
        <v>11134</v>
      </c>
      <c r="D1562" t="s">
        <v>11135</v>
      </c>
      <c r="E1562" s="5" t="s">
        <v>1959</v>
      </c>
      <c r="F1562" s="6">
        <v>46077.455555555556</v>
      </c>
      <c r="G1562" s="5" t="s">
        <v>7456</v>
      </c>
      <c r="H1562" s="5" t="s">
        <v>11136</v>
      </c>
      <c r="I1562" s="5" t="s">
        <v>1564</v>
      </c>
      <c r="J1562" s="8">
        <v>1000.2</v>
      </c>
      <c r="K1562" s="5" t="s">
        <v>4</v>
      </c>
      <c r="L1562">
        <f t="shared" si="24"/>
        <v>2</v>
      </c>
    </row>
    <row r="1563" spans="1:12" x14ac:dyDescent="0.25">
      <c r="A1563" s="5">
        <v>46876</v>
      </c>
      <c r="B1563" t="s">
        <v>11137</v>
      </c>
      <c r="C1563" s="5" t="s">
        <v>11138</v>
      </c>
      <c r="D1563" t="s">
        <v>11139</v>
      </c>
      <c r="E1563" s="5" t="s">
        <v>11140</v>
      </c>
      <c r="F1563" s="6">
        <v>46077.464583333334</v>
      </c>
      <c r="G1563" s="5" t="s">
        <v>7672</v>
      </c>
      <c r="H1563" t="s">
        <v>7482</v>
      </c>
      <c r="I1563" s="5" t="s">
        <v>1564</v>
      </c>
      <c r="J1563" s="8">
        <v>1030</v>
      </c>
      <c r="K1563" s="5" t="s">
        <v>4</v>
      </c>
      <c r="L1563">
        <f t="shared" si="24"/>
        <v>2</v>
      </c>
    </row>
    <row r="1564" spans="1:12" x14ac:dyDescent="0.25">
      <c r="A1564" s="5">
        <v>46877</v>
      </c>
      <c r="B1564" t="s">
        <v>10560</v>
      </c>
      <c r="C1564" s="5" t="s">
        <v>10561</v>
      </c>
      <c r="D1564" t="s">
        <v>10562</v>
      </c>
      <c r="E1564" s="5" t="s">
        <v>2118</v>
      </c>
      <c r="F1564" s="6">
        <v>46077.482638888891</v>
      </c>
      <c r="G1564" s="5" t="s">
        <v>7456</v>
      </c>
      <c r="H1564" s="5" t="s">
        <v>11141</v>
      </c>
      <c r="I1564" s="5" t="s">
        <v>1564</v>
      </c>
      <c r="J1564" s="8">
        <v>180</v>
      </c>
      <c r="K1564" s="5" t="s">
        <v>4</v>
      </c>
      <c r="L1564">
        <f t="shared" si="24"/>
        <v>2</v>
      </c>
    </row>
    <row r="1565" spans="1:12" x14ac:dyDescent="0.25">
      <c r="A1565" s="5">
        <v>46878</v>
      </c>
      <c r="B1565" t="s">
        <v>11142</v>
      </c>
      <c r="C1565" s="5" t="s">
        <v>11143</v>
      </c>
      <c r="D1565" t="s">
        <v>11144</v>
      </c>
      <c r="E1565" s="5" t="s">
        <v>2740</v>
      </c>
      <c r="F1565" s="6">
        <v>46077.511805555558</v>
      </c>
      <c r="G1565" s="5" t="s">
        <v>7456</v>
      </c>
      <c r="H1565" s="5" t="s">
        <v>11145</v>
      </c>
      <c r="I1565" s="5" t="s">
        <v>1564</v>
      </c>
      <c r="J1565" s="8">
        <v>139</v>
      </c>
      <c r="K1565" s="5" t="s">
        <v>4</v>
      </c>
      <c r="L1565">
        <f t="shared" si="24"/>
        <v>2</v>
      </c>
    </row>
    <row r="1566" spans="1:12" x14ac:dyDescent="0.25">
      <c r="A1566" s="5">
        <v>46879</v>
      </c>
      <c r="B1566" t="s">
        <v>11146</v>
      </c>
      <c r="C1566" s="5" t="s">
        <v>210</v>
      </c>
      <c r="D1566" t="s">
        <v>11147</v>
      </c>
      <c r="E1566" s="5" t="s">
        <v>1759</v>
      </c>
      <c r="F1566" s="6">
        <v>46077.52847222222</v>
      </c>
      <c r="G1566" s="5" t="s">
        <v>7456</v>
      </c>
      <c r="H1566" s="5" t="s">
        <v>11148</v>
      </c>
      <c r="I1566" s="5" t="s">
        <v>1564</v>
      </c>
      <c r="J1566" s="8">
        <v>105.6</v>
      </c>
      <c r="K1566" s="5" t="s">
        <v>4</v>
      </c>
      <c r="L1566">
        <f t="shared" si="24"/>
        <v>2</v>
      </c>
    </row>
    <row r="1567" spans="1:12" x14ac:dyDescent="0.25">
      <c r="A1567" s="5">
        <v>46880</v>
      </c>
      <c r="B1567" t="s">
        <v>11149</v>
      </c>
      <c r="C1567" s="5" t="s">
        <v>156</v>
      </c>
      <c r="D1567" t="s">
        <v>11150</v>
      </c>
      <c r="E1567" s="5" t="s">
        <v>1738</v>
      </c>
      <c r="F1567" s="6">
        <v>46077.552083333336</v>
      </c>
      <c r="G1567" s="5" t="s">
        <v>7456</v>
      </c>
      <c r="H1567" s="5" t="s">
        <v>11151</v>
      </c>
      <c r="I1567" s="5" t="s">
        <v>1564</v>
      </c>
      <c r="J1567" s="8">
        <v>100</v>
      </c>
      <c r="K1567" s="5" t="s">
        <v>4</v>
      </c>
      <c r="L1567">
        <f t="shared" si="24"/>
        <v>2</v>
      </c>
    </row>
    <row r="1568" spans="1:12" x14ac:dyDescent="0.25">
      <c r="A1568" s="5">
        <v>46881</v>
      </c>
      <c r="B1568" t="s">
        <v>11152</v>
      </c>
      <c r="C1568" s="5" t="s">
        <v>11153</v>
      </c>
      <c r="D1568" t="s">
        <v>11154</v>
      </c>
      <c r="E1568" s="5" t="s">
        <v>1813</v>
      </c>
      <c r="F1568" s="6">
        <v>46077.554166666669</v>
      </c>
      <c r="G1568" s="5" t="s">
        <v>7595</v>
      </c>
      <c r="H1568" t="s">
        <v>7482</v>
      </c>
      <c r="I1568" s="5" t="s">
        <v>1535</v>
      </c>
      <c r="J1568" s="8">
        <v>1177.5</v>
      </c>
      <c r="K1568" s="5" t="s">
        <v>4</v>
      </c>
      <c r="L1568">
        <f t="shared" si="24"/>
        <v>2</v>
      </c>
    </row>
    <row r="1569" spans="1:12" x14ac:dyDescent="0.25">
      <c r="A1569" s="5">
        <v>46882</v>
      </c>
      <c r="B1569" t="s">
        <v>10242</v>
      </c>
      <c r="C1569" s="5" t="s">
        <v>10243</v>
      </c>
      <c r="D1569" t="s">
        <v>10244</v>
      </c>
      <c r="E1569" s="5" t="s">
        <v>1742</v>
      </c>
      <c r="F1569" s="6">
        <v>46077.632638888892</v>
      </c>
      <c r="G1569" s="5" t="s">
        <v>7456</v>
      </c>
      <c r="H1569" s="5" t="s">
        <v>11155</v>
      </c>
      <c r="I1569" s="5" t="s">
        <v>1621</v>
      </c>
      <c r="J1569" s="8">
        <v>0</v>
      </c>
      <c r="K1569" s="5" t="s">
        <v>4</v>
      </c>
      <c r="L1569">
        <f t="shared" si="24"/>
        <v>2</v>
      </c>
    </row>
    <row r="1570" spans="1:12" x14ac:dyDescent="0.25">
      <c r="A1570" s="5">
        <v>46886</v>
      </c>
      <c r="B1570" t="s">
        <v>8973</v>
      </c>
      <c r="C1570" s="5" t="s">
        <v>7516</v>
      </c>
      <c r="D1570" t="s">
        <v>8974</v>
      </c>
      <c r="E1570" s="5" t="s">
        <v>4799</v>
      </c>
      <c r="F1570" s="6">
        <v>46077.644444444442</v>
      </c>
      <c r="G1570" s="5" t="s">
        <v>7456</v>
      </c>
      <c r="H1570" s="5" t="s">
        <v>11156</v>
      </c>
      <c r="I1570" s="5" t="s">
        <v>1621</v>
      </c>
      <c r="J1570" s="8">
        <v>167.74</v>
      </c>
      <c r="K1570" s="5" t="s">
        <v>4</v>
      </c>
      <c r="L1570">
        <f t="shared" si="24"/>
        <v>2</v>
      </c>
    </row>
    <row r="1571" spans="1:12" x14ac:dyDescent="0.25">
      <c r="A1571" s="5">
        <v>46887</v>
      </c>
      <c r="B1571" t="s">
        <v>11157</v>
      </c>
      <c r="C1571" s="5" t="s">
        <v>11158</v>
      </c>
      <c r="D1571" t="s">
        <v>11159</v>
      </c>
      <c r="E1571" s="5" t="s">
        <v>1532</v>
      </c>
      <c r="F1571" s="6">
        <v>46077.649305555555</v>
      </c>
      <c r="G1571" s="5" t="s">
        <v>7456</v>
      </c>
      <c r="H1571" s="5" t="s">
        <v>11160</v>
      </c>
      <c r="I1571" s="5" t="s">
        <v>1535</v>
      </c>
      <c r="J1571" s="8">
        <v>103</v>
      </c>
      <c r="K1571" s="5" t="s">
        <v>4</v>
      </c>
      <c r="L1571">
        <f t="shared" si="24"/>
        <v>2</v>
      </c>
    </row>
    <row r="1572" spans="1:12" x14ac:dyDescent="0.25">
      <c r="A1572" s="5">
        <v>46888</v>
      </c>
      <c r="B1572" t="s">
        <v>11161</v>
      </c>
      <c r="C1572" s="5" t="s">
        <v>11162</v>
      </c>
      <c r="D1572" t="s">
        <v>11163</v>
      </c>
      <c r="E1572" s="5" t="s">
        <v>5462</v>
      </c>
      <c r="F1572" s="6">
        <v>46077.649305555555</v>
      </c>
      <c r="G1572" s="5" t="s">
        <v>7456</v>
      </c>
      <c r="H1572" s="5" t="s">
        <v>11164</v>
      </c>
      <c r="I1572" s="5" t="s">
        <v>1621</v>
      </c>
      <c r="J1572" s="8">
        <v>125.91</v>
      </c>
      <c r="K1572" s="5" t="s">
        <v>4</v>
      </c>
      <c r="L1572">
        <f t="shared" si="24"/>
        <v>2</v>
      </c>
    </row>
    <row r="1573" spans="1:12" x14ac:dyDescent="0.25">
      <c r="A1573" s="5">
        <v>46890</v>
      </c>
      <c r="B1573" t="s">
        <v>11165</v>
      </c>
      <c r="C1573" s="5" t="s">
        <v>644</v>
      </c>
      <c r="D1573" t="s">
        <v>11166</v>
      </c>
      <c r="E1573" s="5" t="s">
        <v>4925</v>
      </c>
      <c r="F1573" s="6">
        <v>46077.654861111114</v>
      </c>
      <c r="G1573" s="5" t="s">
        <v>7456</v>
      </c>
      <c r="H1573" s="5" t="s">
        <v>11167</v>
      </c>
      <c r="I1573" s="5" t="s">
        <v>1621</v>
      </c>
      <c r="J1573" s="8">
        <v>156.97</v>
      </c>
      <c r="K1573" s="5" t="s">
        <v>4</v>
      </c>
      <c r="L1573">
        <f t="shared" si="24"/>
        <v>2</v>
      </c>
    </row>
    <row r="1574" spans="1:12" x14ac:dyDescent="0.25">
      <c r="A1574" s="5">
        <v>46891</v>
      </c>
      <c r="B1574" t="s">
        <v>11168</v>
      </c>
      <c r="C1574" s="5" t="s">
        <v>585</v>
      </c>
      <c r="D1574" t="s">
        <v>11169</v>
      </c>
      <c r="E1574" s="5" t="s">
        <v>7261</v>
      </c>
      <c r="F1574" s="6">
        <v>46077.65902777778</v>
      </c>
      <c r="G1574" s="5" t="s">
        <v>7456</v>
      </c>
      <c r="H1574" s="5" t="s">
        <v>11170</v>
      </c>
      <c r="I1574" s="5" t="s">
        <v>1621</v>
      </c>
      <c r="J1574" s="8">
        <v>19.899999999999999</v>
      </c>
      <c r="K1574" s="5" t="s">
        <v>4</v>
      </c>
      <c r="L1574">
        <f t="shared" si="24"/>
        <v>2</v>
      </c>
    </row>
    <row r="1575" spans="1:12" x14ac:dyDescent="0.25">
      <c r="A1575" s="5">
        <v>46892</v>
      </c>
      <c r="B1575" t="s">
        <v>11171</v>
      </c>
      <c r="C1575" s="5" t="s">
        <v>11172</v>
      </c>
      <c r="D1575" t="s">
        <v>11173</v>
      </c>
      <c r="E1575" s="5" t="s">
        <v>1759</v>
      </c>
      <c r="F1575" s="6">
        <v>46077.662499999999</v>
      </c>
      <c r="G1575" s="5" t="s">
        <v>7456</v>
      </c>
      <c r="H1575" s="5" t="s">
        <v>11174</v>
      </c>
      <c r="I1575" s="5" t="s">
        <v>1564</v>
      </c>
      <c r="J1575" s="8">
        <v>507.2</v>
      </c>
      <c r="K1575" s="5" t="s">
        <v>4</v>
      </c>
      <c r="L1575">
        <f t="shared" si="24"/>
        <v>2</v>
      </c>
    </row>
    <row r="1576" spans="1:12" x14ac:dyDescent="0.25">
      <c r="A1576" s="5">
        <v>46893</v>
      </c>
      <c r="B1576" t="s">
        <v>11171</v>
      </c>
      <c r="C1576" s="5" t="s">
        <v>9297</v>
      </c>
      <c r="D1576" t="s">
        <v>11173</v>
      </c>
      <c r="E1576" s="5" t="s">
        <v>1813</v>
      </c>
      <c r="F1576" s="6">
        <v>46077.663194444445</v>
      </c>
      <c r="G1576" s="5" t="s">
        <v>11175</v>
      </c>
      <c r="H1576" t="s">
        <v>7482</v>
      </c>
      <c r="I1576" s="5" t="s">
        <v>1535</v>
      </c>
      <c r="J1576" s="8">
        <v>824</v>
      </c>
      <c r="K1576" s="5" t="s">
        <v>4</v>
      </c>
      <c r="L1576">
        <f t="shared" si="24"/>
        <v>2</v>
      </c>
    </row>
    <row r="1577" spans="1:12" x14ac:dyDescent="0.25">
      <c r="A1577" s="5">
        <v>46894</v>
      </c>
      <c r="B1577" t="s">
        <v>11176</v>
      </c>
      <c r="C1577" s="5" t="s">
        <v>600</v>
      </c>
      <c r="D1577" t="s">
        <v>11177</v>
      </c>
      <c r="E1577" s="5" t="s">
        <v>6410</v>
      </c>
      <c r="F1577" s="6">
        <v>46077.664583333331</v>
      </c>
      <c r="G1577" s="5" t="s">
        <v>7456</v>
      </c>
      <c r="H1577" s="5" t="s">
        <v>11178</v>
      </c>
      <c r="I1577" s="5" t="s">
        <v>1621</v>
      </c>
      <c r="J1577" s="8">
        <v>68.58</v>
      </c>
      <c r="K1577" s="5" t="s">
        <v>4</v>
      </c>
      <c r="L1577">
        <f t="shared" si="24"/>
        <v>2</v>
      </c>
    </row>
    <row r="1578" spans="1:12" x14ac:dyDescent="0.25">
      <c r="A1578" s="5">
        <v>46895</v>
      </c>
      <c r="B1578" t="s">
        <v>11179</v>
      </c>
      <c r="C1578" s="5" t="s">
        <v>11180</v>
      </c>
      <c r="D1578" t="s">
        <v>11181</v>
      </c>
      <c r="E1578" s="5" t="s">
        <v>6698</v>
      </c>
      <c r="F1578" s="6">
        <v>46077.671527777777</v>
      </c>
      <c r="G1578" s="5" t="s">
        <v>7456</v>
      </c>
      <c r="H1578" s="5" t="s">
        <v>11182</v>
      </c>
      <c r="I1578" s="5" t="s">
        <v>1621</v>
      </c>
      <c r="J1578" s="8">
        <v>52.07</v>
      </c>
      <c r="K1578" s="5" t="s">
        <v>4</v>
      </c>
      <c r="L1578">
        <f t="shared" si="24"/>
        <v>2</v>
      </c>
    </row>
    <row r="1579" spans="1:12" x14ac:dyDescent="0.25">
      <c r="A1579" s="5">
        <v>46897</v>
      </c>
      <c r="B1579" t="s">
        <v>11183</v>
      </c>
      <c r="C1579" s="5" t="s">
        <v>11184</v>
      </c>
      <c r="D1579" t="s">
        <v>11185</v>
      </c>
      <c r="E1579" s="5" t="s">
        <v>11186</v>
      </c>
      <c r="F1579" s="6">
        <v>46077.677083333336</v>
      </c>
      <c r="G1579" s="5" t="s">
        <v>7456</v>
      </c>
      <c r="H1579" s="5" t="s">
        <v>7522</v>
      </c>
      <c r="I1579" s="5" t="s">
        <v>1621</v>
      </c>
      <c r="J1579" s="8">
        <v>443.6</v>
      </c>
      <c r="K1579" s="5" t="s">
        <v>4</v>
      </c>
      <c r="L1579">
        <f t="shared" si="24"/>
        <v>2</v>
      </c>
    </row>
    <row r="1580" spans="1:12" x14ac:dyDescent="0.25">
      <c r="A1580" s="5">
        <v>46898</v>
      </c>
      <c r="B1580" t="s">
        <v>11187</v>
      </c>
      <c r="C1580" s="5" t="s">
        <v>11188</v>
      </c>
      <c r="D1580" t="s">
        <v>11189</v>
      </c>
      <c r="E1580" s="5" t="s">
        <v>1548</v>
      </c>
      <c r="F1580" s="6">
        <v>46077.6875</v>
      </c>
      <c r="G1580" s="5" t="s">
        <v>7456</v>
      </c>
      <c r="H1580" s="5" t="s">
        <v>11190</v>
      </c>
      <c r="I1580" s="5" t="s">
        <v>1535</v>
      </c>
      <c r="J1580" s="8">
        <v>1167</v>
      </c>
      <c r="K1580" s="5" t="s">
        <v>4</v>
      </c>
      <c r="L1580">
        <f t="shared" si="24"/>
        <v>2</v>
      </c>
    </row>
    <row r="1581" spans="1:12" x14ac:dyDescent="0.25">
      <c r="A1581" s="5">
        <v>46899</v>
      </c>
      <c r="B1581" t="s">
        <v>11191</v>
      </c>
      <c r="C1581" s="5" t="s">
        <v>9639</v>
      </c>
      <c r="D1581" t="s">
        <v>9293</v>
      </c>
      <c r="E1581" s="5" t="s">
        <v>11192</v>
      </c>
      <c r="F1581" s="6">
        <v>46077.691666666666</v>
      </c>
      <c r="G1581" s="5" t="s">
        <v>7672</v>
      </c>
      <c r="H1581" t="s">
        <v>7482</v>
      </c>
      <c r="I1581" s="5" t="s">
        <v>1564</v>
      </c>
      <c r="J1581" s="8">
        <v>480</v>
      </c>
      <c r="K1581" s="5" t="s">
        <v>4</v>
      </c>
      <c r="L1581">
        <f t="shared" si="24"/>
        <v>2</v>
      </c>
    </row>
    <row r="1582" spans="1:12" x14ac:dyDescent="0.25">
      <c r="A1582" s="5">
        <v>46901</v>
      </c>
      <c r="B1582" t="s">
        <v>11193</v>
      </c>
      <c r="C1582" s="5" t="s">
        <v>509</v>
      </c>
      <c r="D1582" t="s">
        <v>11194</v>
      </c>
      <c r="E1582" s="5" t="s">
        <v>6906</v>
      </c>
      <c r="F1582" s="6">
        <v>46077.696527777778</v>
      </c>
      <c r="G1582" s="5" t="s">
        <v>7456</v>
      </c>
      <c r="H1582" s="5" t="s">
        <v>11195</v>
      </c>
      <c r="I1582" s="5" t="s">
        <v>1621</v>
      </c>
      <c r="J1582" s="8">
        <v>39.799999999999997</v>
      </c>
      <c r="K1582" s="5" t="s">
        <v>4</v>
      </c>
      <c r="L1582">
        <f t="shared" si="24"/>
        <v>2</v>
      </c>
    </row>
    <row r="1583" spans="1:12" x14ac:dyDescent="0.25">
      <c r="A1583" s="5">
        <v>46902</v>
      </c>
      <c r="B1583" t="s">
        <v>10858</v>
      </c>
      <c r="C1583" s="5" t="s">
        <v>10859</v>
      </c>
      <c r="D1583" t="s">
        <v>10860</v>
      </c>
      <c r="E1583" s="5" t="s">
        <v>7390</v>
      </c>
      <c r="F1583" s="6">
        <v>46077.702777777777</v>
      </c>
      <c r="G1583" s="5" t="s">
        <v>7456</v>
      </c>
      <c r="H1583" s="5" t="s">
        <v>11196</v>
      </c>
      <c r="I1583" s="5" t="s">
        <v>1621</v>
      </c>
      <c r="J1583" s="8">
        <v>6.9</v>
      </c>
      <c r="K1583" s="5" t="s">
        <v>4</v>
      </c>
      <c r="L1583">
        <f t="shared" si="24"/>
        <v>2</v>
      </c>
    </row>
    <row r="1584" spans="1:12" x14ac:dyDescent="0.25">
      <c r="A1584" s="5">
        <v>46903</v>
      </c>
      <c r="B1584" t="s">
        <v>11197</v>
      </c>
      <c r="C1584" s="5" t="s">
        <v>1228</v>
      </c>
      <c r="D1584" t="s">
        <v>11198</v>
      </c>
      <c r="E1584" s="5" t="s">
        <v>1738</v>
      </c>
      <c r="F1584" s="6">
        <v>46077.706944444442</v>
      </c>
      <c r="G1584" s="5" t="s">
        <v>7456</v>
      </c>
      <c r="H1584" s="5" t="s">
        <v>11199</v>
      </c>
      <c r="I1584" s="5" t="s">
        <v>1564</v>
      </c>
      <c r="J1584" s="8">
        <v>325</v>
      </c>
      <c r="K1584" s="5" t="s">
        <v>4</v>
      </c>
      <c r="L1584">
        <f t="shared" si="24"/>
        <v>2</v>
      </c>
    </row>
    <row r="1585" spans="1:12" x14ac:dyDescent="0.25">
      <c r="A1585" s="5">
        <v>46904</v>
      </c>
      <c r="B1585" t="s">
        <v>10858</v>
      </c>
      <c r="C1585" s="5" t="s">
        <v>10859</v>
      </c>
      <c r="D1585" t="s">
        <v>10860</v>
      </c>
      <c r="E1585" s="5" t="s">
        <v>7398</v>
      </c>
      <c r="F1585" s="6">
        <v>46077.711805555555</v>
      </c>
      <c r="G1585" s="5" t="s">
        <v>7456</v>
      </c>
      <c r="H1585" s="5" t="s">
        <v>11200</v>
      </c>
      <c r="I1585" s="5" t="s">
        <v>1621</v>
      </c>
      <c r="J1585" s="8">
        <v>5.9</v>
      </c>
      <c r="K1585" s="5" t="s">
        <v>4</v>
      </c>
      <c r="L1585">
        <f t="shared" si="24"/>
        <v>2</v>
      </c>
    </row>
    <row r="1586" spans="1:12" x14ac:dyDescent="0.25">
      <c r="A1586" s="5">
        <v>46905</v>
      </c>
      <c r="B1586" t="s">
        <v>11201</v>
      </c>
      <c r="C1586" s="5" t="s">
        <v>11202</v>
      </c>
      <c r="D1586" t="s">
        <v>11203</v>
      </c>
      <c r="E1586" s="5" t="s">
        <v>3028</v>
      </c>
      <c r="F1586" s="6">
        <v>46077.715277777781</v>
      </c>
      <c r="G1586" s="5" t="s">
        <v>7456</v>
      </c>
      <c r="H1586" s="5" t="s">
        <v>11204</v>
      </c>
      <c r="I1586" s="5" t="s">
        <v>1621</v>
      </c>
      <c r="J1586" s="8">
        <v>446.49</v>
      </c>
      <c r="K1586" s="5" t="s">
        <v>4</v>
      </c>
      <c r="L1586">
        <f t="shared" si="24"/>
        <v>2</v>
      </c>
    </row>
    <row r="1587" spans="1:12" x14ac:dyDescent="0.25">
      <c r="A1587" s="5">
        <v>46906</v>
      </c>
      <c r="B1587" t="s">
        <v>11205</v>
      </c>
      <c r="C1587" s="5" t="s">
        <v>11206</v>
      </c>
      <c r="D1587" t="s">
        <v>11207</v>
      </c>
      <c r="E1587" s="5" t="s">
        <v>2850</v>
      </c>
      <c r="F1587" s="6">
        <v>46077.731249999997</v>
      </c>
      <c r="G1587" s="5" t="s">
        <v>7456</v>
      </c>
      <c r="H1587" s="5" t="s">
        <v>11208</v>
      </c>
      <c r="I1587" s="5" t="s">
        <v>1564</v>
      </c>
      <c r="J1587" s="8">
        <v>501.1</v>
      </c>
      <c r="K1587" s="5" t="s">
        <v>4</v>
      </c>
      <c r="L1587">
        <f t="shared" si="24"/>
        <v>2</v>
      </c>
    </row>
    <row r="1588" spans="1:12" x14ac:dyDescent="0.25">
      <c r="A1588" s="5">
        <v>46909</v>
      </c>
      <c r="B1588" t="s">
        <v>11209</v>
      </c>
      <c r="C1588" s="5" t="s">
        <v>11210</v>
      </c>
      <c r="D1588" t="s">
        <v>11211</v>
      </c>
      <c r="E1588" s="5" t="s">
        <v>11212</v>
      </c>
      <c r="F1588" s="6">
        <v>46077.759027777778</v>
      </c>
      <c r="G1588" s="5" t="s">
        <v>7672</v>
      </c>
      <c r="H1588" t="s">
        <v>7482</v>
      </c>
      <c r="I1588" s="5" t="s">
        <v>1564</v>
      </c>
      <c r="J1588" s="8">
        <v>859</v>
      </c>
      <c r="K1588" s="5" t="s">
        <v>4</v>
      </c>
      <c r="L1588">
        <f t="shared" si="24"/>
        <v>2</v>
      </c>
    </row>
    <row r="1589" spans="1:12" x14ac:dyDescent="0.25">
      <c r="A1589" s="5">
        <v>46910</v>
      </c>
      <c r="B1589" t="s">
        <v>11213</v>
      </c>
      <c r="C1589" s="5" t="s">
        <v>11214</v>
      </c>
      <c r="D1589" t="s">
        <v>11215</v>
      </c>
      <c r="E1589" s="5" t="s">
        <v>1813</v>
      </c>
      <c r="F1589" s="6">
        <v>46078.34652777778</v>
      </c>
      <c r="G1589" s="5" t="s">
        <v>11175</v>
      </c>
      <c r="H1589" t="s">
        <v>7482</v>
      </c>
      <c r="I1589" s="5" t="s">
        <v>1535</v>
      </c>
      <c r="J1589" s="8">
        <v>1610</v>
      </c>
      <c r="K1589" s="5" t="s">
        <v>4</v>
      </c>
      <c r="L1589">
        <f t="shared" si="24"/>
        <v>2</v>
      </c>
    </row>
    <row r="1590" spans="1:12" x14ac:dyDescent="0.25">
      <c r="A1590" s="5">
        <v>46911</v>
      </c>
      <c r="B1590" t="s">
        <v>11216</v>
      </c>
      <c r="C1590" s="5" t="s">
        <v>11217</v>
      </c>
      <c r="D1590" t="s">
        <v>11218</v>
      </c>
      <c r="E1590" s="5" t="s">
        <v>1770</v>
      </c>
      <c r="F1590" s="6">
        <v>46078.381249999999</v>
      </c>
      <c r="G1590" s="5" t="s">
        <v>7672</v>
      </c>
      <c r="H1590" t="s">
        <v>7482</v>
      </c>
      <c r="I1590" s="5" t="s">
        <v>1564</v>
      </c>
      <c r="J1590" s="8">
        <v>487.5</v>
      </c>
      <c r="K1590" s="5" t="s">
        <v>4</v>
      </c>
      <c r="L1590">
        <f t="shared" si="24"/>
        <v>2</v>
      </c>
    </row>
    <row r="1591" spans="1:12" x14ac:dyDescent="0.25">
      <c r="A1591" s="5">
        <v>46912</v>
      </c>
      <c r="B1591" t="s">
        <v>11216</v>
      </c>
      <c r="C1591" s="5" t="s">
        <v>11217</v>
      </c>
      <c r="D1591" t="s">
        <v>11218</v>
      </c>
      <c r="E1591" s="5" t="s">
        <v>1770</v>
      </c>
      <c r="F1591" s="6">
        <v>46078.392361111109</v>
      </c>
      <c r="G1591" s="5" t="s">
        <v>7672</v>
      </c>
      <c r="H1591" t="s">
        <v>7482</v>
      </c>
      <c r="I1591" s="5" t="s">
        <v>1564</v>
      </c>
      <c r="J1591" s="8">
        <v>52.5</v>
      </c>
      <c r="K1591" s="5" t="s">
        <v>4</v>
      </c>
      <c r="L1591">
        <f t="shared" si="24"/>
        <v>2</v>
      </c>
    </row>
    <row r="1592" spans="1:12" x14ac:dyDescent="0.25">
      <c r="A1592" s="5">
        <v>46914</v>
      </c>
      <c r="B1592" t="s">
        <v>11219</v>
      </c>
      <c r="C1592" s="5" t="s">
        <v>11220</v>
      </c>
      <c r="D1592" t="s">
        <v>11221</v>
      </c>
      <c r="E1592" s="5" t="s">
        <v>1548</v>
      </c>
      <c r="F1592" s="6">
        <v>46078.42083333333</v>
      </c>
      <c r="G1592" s="5" t="s">
        <v>7595</v>
      </c>
      <c r="H1592" t="s">
        <v>7482</v>
      </c>
      <c r="I1592" s="5" t="s">
        <v>1535</v>
      </c>
      <c r="J1592" s="8">
        <v>40</v>
      </c>
      <c r="K1592" s="5" t="s">
        <v>4</v>
      </c>
      <c r="L1592">
        <f t="shared" si="24"/>
        <v>2</v>
      </c>
    </row>
    <row r="1593" spans="1:12" x14ac:dyDescent="0.25">
      <c r="A1593" s="5">
        <v>46915</v>
      </c>
      <c r="B1593" t="s">
        <v>11222</v>
      </c>
      <c r="C1593" s="5" t="s">
        <v>11223</v>
      </c>
      <c r="D1593" t="s">
        <v>11224</v>
      </c>
      <c r="E1593" s="5" t="s">
        <v>2900</v>
      </c>
      <c r="F1593" s="6">
        <v>46078.428472222222</v>
      </c>
      <c r="G1593" s="5" t="s">
        <v>7456</v>
      </c>
      <c r="H1593" s="5" t="s">
        <v>11225</v>
      </c>
      <c r="I1593" s="5" t="s">
        <v>1535</v>
      </c>
      <c r="J1593" s="8">
        <v>488</v>
      </c>
      <c r="K1593" s="5" t="s">
        <v>4</v>
      </c>
      <c r="L1593">
        <f t="shared" si="24"/>
        <v>2</v>
      </c>
    </row>
    <row r="1594" spans="1:12" x14ac:dyDescent="0.25">
      <c r="A1594" s="5">
        <v>46916</v>
      </c>
      <c r="B1594" t="s">
        <v>9417</v>
      </c>
      <c r="C1594" s="5" t="s">
        <v>10456</v>
      </c>
      <c r="D1594" t="s">
        <v>9419</v>
      </c>
      <c r="E1594" s="5" t="s">
        <v>3466</v>
      </c>
      <c r="F1594" s="6">
        <v>46078.431250000001</v>
      </c>
      <c r="G1594" s="5" t="s">
        <v>7456</v>
      </c>
      <c r="H1594" s="5" t="s">
        <v>11226</v>
      </c>
      <c r="I1594" s="5" t="s">
        <v>1535</v>
      </c>
      <c r="J1594" s="8">
        <v>326.7</v>
      </c>
      <c r="K1594" s="5" t="s">
        <v>4</v>
      </c>
      <c r="L1594">
        <f t="shared" si="24"/>
        <v>2</v>
      </c>
    </row>
    <row r="1595" spans="1:12" x14ac:dyDescent="0.25">
      <c r="A1595" s="5">
        <v>46918</v>
      </c>
      <c r="B1595" t="s">
        <v>9957</v>
      </c>
      <c r="C1595" s="5" t="s">
        <v>9958</v>
      </c>
      <c r="D1595" t="s">
        <v>9959</v>
      </c>
      <c r="E1595" s="5" t="s">
        <v>1759</v>
      </c>
      <c r="F1595" s="6">
        <v>46078.436805555553</v>
      </c>
      <c r="G1595" s="5" t="s">
        <v>7456</v>
      </c>
      <c r="H1595" s="5" t="s">
        <v>11227</v>
      </c>
      <c r="I1595" s="5" t="s">
        <v>1564</v>
      </c>
      <c r="J1595" s="8">
        <v>147.13</v>
      </c>
      <c r="K1595" s="5" t="s">
        <v>4</v>
      </c>
      <c r="L1595">
        <f t="shared" si="24"/>
        <v>2</v>
      </c>
    </row>
    <row r="1596" spans="1:12" x14ac:dyDescent="0.25">
      <c r="A1596" s="5">
        <v>46919</v>
      </c>
      <c r="B1596" t="s">
        <v>11228</v>
      </c>
      <c r="C1596" s="5" t="s">
        <v>11229</v>
      </c>
      <c r="D1596" t="s">
        <v>11230</v>
      </c>
      <c r="E1596" s="5" t="s">
        <v>1567</v>
      </c>
      <c r="F1596" s="6">
        <v>46078.452777777777</v>
      </c>
      <c r="G1596" s="5" t="s">
        <v>7672</v>
      </c>
      <c r="H1596" t="s">
        <v>7482</v>
      </c>
      <c r="I1596" s="5" t="s">
        <v>1564</v>
      </c>
      <c r="J1596" s="8">
        <v>1019.8</v>
      </c>
      <c r="K1596" s="5" t="s">
        <v>4</v>
      </c>
      <c r="L1596">
        <f t="shared" si="24"/>
        <v>2</v>
      </c>
    </row>
    <row r="1597" spans="1:12" x14ac:dyDescent="0.25">
      <c r="A1597" s="5">
        <v>46920</v>
      </c>
      <c r="B1597" t="s">
        <v>9612</v>
      </c>
      <c r="C1597" s="5" t="s">
        <v>9613</v>
      </c>
      <c r="D1597" t="s">
        <v>9614</v>
      </c>
      <c r="E1597" s="5" t="s">
        <v>1548</v>
      </c>
      <c r="F1597" s="6">
        <v>46078.46875</v>
      </c>
      <c r="G1597" s="5" t="s">
        <v>7595</v>
      </c>
      <c r="H1597" t="s">
        <v>7482</v>
      </c>
      <c r="I1597" s="5" t="s">
        <v>1535</v>
      </c>
      <c r="J1597" s="8">
        <v>4119.3</v>
      </c>
      <c r="K1597" s="5" t="s">
        <v>4</v>
      </c>
      <c r="L1597">
        <f t="shared" si="24"/>
        <v>2</v>
      </c>
    </row>
    <row r="1598" spans="1:12" x14ac:dyDescent="0.25">
      <c r="A1598" s="5">
        <v>46921</v>
      </c>
      <c r="B1598" t="s">
        <v>11231</v>
      </c>
      <c r="C1598" s="5" t="s">
        <v>11232</v>
      </c>
      <c r="D1598" t="s">
        <v>11233</v>
      </c>
      <c r="E1598" s="5" t="s">
        <v>1548</v>
      </c>
      <c r="F1598" s="6">
        <v>46078.480555555558</v>
      </c>
      <c r="G1598" s="5" t="s">
        <v>7456</v>
      </c>
      <c r="H1598" s="5" t="s">
        <v>11234</v>
      </c>
      <c r="I1598" s="5" t="s">
        <v>1535</v>
      </c>
      <c r="J1598" s="8">
        <v>181.6</v>
      </c>
      <c r="K1598" s="5" t="s">
        <v>4</v>
      </c>
      <c r="L1598">
        <f t="shared" si="24"/>
        <v>2</v>
      </c>
    </row>
    <row r="1599" spans="1:12" x14ac:dyDescent="0.25">
      <c r="A1599" s="5">
        <v>46922</v>
      </c>
      <c r="B1599" t="s">
        <v>11235</v>
      </c>
      <c r="C1599" s="5" t="s">
        <v>11236</v>
      </c>
      <c r="D1599" t="s">
        <v>11237</v>
      </c>
      <c r="E1599" s="5" t="s">
        <v>1770</v>
      </c>
      <c r="F1599" s="6">
        <v>46078.507638888892</v>
      </c>
      <c r="G1599" s="5" t="s">
        <v>7456</v>
      </c>
      <c r="H1599" s="5" t="s">
        <v>11238</v>
      </c>
      <c r="I1599" s="5" t="s">
        <v>1564</v>
      </c>
      <c r="J1599" s="8">
        <v>142.5</v>
      </c>
      <c r="K1599" s="5" t="s">
        <v>4</v>
      </c>
      <c r="L1599">
        <f t="shared" si="24"/>
        <v>2</v>
      </c>
    </row>
    <row r="1600" spans="1:12" x14ac:dyDescent="0.25">
      <c r="A1600" s="5">
        <v>46923</v>
      </c>
      <c r="B1600" t="s">
        <v>11239</v>
      </c>
      <c r="C1600" s="5" t="s">
        <v>11240</v>
      </c>
      <c r="D1600" t="s">
        <v>11241</v>
      </c>
      <c r="E1600" s="5" t="s">
        <v>2637</v>
      </c>
      <c r="F1600" s="6">
        <v>46078.539583333331</v>
      </c>
      <c r="G1600" s="5" t="s">
        <v>7456</v>
      </c>
      <c r="H1600" s="5" t="s">
        <v>11242</v>
      </c>
      <c r="I1600" s="5" t="s">
        <v>1564</v>
      </c>
      <c r="J1600" s="8">
        <v>210</v>
      </c>
      <c r="K1600" s="5" t="s">
        <v>4</v>
      </c>
      <c r="L1600">
        <f t="shared" si="24"/>
        <v>2</v>
      </c>
    </row>
    <row r="1601" spans="1:12" x14ac:dyDescent="0.25">
      <c r="A1601" s="5">
        <v>46924</v>
      </c>
      <c r="B1601" t="s">
        <v>11243</v>
      </c>
      <c r="C1601" s="5" t="s">
        <v>11244</v>
      </c>
      <c r="D1601" t="s">
        <v>11245</v>
      </c>
      <c r="E1601" s="5" t="s">
        <v>1548</v>
      </c>
      <c r="F1601" s="6">
        <v>46078.586805555555</v>
      </c>
      <c r="G1601" s="5" t="s">
        <v>7456</v>
      </c>
      <c r="H1601" s="5" t="s">
        <v>11246</v>
      </c>
      <c r="I1601" s="5" t="s">
        <v>1535</v>
      </c>
      <c r="J1601" s="8">
        <v>1493.6</v>
      </c>
      <c r="K1601" s="5" t="s">
        <v>4</v>
      </c>
      <c r="L1601">
        <f t="shared" si="24"/>
        <v>2</v>
      </c>
    </row>
    <row r="1602" spans="1:12" x14ac:dyDescent="0.25">
      <c r="A1602" s="5">
        <v>46925</v>
      </c>
      <c r="B1602" t="s">
        <v>11247</v>
      </c>
      <c r="C1602" s="5" t="s">
        <v>11248</v>
      </c>
      <c r="D1602" t="s">
        <v>11249</v>
      </c>
      <c r="E1602" s="5" t="s">
        <v>1959</v>
      </c>
      <c r="F1602" s="6">
        <v>46078.61041666667</v>
      </c>
      <c r="G1602" s="5" t="s">
        <v>7456</v>
      </c>
      <c r="H1602" s="5" t="s">
        <v>11250</v>
      </c>
      <c r="I1602" s="5" t="s">
        <v>1564</v>
      </c>
      <c r="J1602" s="8">
        <v>572.25</v>
      </c>
      <c r="K1602" s="5" t="s">
        <v>4</v>
      </c>
      <c r="L1602">
        <f t="shared" si="24"/>
        <v>2</v>
      </c>
    </row>
    <row r="1603" spans="1:12" x14ac:dyDescent="0.25">
      <c r="A1603" s="5">
        <v>46926</v>
      </c>
      <c r="B1603" t="s">
        <v>8965</v>
      </c>
      <c r="C1603" s="5" t="s">
        <v>9154</v>
      </c>
      <c r="D1603" t="s">
        <v>8966</v>
      </c>
      <c r="E1603" s="5" t="s">
        <v>1532</v>
      </c>
      <c r="F1603" s="6">
        <v>46078.621527777781</v>
      </c>
      <c r="G1603" s="5" t="s">
        <v>7595</v>
      </c>
      <c r="H1603" t="s">
        <v>7482</v>
      </c>
      <c r="I1603" s="5" t="s">
        <v>1535</v>
      </c>
      <c r="J1603" s="8">
        <v>10969.8</v>
      </c>
      <c r="K1603" s="5" t="s">
        <v>4</v>
      </c>
      <c r="L1603">
        <f t="shared" ref="L1603:L1666" si="25">MONTH(F1603)</f>
        <v>2</v>
      </c>
    </row>
    <row r="1604" spans="1:12" x14ac:dyDescent="0.25">
      <c r="A1604" s="5">
        <v>46928</v>
      </c>
      <c r="B1604" t="s">
        <v>11251</v>
      </c>
      <c r="C1604" s="5" t="s">
        <v>11252</v>
      </c>
      <c r="D1604" t="s">
        <v>11253</v>
      </c>
      <c r="E1604" s="5" t="s">
        <v>11254</v>
      </c>
      <c r="F1604" s="6">
        <v>46078.631249999999</v>
      </c>
      <c r="G1604" s="5" t="s">
        <v>7672</v>
      </c>
      <c r="H1604" t="s">
        <v>7482</v>
      </c>
      <c r="I1604" s="5" t="s">
        <v>1564</v>
      </c>
      <c r="J1604" s="8">
        <v>2866</v>
      </c>
      <c r="K1604" s="5" t="s">
        <v>4</v>
      </c>
      <c r="L1604">
        <f t="shared" si="25"/>
        <v>2</v>
      </c>
    </row>
    <row r="1605" spans="1:12" x14ac:dyDescent="0.25">
      <c r="A1605" s="5">
        <v>46929</v>
      </c>
      <c r="B1605" t="s">
        <v>8965</v>
      </c>
      <c r="C1605" s="5" t="s">
        <v>9154</v>
      </c>
      <c r="D1605" t="s">
        <v>8966</v>
      </c>
      <c r="E1605" s="5" t="s">
        <v>1532</v>
      </c>
      <c r="F1605" s="6">
        <v>46078.634722222225</v>
      </c>
      <c r="G1605" s="5" t="s">
        <v>7595</v>
      </c>
      <c r="H1605" t="s">
        <v>7482</v>
      </c>
      <c r="I1605" s="5" t="s">
        <v>1535</v>
      </c>
      <c r="J1605" s="8">
        <v>4064.73</v>
      </c>
      <c r="K1605" s="5" t="s">
        <v>4</v>
      </c>
      <c r="L1605">
        <f t="shared" si="25"/>
        <v>2</v>
      </c>
    </row>
    <row r="1606" spans="1:12" x14ac:dyDescent="0.25">
      <c r="A1606" s="5">
        <v>46930</v>
      </c>
      <c r="B1606" t="s">
        <v>11255</v>
      </c>
      <c r="C1606" s="5" t="s">
        <v>11256</v>
      </c>
      <c r="D1606" t="s">
        <v>11257</v>
      </c>
      <c r="E1606" s="5" t="s">
        <v>1959</v>
      </c>
      <c r="F1606" s="6">
        <v>46078.679861111108</v>
      </c>
      <c r="G1606" s="5" t="s">
        <v>7456</v>
      </c>
      <c r="H1606" s="5" t="s">
        <v>11258</v>
      </c>
      <c r="I1606" s="5" t="s">
        <v>1564</v>
      </c>
      <c r="J1606" s="8">
        <v>1410</v>
      </c>
      <c r="K1606" s="5" t="s">
        <v>4</v>
      </c>
      <c r="L1606">
        <f t="shared" si="25"/>
        <v>2</v>
      </c>
    </row>
    <row r="1607" spans="1:12" x14ac:dyDescent="0.25">
      <c r="A1607" s="5">
        <v>46933</v>
      </c>
      <c r="B1607" t="s">
        <v>11259</v>
      </c>
      <c r="C1607" s="5" t="s">
        <v>921</v>
      </c>
      <c r="D1607" t="s">
        <v>11260</v>
      </c>
      <c r="E1607" s="5" t="s">
        <v>4603</v>
      </c>
      <c r="F1607" s="6">
        <v>46078.705555555556</v>
      </c>
      <c r="G1607" s="5" t="s">
        <v>7456</v>
      </c>
      <c r="H1607" s="5" t="s">
        <v>11261</v>
      </c>
      <c r="I1607" s="5" t="s">
        <v>1621</v>
      </c>
      <c r="J1607" s="8">
        <v>183.53</v>
      </c>
      <c r="K1607" s="5" t="s">
        <v>4</v>
      </c>
      <c r="L1607">
        <f t="shared" si="25"/>
        <v>2</v>
      </c>
    </row>
    <row r="1608" spans="1:12" x14ac:dyDescent="0.25">
      <c r="A1608" s="5">
        <v>46934</v>
      </c>
      <c r="B1608" t="s">
        <v>11262</v>
      </c>
      <c r="C1608" s="5" t="s">
        <v>11263</v>
      </c>
      <c r="D1608" t="s">
        <v>11264</v>
      </c>
      <c r="E1608" s="5" t="s">
        <v>6184</v>
      </c>
      <c r="F1608" s="6">
        <v>46078.709722222222</v>
      </c>
      <c r="G1608" s="5" t="s">
        <v>7456</v>
      </c>
      <c r="H1608" s="5" t="s">
        <v>11265</v>
      </c>
      <c r="I1608" s="5" t="s">
        <v>1621</v>
      </c>
      <c r="J1608" s="8">
        <v>81.63</v>
      </c>
      <c r="K1608" s="5" t="s">
        <v>4</v>
      </c>
      <c r="L1608">
        <f t="shared" si="25"/>
        <v>2</v>
      </c>
    </row>
    <row r="1609" spans="1:12" x14ac:dyDescent="0.25">
      <c r="A1609" s="5">
        <v>46935</v>
      </c>
      <c r="B1609" t="s">
        <v>11266</v>
      </c>
      <c r="C1609" s="5" t="s">
        <v>7507</v>
      </c>
      <c r="D1609" t="s">
        <v>11267</v>
      </c>
      <c r="E1609" s="5" t="s">
        <v>5903</v>
      </c>
      <c r="F1609" s="6">
        <v>46078.713194444441</v>
      </c>
      <c r="G1609" s="5" t="s">
        <v>7456</v>
      </c>
      <c r="H1609" s="5" t="s">
        <v>11268</v>
      </c>
      <c r="I1609" s="5" t="s">
        <v>1621</v>
      </c>
      <c r="J1609" s="8">
        <v>101.45</v>
      </c>
      <c r="K1609" s="5" t="s">
        <v>4</v>
      </c>
      <c r="L1609">
        <f t="shared" si="25"/>
        <v>2</v>
      </c>
    </row>
    <row r="1610" spans="1:12" x14ac:dyDescent="0.25">
      <c r="A1610" s="5">
        <v>46936</v>
      </c>
      <c r="B1610" t="s">
        <v>11269</v>
      </c>
      <c r="C1610" s="5" t="s">
        <v>953</v>
      </c>
      <c r="D1610" t="s">
        <v>11270</v>
      </c>
      <c r="E1610" s="5" t="s">
        <v>6293</v>
      </c>
      <c r="F1610" s="6">
        <v>46078.717361111114</v>
      </c>
      <c r="G1610" s="5" t="s">
        <v>7456</v>
      </c>
      <c r="H1610" s="5" t="s">
        <v>11271</v>
      </c>
      <c r="I1610" s="5" t="s">
        <v>1621</v>
      </c>
      <c r="J1610" s="8">
        <v>74.989999999999995</v>
      </c>
      <c r="K1610" s="5" t="s">
        <v>4</v>
      </c>
      <c r="L1610">
        <f t="shared" si="25"/>
        <v>2</v>
      </c>
    </row>
    <row r="1611" spans="1:12" x14ac:dyDescent="0.25">
      <c r="A1611" s="5">
        <v>46937</v>
      </c>
      <c r="B1611" t="s">
        <v>11272</v>
      </c>
      <c r="C1611" s="5" t="s">
        <v>475</v>
      </c>
      <c r="D1611" t="s">
        <v>11273</v>
      </c>
      <c r="E1611" s="5" t="s">
        <v>7241</v>
      </c>
      <c r="F1611" s="6">
        <v>46078.720833333333</v>
      </c>
      <c r="G1611" s="5" t="s">
        <v>7456</v>
      </c>
      <c r="H1611" s="5" t="s">
        <v>11274</v>
      </c>
      <c r="I1611" s="5" t="s">
        <v>1621</v>
      </c>
      <c r="J1611" s="8">
        <v>21.93</v>
      </c>
      <c r="K1611" s="5" t="s">
        <v>4</v>
      </c>
      <c r="L1611">
        <f t="shared" si="25"/>
        <v>2</v>
      </c>
    </row>
    <row r="1612" spans="1:12" x14ac:dyDescent="0.25">
      <c r="A1612" s="5">
        <v>46938</v>
      </c>
      <c r="B1612" t="s">
        <v>11275</v>
      </c>
      <c r="C1612" s="5" t="s">
        <v>11276</v>
      </c>
      <c r="D1612" t="s">
        <v>11277</v>
      </c>
      <c r="E1612" s="5" t="s">
        <v>6526</v>
      </c>
      <c r="F1612" s="6">
        <v>46078.728472222225</v>
      </c>
      <c r="G1612" s="5" t="s">
        <v>7456</v>
      </c>
      <c r="H1612" s="5" t="s">
        <v>11278</v>
      </c>
      <c r="I1612" s="5" t="s">
        <v>1621</v>
      </c>
      <c r="J1612" s="8">
        <v>60.15</v>
      </c>
      <c r="K1612" s="5" t="s">
        <v>4</v>
      </c>
      <c r="L1612">
        <f t="shared" si="25"/>
        <v>2</v>
      </c>
    </row>
    <row r="1613" spans="1:12" x14ac:dyDescent="0.25">
      <c r="A1613" s="5">
        <v>46939</v>
      </c>
      <c r="B1613" t="s">
        <v>11279</v>
      </c>
      <c r="C1613" s="5" t="s">
        <v>11280</v>
      </c>
      <c r="D1613" t="s">
        <v>11281</v>
      </c>
      <c r="E1613" s="5" t="s">
        <v>3512</v>
      </c>
      <c r="F1613" s="6">
        <v>46078.743750000001</v>
      </c>
      <c r="G1613" s="5" t="s">
        <v>7456</v>
      </c>
      <c r="H1613" s="5" t="s">
        <v>11282</v>
      </c>
      <c r="I1613" s="5" t="s">
        <v>1564</v>
      </c>
      <c r="J1613" s="8">
        <v>319.8</v>
      </c>
      <c r="K1613" s="5" t="s">
        <v>4</v>
      </c>
      <c r="L1613">
        <f t="shared" si="25"/>
        <v>2</v>
      </c>
    </row>
    <row r="1614" spans="1:12" x14ac:dyDescent="0.25">
      <c r="A1614" s="5">
        <v>46941</v>
      </c>
      <c r="B1614" t="s">
        <v>11283</v>
      </c>
      <c r="C1614" s="5" t="s">
        <v>11284</v>
      </c>
      <c r="D1614" t="s">
        <v>11285</v>
      </c>
      <c r="E1614" s="5" t="s">
        <v>4540</v>
      </c>
      <c r="F1614" s="6">
        <v>46079.368750000001</v>
      </c>
      <c r="G1614" s="5" t="s">
        <v>7456</v>
      </c>
      <c r="H1614" s="5" t="s">
        <v>11286</v>
      </c>
      <c r="I1614" s="5" t="s">
        <v>1564</v>
      </c>
      <c r="J1614" s="8">
        <v>135.19999999999999</v>
      </c>
      <c r="K1614" s="5" t="s">
        <v>4</v>
      </c>
      <c r="L1614">
        <f t="shared" si="25"/>
        <v>2</v>
      </c>
    </row>
    <row r="1615" spans="1:12" x14ac:dyDescent="0.25">
      <c r="A1615" s="5">
        <v>46943</v>
      </c>
      <c r="B1615" t="s">
        <v>11287</v>
      </c>
      <c r="C1615" s="5" t="s">
        <v>7960</v>
      </c>
      <c r="D1615" t="s">
        <v>11288</v>
      </c>
      <c r="E1615" s="5" t="s">
        <v>1813</v>
      </c>
      <c r="F1615" s="6">
        <v>46079.375694444447</v>
      </c>
      <c r="G1615" s="5" t="s">
        <v>7595</v>
      </c>
      <c r="H1615" t="s">
        <v>7482</v>
      </c>
      <c r="I1615" s="5" t="s">
        <v>1535</v>
      </c>
      <c r="J1615" s="8">
        <v>269</v>
      </c>
      <c r="K1615" s="5" t="s">
        <v>4</v>
      </c>
      <c r="L1615">
        <f t="shared" si="25"/>
        <v>2</v>
      </c>
    </row>
    <row r="1616" spans="1:12" x14ac:dyDescent="0.25">
      <c r="A1616" s="5">
        <v>46945</v>
      </c>
      <c r="B1616" t="s">
        <v>11289</v>
      </c>
      <c r="C1616" s="5" t="s">
        <v>7516</v>
      </c>
      <c r="D1616" t="s">
        <v>11290</v>
      </c>
      <c r="E1616" s="5" t="s">
        <v>2306</v>
      </c>
      <c r="F1616" s="6">
        <v>46079.379861111112</v>
      </c>
      <c r="G1616" s="5" t="s">
        <v>7456</v>
      </c>
      <c r="H1616" t="s">
        <v>7482</v>
      </c>
      <c r="I1616" s="5" t="s">
        <v>1564</v>
      </c>
      <c r="J1616" s="8">
        <v>2580</v>
      </c>
      <c r="K1616" s="5" t="s">
        <v>4</v>
      </c>
      <c r="L1616">
        <f t="shared" si="25"/>
        <v>2</v>
      </c>
    </row>
    <row r="1617" spans="1:12" x14ac:dyDescent="0.25">
      <c r="A1617" s="5">
        <v>46949</v>
      </c>
      <c r="B1617" t="s">
        <v>10757</v>
      </c>
      <c r="C1617" s="5" t="s">
        <v>8745</v>
      </c>
      <c r="D1617" t="s">
        <v>11291</v>
      </c>
      <c r="E1617" s="5" t="s">
        <v>1813</v>
      </c>
      <c r="F1617" s="6">
        <v>46079.410416666666</v>
      </c>
      <c r="G1617" s="5" t="s">
        <v>7456</v>
      </c>
      <c r="H1617" s="5" t="s">
        <v>11292</v>
      </c>
      <c r="I1617" s="5" t="s">
        <v>1535</v>
      </c>
      <c r="J1617" s="8">
        <v>374</v>
      </c>
      <c r="K1617" s="5" t="s">
        <v>4</v>
      </c>
      <c r="L1617">
        <f t="shared" si="25"/>
        <v>2</v>
      </c>
    </row>
    <row r="1618" spans="1:12" x14ac:dyDescent="0.25">
      <c r="A1618" s="5">
        <v>46951</v>
      </c>
      <c r="B1618" t="s">
        <v>11293</v>
      </c>
      <c r="C1618" s="5" t="s">
        <v>414</v>
      </c>
      <c r="D1618" t="s">
        <v>11294</v>
      </c>
      <c r="E1618" s="5" t="s">
        <v>2740</v>
      </c>
      <c r="F1618" s="6">
        <v>46079.428472222222</v>
      </c>
      <c r="G1618" s="5" t="s">
        <v>7456</v>
      </c>
      <c r="H1618" s="5" t="s">
        <v>11295</v>
      </c>
      <c r="I1618" s="5" t="s">
        <v>1564</v>
      </c>
      <c r="J1618" s="8">
        <v>175</v>
      </c>
      <c r="K1618" s="5" t="s">
        <v>4</v>
      </c>
      <c r="L1618">
        <f t="shared" si="25"/>
        <v>2</v>
      </c>
    </row>
    <row r="1619" spans="1:12" x14ac:dyDescent="0.25">
      <c r="A1619" s="5">
        <v>46952</v>
      </c>
      <c r="B1619" t="s">
        <v>9251</v>
      </c>
      <c r="C1619" s="5" t="s">
        <v>9252</v>
      </c>
      <c r="D1619" t="s">
        <v>9253</v>
      </c>
      <c r="E1619" s="5" t="s">
        <v>1738</v>
      </c>
      <c r="F1619" s="6">
        <v>46079.431944444441</v>
      </c>
      <c r="G1619" s="5" t="s">
        <v>7456</v>
      </c>
      <c r="H1619" s="5" t="s">
        <v>11296</v>
      </c>
      <c r="I1619" s="5" t="s">
        <v>1564</v>
      </c>
      <c r="J1619" s="8">
        <v>200</v>
      </c>
      <c r="K1619" s="5" t="s">
        <v>4</v>
      </c>
      <c r="L1619">
        <f t="shared" si="25"/>
        <v>2</v>
      </c>
    </row>
    <row r="1620" spans="1:12" x14ac:dyDescent="0.25">
      <c r="A1620" s="5">
        <v>46953</v>
      </c>
      <c r="B1620" t="s">
        <v>11297</v>
      </c>
      <c r="C1620" s="5" t="s">
        <v>11298</v>
      </c>
      <c r="D1620" t="s">
        <v>11299</v>
      </c>
      <c r="E1620" s="5" t="s">
        <v>2637</v>
      </c>
      <c r="F1620" s="6">
        <v>46079.449305555558</v>
      </c>
      <c r="G1620" s="5" t="s">
        <v>7672</v>
      </c>
      <c r="H1620" t="s">
        <v>7482</v>
      </c>
      <c r="I1620" s="5" t="s">
        <v>1564</v>
      </c>
      <c r="J1620" s="8">
        <v>329.9</v>
      </c>
      <c r="K1620" s="5" t="s">
        <v>4</v>
      </c>
      <c r="L1620">
        <f t="shared" si="25"/>
        <v>2</v>
      </c>
    </row>
    <row r="1621" spans="1:12" x14ac:dyDescent="0.25">
      <c r="A1621" s="5">
        <v>46954</v>
      </c>
      <c r="B1621" t="s">
        <v>11300</v>
      </c>
      <c r="C1621" s="5" t="s">
        <v>11301</v>
      </c>
      <c r="D1621" t="s">
        <v>11302</v>
      </c>
      <c r="E1621" s="5" t="s">
        <v>1567</v>
      </c>
      <c r="F1621" s="6">
        <v>46079.477777777778</v>
      </c>
      <c r="G1621" s="5" t="s">
        <v>7456</v>
      </c>
      <c r="H1621" s="5" t="s">
        <v>11303</v>
      </c>
      <c r="I1621" s="5" t="s">
        <v>1564</v>
      </c>
      <c r="J1621" s="8">
        <v>229.5</v>
      </c>
      <c r="K1621" s="5" t="s">
        <v>4</v>
      </c>
      <c r="L1621">
        <f t="shared" si="25"/>
        <v>2</v>
      </c>
    </row>
    <row r="1622" spans="1:12" x14ac:dyDescent="0.25">
      <c r="A1622" s="5">
        <v>46955</v>
      </c>
      <c r="B1622" t="s">
        <v>11304</v>
      </c>
      <c r="C1622" s="5" t="s">
        <v>1101</v>
      </c>
      <c r="D1622" t="s">
        <v>11305</v>
      </c>
      <c r="E1622" s="5" t="s">
        <v>2637</v>
      </c>
      <c r="F1622" s="6">
        <v>46079.480555555558</v>
      </c>
      <c r="G1622" s="5" t="s">
        <v>7456</v>
      </c>
      <c r="H1622" s="5" t="s">
        <v>11306</v>
      </c>
      <c r="I1622" s="5" t="s">
        <v>1564</v>
      </c>
      <c r="J1622" s="8">
        <v>140</v>
      </c>
      <c r="K1622" s="5" t="s">
        <v>4</v>
      </c>
      <c r="L1622">
        <f t="shared" si="25"/>
        <v>2</v>
      </c>
    </row>
    <row r="1623" spans="1:12" x14ac:dyDescent="0.25">
      <c r="A1623" s="5">
        <v>46957</v>
      </c>
      <c r="B1623" t="s">
        <v>9388</v>
      </c>
      <c r="C1623" s="5" t="s">
        <v>9389</v>
      </c>
      <c r="D1623" t="s">
        <v>9390</v>
      </c>
      <c r="E1623" s="5" t="s">
        <v>1548</v>
      </c>
      <c r="F1623" s="6">
        <v>46079.490972222222</v>
      </c>
      <c r="G1623" s="5" t="s">
        <v>7456</v>
      </c>
      <c r="H1623" s="5" t="s">
        <v>11307</v>
      </c>
      <c r="I1623" s="5" t="s">
        <v>1621</v>
      </c>
      <c r="J1623" s="8">
        <v>0</v>
      </c>
      <c r="K1623" s="5" t="s">
        <v>4</v>
      </c>
      <c r="L1623">
        <f t="shared" si="25"/>
        <v>2</v>
      </c>
    </row>
    <row r="1624" spans="1:12" x14ac:dyDescent="0.25">
      <c r="A1624" s="5">
        <v>46958</v>
      </c>
      <c r="B1624" t="s">
        <v>11308</v>
      </c>
      <c r="C1624" s="5" t="s">
        <v>11309</v>
      </c>
      <c r="D1624" t="s">
        <v>11310</v>
      </c>
      <c r="E1624" s="5" t="s">
        <v>5245</v>
      </c>
      <c r="F1624" s="6">
        <v>46079.505555555559</v>
      </c>
      <c r="G1624" s="5" t="s">
        <v>7456</v>
      </c>
      <c r="H1624" s="5" t="s">
        <v>11311</v>
      </c>
      <c r="I1624" s="5" t="s">
        <v>1564</v>
      </c>
      <c r="J1624" s="8">
        <v>137.6</v>
      </c>
      <c r="K1624" s="5" t="s">
        <v>4</v>
      </c>
      <c r="L1624">
        <f t="shared" si="25"/>
        <v>2</v>
      </c>
    </row>
    <row r="1625" spans="1:12" x14ac:dyDescent="0.25">
      <c r="A1625" s="5">
        <v>46959</v>
      </c>
      <c r="B1625" t="s">
        <v>10916</v>
      </c>
      <c r="C1625" s="5" t="s">
        <v>10917</v>
      </c>
      <c r="D1625" t="s">
        <v>10918</v>
      </c>
      <c r="E1625" s="5" t="s">
        <v>2646</v>
      </c>
      <c r="F1625" s="6">
        <v>46079.513888888891</v>
      </c>
      <c r="G1625" s="5" t="s">
        <v>7456</v>
      </c>
      <c r="H1625" s="5" t="s">
        <v>11312</v>
      </c>
      <c r="I1625" s="5" t="s">
        <v>1564</v>
      </c>
      <c r="J1625" s="8">
        <v>586.01</v>
      </c>
      <c r="K1625" s="5" t="s">
        <v>4</v>
      </c>
      <c r="L1625">
        <f t="shared" si="25"/>
        <v>2</v>
      </c>
    </row>
    <row r="1626" spans="1:12" x14ac:dyDescent="0.25">
      <c r="A1626" s="5">
        <v>46960</v>
      </c>
      <c r="B1626" t="s">
        <v>11313</v>
      </c>
      <c r="C1626" s="5" t="s">
        <v>11314</v>
      </c>
      <c r="D1626" t="s">
        <v>11315</v>
      </c>
      <c r="E1626" s="5" t="s">
        <v>11316</v>
      </c>
      <c r="F1626" s="6">
        <v>46084.390972222223</v>
      </c>
      <c r="G1626" s="5" t="s">
        <v>7672</v>
      </c>
      <c r="H1626" t="s">
        <v>7482</v>
      </c>
      <c r="I1626" s="5" t="s">
        <v>1564</v>
      </c>
      <c r="J1626" s="8">
        <v>7788</v>
      </c>
      <c r="K1626" s="5" t="s">
        <v>4</v>
      </c>
      <c r="L1626">
        <f t="shared" si="25"/>
        <v>3</v>
      </c>
    </row>
    <row r="1627" spans="1:12" x14ac:dyDescent="0.25">
      <c r="A1627" s="5">
        <v>46961</v>
      </c>
      <c r="B1627" t="s">
        <v>10803</v>
      </c>
      <c r="C1627" s="5" t="s">
        <v>10804</v>
      </c>
      <c r="D1627" t="s">
        <v>10805</v>
      </c>
      <c r="E1627" s="5" t="s">
        <v>2967</v>
      </c>
      <c r="F1627" s="6">
        <v>46079.631249999999</v>
      </c>
      <c r="G1627" s="5" t="s">
        <v>7456</v>
      </c>
      <c r="H1627" s="5" t="s">
        <v>11317</v>
      </c>
      <c r="I1627" s="5" t="s">
        <v>1564</v>
      </c>
      <c r="J1627" s="8">
        <v>464.4</v>
      </c>
      <c r="K1627" s="5" t="s">
        <v>4</v>
      </c>
      <c r="L1627">
        <f t="shared" si="25"/>
        <v>2</v>
      </c>
    </row>
    <row r="1628" spans="1:12" x14ac:dyDescent="0.25">
      <c r="A1628" s="5">
        <v>46962</v>
      </c>
      <c r="B1628" t="s">
        <v>11318</v>
      </c>
      <c r="C1628" s="5" t="s">
        <v>619</v>
      </c>
      <c r="D1628" t="s">
        <v>11319</v>
      </c>
      <c r="E1628" s="5" t="s">
        <v>4140</v>
      </c>
      <c r="F1628" s="6">
        <v>46079.634027777778</v>
      </c>
      <c r="G1628" s="5" t="s">
        <v>7456</v>
      </c>
      <c r="H1628" s="5" t="s">
        <v>11320</v>
      </c>
      <c r="I1628" s="5" t="s">
        <v>1621</v>
      </c>
      <c r="J1628" s="8">
        <v>235.51</v>
      </c>
      <c r="K1628" s="5" t="s">
        <v>4</v>
      </c>
      <c r="L1628">
        <f t="shared" si="25"/>
        <v>2</v>
      </c>
    </row>
    <row r="1629" spans="1:12" x14ac:dyDescent="0.25">
      <c r="A1629" s="5">
        <v>46963</v>
      </c>
      <c r="B1629" t="s">
        <v>11321</v>
      </c>
      <c r="C1629" s="5" t="s">
        <v>11322</v>
      </c>
      <c r="D1629" t="s">
        <v>11323</v>
      </c>
      <c r="E1629" s="5" t="s">
        <v>4770</v>
      </c>
      <c r="F1629" s="6">
        <v>46079.645833333336</v>
      </c>
      <c r="G1629" s="5" t="s">
        <v>7456</v>
      </c>
      <c r="H1629" s="5" t="s">
        <v>11324</v>
      </c>
      <c r="I1629" s="5" t="s">
        <v>1621</v>
      </c>
      <c r="J1629" s="8">
        <v>171.21</v>
      </c>
      <c r="K1629" s="5" t="s">
        <v>4</v>
      </c>
      <c r="L1629">
        <f t="shared" si="25"/>
        <v>2</v>
      </c>
    </row>
    <row r="1630" spans="1:12" x14ac:dyDescent="0.25">
      <c r="A1630" s="5">
        <v>46964</v>
      </c>
      <c r="B1630" t="s">
        <v>10633</v>
      </c>
      <c r="C1630" s="5" t="s">
        <v>10634</v>
      </c>
      <c r="D1630" t="s">
        <v>10635</v>
      </c>
      <c r="E1630" s="5" t="s">
        <v>1759</v>
      </c>
      <c r="F1630" s="6">
        <v>46079.65</v>
      </c>
      <c r="G1630" s="5" t="s">
        <v>7672</v>
      </c>
      <c r="H1630" t="s">
        <v>7482</v>
      </c>
      <c r="I1630" s="5" t="s">
        <v>1535</v>
      </c>
      <c r="J1630" s="8">
        <v>154</v>
      </c>
      <c r="K1630" s="5" t="s">
        <v>4</v>
      </c>
      <c r="L1630">
        <f t="shared" si="25"/>
        <v>2</v>
      </c>
    </row>
    <row r="1631" spans="1:12" x14ac:dyDescent="0.25">
      <c r="A1631" s="5">
        <v>46967</v>
      </c>
      <c r="B1631" t="s">
        <v>9974</v>
      </c>
      <c r="C1631" s="5" t="s">
        <v>9975</v>
      </c>
      <c r="D1631" t="s">
        <v>9976</v>
      </c>
      <c r="E1631" s="5" t="s">
        <v>1532</v>
      </c>
      <c r="F1631" s="6">
        <v>46079.65347222222</v>
      </c>
      <c r="G1631" s="5" t="s">
        <v>7595</v>
      </c>
      <c r="H1631" t="s">
        <v>7482</v>
      </c>
      <c r="I1631" s="5" t="s">
        <v>1535</v>
      </c>
      <c r="J1631" s="8">
        <v>485</v>
      </c>
      <c r="K1631" s="5" t="s">
        <v>4</v>
      </c>
      <c r="L1631">
        <f t="shared" si="25"/>
        <v>2</v>
      </c>
    </row>
    <row r="1632" spans="1:12" x14ac:dyDescent="0.25">
      <c r="A1632" s="5">
        <v>46969</v>
      </c>
      <c r="B1632" t="s">
        <v>11325</v>
      </c>
      <c r="C1632" s="5" t="s">
        <v>7537</v>
      </c>
      <c r="D1632" t="s">
        <v>11326</v>
      </c>
      <c r="E1632" s="5" t="s">
        <v>1813</v>
      </c>
      <c r="F1632" s="6">
        <v>46079.65625</v>
      </c>
      <c r="G1632" s="5" t="s">
        <v>7595</v>
      </c>
      <c r="H1632" t="s">
        <v>7482</v>
      </c>
      <c r="I1632" s="5" t="s">
        <v>1535</v>
      </c>
      <c r="J1632" s="8">
        <v>920</v>
      </c>
      <c r="K1632" s="5" t="s">
        <v>4</v>
      </c>
      <c r="L1632">
        <f t="shared" si="25"/>
        <v>2</v>
      </c>
    </row>
    <row r="1633" spans="1:12" x14ac:dyDescent="0.25">
      <c r="A1633" s="5">
        <v>46972</v>
      </c>
      <c r="B1633" t="s">
        <v>11327</v>
      </c>
      <c r="C1633" s="5" t="s">
        <v>11328</v>
      </c>
      <c r="D1633" t="s">
        <v>11329</v>
      </c>
      <c r="E1633" s="5" t="s">
        <v>1759</v>
      </c>
      <c r="F1633" s="6">
        <v>46079.661111111112</v>
      </c>
      <c r="G1633" s="5" t="s">
        <v>7456</v>
      </c>
      <c r="H1633" s="5" t="s">
        <v>11330</v>
      </c>
      <c r="I1633" s="5" t="s">
        <v>1564</v>
      </c>
      <c r="J1633" s="8">
        <v>137.9</v>
      </c>
      <c r="K1633" s="5" t="s">
        <v>4</v>
      </c>
      <c r="L1633">
        <f t="shared" si="25"/>
        <v>2</v>
      </c>
    </row>
    <row r="1634" spans="1:12" x14ac:dyDescent="0.25">
      <c r="A1634" s="5">
        <v>46973</v>
      </c>
      <c r="B1634" t="s">
        <v>11331</v>
      </c>
      <c r="C1634" s="5" t="s">
        <v>11332</v>
      </c>
      <c r="D1634" t="s">
        <v>11333</v>
      </c>
      <c r="E1634" s="5" t="s">
        <v>4806</v>
      </c>
      <c r="F1634" s="6">
        <v>46079.668055555558</v>
      </c>
      <c r="G1634" s="5" t="s">
        <v>7456</v>
      </c>
      <c r="H1634" s="5" t="s">
        <v>11334</v>
      </c>
      <c r="I1634" s="5" t="s">
        <v>1535</v>
      </c>
      <c r="J1634" s="8">
        <v>166</v>
      </c>
      <c r="K1634" s="5" t="s">
        <v>4</v>
      </c>
      <c r="L1634">
        <f t="shared" si="25"/>
        <v>2</v>
      </c>
    </row>
    <row r="1635" spans="1:12" x14ac:dyDescent="0.25">
      <c r="A1635" s="5">
        <v>46974</v>
      </c>
      <c r="B1635" t="s">
        <v>11335</v>
      </c>
      <c r="C1635" s="5" t="s">
        <v>11336</v>
      </c>
      <c r="D1635" t="s">
        <v>11337</v>
      </c>
      <c r="E1635" s="5" t="s">
        <v>1759</v>
      </c>
      <c r="F1635" s="6">
        <v>46079.677777777775</v>
      </c>
      <c r="G1635" s="5" t="s">
        <v>7456</v>
      </c>
      <c r="H1635" s="5" t="s">
        <v>11338</v>
      </c>
      <c r="I1635" s="5" t="s">
        <v>1564</v>
      </c>
      <c r="J1635" s="8">
        <v>1595.2</v>
      </c>
      <c r="K1635" s="5" t="s">
        <v>4</v>
      </c>
      <c r="L1635">
        <f t="shared" si="25"/>
        <v>2</v>
      </c>
    </row>
    <row r="1636" spans="1:12" x14ac:dyDescent="0.25">
      <c r="A1636" s="5">
        <v>46976</v>
      </c>
      <c r="B1636" t="s">
        <v>11339</v>
      </c>
      <c r="C1636" s="5" t="s">
        <v>11340</v>
      </c>
      <c r="D1636" t="s">
        <v>11341</v>
      </c>
      <c r="E1636" s="5" t="s">
        <v>1759</v>
      </c>
      <c r="F1636" s="6">
        <v>46079.681250000001</v>
      </c>
      <c r="G1636" s="5" t="s">
        <v>7456</v>
      </c>
      <c r="H1636" s="5" t="s">
        <v>11342</v>
      </c>
      <c r="I1636" s="5" t="s">
        <v>1564</v>
      </c>
      <c r="J1636" s="8">
        <v>194</v>
      </c>
      <c r="K1636" s="5" t="s">
        <v>4</v>
      </c>
      <c r="L1636">
        <f t="shared" si="25"/>
        <v>2</v>
      </c>
    </row>
    <row r="1637" spans="1:12" x14ac:dyDescent="0.25">
      <c r="A1637" s="5">
        <v>46978</v>
      </c>
      <c r="B1637" t="s">
        <v>11343</v>
      </c>
      <c r="C1637" s="5" t="s">
        <v>11344</v>
      </c>
      <c r="D1637" t="s">
        <v>11345</v>
      </c>
      <c r="E1637" s="5" t="s">
        <v>1813</v>
      </c>
      <c r="F1637" s="6">
        <v>46079.700694444444</v>
      </c>
      <c r="G1637" s="5" t="s">
        <v>7456</v>
      </c>
      <c r="H1637" s="5" t="s">
        <v>11346</v>
      </c>
      <c r="I1637" s="5" t="s">
        <v>1535</v>
      </c>
      <c r="J1637" s="8">
        <v>656.5</v>
      </c>
      <c r="K1637" s="5" t="s">
        <v>4</v>
      </c>
      <c r="L1637">
        <f t="shared" si="25"/>
        <v>2</v>
      </c>
    </row>
    <row r="1638" spans="1:12" x14ac:dyDescent="0.25">
      <c r="A1638" s="5">
        <v>46982</v>
      </c>
      <c r="B1638" t="s">
        <v>8706</v>
      </c>
      <c r="C1638" s="5" t="s">
        <v>8707</v>
      </c>
      <c r="D1638" t="s">
        <v>8708</v>
      </c>
      <c r="E1638" s="5" t="s">
        <v>2306</v>
      </c>
      <c r="F1638" s="6">
        <v>46080.388888888891</v>
      </c>
      <c r="G1638" s="5" t="s">
        <v>7456</v>
      </c>
      <c r="H1638" s="5" t="s">
        <v>11347</v>
      </c>
      <c r="I1638" s="5" t="s">
        <v>1564</v>
      </c>
      <c r="J1638" s="8">
        <v>320</v>
      </c>
      <c r="K1638" s="5" t="s">
        <v>4</v>
      </c>
      <c r="L1638">
        <f t="shared" si="25"/>
        <v>2</v>
      </c>
    </row>
    <row r="1639" spans="1:12" x14ac:dyDescent="0.25">
      <c r="A1639" s="5">
        <v>46983</v>
      </c>
      <c r="B1639" t="s">
        <v>10110</v>
      </c>
      <c r="C1639" s="5" t="s">
        <v>10111</v>
      </c>
      <c r="D1639" t="s">
        <v>10112</v>
      </c>
      <c r="E1639" s="5" t="s">
        <v>4532</v>
      </c>
      <c r="F1639" s="6">
        <v>46080.415277777778</v>
      </c>
      <c r="G1639" s="5" t="s">
        <v>7456</v>
      </c>
      <c r="H1639" s="5" t="s">
        <v>11348</v>
      </c>
      <c r="I1639" s="5" t="s">
        <v>1564</v>
      </c>
      <c r="J1639" s="8">
        <v>190</v>
      </c>
      <c r="K1639" s="5" t="s">
        <v>4</v>
      </c>
      <c r="L1639">
        <f t="shared" si="25"/>
        <v>2</v>
      </c>
    </row>
    <row r="1640" spans="1:12" x14ac:dyDescent="0.25">
      <c r="A1640" s="5">
        <v>46985</v>
      </c>
      <c r="B1640" t="s">
        <v>9821</v>
      </c>
      <c r="C1640" s="5" t="s">
        <v>7800</v>
      </c>
      <c r="D1640" t="s">
        <v>9822</v>
      </c>
      <c r="E1640" s="5" t="s">
        <v>1734</v>
      </c>
      <c r="F1640" s="6">
        <v>46080.462500000001</v>
      </c>
      <c r="G1640" s="5" t="s">
        <v>7456</v>
      </c>
      <c r="H1640" s="5" t="s">
        <v>11349</v>
      </c>
      <c r="I1640" s="5" t="s">
        <v>1564</v>
      </c>
      <c r="J1640" s="8">
        <v>2548.6999999999998</v>
      </c>
      <c r="K1640" s="5" t="s">
        <v>4</v>
      </c>
      <c r="L1640">
        <f t="shared" si="25"/>
        <v>2</v>
      </c>
    </row>
    <row r="1641" spans="1:12" x14ac:dyDescent="0.25">
      <c r="A1641" s="5">
        <v>46986</v>
      </c>
      <c r="B1641" t="s">
        <v>11350</v>
      </c>
      <c r="C1641" s="5" t="s">
        <v>11351</v>
      </c>
      <c r="D1641" t="s">
        <v>11352</v>
      </c>
      <c r="E1641" s="5" t="s">
        <v>4493</v>
      </c>
      <c r="F1641" s="6">
        <v>46080.492361111108</v>
      </c>
      <c r="G1641" s="5" t="s">
        <v>7456</v>
      </c>
      <c r="H1641" s="5" t="s">
        <v>11353</v>
      </c>
      <c r="I1641" s="5" t="s">
        <v>1564</v>
      </c>
      <c r="J1641" s="8">
        <v>192.5</v>
      </c>
      <c r="K1641" s="5" t="s">
        <v>4</v>
      </c>
      <c r="L1641">
        <f t="shared" si="25"/>
        <v>2</v>
      </c>
    </row>
    <row r="1642" spans="1:12" x14ac:dyDescent="0.25">
      <c r="A1642" s="5">
        <v>46987</v>
      </c>
      <c r="B1642" t="s">
        <v>11354</v>
      </c>
      <c r="C1642" s="5" t="s">
        <v>11355</v>
      </c>
      <c r="D1642" t="s">
        <v>11356</v>
      </c>
      <c r="E1642" s="5" t="s">
        <v>1759</v>
      </c>
      <c r="F1642" s="6">
        <v>46080.501388888886</v>
      </c>
      <c r="G1642" s="5" t="s">
        <v>7456</v>
      </c>
      <c r="H1642" s="5" t="s">
        <v>11357</v>
      </c>
      <c r="I1642" s="5" t="s">
        <v>1564</v>
      </c>
      <c r="J1642" s="8">
        <v>185</v>
      </c>
      <c r="K1642" s="5" t="s">
        <v>4</v>
      </c>
      <c r="L1642">
        <f t="shared" si="25"/>
        <v>2</v>
      </c>
    </row>
    <row r="1643" spans="1:12" x14ac:dyDescent="0.25">
      <c r="A1643" s="5">
        <v>46988</v>
      </c>
      <c r="B1643" t="s">
        <v>11358</v>
      </c>
      <c r="C1643" s="5" t="s">
        <v>11355</v>
      </c>
      <c r="D1643" t="s">
        <v>11356</v>
      </c>
      <c r="E1643" s="5" t="s">
        <v>1759</v>
      </c>
      <c r="F1643" s="6">
        <v>46080.506249999999</v>
      </c>
      <c r="G1643" s="5" t="s">
        <v>7456</v>
      </c>
      <c r="H1643" s="5" t="s">
        <v>11359</v>
      </c>
      <c r="I1643" s="5" t="s">
        <v>1564</v>
      </c>
      <c r="J1643" s="8">
        <v>215</v>
      </c>
      <c r="K1643" s="5" t="s">
        <v>4</v>
      </c>
      <c r="L1643">
        <f t="shared" si="25"/>
        <v>2</v>
      </c>
    </row>
    <row r="1644" spans="1:12" x14ac:dyDescent="0.25">
      <c r="A1644" s="5">
        <v>46991</v>
      </c>
      <c r="B1644" t="s">
        <v>11360</v>
      </c>
      <c r="C1644" s="5" t="s">
        <v>11361</v>
      </c>
      <c r="D1644" t="s">
        <v>11362</v>
      </c>
      <c r="E1644" s="5" t="s">
        <v>1738</v>
      </c>
      <c r="F1644" s="6">
        <v>46080.600694444445</v>
      </c>
      <c r="G1644" s="5" t="s">
        <v>7672</v>
      </c>
      <c r="H1644" t="s">
        <v>7482</v>
      </c>
      <c r="I1644" s="5" t="s">
        <v>1564</v>
      </c>
      <c r="J1644" s="8">
        <v>321</v>
      </c>
      <c r="K1644" s="5" t="s">
        <v>4</v>
      </c>
      <c r="L1644">
        <f t="shared" si="25"/>
        <v>2</v>
      </c>
    </row>
    <row r="1645" spans="1:12" x14ac:dyDescent="0.25">
      <c r="A1645" s="5">
        <v>46993</v>
      </c>
      <c r="B1645" t="s">
        <v>11363</v>
      </c>
      <c r="C1645" s="5" t="s">
        <v>11364</v>
      </c>
      <c r="D1645" t="s">
        <v>11365</v>
      </c>
      <c r="E1645" s="5" t="s">
        <v>2314</v>
      </c>
      <c r="F1645" s="6">
        <v>46080.630555555559</v>
      </c>
      <c r="G1645" s="5" t="s">
        <v>7456</v>
      </c>
      <c r="H1645" s="5" t="s">
        <v>11366</v>
      </c>
      <c r="I1645" s="5" t="s">
        <v>1564</v>
      </c>
      <c r="J1645" s="8">
        <v>81.900000000000006</v>
      </c>
      <c r="K1645" s="5" t="s">
        <v>4</v>
      </c>
      <c r="L1645">
        <f t="shared" si="25"/>
        <v>2</v>
      </c>
    </row>
    <row r="1646" spans="1:12" x14ac:dyDescent="0.25">
      <c r="A1646" s="5">
        <v>46994</v>
      </c>
      <c r="B1646" t="s">
        <v>11367</v>
      </c>
      <c r="C1646" s="5" t="s">
        <v>11368</v>
      </c>
      <c r="D1646" t="s">
        <v>11369</v>
      </c>
      <c r="E1646" s="5" t="s">
        <v>1759</v>
      </c>
      <c r="F1646" s="6">
        <v>46080.640277777777</v>
      </c>
      <c r="G1646" s="5" t="s">
        <v>7456</v>
      </c>
      <c r="H1646" s="5" t="s">
        <v>11370</v>
      </c>
      <c r="I1646" s="5" t="s">
        <v>1564</v>
      </c>
      <c r="J1646" s="8">
        <v>211</v>
      </c>
      <c r="K1646" s="5" t="s">
        <v>4</v>
      </c>
      <c r="L1646">
        <f t="shared" si="25"/>
        <v>2</v>
      </c>
    </row>
    <row r="1647" spans="1:12" x14ac:dyDescent="0.25">
      <c r="A1647" s="5">
        <v>46995</v>
      </c>
      <c r="B1647" t="s">
        <v>11371</v>
      </c>
      <c r="C1647" s="5" t="s">
        <v>1284</v>
      </c>
      <c r="D1647" t="s">
        <v>11372</v>
      </c>
      <c r="E1647" s="5" t="s">
        <v>6418</v>
      </c>
      <c r="F1647" s="6">
        <v>46080.69027777778</v>
      </c>
      <c r="G1647" s="5" t="s">
        <v>7456</v>
      </c>
      <c r="H1647" s="5" t="s">
        <v>11373</v>
      </c>
      <c r="I1647" s="5" t="s">
        <v>1621</v>
      </c>
      <c r="J1647" s="8">
        <v>67.209999999999994</v>
      </c>
      <c r="K1647" s="5" t="s">
        <v>4</v>
      </c>
      <c r="L1647">
        <f t="shared" si="25"/>
        <v>2</v>
      </c>
    </row>
    <row r="1648" spans="1:12" x14ac:dyDescent="0.25">
      <c r="A1648" s="5">
        <v>46998</v>
      </c>
      <c r="B1648" t="s">
        <v>11374</v>
      </c>
      <c r="C1648" s="5" t="s">
        <v>11375</v>
      </c>
      <c r="D1648" t="s">
        <v>11376</v>
      </c>
      <c r="E1648" s="5" t="s">
        <v>3077</v>
      </c>
      <c r="F1648" s="6">
        <v>46083.390972222223</v>
      </c>
      <c r="G1648" s="5" t="s">
        <v>7456</v>
      </c>
      <c r="H1648" s="5" t="s">
        <v>11377</v>
      </c>
      <c r="I1648" s="5" t="s">
        <v>1564</v>
      </c>
      <c r="J1648" s="8">
        <v>427.85</v>
      </c>
      <c r="K1648" s="5" t="s">
        <v>4</v>
      </c>
      <c r="L1648">
        <f t="shared" si="25"/>
        <v>3</v>
      </c>
    </row>
    <row r="1649" spans="1:12" x14ac:dyDescent="0.25">
      <c r="A1649" s="5">
        <v>46999</v>
      </c>
      <c r="B1649" t="s">
        <v>11378</v>
      </c>
      <c r="C1649" s="5" t="s">
        <v>11379</v>
      </c>
      <c r="D1649" t="s">
        <v>11380</v>
      </c>
      <c r="E1649" s="5" t="s">
        <v>1738</v>
      </c>
      <c r="F1649" s="6">
        <v>46083.395833333336</v>
      </c>
      <c r="G1649" s="5" t="s">
        <v>7456</v>
      </c>
      <c r="H1649" s="5" t="s">
        <v>11381</v>
      </c>
      <c r="I1649" s="5" t="s">
        <v>1564</v>
      </c>
      <c r="J1649" s="8">
        <v>180</v>
      </c>
      <c r="K1649" s="5" t="s">
        <v>4</v>
      </c>
      <c r="L1649">
        <f t="shared" si="25"/>
        <v>3</v>
      </c>
    </row>
    <row r="1650" spans="1:12" x14ac:dyDescent="0.25">
      <c r="A1650" s="5">
        <v>47000</v>
      </c>
      <c r="B1650" t="s">
        <v>11382</v>
      </c>
      <c r="C1650" s="5" t="s">
        <v>11383</v>
      </c>
      <c r="D1650" t="s">
        <v>11384</v>
      </c>
      <c r="E1650" s="5" t="s">
        <v>2812</v>
      </c>
      <c r="F1650" s="6">
        <v>46083.410416666666</v>
      </c>
      <c r="G1650" s="5" t="s">
        <v>7456</v>
      </c>
      <c r="H1650" s="5" t="s">
        <v>11385</v>
      </c>
      <c r="I1650" s="5" t="s">
        <v>1535</v>
      </c>
      <c r="J1650" s="8">
        <v>519</v>
      </c>
      <c r="K1650" s="5" t="s">
        <v>4</v>
      </c>
      <c r="L1650">
        <f t="shared" si="25"/>
        <v>3</v>
      </c>
    </row>
    <row r="1651" spans="1:12" x14ac:dyDescent="0.25">
      <c r="A1651" s="5">
        <v>47001</v>
      </c>
      <c r="B1651" t="s">
        <v>11386</v>
      </c>
      <c r="C1651" s="5" t="s">
        <v>11387</v>
      </c>
      <c r="D1651" t="s">
        <v>11388</v>
      </c>
      <c r="E1651" s="5" t="s">
        <v>1759</v>
      </c>
      <c r="F1651" s="6">
        <v>46083.453472222223</v>
      </c>
      <c r="G1651" s="5" t="s">
        <v>7456</v>
      </c>
      <c r="H1651" s="5" t="s">
        <v>11389</v>
      </c>
      <c r="I1651" s="5" t="s">
        <v>1564</v>
      </c>
      <c r="J1651" s="8">
        <v>165</v>
      </c>
      <c r="K1651" s="5" t="s">
        <v>4</v>
      </c>
      <c r="L1651">
        <f t="shared" si="25"/>
        <v>3</v>
      </c>
    </row>
    <row r="1652" spans="1:12" x14ac:dyDescent="0.25">
      <c r="A1652" s="5">
        <v>47002</v>
      </c>
      <c r="B1652" t="s">
        <v>11390</v>
      </c>
      <c r="C1652" s="5" t="s">
        <v>11391</v>
      </c>
      <c r="D1652" t="s">
        <v>11392</v>
      </c>
      <c r="E1652" s="5" t="s">
        <v>1759</v>
      </c>
      <c r="F1652" s="6">
        <v>46083.458333333336</v>
      </c>
      <c r="G1652" s="5" t="s">
        <v>7672</v>
      </c>
      <c r="H1652" t="s">
        <v>7482</v>
      </c>
      <c r="I1652" s="5" t="s">
        <v>1564</v>
      </c>
      <c r="J1652" s="8">
        <v>283</v>
      </c>
      <c r="K1652" s="5" t="s">
        <v>4</v>
      </c>
      <c r="L1652">
        <f t="shared" si="25"/>
        <v>3</v>
      </c>
    </row>
    <row r="1653" spans="1:12" x14ac:dyDescent="0.25">
      <c r="A1653" s="5">
        <v>47003</v>
      </c>
      <c r="B1653" t="s">
        <v>11393</v>
      </c>
      <c r="C1653" s="5" t="s">
        <v>142</v>
      </c>
      <c r="D1653" t="s">
        <v>11394</v>
      </c>
      <c r="E1653" s="5" t="s">
        <v>1813</v>
      </c>
      <c r="F1653" s="6">
        <v>46083.46597222222</v>
      </c>
      <c r="G1653" s="5" t="s">
        <v>7456</v>
      </c>
      <c r="H1653" s="5" t="s">
        <v>11395</v>
      </c>
      <c r="I1653" s="5" t="s">
        <v>1535</v>
      </c>
      <c r="J1653" s="8">
        <v>154</v>
      </c>
      <c r="K1653" s="5" t="s">
        <v>4</v>
      </c>
      <c r="L1653">
        <f t="shared" si="25"/>
        <v>3</v>
      </c>
    </row>
    <row r="1654" spans="1:12" x14ac:dyDescent="0.25">
      <c r="A1654" s="5">
        <v>47004</v>
      </c>
      <c r="B1654" t="s">
        <v>9011</v>
      </c>
      <c r="C1654" s="5" t="s">
        <v>9012</v>
      </c>
      <c r="D1654" t="s">
        <v>9013</v>
      </c>
      <c r="E1654" s="5" t="s">
        <v>1738</v>
      </c>
      <c r="F1654" s="6">
        <v>46083.469444444447</v>
      </c>
      <c r="G1654" s="5" t="s">
        <v>7456</v>
      </c>
      <c r="H1654" s="5" t="s">
        <v>11396</v>
      </c>
      <c r="I1654" s="5" t="s">
        <v>1564</v>
      </c>
      <c r="J1654" s="8">
        <v>620.98</v>
      </c>
      <c r="K1654" s="5" t="s">
        <v>4</v>
      </c>
      <c r="L1654">
        <f t="shared" si="25"/>
        <v>3</v>
      </c>
    </row>
    <row r="1655" spans="1:12" x14ac:dyDescent="0.25">
      <c r="A1655" s="5">
        <v>47005</v>
      </c>
      <c r="B1655" t="s">
        <v>11397</v>
      </c>
      <c r="C1655" s="5" t="s">
        <v>11398</v>
      </c>
      <c r="D1655" t="s">
        <v>11399</v>
      </c>
      <c r="E1655" s="5" t="s">
        <v>5298</v>
      </c>
      <c r="F1655" s="6">
        <v>46083.473611111112</v>
      </c>
      <c r="G1655" s="5" t="s">
        <v>7456</v>
      </c>
      <c r="H1655" s="5" t="s">
        <v>11400</v>
      </c>
      <c r="I1655" s="5" t="s">
        <v>1564</v>
      </c>
      <c r="J1655" s="8">
        <v>135</v>
      </c>
      <c r="K1655" s="5" t="s">
        <v>4</v>
      </c>
      <c r="L1655">
        <f t="shared" si="25"/>
        <v>3</v>
      </c>
    </row>
    <row r="1656" spans="1:12" x14ac:dyDescent="0.25">
      <c r="A1656" s="5">
        <v>47006</v>
      </c>
      <c r="B1656" t="s">
        <v>11401</v>
      </c>
      <c r="C1656" s="5" t="s">
        <v>11402</v>
      </c>
      <c r="D1656" t="s">
        <v>11403</v>
      </c>
      <c r="E1656" s="5" t="s">
        <v>6548</v>
      </c>
      <c r="F1656" s="6">
        <v>46083.482638888891</v>
      </c>
      <c r="G1656" s="5" t="s">
        <v>7456</v>
      </c>
      <c r="H1656" s="5" t="s">
        <v>11404</v>
      </c>
      <c r="I1656" s="5" t="s">
        <v>1564</v>
      </c>
      <c r="J1656" s="8">
        <v>60</v>
      </c>
      <c r="K1656" s="5" t="s">
        <v>4</v>
      </c>
      <c r="L1656">
        <f t="shared" si="25"/>
        <v>3</v>
      </c>
    </row>
    <row r="1657" spans="1:12" x14ac:dyDescent="0.25">
      <c r="A1657" s="5">
        <v>47007</v>
      </c>
      <c r="B1657" t="s">
        <v>11405</v>
      </c>
      <c r="C1657" s="5" t="s">
        <v>11406</v>
      </c>
      <c r="D1657" t="s">
        <v>11407</v>
      </c>
      <c r="E1657" s="5" t="s">
        <v>3566</v>
      </c>
      <c r="F1657" s="6">
        <v>46083.536805555559</v>
      </c>
      <c r="G1657" s="5" t="s">
        <v>7456</v>
      </c>
      <c r="H1657" s="5" t="s">
        <v>11408</v>
      </c>
      <c r="I1657" s="5" t="s">
        <v>1564</v>
      </c>
      <c r="J1657" s="8">
        <v>159.9</v>
      </c>
      <c r="K1657" s="5" t="s">
        <v>4</v>
      </c>
      <c r="L1657">
        <f t="shared" si="25"/>
        <v>3</v>
      </c>
    </row>
    <row r="1658" spans="1:12" x14ac:dyDescent="0.25">
      <c r="A1658" s="5">
        <v>47009</v>
      </c>
      <c r="B1658" t="s">
        <v>10117</v>
      </c>
      <c r="C1658" s="5" t="s">
        <v>10118</v>
      </c>
      <c r="D1658" t="s">
        <v>10119</v>
      </c>
      <c r="E1658" s="5" t="s">
        <v>1759</v>
      </c>
      <c r="F1658" s="6">
        <v>46083.606249999997</v>
      </c>
      <c r="G1658" s="5" t="s">
        <v>7456</v>
      </c>
      <c r="H1658" s="5" t="s">
        <v>11409</v>
      </c>
      <c r="I1658" s="5" t="s">
        <v>1564</v>
      </c>
      <c r="J1658" s="8">
        <v>60</v>
      </c>
      <c r="K1658" s="5" t="s">
        <v>4</v>
      </c>
      <c r="L1658">
        <f t="shared" si="25"/>
        <v>3</v>
      </c>
    </row>
    <row r="1659" spans="1:12" x14ac:dyDescent="0.25">
      <c r="A1659" s="5">
        <v>47011</v>
      </c>
      <c r="B1659" t="s">
        <v>11405</v>
      </c>
      <c r="C1659" s="5" t="s">
        <v>11406</v>
      </c>
      <c r="D1659" t="s">
        <v>11407</v>
      </c>
      <c r="E1659" s="5" t="s">
        <v>4898</v>
      </c>
      <c r="F1659" s="6">
        <v>46083.65</v>
      </c>
      <c r="G1659" s="5" t="s">
        <v>7456</v>
      </c>
      <c r="H1659" s="5" t="s">
        <v>11410</v>
      </c>
      <c r="I1659" s="5" t="s">
        <v>1564</v>
      </c>
      <c r="J1659" s="8">
        <v>159.9</v>
      </c>
      <c r="K1659" s="5" t="s">
        <v>4</v>
      </c>
      <c r="L1659">
        <f t="shared" si="25"/>
        <v>3</v>
      </c>
    </row>
    <row r="1660" spans="1:12" x14ac:dyDescent="0.25">
      <c r="A1660" s="5">
        <v>47012</v>
      </c>
      <c r="B1660" t="s">
        <v>11411</v>
      </c>
      <c r="C1660" s="5" t="s">
        <v>11412</v>
      </c>
      <c r="D1660" t="s">
        <v>11413</v>
      </c>
      <c r="E1660" s="5" t="s">
        <v>1738</v>
      </c>
      <c r="F1660" s="6">
        <v>46083.657638888886</v>
      </c>
      <c r="G1660" s="5" t="s">
        <v>7672</v>
      </c>
      <c r="H1660" t="s">
        <v>7482</v>
      </c>
      <c r="I1660" s="5" t="s">
        <v>1564</v>
      </c>
      <c r="J1660" s="8">
        <v>200</v>
      </c>
      <c r="K1660" s="5" t="s">
        <v>4</v>
      </c>
      <c r="L1660">
        <f t="shared" si="25"/>
        <v>3</v>
      </c>
    </row>
    <row r="1661" spans="1:12" x14ac:dyDescent="0.25">
      <c r="A1661" s="5">
        <v>47015</v>
      </c>
      <c r="B1661" t="s">
        <v>11414</v>
      </c>
      <c r="C1661" s="5" t="s">
        <v>11415</v>
      </c>
      <c r="D1661" t="s">
        <v>11416</v>
      </c>
      <c r="E1661" s="5" t="s">
        <v>2118</v>
      </c>
      <c r="F1661" s="6">
        <v>46083.693055555559</v>
      </c>
      <c r="G1661" s="5" t="s">
        <v>7456</v>
      </c>
      <c r="H1661" s="5" t="s">
        <v>11417</v>
      </c>
      <c r="I1661" s="5" t="s">
        <v>1564</v>
      </c>
      <c r="J1661" s="8">
        <v>180</v>
      </c>
      <c r="K1661" s="5" t="s">
        <v>4</v>
      </c>
      <c r="L1661">
        <f t="shared" si="25"/>
        <v>3</v>
      </c>
    </row>
    <row r="1662" spans="1:12" x14ac:dyDescent="0.25">
      <c r="A1662" s="5">
        <v>47016</v>
      </c>
      <c r="B1662" t="s">
        <v>10407</v>
      </c>
      <c r="C1662" s="5" t="s">
        <v>11418</v>
      </c>
      <c r="D1662" t="s">
        <v>10409</v>
      </c>
      <c r="E1662" s="5" t="s">
        <v>1759</v>
      </c>
      <c r="F1662" s="6">
        <v>46083.702777777777</v>
      </c>
      <c r="G1662" s="5" t="s">
        <v>7456</v>
      </c>
      <c r="H1662" s="5" t="s">
        <v>11419</v>
      </c>
      <c r="I1662" s="5" t="s">
        <v>1564</v>
      </c>
      <c r="J1662" s="8">
        <v>240</v>
      </c>
      <c r="K1662" s="5" t="s">
        <v>4</v>
      </c>
      <c r="L1662">
        <f t="shared" si="25"/>
        <v>3</v>
      </c>
    </row>
    <row r="1663" spans="1:12" x14ac:dyDescent="0.25">
      <c r="A1663" s="5">
        <v>47018</v>
      </c>
      <c r="B1663" t="s">
        <v>11420</v>
      </c>
      <c r="C1663" s="5" t="s">
        <v>11421</v>
      </c>
      <c r="D1663" t="s">
        <v>11422</v>
      </c>
      <c r="E1663" s="5" t="s">
        <v>1759</v>
      </c>
      <c r="F1663" s="6">
        <v>46083.740972222222</v>
      </c>
      <c r="G1663" s="5" t="s">
        <v>7456</v>
      </c>
      <c r="H1663" s="5" t="s">
        <v>11423</v>
      </c>
      <c r="I1663" s="5" t="s">
        <v>1564</v>
      </c>
      <c r="J1663" s="8">
        <v>77</v>
      </c>
      <c r="K1663" s="5" t="s">
        <v>4</v>
      </c>
      <c r="L1663">
        <f t="shared" si="25"/>
        <v>3</v>
      </c>
    </row>
    <row r="1664" spans="1:12" x14ac:dyDescent="0.25">
      <c r="A1664" s="5">
        <v>47019</v>
      </c>
      <c r="B1664" t="s">
        <v>11424</v>
      </c>
      <c r="C1664" s="5" t="s">
        <v>11425</v>
      </c>
      <c r="D1664" t="s">
        <v>11426</v>
      </c>
      <c r="E1664" s="5" t="s">
        <v>5764</v>
      </c>
      <c r="F1664" s="6">
        <v>46083.745138888888</v>
      </c>
      <c r="G1664" s="5" t="s">
        <v>7456</v>
      </c>
      <c r="H1664" s="5" t="s">
        <v>11427</v>
      </c>
      <c r="I1664" s="5" t="s">
        <v>1564</v>
      </c>
      <c r="J1664" s="8">
        <v>111.15</v>
      </c>
      <c r="K1664" s="5" t="s">
        <v>4</v>
      </c>
      <c r="L1664">
        <f t="shared" si="25"/>
        <v>3</v>
      </c>
    </row>
    <row r="1665" spans="1:12" x14ac:dyDescent="0.25">
      <c r="A1665" s="5">
        <v>47020</v>
      </c>
      <c r="B1665" t="s">
        <v>11428</v>
      </c>
      <c r="C1665" s="5" t="s">
        <v>11429</v>
      </c>
      <c r="D1665" t="s">
        <v>7644</v>
      </c>
      <c r="E1665" s="5" t="s">
        <v>6598</v>
      </c>
      <c r="F1665" s="6">
        <v>46083.753472222219</v>
      </c>
      <c r="G1665" s="5" t="s">
        <v>7456</v>
      </c>
      <c r="H1665" s="5" t="s">
        <v>11430</v>
      </c>
      <c r="I1665" s="5" t="s">
        <v>1564</v>
      </c>
      <c r="J1665" s="8">
        <v>56.71</v>
      </c>
      <c r="K1665" s="5" t="s">
        <v>4</v>
      </c>
      <c r="L1665">
        <f t="shared" si="25"/>
        <v>3</v>
      </c>
    </row>
    <row r="1666" spans="1:12" x14ac:dyDescent="0.25">
      <c r="A1666" s="5">
        <v>47021</v>
      </c>
      <c r="B1666" t="s">
        <v>11431</v>
      </c>
      <c r="C1666" s="5" t="s">
        <v>11432</v>
      </c>
      <c r="D1666" t="s">
        <v>11356</v>
      </c>
      <c r="E1666" s="5" t="s">
        <v>6296</v>
      </c>
      <c r="F1666" s="6">
        <v>46083.759027777778</v>
      </c>
      <c r="G1666" s="5" t="s">
        <v>7456</v>
      </c>
      <c r="H1666" s="5" t="s">
        <v>11433</v>
      </c>
      <c r="I1666" s="5" t="s">
        <v>1564</v>
      </c>
      <c r="J1666" s="8">
        <v>74.94</v>
      </c>
      <c r="K1666" s="5" t="s">
        <v>4</v>
      </c>
      <c r="L1666">
        <f t="shared" si="25"/>
        <v>3</v>
      </c>
    </row>
    <row r="1667" spans="1:12" x14ac:dyDescent="0.25">
      <c r="A1667" s="5">
        <v>47022</v>
      </c>
      <c r="B1667" t="s">
        <v>9685</v>
      </c>
      <c r="C1667" s="5" t="s">
        <v>9686</v>
      </c>
      <c r="D1667" t="s">
        <v>9687</v>
      </c>
      <c r="E1667" s="5" t="s">
        <v>6180</v>
      </c>
      <c r="F1667" s="6">
        <v>46083.767361111109</v>
      </c>
      <c r="G1667" s="5" t="s">
        <v>7456</v>
      </c>
      <c r="H1667" s="5" t="s">
        <v>11434</v>
      </c>
      <c r="I1667" s="5" t="s">
        <v>1564</v>
      </c>
      <c r="J1667" s="8">
        <v>81.8</v>
      </c>
      <c r="K1667" s="5" t="s">
        <v>4</v>
      </c>
      <c r="L1667">
        <f t="shared" ref="L1667:L1730" si="26">MONTH(F1667)</f>
        <v>3</v>
      </c>
    </row>
    <row r="1668" spans="1:12" x14ac:dyDescent="0.25">
      <c r="A1668" s="5">
        <v>47023</v>
      </c>
      <c r="B1668" t="s">
        <v>11371</v>
      </c>
      <c r="C1668" s="5" t="s">
        <v>1284</v>
      </c>
      <c r="D1668" t="s">
        <v>11372</v>
      </c>
      <c r="E1668" s="5" t="s">
        <v>6420</v>
      </c>
      <c r="F1668" s="6">
        <v>46083.772916666669</v>
      </c>
      <c r="G1668" s="5" t="s">
        <v>7456</v>
      </c>
      <c r="H1668" s="5" t="s">
        <v>11435</v>
      </c>
      <c r="I1668" s="5" t="s">
        <v>1564</v>
      </c>
      <c r="J1668" s="8">
        <v>67.209999999999994</v>
      </c>
      <c r="K1668" s="5" t="s">
        <v>4</v>
      </c>
      <c r="L1668">
        <f t="shared" si="26"/>
        <v>3</v>
      </c>
    </row>
    <row r="1669" spans="1:12" x14ac:dyDescent="0.25">
      <c r="A1669" s="5">
        <v>47024</v>
      </c>
      <c r="B1669" t="s">
        <v>11436</v>
      </c>
      <c r="C1669" s="5" t="s">
        <v>11437</v>
      </c>
      <c r="D1669" t="s">
        <v>11438</v>
      </c>
      <c r="E1669" s="5" t="s">
        <v>7334</v>
      </c>
      <c r="F1669" s="6">
        <v>46083.777083333334</v>
      </c>
      <c r="G1669" s="5" t="s">
        <v>7456</v>
      </c>
      <c r="H1669" s="5" t="s">
        <v>11439</v>
      </c>
      <c r="I1669" s="5" t="s">
        <v>1564</v>
      </c>
      <c r="J1669" s="8">
        <v>15</v>
      </c>
      <c r="K1669" s="5" t="s">
        <v>4</v>
      </c>
      <c r="L1669">
        <f t="shared" si="26"/>
        <v>3</v>
      </c>
    </row>
    <row r="1670" spans="1:12" x14ac:dyDescent="0.25">
      <c r="A1670" s="5">
        <v>47025</v>
      </c>
      <c r="B1670" t="s">
        <v>11440</v>
      </c>
      <c r="C1670" s="5" t="s">
        <v>11441</v>
      </c>
      <c r="D1670" t="s">
        <v>11442</v>
      </c>
      <c r="E1670" s="5" t="s">
        <v>1813</v>
      </c>
      <c r="F1670" s="6">
        <v>46084.354861111111</v>
      </c>
      <c r="G1670" s="5" t="s">
        <v>7456</v>
      </c>
      <c r="H1670" s="5" t="s">
        <v>11443</v>
      </c>
      <c r="I1670" s="5" t="s">
        <v>1535</v>
      </c>
      <c r="J1670" s="8">
        <v>144.5</v>
      </c>
      <c r="K1670" s="5" t="s">
        <v>4</v>
      </c>
      <c r="L1670">
        <f t="shared" si="26"/>
        <v>3</v>
      </c>
    </row>
    <row r="1671" spans="1:12" x14ac:dyDescent="0.25">
      <c r="A1671" s="5">
        <v>47027</v>
      </c>
      <c r="B1671" t="s">
        <v>10022</v>
      </c>
      <c r="C1671" s="5" t="s">
        <v>7516</v>
      </c>
      <c r="D1671" t="s">
        <v>10023</v>
      </c>
      <c r="E1671" s="5" t="s">
        <v>3687</v>
      </c>
      <c r="F1671" s="6">
        <v>46084.385416666664</v>
      </c>
      <c r="G1671" s="5" t="s">
        <v>7456</v>
      </c>
      <c r="H1671" s="5" t="s">
        <v>11444</v>
      </c>
      <c r="I1671" s="5" t="s">
        <v>1535</v>
      </c>
      <c r="J1671" s="8">
        <v>302</v>
      </c>
      <c r="K1671" s="5" t="s">
        <v>4</v>
      </c>
      <c r="L1671">
        <f t="shared" si="26"/>
        <v>3</v>
      </c>
    </row>
    <row r="1672" spans="1:12" x14ac:dyDescent="0.25">
      <c r="A1672" s="5">
        <v>47028</v>
      </c>
      <c r="B1672" t="s">
        <v>11445</v>
      </c>
      <c r="C1672" s="5" t="s">
        <v>11446</v>
      </c>
      <c r="D1672" t="s">
        <v>7644</v>
      </c>
      <c r="E1672" s="5" t="s">
        <v>1813</v>
      </c>
      <c r="F1672" s="6">
        <v>46084.38958333333</v>
      </c>
      <c r="G1672" s="5" t="s">
        <v>7456</v>
      </c>
      <c r="H1672" s="5" t="s">
        <v>11447</v>
      </c>
      <c r="I1672" s="5" t="s">
        <v>1535</v>
      </c>
      <c r="J1672" s="8">
        <v>203.6</v>
      </c>
      <c r="K1672" s="5" t="s">
        <v>4</v>
      </c>
      <c r="L1672">
        <f t="shared" si="26"/>
        <v>3</v>
      </c>
    </row>
    <row r="1673" spans="1:12" x14ac:dyDescent="0.25">
      <c r="A1673" s="5">
        <v>47029</v>
      </c>
      <c r="B1673" t="s">
        <v>9060</v>
      </c>
      <c r="C1673" s="5" t="s">
        <v>1482</v>
      </c>
      <c r="D1673" t="s">
        <v>9061</v>
      </c>
      <c r="E1673" s="5" t="s">
        <v>1770</v>
      </c>
      <c r="F1673" s="6">
        <v>46084.42083333333</v>
      </c>
      <c r="G1673" s="5" t="s">
        <v>7456</v>
      </c>
      <c r="H1673" s="5" t="s">
        <v>11448</v>
      </c>
      <c r="I1673" s="5" t="s">
        <v>1564</v>
      </c>
      <c r="J1673" s="8">
        <v>95</v>
      </c>
      <c r="K1673" s="5" t="s">
        <v>4</v>
      </c>
      <c r="L1673">
        <f t="shared" si="26"/>
        <v>3</v>
      </c>
    </row>
    <row r="1674" spans="1:12" x14ac:dyDescent="0.25">
      <c r="A1674" s="5">
        <v>47030</v>
      </c>
      <c r="B1674" t="s">
        <v>10151</v>
      </c>
      <c r="C1674" s="5" t="s">
        <v>10152</v>
      </c>
      <c r="D1674" t="s">
        <v>10153</v>
      </c>
      <c r="E1674" s="5" t="s">
        <v>1532</v>
      </c>
      <c r="F1674" s="6">
        <v>46084.429166666669</v>
      </c>
      <c r="G1674" s="5" t="s">
        <v>7456</v>
      </c>
      <c r="H1674" s="5" t="s">
        <v>11449</v>
      </c>
      <c r="I1674" s="5" t="s">
        <v>1535</v>
      </c>
      <c r="J1674" s="8">
        <v>139.5</v>
      </c>
      <c r="K1674" s="5" t="s">
        <v>4</v>
      </c>
      <c r="L1674">
        <f t="shared" si="26"/>
        <v>3</v>
      </c>
    </row>
    <row r="1675" spans="1:12" x14ac:dyDescent="0.25">
      <c r="A1675" s="5">
        <v>47031</v>
      </c>
      <c r="B1675" t="s">
        <v>10158</v>
      </c>
      <c r="C1675" s="5" t="s">
        <v>10159</v>
      </c>
      <c r="D1675" t="s">
        <v>10160</v>
      </c>
      <c r="E1675" s="5" t="s">
        <v>2875</v>
      </c>
      <c r="F1675" s="6">
        <v>46084.431944444441</v>
      </c>
      <c r="G1675" s="5" t="s">
        <v>7595</v>
      </c>
      <c r="H1675" t="s">
        <v>7482</v>
      </c>
      <c r="I1675" s="5" t="s">
        <v>1535</v>
      </c>
      <c r="J1675" s="8">
        <v>166.4</v>
      </c>
      <c r="K1675" s="5" t="s">
        <v>4</v>
      </c>
      <c r="L1675">
        <f t="shared" si="26"/>
        <v>3</v>
      </c>
    </row>
    <row r="1676" spans="1:12" x14ac:dyDescent="0.25">
      <c r="A1676" s="5">
        <v>47032</v>
      </c>
      <c r="B1676" t="s">
        <v>11450</v>
      </c>
      <c r="C1676" s="5" t="s">
        <v>11451</v>
      </c>
      <c r="D1676" t="s">
        <v>11452</v>
      </c>
      <c r="E1676" s="5" t="s">
        <v>2118</v>
      </c>
      <c r="F1676" s="6">
        <v>46084.447916666664</v>
      </c>
      <c r="G1676" s="5" t="s">
        <v>7456</v>
      </c>
      <c r="H1676" s="5" t="s">
        <v>11453</v>
      </c>
      <c r="I1676" s="5" t="s">
        <v>1564</v>
      </c>
      <c r="J1676" s="8">
        <v>352</v>
      </c>
      <c r="K1676" s="5" t="s">
        <v>4</v>
      </c>
      <c r="L1676">
        <f t="shared" si="26"/>
        <v>3</v>
      </c>
    </row>
    <row r="1677" spans="1:12" x14ac:dyDescent="0.25">
      <c r="A1677" s="5">
        <v>47033</v>
      </c>
      <c r="B1677" t="s">
        <v>11454</v>
      </c>
      <c r="C1677" s="5" t="s">
        <v>11455</v>
      </c>
      <c r="D1677" t="s">
        <v>11456</v>
      </c>
      <c r="E1677" s="5" t="s">
        <v>1532</v>
      </c>
      <c r="F1677" s="6">
        <v>46084.451388888891</v>
      </c>
      <c r="G1677" s="5" t="s">
        <v>7456</v>
      </c>
      <c r="H1677" s="5" t="s">
        <v>11457</v>
      </c>
      <c r="I1677" s="5" t="s">
        <v>1535</v>
      </c>
      <c r="J1677" s="8">
        <v>140.6</v>
      </c>
      <c r="K1677" s="5" t="s">
        <v>4</v>
      </c>
      <c r="L1677">
        <f t="shared" si="26"/>
        <v>3</v>
      </c>
    </row>
    <row r="1678" spans="1:12" x14ac:dyDescent="0.25">
      <c r="A1678" s="5">
        <v>47034</v>
      </c>
      <c r="B1678" t="s">
        <v>11458</v>
      </c>
      <c r="C1678" s="5" t="s">
        <v>11082</v>
      </c>
      <c r="D1678" t="s">
        <v>11459</v>
      </c>
      <c r="E1678" s="5" t="s">
        <v>1770</v>
      </c>
      <c r="F1678" s="6">
        <v>46084.452777777777</v>
      </c>
      <c r="G1678" s="5" t="s">
        <v>7456</v>
      </c>
      <c r="H1678" s="5" t="s">
        <v>11460</v>
      </c>
      <c r="I1678" s="5" t="s">
        <v>1564</v>
      </c>
      <c r="J1678" s="8">
        <v>192.5</v>
      </c>
      <c r="K1678" s="5" t="s">
        <v>4</v>
      </c>
      <c r="L1678">
        <f t="shared" si="26"/>
        <v>3</v>
      </c>
    </row>
    <row r="1679" spans="1:12" x14ac:dyDescent="0.25">
      <c r="A1679" s="5">
        <v>47035</v>
      </c>
      <c r="B1679" t="s">
        <v>11461</v>
      </c>
      <c r="C1679" s="5" t="s">
        <v>11462</v>
      </c>
      <c r="D1679" t="s">
        <v>11463</v>
      </c>
      <c r="E1679" s="5" t="s">
        <v>11464</v>
      </c>
      <c r="F1679" s="6">
        <v>46084.468055555553</v>
      </c>
      <c r="G1679" s="5" t="s">
        <v>7672</v>
      </c>
      <c r="H1679" t="s">
        <v>7482</v>
      </c>
      <c r="I1679" s="5" t="s">
        <v>1564</v>
      </c>
      <c r="J1679" s="8">
        <v>339.6</v>
      </c>
      <c r="K1679" s="5" t="s">
        <v>4</v>
      </c>
      <c r="L1679">
        <f t="shared" si="26"/>
        <v>3</v>
      </c>
    </row>
    <row r="1680" spans="1:12" x14ac:dyDescent="0.25">
      <c r="A1680" s="5">
        <v>47036</v>
      </c>
      <c r="B1680" t="s">
        <v>11465</v>
      </c>
      <c r="C1680" s="5" t="s">
        <v>7516</v>
      </c>
      <c r="D1680" t="s">
        <v>11466</v>
      </c>
      <c r="E1680" s="5" t="s">
        <v>1813</v>
      </c>
      <c r="F1680" s="6">
        <v>46084.589583333334</v>
      </c>
      <c r="G1680" s="5" t="s">
        <v>7456</v>
      </c>
      <c r="H1680" s="5" t="s">
        <v>11467</v>
      </c>
      <c r="I1680" s="5" t="s">
        <v>1535</v>
      </c>
      <c r="J1680" s="8">
        <v>173</v>
      </c>
      <c r="K1680" s="5" t="s">
        <v>4</v>
      </c>
      <c r="L1680">
        <f t="shared" si="26"/>
        <v>3</v>
      </c>
    </row>
    <row r="1681" spans="1:12" x14ac:dyDescent="0.25">
      <c r="A1681" s="5">
        <v>47037</v>
      </c>
      <c r="B1681" t="s">
        <v>11468</v>
      </c>
      <c r="C1681" s="5" t="s">
        <v>1330</v>
      </c>
      <c r="D1681" t="s">
        <v>11469</v>
      </c>
      <c r="E1681" s="5" t="s">
        <v>2074</v>
      </c>
      <c r="F1681" s="6">
        <v>46084.602083333331</v>
      </c>
      <c r="G1681" s="5" t="s">
        <v>7672</v>
      </c>
      <c r="H1681" t="s">
        <v>8626</v>
      </c>
      <c r="I1681" s="5" t="s">
        <v>1564</v>
      </c>
      <c r="J1681" s="8">
        <v>387</v>
      </c>
      <c r="K1681" s="5" t="s">
        <v>4</v>
      </c>
      <c r="L1681">
        <f t="shared" si="26"/>
        <v>3</v>
      </c>
    </row>
    <row r="1682" spans="1:12" x14ac:dyDescent="0.25">
      <c r="A1682" s="5">
        <v>47038</v>
      </c>
      <c r="B1682" t="s">
        <v>11470</v>
      </c>
      <c r="C1682" s="5" t="s">
        <v>11471</v>
      </c>
      <c r="D1682" t="s">
        <v>11472</v>
      </c>
      <c r="E1682" s="5" t="s">
        <v>3458</v>
      </c>
      <c r="F1682" s="6">
        <v>46084.609027777777</v>
      </c>
      <c r="G1682" s="5" t="s">
        <v>7456</v>
      </c>
      <c r="H1682" s="5" t="s">
        <v>11473</v>
      </c>
      <c r="I1682" s="5" t="s">
        <v>1564</v>
      </c>
      <c r="J1682" s="8">
        <v>321</v>
      </c>
      <c r="K1682" s="5" t="s">
        <v>4</v>
      </c>
      <c r="L1682">
        <f t="shared" si="26"/>
        <v>3</v>
      </c>
    </row>
    <row r="1683" spans="1:12" x14ac:dyDescent="0.25">
      <c r="A1683" s="5">
        <v>47039</v>
      </c>
      <c r="B1683" t="s">
        <v>10703</v>
      </c>
      <c r="C1683" s="5" t="s">
        <v>10704</v>
      </c>
      <c r="D1683" t="s">
        <v>10705</v>
      </c>
      <c r="E1683" s="5" t="s">
        <v>1813</v>
      </c>
      <c r="F1683" s="6">
        <v>46084.648611111108</v>
      </c>
      <c r="G1683" s="5" t="s">
        <v>7595</v>
      </c>
      <c r="H1683" t="s">
        <v>7482</v>
      </c>
      <c r="I1683" s="5" t="s">
        <v>1535</v>
      </c>
      <c r="J1683" s="8">
        <v>40</v>
      </c>
      <c r="K1683" s="5" t="s">
        <v>4</v>
      </c>
      <c r="L1683">
        <f t="shared" si="26"/>
        <v>3</v>
      </c>
    </row>
    <row r="1684" spans="1:12" x14ac:dyDescent="0.25">
      <c r="A1684" s="5">
        <v>47040</v>
      </c>
      <c r="B1684" t="s">
        <v>10242</v>
      </c>
      <c r="C1684" s="5" t="s">
        <v>10243</v>
      </c>
      <c r="D1684" t="s">
        <v>10244</v>
      </c>
      <c r="E1684" s="5" t="s">
        <v>1742</v>
      </c>
      <c r="F1684" s="6">
        <v>46084.638194444444</v>
      </c>
      <c r="G1684" s="5" t="s">
        <v>7456</v>
      </c>
      <c r="H1684" s="5" t="s">
        <v>11474</v>
      </c>
      <c r="I1684" s="5" t="s">
        <v>1621</v>
      </c>
      <c r="J1684" s="8">
        <v>0</v>
      </c>
      <c r="K1684" s="5" t="s">
        <v>4</v>
      </c>
      <c r="L1684">
        <f t="shared" si="26"/>
        <v>3</v>
      </c>
    </row>
    <row r="1685" spans="1:12" x14ac:dyDescent="0.25">
      <c r="A1685" s="5">
        <v>47041</v>
      </c>
      <c r="B1685" t="s">
        <v>11475</v>
      </c>
      <c r="C1685" s="5" t="s">
        <v>7800</v>
      </c>
      <c r="D1685" t="s">
        <v>11476</v>
      </c>
      <c r="E1685" s="5" t="s">
        <v>11477</v>
      </c>
      <c r="F1685" s="6">
        <v>46084.65902777778</v>
      </c>
      <c r="G1685" s="5" t="s">
        <v>7672</v>
      </c>
      <c r="H1685" t="s">
        <v>7482</v>
      </c>
      <c r="I1685" s="5" t="s">
        <v>1564</v>
      </c>
      <c r="J1685" s="8">
        <v>1500</v>
      </c>
      <c r="K1685" s="5" t="s">
        <v>4</v>
      </c>
      <c r="L1685">
        <f t="shared" si="26"/>
        <v>3</v>
      </c>
    </row>
    <row r="1686" spans="1:12" x14ac:dyDescent="0.25">
      <c r="A1686" s="5">
        <v>47042</v>
      </c>
      <c r="B1686" t="s">
        <v>11478</v>
      </c>
      <c r="C1686" s="5" t="s">
        <v>7516</v>
      </c>
      <c r="D1686" t="s">
        <v>11479</v>
      </c>
      <c r="E1686" s="5" t="s">
        <v>1813</v>
      </c>
      <c r="F1686" s="6">
        <v>46084.67291666667</v>
      </c>
      <c r="G1686" s="5" t="s">
        <v>7456</v>
      </c>
      <c r="H1686" s="5" t="s">
        <v>11480</v>
      </c>
      <c r="I1686" s="5" t="s">
        <v>1535</v>
      </c>
      <c r="J1686" s="8">
        <v>394.5</v>
      </c>
      <c r="K1686" s="5" t="s">
        <v>4</v>
      </c>
      <c r="L1686">
        <f t="shared" si="26"/>
        <v>3</v>
      </c>
    </row>
    <row r="1687" spans="1:12" x14ac:dyDescent="0.25">
      <c r="A1687" s="5">
        <v>47043</v>
      </c>
      <c r="B1687" t="s">
        <v>11481</v>
      </c>
      <c r="C1687" s="5" t="s">
        <v>11482</v>
      </c>
      <c r="D1687" t="s">
        <v>7644</v>
      </c>
      <c r="E1687" s="5" t="s">
        <v>4847</v>
      </c>
      <c r="F1687" s="6">
        <v>46084.668055555558</v>
      </c>
      <c r="G1687" s="5" t="s">
        <v>7456</v>
      </c>
      <c r="H1687" s="5" t="s">
        <v>11483</v>
      </c>
      <c r="I1687" s="5" t="s">
        <v>1621</v>
      </c>
      <c r="J1687" s="8">
        <v>163.63</v>
      </c>
      <c r="K1687" s="5" t="s">
        <v>4</v>
      </c>
      <c r="L1687">
        <f t="shared" si="26"/>
        <v>3</v>
      </c>
    </row>
    <row r="1688" spans="1:12" x14ac:dyDescent="0.25">
      <c r="A1688" s="5">
        <v>47044</v>
      </c>
      <c r="B1688" t="s">
        <v>11484</v>
      </c>
      <c r="C1688" s="5" t="s">
        <v>11485</v>
      </c>
      <c r="D1688" t="s">
        <v>11486</v>
      </c>
      <c r="E1688" s="5" t="s">
        <v>2306</v>
      </c>
      <c r="F1688" s="6">
        <v>46084.677083333336</v>
      </c>
      <c r="G1688" s="5" t="s">
        <v>7672</v>
      </c>
      <c r="H1688" t="s">
        <v>8626</v>
      </c>
      <c r="I1688" s="5" t="s">
        <v>1564</v>
      </c>
      <c r="J1688" s="8">
        <v>451</v>
      </c>
      <c r="K1688" s="5" t="s">
        <v>4</v>
      </c>
      <c r="L1688">
        <f t="shared" si="26"/>
        <v>3</v>
      </c>
    </row>
    <row r="1689" spans="1:12" x14ac:dyDescent="0.25">
      <c r="A1689" s="5">
        <v>47045</v>
      </c>
      <c r="B1689" t="s">
        <v>9476</v>
      </c>
      <c r="C1689" s="5" t="s">
        <v>9477</v>
      </c>
      <c r="D1689" t="s">
        <v>9478</v>
      </c>
      <c r="E1689" s="5" t="s">
        <v>1532</v>
      </c>
      <c r="F1689" s="6">
        <v>46084.7</v>
      </c>
      <c r="G1689" s="5" t="s">
        <v>7456</v>
      </c>
      <c r="H1689" s="5" t="s">
        <v>11487</v>
      </c>
      <c r="I1689" s="5" t="s">
        <v>1535</v>
      </c>
      <c r="J1689" s="8">
        <v>430</v>
      </c>
      <c r="K1689" s="5" t="s">
        <v>4</v>
      </c>
      <c r="L1689">
        <f t="shared" si="26"/>
        <v>3</v>
      </c>
    </row>
    <row r="1690" spans="1:12" x14ac:dyDescent="0.25">
      <c r="A1690" s="5">
        <v>47046</v>
      </c>
      <c r="B1690" t="s">
        <v>11488</v>
      </c>
      <c r="C1690" s="5" t="s">
        <v>223</v>
      </c>
      <c r="D1690" t="s">
        <v>11489</v>
      </c>
      <c r="E1690" s="5" t="s">
        <v>3318</v>
      </c>
      <c r="F1690" s="6">
        <v>46084.688888888886</v>
      </c>
      <c r="G1690" s="5" t="s">
        <v>7456</v>
      </c>
      <c r="H1690" s="5" t="s">
        <v>11490</v>
      </c>
      <c r="I1690" s="5" t="s">
        <v>1621</v>
      </c>
      <c r="J1690" s="8">
        <v>358</v>
      </c>
      <c r="K1690" s="5" t="s">
        <v>4</v>
      </c>
      <c r="L1690">
        <f t="shared" si="26"/>
        <v>3</v>
      </c>
    </row>
    <row r="1691" spans="1:12" x14ac:dyDescent="0.25">
      <c r="A1691" s="5">
        <v>47047</v>
      </c>
      <c r="B1691" t="s">
        <v>11491</v>
      </c>
      <c r="C1691" s="5" t="s">
        <v>144</v>
      </c>
      <c r="D1691" t="s">
        <v>11492</v>
      </c>
      <c r="E1691" s="5" t="s">
        <v>6222</v>
      </c>
      <c r="F1691" s="6">
        <v>46084.709027777775</v>
      </c>
      <c r="G1691" s="5" t="s">
        <v>7456</v>
      </c>
      <c r="H1691" s="5" t="s">
        <v>11493</v>
      </c>
      <c r="I1691" s="5" t="s">
        <v>1564</v>
      </c>
      <c r="J1691" s="8">
        <v>79.900000000000006</v>
      </c>
      <c r="K1691" s="5" t="s">
        <v>4</v>
      </c>
      <c r="L1691">
        <f t="shared" si="26"/>
        <v>3</v>
      </c>
    </row>
    <row r="1692" spans="1:12" x14ac:dyDescent="0.25">
      <c r="A1692" s="5">
        <v>47049</v>
      </c>
      <c r="B1692" t="s">
        <v>11494</v>
      </c>
      <c r="C1692" s="5" t="s">
        <v>294</v>
      </c>
      <c r="D1692" t="s">
        <v>11495</v>
      </c>
      <c r="E1692" s="5" t="s">
        <v>7027</v>
      </c>
      <c r="F1692" s="6">
        <v>46084.729861111111</v>
      </c>
      <c r="G1692" s="5" t="s">
        <v>7456</v>
      </c>
      <c r="H1692" s="5" t="s">
        <v>11496</v>
      </c>
      <c r="I1692" s="5" t="s">
        <v>1621</v>
      </c>
      <c r="J1692" s="8">
        <v>32.44</v>
      </c>
      <c r="K1692" s="5" t="s">
        <v>4</v>
      </c>
      <c r="L1692">
        <f t="shared" si="26"/>
        <v>3</v>
      </c>
    </row>
    <row r="1693" spans="1:12" x14ac:dyDescent="0.25">
      <c r="A1693" s="5">
        <v>47050</v>
      </c>
      <c r="B1693" t="s">
        <v>11497</v>
      </c>
      <c r="C1693" s="5" t="s">
        <v>11498</v>
      </c>
      <c r="D1693" t="s">
        <v>7644</v>
      </c>
      <c r="E1693" s="5" t="s">
        <v>6558</v>
      </c>
      <c r="F1693" s="6">
        <v>46084.738194444442</v>
      </c>
      <c r="G1693" s="5" t="s">
        <v>7456</v>
      </c>
      <c r="H1693" s="5" t="s">
        <v>11499</v>
      </c>
      <c r="I1693" s="5" t="s">
        <v>1621</v>
      </c>
      <c r="J1693" s="8">
        <v>59.58</v>
      </c>
      <c r="K1693" s="5" t="s">
        <v>4</v>
      </c>
      <c r="L1693">
        <f t="shared" si="26"/>
        <v>3</v>
      </c>
    </row>
    <row r="1694" spans="1:12" x14ac:dyDescent="0.25">
      <c r="A1694" s="5">
        <v>47051</v>
      </c>
      <c r="B1694" t="s">
        <v>11500</v>
      </c>
      <c r="C1694" s="5" t="s">
        <v>232</v>
      </c>
      <c r="D1694" t="s">
        <v>11501</v>
      </c>
      <c r="E1694" s="5" t="s">
        <v>6359</v>
      </c>
      <c r="F1694" s="6">
        <v>46084.745833333334</v>
      </c>
      <c r="G1694" s="5" t="s">
        <v>7456</v>
      </c>
      <c r="H1694" s="5" t="s">
        <v>11502</v>
      </c>
      <c r="I1694" s="5" t="s">
        <v>1621</v>
      </c>
      <c r="J1694" s="8">
        <v>71.260000000000005</v>
      </c>
      <c r="K1694" s="5" t="s">
        <v>4</v>
      </c>
      <c r="L1694">
        <f t="shared" si="26"/>
        <v>3</v>
      </c>
    </row>
    <row r="1695" spans="1:12" x14ac:dyDescent="0.25">
      <c r="A1695" s="5">
        <v>47052</v>
      </c>
      <c r="B1695" t="s">
        <v>11358</v>
      </c>
      <c r="C1695" s="5" t="s">
        <v>11082</v>
      </c>
      <c r="D1695" t="s">
        <v>11356</v>
      </c>
      <c r="E1695" s="5" t="s">
        <v>1759</v>
      </c>
      <c r="F1695" s="6">
        <v>46084.761805555558</v>
      </c>
      <c r="G1695" s="5" t="s">
        <v>7456</v>
      </c>
      <c r="H1695" s="5" t="s">
        <v>11503</v>
      </c>
      <c r="I1695" s="5" t="s">
        <v>1564</v>
      </c>
      <c r="J1695" s="8">
        <v>416.15</v>
      </c>
      <c r="K1695" s="5" t="s">
        <v>4</v>
      </c>
      <c r="L1695">
        <f t="shared" si="26"/>
        <v>3</v>
      </c>
    </row>
    <row r="1696" spans="1:12" x14ac:dyDescent="0.25">
      <c r="A1696" s="5">
        <v>47054</v>
      </c>
      <c r="B1696" t="s">
        <v>11504</v>
      </c>
      <c r="C1696" s="5" t="s">
        <v>11505</v>
      </c>
      <c r="D1696" t="s">
        <v>11506</v>
      </c>
      <c r="E1696" s="5" t="s">
        <v>1532</v>
      </c>
      <c r="F1696" s="6">
        <v>46085.419444444444</v>
      </c>
      <c r="G1696" s="5" t="s">
        <v>7456</v>
      </c>
      <c r="H1696" s="5" t="s">
        <v>11507</v>
      </c>
      <c r="I1696" s="5" t="s">
        <v>1535</v>
      </c>
      <c r="J1696" s="8">
        <v>261.7</v>
      </c>
      <c r="K1696" s="5" t="s">
        <v>4</v>
      </c>
      <c r="L1696">
        <f t="shared" si="26"/>
        <v>3</v>
      </c>
    </row>
    <row r="1697" spans="1:12" x14ac:dyDescent="0.25">
      <c r="A1697" s="5">
        <v>47055</v>
      </c>
      <c r="B1697" t="s">
        <v>11508</v>
      </c>
      <c r="C1697" s="5" t="s">
        <v>11509</v>
      </c>
      <c r="D1697" t="s">
        <v>11510</v>
      </c>
      <c r="E1697" s="5" t="s">
        <v>2740</v>
      </c>
      <c r="F1697" s="6">
        <v>46085.440972222219</v>
      </c>
      <c r="G1697" s="5" t="s">
        <v>7456</v>
      </c>
      <c r="H1697" s="5" t="s">
        <v>11511</v>
      </c>
      <c r="I1697" s="5" t="s">
        <v>1564</v>
      </c>
      <c r="J1697" s="8">
        <v>537</v>
      </c>
      <c r="K1697" s="5" t="s">
        <v>4</v>
      </c>
      <c r="L1697">
        <f t="shared" si="26"/>
        <v>3</v>
      </c>
    </row>
    <row r="1698" spans="1:12" x14ac:dyDescent="0.25">
      <c r="A1698" s="5">
        <v>47057</v>
      </c>
      <c r="B1698" t="s">
        <v>11512</v>
      </c>
      <c r="C1698" s="5" t="s">
        <v>11429</v>
      </c>
      <c r="D1698" t="s">
        <v>11513</v>
      </c>
      <c r="E1698" s="5" t="s">
        <v>3047</v>
      </c>
      <c r="F1698" s="6">
        <v>46085.506944444445</v>
      </c>
      <c r="G1698" s="5" t="s">
        <v>7456</v>
      </c>
      <c r="H1698" s="5" t="s">
        <v>11514</v>
      </c>
      <c r="I1698" s="5" t="s">
        <v>1564</v>
      </c>
      <c r="J1698" s="8">
        <v>439.8</v>
      </c>
      <c r="K1698" s="5" t="s">
        <v>4</v>
      </c>
      <c r="L1698">
        <f t="shared" si="26"/>
        <v>3</v>
      </c>
    </row>
    <row r="1699" spans="1:12" x14ac:dyDescent="0.25">
      <c r="A1699" s="5">
        <v>47058</v>
      </c>
      <c r="B1699" t="s">
        <v>11515</v>
      </c>
      <c r="C1699" s="5" t="s">
        <v>11516</v>
      </c>
      <c r="D1699" t="s">
        <v>11517</v>
      </c>
      <c r="E1699" s="5" t="s">
        <v>1770</v>
      </c>
      <c r="F1699" s="6">
        <v>46085.510416666664</v>
      </c>
      <c r="G1699" s="5" t="s">
        <v>7456</v>
      </c>
      <c r="H1699" s="5" t="s">
        <v>11518</v>
      </c>
      <c r="I1699" s="5" t="s">
        <v>1564</v>
      </c>
      <c r="J1699" s="8">
        <v>190.5</v>
      </c>
      <c r="K1699" s="5" t="s">
        <v>4</v>
      </c>
      <c r="L1699">
        <f t="shared" si="26"/>
        <v>3</v>
      </c>
    </row>
    <row r="1700" spans="1:12" x14ac:dyDescent="0.25">
      <c r="A1700" s="5">
        <v>47059</v>
      </c>
      <c r="B1700" t="s">
        <v>11519</v>
      </c>
      <c r="C1700" s="5" t="s">
        <v>11520</v>
      </c>
      <c r="D1700" t="s">
        <v>11521</v>
      </c>
      <c r="E1700" s="5" t="s">
        <v>2306</v>
      </c>
      <c r="F1700" s="6">
        <v>46085.513194444444</v>
      </c>
      <c r="G1700" s="5" t="s">
        <v>7672</v>
      </c>
      <c r="H1700" t="s">
        <v>8626</v>
      </c>
      <c r="I1700" s="5" t="s">
        <v>1564</v>
      </c>
      <c r="J1700" s="8">
        <v>476.99</v>
      </c>
      <c r="K1700" s="5" t="s">
        <v>4</v>
      </c>
      <c r="L1700">
        <f t="shared" si="26"/>
        <v>3</v>
      </c>
    </row>
    <row r="1701" spans="1:12" x14ac:dyDescent="0.25">
      <c r="A1701" s="5">
        <v>47061</v>
      </c>
      <c r="B1701" t="s">
        <v>11522</v>
      </c>
      <c r="C1701" s="5" t="s">
        <v>11523</v>
      </c>
      <c r="D1701" t="s">
        <v>11524</v>
      </c>
      <c r="E1701" s="5" t="s">
        <v>2118</v>
      </c>
      <c r="F1701" s="6">
        <v>46085.619444444441</v>
      </c>
      <c r="G1701" s="5" t="s">
        <v>7456</v>
      </c>
      <c r="H1701" s="5" t="s">
        <v>11525</v>
      </c>
      <c r="I1701" s="5" t="s">
        <v>1564</v>
      </c>
      <c r="J1701" s="8">
        <v>263.55</v>
      </c>
      <c r="K1701" s="5" t="s">
        <v>4</v>
      </c>
      <c r="L1701">
        <f t="shared" si="26"/>
        <v>3</v>
      </c>
    </row>
    <row r="1702" spans="1:12" x14ac:dyDescent="0.25">
      <c r="A1702" s="5">
        <v>47063</v>
      </c>
      <c r="B1702" t="s">
        <v>9802</v>
      </c>
      <c r="C1702" s="5" t="s">
        <v>9803</v>
      </c>
      <c r="D1702" t="s">
        <v>9804</v>
      </c>
      <c r="E1702" s="5" t="s">
        <v>1738</v>
      </c>
      <c r="F1702" s="6">
        <v>46085.645138888889</v>
      </c>
      <c r="G1702" s="5" t="s">
        <v>7456</v>
      </c>
      <c r="H1702" s="5" t="s">
        <v>11526</v>
      </c>
      <c r="I1702" s="5" t="s">
        <v>1564</v>
      </c>
      <c r="J1702" s="8">
        <v>170</v>
      </c>
      <c r="K1702" s="5" t="s">
        <v>4</v>
      </c>
      <c r="L1702">
        <f t="shared" si="26"/>
        <v>3</v>
      </c>
    </row>
    <row r="1703" spans="1:12" x14ac:dyDescent="0.25">
      <c r="A1703" s="5">
        <v>47064</v>
      </c>
      <c r="B1703" t="s">
        <v>10371</v>
      </c>
      <c r="C1703" s="5" t="s">
        <v>10372</v>
      </c>
      <c r="D1703" t="s">
        <v>10373</v>
      </c>
      <c r="E1703" s="5" t="s">
        <v>1813</v>
      </c>
      <c r="F1703" s="6">
        <v>46085.662499999999</v>
      </c>
      <c r="G1703" s="5" t="s">
        <v>7456</v>
      </c>
      <c r="H1703" s="5" t="s">
        <v>11527</v>
      </c>
      <c r="I1703" s="5" t="s">
        <v>1621</v>
      </c>
      <c r="J1703" s="8">
        <v>0</v>
      </c>
      <c r="K1703" s="5" t="s">
        <v>4</v>
      </c>
      <c r="L1703">
        <f t="shared" si="26"/>
        <v>3</v>
      </c>
    </row>
    <row r="1704" spans="1:12" x14ac:dyDescent="0.25">
      <c r="A1704" s="5">
        <v>47065</v>
      </c>
      <c r="B1704" t="s">
        <v>10381</v>
      </c>
      <c r="C1704" s="5" t="s">
        <v>10372</v>
      </c>
      <c r="D1704" t="s">
        <v>10373</v>
      </c>
      <c r="E1704" s="5" t="s">
        <v>1813</v>
      </c>
      <c r="F1704" s="6">
        <v>46085.67083333333</v>
      </c>
      <c r="G1704" s="5" t="s">
        <v>7456</v>
      </c>
      <c r="H1704" s="5" t="s">
        <v>11528</v>
      </c>
      <c r="I1704" s="5" t="s">
        <v>1621</v>
      </c>
      <c r="J1704" s="8">
        <v>0</v>
      </c>
      <c r="K1704" s="5" t="s">
        <v>4</v>
      </c>
      <c r="L1704">
        <f t="shared" si="26"/>
        <v>3</v>
      </c>
    </row>
    <row r="1705" spans="1:12" x14ac:dyDescent="0.25">
      <c r="A1705" s="5">
        <v>47066</v>
      </c>
      <c r="B1705" t="s">
        <v>11522</v>
      </c>
      <c r="C1705" s="5" t="s">
        <v>11523</v>
      </c>
      <c r="D1705" t="s">
        <v>11524</v>
      </c>
      <c r="E1705" s="5" t="s">
        <v>2118</v>
      </c>
      <c r="F1705" s="6">
        <v>46085.693055555559</v>
      </c>
      <c r="G1705" s="5" t="s">
        <v>7456</v>
      </c>
      <c r="H1705" s="5" t="s">
        <v>11529</v>
      </c>
      <c r="I1705" s="5" t="s">
        <v>1564</v>
      </c>
      <c r="J1705" s="8">
        <v>525.25</v>
      </c>
      <c r="K1705" s="5" t="s">
        <v>4</v>
      </c>
      <c r="L1705">
        <f t="shared" si="26"/>
        <v>3</v>
      </c>
    </row>
    <row r="1706" spans="1:12" x14ac:dyDescent="0.25">
      <c r="A1706" s="5">
        <v>47067</v>
      </c>
      <c r="B1706" t="s">
        <v>10600</v>
      </c>
      <c r="C1706" s="5" t="s">
        <v>10601</v>
      </c>
      <c r="D1706" t="s">
        <v>7644</v>
      </c>
      <c r="E1706" s="5" t="s">
        <v>6812</v>
      </c>
      <c r="F1706" s="6">
        <v>46085.645138888889</v>
      </c>
      <c r="G1706" s="5" t="s">
        <v>7456</v>
      </c>
      <c r="H1706" s="5" t="s">
        <v>11530</v>
      </c>
      <c r="I1706" s="5" t="s">
        <v>1621</v>
      </c>
      <c r="J1706" s="8">
        <v>43.69</v>
      </c>
      <c r="K1706" s="5" t="s">
        <v>4</v>
      </c>
      <c r="L1706">
        <f t="shared" si="26"/>
        <v>3</v>
      </c>
    </row>
    <row r="1707" spans="1:12" x14ac:dyDescent="0.25">
      <c r="A1707" s="5">
        <v>47068</v>
      </c>
      <c r="B1707" t="s">
        <v>11531</v>
      </c>
      <c r="C1707" s="5" t="s">
        <v>11532</v>
      </c>
      <c r="D1707" t="s">
        <v>11533</v>
      </c>
      <c r="E1707" s="5" t="s">
        <v>1813</v>
      </c>
      <c r="F1707" s="6">
        <v>46085.7</v>
      </c>
      <c r="G1707" s="5" t="s">
        <v>7456</v>
      </c>
      <c r="H1707" s="5" t="s">
        <v>11534</v>
      </c>
      <c r="I1707" s="5" t="s">
        <v>1535</v>
      </c>
      <c r="J1707" s="8">
        <v>495</v>
      </c>
      <c r="K1707" s="5" t="s">
        <v>4</v>
      </c>
      <c r="L1707">
        <f t="shared" si="26"/>
        <v>3</v>
      </c>
    </row>
    <row r="1708" spans="1:12" x14ac:dyDescent="0.25">
      <c r="A1708" s="5">
        <v>47070</v>
      </c>
      <c r="B1708" t="s">
        <v>11535</v>
      </c>
      <c r="C1708" s="5" t="s">
        <v>7516</v>
      </c>
      <c r="D1708" t="s">
        <v>11536</v>
      </c>
      <c r="E1708" s="5" t="s">
        <v>2960</v>
      </c>
      <c r="F1708" s="6">
        <v>46085.706250000003</v>
      </c>
      <c r="G1708" s="5" t="s">
        <v>7456</v>
      </c>
      <c r="H1708" s="5" t="s">
        <v>11537</v>
      </c>
      <c r="I1708" s="5" t="s">
        <v>1535</v>
      </c>
      <c r="J1708" s="8">
        <v>465.7</v>
      </c>
      <c r="K1708" s="5" t="s">
        <v>4</v>
      </c>
      <c r="L1708">
        <f t="shared" si="26"/>
        <v>3</v>
      </c>
    </row>
    <row r="1709" spans="1:12" x14ac:dyDescent="0.25">
      <c r="A1709" s="5">
        <v>47071</v>
      </c>
      <c r="B1709" t="s">
        <v>11538</v>
      </c>
      <c r="C1709" s="5" t="s">
        <v>11539</v>
      </c>
      <c r="D1709" t="s">
        <v>11540</v>
      </c>
      <c r="E1709" s="5" t="s">
        <v>11541</v>
      </c>
      <c r="F1709" s="6">
        <v>46085.706944444442</v>
      </c>
      <c r="G1709" s="5" t="s">
        <v>7672</v>
      </c>
      <c r="H1709" t="s">
        <v>8626</v>
      </c>
      <c r="I1709" s="5" t="s">
        <v>1564</v>
      </c>
      <c r="J1709" s="8">
        <v>1030</v>
      </c>
      <c r="K1709" s="5" t="s">
        <v>4</v>
      </c>
      <c r="L1709">
        <f t="shared" si="26"/>
        <v>3</v>
      </c>
    </row>
    <row r="1710" spans="1:12" x14ac:dyDescent="0.25">
      <c r="A1710" s="5">
        <v>47072</v>
      </c>
      <c r="B1710" t="s">
        <v>11468</v>
      </c>
      <c r="C1710" s="5" t="s">
        <v>1330</v>
      </c>
      <c r="D1710" t="s">
        <v>11469</v>
      </c>
      <c r="E1710" s="5" t="s">
        <v>4251</v>
      </c>
      <c r="F1710" s="6">
        <v>46085.7</v>
      </c>
      <c r="G1710" s="5" t="s">
        <v>7456</v>
      </c>
      <c r="H1710" s="5" t="s">
        <v>11542</v>
      </c>
      <c r="I1710" s="5" t="s">
        <v>1621</v>
      </c>
      <c r="J1710" s="8">
        <v>226.5</v>
      </c>
      <c r="K1710" s="5" t="s">
        <v>4</v>
      </c>
      <c r="L1710">
        <f t="shared" si="26"/>
        <v>3</v>
      </c>
    </row>
    <row r="1711" spans="1:12" x14ac:dyDescent="0.25">
      <c r="A1711" s="5">
        <v>47073</v>
      </c>
      <c r="B1711" t="s">
        <v>11543</v>
      </c>
      <c r="C1711" s="5" t="s">
        <v>11544</v>
      </c>
      <c r="D1711" t="s">
        <v>11545</v>
      </c>
      <c r="E1711" s="5" t="s">
        <v>2118</v>
      </c>
      <c r="F1711" s="6">
        <v>46085.729166666664</v>
      </c>
      <c r="G1711" s="5" t="s">
        <v>7456</v>
      </c>
      <c r="H1711" s="5" t="s">
        <v>11546</v>
      </c>
      <c r="I1711" s="5" t="s">
        <v>1564</v>
      </c>
      <c r="J1711" s="8">
        <v>330.25</v>
      </c>
      <c r="K1711" s="5" t="s">
        <v>4</v>
      </c>
      <c r="L1711">
        <f t="shared" si="26"/>
        <v>3</v>
      </c>
    </row>
    <row r="1712" spans="1:12" x14ac:dyDescent="0.25">
      <c r="A1712" s="5">
        <v>47074</v>
      </c>
      <c r="B1712" t="s">
        <v>11547</v>
      </c>
      <c r="C1712" s="5" t="s">
        <v>192</v>
      </c>
      <c r="D1712" t="s">
        <v>11548</v>
      </c>
      <c r="E1712" s="5" t="s">
        <v>5852</v>
      </c>
      <c r="F1712" s="6">
        <v>46085.720833333333</v>
      </c>
      <c r="G1712" s="5" t="s">
        <v>7456</v>
      </c>
      <c r="H1712" s="5" t="s">
        <v>11549</v>
      </c>
      <c r="I1712" s="5" t="s">
        <v>1621</v>
      </c>
      <c r="J1712" s="8">
        <v>104.53</v>
      </c>
      <c r="K1712" s="5" t="s">
        <v>4</v>
      </c>
      <c r="L1712">
        <f t="shared" si="26"/>
        <v>3</v>
      </c>
    </row>
    <row r="1713" spans="1:12" x14ac:dyDescent="0.25">
      <c r="A1713" s="5">
        <v>47075</v>
      </c>
      <c r="B1713" t="s">
        <v>11550</v>
      </c>
      <c r="C1713" s="5" t="s">
        <v>432</v>
      </c>
      <c r="D1713" t="s">
        <v>11551</v>
      </c>
      <c r="E1713" s="5" t="s">
        <v>4292</v>
      </c>
      <c r="F1713" s="6">
        <v>46085.738194444442</v>
      </c>
      <c r="G1713" s="5" t="s">
        <v>7456</v>
      </c>
      <c r="H1713" s="5" t="s">
        <v>11552</v>
      </c>
      <c r="I1713" s="5" t="s">
        <v>1621</v>
      </c>
      <c r="J1713" s="8">
        <v>221.58</v>
      </c>
      <c r="K1713" s="5" t="s">
        <v>4</v>
      </c>
      <c r="L1713">
        <f t="shared" si="26"/>
        <v>3</v>
      </c>
    </row>
    <row r="1714" spans="1:12" x14ac:dyDescent="0.25">
      <c r="A1714" s="5">
        <v>47076</v>
      </c>
      <c r="B1714" t="s">
        <v>10158</v>
      </c>
      <c r="C1714" s="5" t="s">
        <v>10159</v>
      </c>
      <c r="D1714" t="s">
        <v>10160</v>
      </c>
      <c r="E1714" s="5" t="s">
        <v>2875</v>
      </c>
      <c r="F1714" s="6">
        <v>46086.368055555555</v>
      </c>
      <c r="G1714" s="5" t="s">
        <v>7456</v>
      </c>
      <c r="H1714" s="5" t="s">
        <v>11553</v>
      </c>
      <c r="I1714" s="5" t="s">
        <v>1535</v>
      </c>
      <c r="J1714" s="8">
        <v>95</v>
      </c>
      <c r="K1714" s="5" t="s">
        <v>4</v>
      </c>
      <c r="L1714">
        <f t="shared" si="26"/>
        <v>3</v>
      </c>
    </row>
    <row r="1715" spans="1:12" x14ac:dyDescent="0.25">
      <c r="A1715" s="5">
        <v>47077</v>
      </c>
      <c r="B1715" t="s">
        <v>11554</v>
      </c>
      <c r="C1715" s="5" t="s">
        <v>11555</v>
      </c>
      <c r="D1715" t="s">
        <v>11556</v>
      </c>
      <c r="E1715" s="5" t="s">
        <v>1738</v>
      </c>
      <c r="F1715" s="6">
        <v>46086.405555555553</v>
      </c>
      <c r="G1715" s="5" t="s">
        <v>7456</v>
      </c>
      <c r="H1715" s="5" t="s">
        <v>11557</v>
      </c>
      <c r="I1715" s="5" t="s">
        <v>1564</v>
      </c>
      <c r="J1715" s="8">
        <v>260</v>
      </c>
      <c r="K1715" s="5" t="s">
        <v>4</v>
      </c>
      <c r="L1715">
        <f t="shared" si="26"/>
        <v>3</v>
      </c>
    </row>
    <row r="1716" spans="1:12" x14ac:dyDescent="0.25">
      <c r="A1716" s="5">
        <v>47078</v>
      </c>
      <c r="B1716" t="s">
        <v>11558</v>
      </c>
      <c r="C1716" s="5" t="s">
        <v>11559</v>
      </c>
      <c r="D1716" t="s">
        <v>11560</v>
      </c>
      <c r="E1716" s="5" t="s">
        <v>11561</v>
      </c>
      <c r="F1716" s="6">
        <v>46086.424305555556</v>
      </c>
      <c r="G1716" s="5" t="s">
        <v>7672</v>
      </c>
      <c r="H1716" t="s">
        <v>7482</v>
      </c>
      <c r="I1716" s="5" t="s">
        <v>1564</v>
      </c>
      <c r="J1716" s="8">
        <v>2308</v>
      </c>
      <c r="K1716" s="5" t="s">
        <v>4</v>
      </c>
      <c r="L1716">
        <f t="shared" si="26"/>
        <v>3</v>
      </c>
    </row>
    <row r="1717" spans="1:12" x14ac:dyDescent="0.25">
      <c r="A1717" s="5">
        <v>47079</v>
      </c>
      <c r="B1717" t="s">
        <v>11562</v>
      </c>
      <c r="C1717" s="5" t="s">
        <v>11563</v>
      </c>
      <c r="D1717" t="s">
        <v>11564</v>
      </c>
      <c r="E1717" s="5" t="s">
        <v>4818</v>
      </c>
      <c r="F1717" s="6">
        <v>46086.474999999999</v>
      </c>
      <c r="G1717" s="5" t="s">
        <v>7456</v>
      </c>
      <c r="H1717" s="5" t="s">
        <v>11565</v>
      </c>
      <c r="I1717" s="5" t="s">
        <v>1564</v>
      </c>
      <c r="J1717" s="8">
        <v>165</v>
      </c>
      <c r="K1717" s="5" t="s">
        <v>4</v>
      </c>
      <c r="L1717">
        <f t="shared" si="26"/>
        <v>3</v>
      </c>
    </row>
    <row r="1718" spans="1:12" x14ac:dyDescent="0.25">
      <c r="A1718" s="5">
        <v>47080</v>
      </c>
      <c r="B1718" t="s">
        <v>11566</v>
      </c>
      <c r="C1718" s="5" t="s">
        <v>11567</v>
      </c>
      <c r="D1718" t="s">
        <v>11568</v>
      </c>
      <c r="E1718" s="5" t="s">
        <v>1770</v>
      </c>
      <c r="F1718" s="6">
        <v>46086.484722222223</v>
      </c>
      <c r="G1718" s="5" t="s">
        <v>7672</v>
      </c>
      <c r="H1718" t="s">
        <v>8626</v>
      </c>
      <c r="I1718" s="5" t="s">
        <v>1564</v>
      </c>
      <c r="J1718" s="8">
        <v>1056.2</v>
      </c>
      <c r="K1718" s="5" t="s">
        <v>4</v>
      </c>
      <c r="L1718">
        <f t="shared" si="26"/>
        <v>3</v>
      </c>
    </row>
    <row r="1719" spans="1:12" x14ac:dyDescent="0.25">
      <c r="A1719" s="5">
        <v>47081</v>
      </c>
      <c r="B1719" t="s">
        <v>11569</v>
      </c>
      <c r="C1719" s="5" t="s">
        <v>11570</v>
      </c>
      <c r="D1719" t="s">
        <v>11571</v>
      </c>
      <c r="E1719" s="5" t="s">
        <v>1803</v>
      </c>
      <c r="F1719" s="6">
        <v>46086.490277777775</v>
      </c>
      <c r="G1719" s="5" t="s">
        <v>7456</v>
      </c>
      <c r="H1719" s="5" t="s">
        <v>11572</v>
      </c>
      <c r="I1719" s="5" t="s">
        <v>1564</v>
      </c>
      <c r="J1719" s="8">
        <v>2076</v>
      </c>
      <c r="K1719" s="5" t="s">
        <v>4</v>
      </c>
      <c r="L1719">
        <f t="shared" si="26"/>
        <v>3</v>
      </c>
    </row>
    <row r="1720" spans="1:12" x14ac:dyDescent="0.25">
      <c r="A1720" s="5">
        <v>47082</v>
      </c>
      <c r="B1720" t="s">
        <v>11573</v>
      </c>
      <c r="C1720" s="5" t="s">
        <v>11574</v>
      </c>
      <c r="D1720" t="s">
        <v>11575</v>
      </c>
      <c r="E1720" s="5" t="s">
        <v>1770</v>
      </c>
      <c r="F1720" s="6">
        <v>46086.536111111112</v>
      </c>
      <c r="G1720" s="5" t="s">
        <v>7456</v>
      </c>
      <c r="H1720" s="5" t="s">
        <v>11576</v>
      </c>
      <c r="I1720" s="5" t="s">
        <v>1564</v>
      </c>
      <c r="J1720" s="8">
        <v>105</v>
      </c>
      <c r="K1720" s="5" t="s">
        <v>4</v>
      </c>
      <c r="L1720">
        <f t="shared" si="26"/>
        <v>3</v>
      </c>
    </row>
    <row r="1721" spans="1:12" x14ac:dyDescent="0.25">
      <c r="A1721" s="5">
        <v>47083</v>
      </c>
      <c r="B1721" t="s">
        <v>11577</v>
      </c>
      <c r="C1721" s="5" t="s">
        <v>11578</v>
      </c>
      <c r="D1721" t="s">
        <v>11579</v>
      </c>
      <c r="E1721" s="5" t="s">
        <v>1759</v>
      </c>
      <c r="F1721" s="6">
        <v>46086.554166666669</v>
      </c>
      <c r="G1721" s="5" t="s">
        <v>7456</v>
      </c>
      <c r="H1721" s="5" t="s">
        <v>11580</v>
      </c>
      <c r="I1721" s="5" t="s">
        <v>1564</v>
      </c>
      <c r="J1721" s="8">
        <v>2394.73</v>
      </c>
      <c r="K1721" s="5" t="s">
        <v>4</v>
      </c>
      <c r="L1721">
        <f t="shared" si="26"/>
        <v>3</v>
      </c>
    </row>
    <row r="1722" spans="1:12" x14ac:dyDescent="0.25">
      <c r="A1722" s="5">
        <v>47084</v>
      </c>
      <c r="B1722" t="s">
        <v>11093</v>
      </c>
      <c r="C1722" s="5" t="s">
        <v>1286</v>
      </c>
      <c r="D1722" t="s">
        <v>11094</v>
      </c>
      <c r="E1722" s="5" t="s">
        <v>5337</v>
      </c>
      <c r="F1722" s="6">
        <v>46086.584722222222</v>
      </c>
      <c r="G1722" s="5" t="s">
        <v>7456</v>
      </c>
      <c r="H1722" s="5" t="s">
        <v>11581</v>
      </c>
      <c r="I1722" s="5" t="s">
        <v>1621</v>
      </c>
      <c r="J1722" s="8">
        <v>133.80000000000001</v>
      </c>
      <c r="K1722" s="5" t="s">
        <v>4</v>
      </c>
      <c r="L1722">
        <f t="shared" si="26"/>
        <v>3</v>
      </c>
    </row>
    <row r="1723" spans="1:12" x14ac:dyDescent="0.25">
      <c r="A1723" s="5">
        <v>47085</v>
      </c>
      <c r="B1723" t="s">
        <v>11582</v>
      </c>
      <c r="C1723" s="5" t="s">
        <v>11583</v>
      </c>
      <c r="D1723" t="s">
        <v>11584</v>
      </c>
      <c r="E1723" s="5" t="s">
        <v>6840</v>
      </c>
      <c r="F1723" s="6">
        <v>46086.59097222222</v>
      </c>
      <c r="G1723" s="5" t="s">
        <v>7456</v>
      </c>
      <c r="H1723" s="5" t="s">
        <v>11585</v>
      </c>
      <c r="I1723" s="5" t="s">
        <v>1621</v>
      </c>
      <c r="J1723" s="8">
        <v>42.88</v>
      </c>
      <c r="K1723" s="5" t="s">
        <v>4</v>
      </c>
      <c r="L1723">
        <f t="shared" si="26"/>
        <v>3</v>
      </c>
    </row>
    <row r="1724" spans="1:12" x14ac:dyDescent="0.25">
      <c r="A1724" s="5">
        <v>47086</v>
      </c>
      <c r="B1724" t="s">
        <v>11586</v>
      </c>
      <c r="C1724" s="5" t="s">
        <v>948</v>
      </c>
      <c r="D1724" t="s">
        <v>11587</v>
      </c>
      <c r="E1724" s="5" t="s">
        <v>7244</v>
      </c>
      <c r="F1724" s="6">
        <v>46086.599305555559</v>
      </c>
      <c r="G1724" s="5" t="s">
        <v>7456</v>
      </c>
      <c r="H1724" s="5" t="s">
        <v>11588</v>
      </c>
      <c r="I1724" s="5" t="s">
        <v>1621</v>
      </c>
      <c r="J1724" s="8">
        <v>21.93</v>
      </c>
      <c r="K1724" s="5" t="s">
        <v>4</v>
      </c>
      <c r="L1724">
        <f t="shared" si="26"/>
        <v>3</v>
      </c>
    </row>
    <row r="1725" spans="1:12" x14ac:dyDescent="0.25">
      <c r="A1725" s="5">
        <v>47087</v>
      </c>
      <c r="B1725" t="s">
        <v>10132</v>
      </c>
      <c r="C1725" s="5" t="s">
        <v>11589</v>
      </c>
      <c r="D1725" t="s">
        <v>10133</v>
      </c>
      <c r="E1725" s="5" t="s">
        <v>4269</v>
      </c>
      <c r="F1725" s="6">
        <v>46086.621527777781</v>
      </c>
      <c r="G1725" s="5" t="s">
        <v>7456</v>
      </c>
      <c r="H1725" s="5" t="s">
        <v>11590</v>
      </c>
      <c r="I1725" s="5" t="s">
        <v>1564</v>
      </c>
      <c r="J1725" s="8">
        <v>225</v>
      </c>
      <c r="K1725" s="5" t="s">
        <v>4</v>
      </c>
      <c r="L1725">
        <f t="shared" si="26"/>
        <v>3</v>
      </c>
    </row>
    <row r="1726" spans="1:12" x14ac:dyDescent="0.25">
      <c r="A1726" s="5">
        <v>47088</v>
      </c>
      <c r="B1726" t="s">
        <v>11591</v>
      </c>
      <c r="C1726" s="5" t="s">
        <v>11592</v>
      </c>
      <c r="D1726" t="s">
        <v>11593</v>
      </c>
      <c r="E1726" s="5" t="s">
        <v>1548</v>
      </c>
      <c r="F1726" s="6">
        <v>46086.627083333333</v>
      </c>
      <c r="G1726" s="5" t="s">
        <v>7595</v>
      </c>
      <c r="H1726" t="s">
        <v>7482</v>
      </c>
      <c r="I1726" s="5" t="s">
        <v>1535</v>
      </c>
      <c r="J1726" s="8">
        <v>574.4</v>
      </c>
      <c r="K1726" s="5" t="s">
        <v>4</v>
      </c>
      <c r="L1726">
        <f t="shared" si="26"/>
        <v>3</v>
      </c>
    </row>
    <row r="1727" spans="1:12" x14ac:dyDescent="0.25">
      <c r="A1727" s="5">
        <v>47089</v>
      </c>
      <c r="B1727" t="s">
        <v>11594</v>
      </c>
      <c r="C1727" s="5" t="s">
        <v>1076</v>
      </c>
      <c r="D1727" t="s">
        <v>11595</v>
      </c>
      <c r="E1727" s="5" t="s">
        <v>5893</v>
      </c>
      <c r="F1727" s="6">
        <v>46086.624305555553</v>
      </c>
      <c r="G1727" s="5" t="s">
        <v>7456</v>
      </c>
      <c r="H1727" s="5" t="s">
        <v>11596</v>
      </c>
      <c r="I1727" s="5" t="s">
        <v>1621</v>
      </c>
      <c r="J1727" s="8">
        <v>102.04</v>
      </c>
      <c r="K1727" s="5" t="s">
        <v>4</v>
      </c>
      <c r="L1727">
        <f t="shared" si="26"/>
        <v>3</v>
      </c>
    </row>
    <row r="1728" spans="1:12" x14ac:dyDescent="0.25">
      <c r="A1728" s="5">
        <v>47090</v>
      </c>
      <c r="B1728" t="s">
        <v>11597</v>
      </c>
      <c r="C1728" s="5" t="s">
        <v>11598</v>
      </c>
      <c r="D1728" t="s">
        <v>11599</v>
      </c>
      <c r="E1728" s="5" t="s">
        <v>1873</v>
      </c>
      <c r="F1728" s="6">
        <v>46086.635416666664</v>
      </c>
      <c r="G1728" s="5" t="s">
        <v>7456</v>
      </c>
      <c r="H1728" s="5" t="s">
        <v>11600</v>
      </c>
      <c r="I1728" s="5" t="s">
        <v>1535</v>
      </c>
      <c r="J1728" s="8">
        <v>1770</v>
      </c>
      <c r="K1728" s="5" t="s">
        <v>4</v>
      </c>
      <c r="L1728">
        <f t="shared" si="26"/>
        <v>3</v>
      </c>
    </row>
    <row r="1729" spans="1:12" x14ac:dyDescent="0.25">
      <c r="A1729" s="5">
        <v>47091</v>
      </c>
      <c r="B1729" t="s">
        <v>11601</v>
      </c>
      <c r="C1729" s="5" t="s">
        <v>11602</v>
      </c>
      <c r="D1729" t="s">
        <v>9135</v>
      </c>
      <c r="E1729" s="5" t="s">
        <v>6700</v>
      </c>
      <c r="F1729" s="6">
        <v>46086.643055555556</v>
      </c>
      <c r="G1729" s="5" t="s">
        <v>7456</v>
      </c>
      <c r="H1729" s="5" t="s">
        <v>11603</v>
      </c>
      <c r="I1729" s="5" t="s">
        <v>1621</v>
      </c>
      <c r="J1729" s="8">
        <v>52.07</v>
      </c>
      <c r="K1729" s="5" t="s">
        <v>4</v>
      </c>
      <c r="L1729">
        <f t="shared" si="26"/>
        <v>3</v>
      </c>
    </row>
    <row r="1730" spans="1:12" x14ac:dyDescent="0.25">
      <c r="A1730" s="5">
        <v>47092</v>
      </c>
      <c r="B1730" t="s">
        <v>11604</v>
      </c>
      <c r="C1730" s="5" t="s">
        <v>11605</v>
      </c>
      <c r="D1730" t="s">
        <v>11606</v>
      </c>
      <c r="E1730" s="5" t="s">
        <v>1813</v>
      </c>
      <c r="F1730" s="6">
        <v>46086.652777777781</v>
      </c>
      <c r="G1730" s="5" t="s">
        <v>7595</v>
      </c>
      <c r="H1730" t="s">
        <v>7482</v>
      </c>
      <c r="I1730" s="5" t="s">
        <v>1535</v>
      </c>
      <c r="J1730" s="8">
        <v>149.9</v>
      </c>
      <c r="K1730" s="5" t="s">
        <v>4</v>
      </c>
      <c r="L1730">
        <f t="shared" si="26"/>
        <v>3</v>
      </c>
    </row>
    <row r="1731" spans="1:12" x14ac:dyDescent="0.25">
      <c r="A1731" s="5">
        <v>47093</v>
      </c>
      <c r="B1731" t="s">
        <v>11607</v>
      </c>
      <c r="C1731" s="5" t="s">
        <v>11608</v>
      </c>
      <c r="D1731" t="s">
        <v>11609</v>
      </c>
      <c r="E1731" s="5" t="s">
        <v>11610</v>
      </c>
      <c r="F1731" s="6">
        <v>46086.658333333333</v>
      </c>
      <c r="G1731" s="5" t="s">
        <v>7672</v>
      </c>
      <c r="H1731" t="s">
        <v>8626</v>
      </c>
      <c r="I1731" s="5" t="s">
        <v>1564</v>
      </c>
      <c r="J1731" s="8">
        <v>952.65</v>
      </c>
      <c r="K1731" s="5" t="s">
        <v>4</v>
      </c>
      <c r="L1731">
        <f t="shared" ref="L1731:L1794" si="27">MONTH(F1731)</f>
        <v>3</v>
      </c>
    </row>
    <row r="1732" spans="1:12" x14ac:dyDescent="0.25">
      <c r="A1732" s="5">
        <v>47094</v>
      </c>
      <c r="B1732" t="s">
        <v>11611</v>
      </c>
      <c r="C1732" s="5" t="s">
        <v>11612</v>
      </c>
      <c r="D1732" t="s">
        <v>11613</v>
      </c>
      <c r="E1732" s="5" t="s">
        <v>1532</v>
      </c>
      <c r="F1732" s="6">
        <v>46086.661111111112</v>
      </c>
      <c r="G1732" s="5" t="s">
        <v>7456</v>
      </c>
      <c r="H1732" s="5" t="s">
        <v>11614</v>
      </c>
      <c r="I1732" s="5" t="s">
        <v>1535</v>
      </c>
      <c r="J1732" s="8">
        <v>136</v>
      </c>
      <c r="K1732" s="5" t="s">
        <v>4</v>
      </c>
      <c r="L1732">
        <f t="shared" si="27"/>
        <v>3</v>
      </c>
    </row>
    <row r="1733" spans="1:12" x14ac:dyDescent="0.25">
      <c r="A1733" s="5">
        <v>47095</v>
      </c>
      <c r="B1733" t="s">
        <v>11615</v>
      </c>
      <c r="C1733" s="5" t="s">
        <v>11616</v>
      </c>
      <c r="D1733" t="s">
        <v>11617</v>
      </c>
      <c r="E1733" s="5" t="s">
        <v>3113</v>
      </c>
      <c r="F1733" s="6">
        <v>46086.654861111114</v>
      </c>
      <c r="G1733" s="5" t="s">
        <v>7456</v>
      </c>
      <c r="H1733" s="5" t="s">
        <v>11618</v>
      </c>
      <c r="I1733" s="5" t="s">
        <v>1621</v>
      </c>
      <c r="J1733" s="8">
        <v>418.69</v>
      </c>
      <c r="K1733" s="5" t="s">
        <v>4</v>
      </c>
      <c r="L1733">
        <f t="shared" si="27"/>
        <v>3</v>
      </c>
    </row>
    <row r="1734" spans="1:12" x14ac:dyDescent="0.25">
      <c r="A1734" s="5">
        <v>47096</v>
      </c>
      <c r="B1734" t="s">
        <v>11619</v>
      </c>
      <c r="C1734" s="5" t="s">
        <v>11620</v>
      </c>
      <c r="D1734" t="s">
        <v>11621</v>
      </c>
      <c r="E1734" s="5" t="s">
        <v>5912</v>
      </c>
      <c r="F1734" s="6">
        <v>46086.668749999997</v>
      </c>
      <c r="G1734" s="5" t="s">
        <v>7456</v>
      </c>
      <c r="H1734" s="5" t="s">
        <v>11622</v>
      </c>
      <c r="I1734" s="5" t="s">
        <v>1621</v>
      </c>
      <c r="J1734" s="8">
        <v>100.47</v>
      </c>
      <c r="K1734" s="5" t="s">
        <v>4</v>
      </c>
      <c r="L1734">
        <f t="shared" si="27"/>
        <v>3</v>
      </c>
    </row>
    <row r="1735" spans="1:12" x14ac:dyDescent="0.25">
      <c r="A1735" s="5">
        <v>47098</v>
      </c>
      <c r="B1735" t="s">
        <v>11623</v>
      </c>
      <c r="C1735" s="5" t="s">
        <v>11624</v>
      </c>
      <c r="D1735" t="s">
        <v>11625</v>
      </c>
      <c r="E1735" s="5" t="s">
        <v>6576</v>
      </c>
      <c r="F1735" s="6">
        <v>46086.677083333336</v>
      </c>
      <c r="G1735" s="5" t="s">
        <v>7456</v>
      </c>
      <c r="H1735" s="5" t="s">
        <v>11626</v>
      </c>
      <c r="I1735" s="5" t="s">
        <v>1621</v>
      </c>
      <c r="J1735" s="8">
        <v>57.75</v>
      </c>
      <c r="K1735" s="5" t="s">
        <v>4</v>
      </c>
      <c r="L1735">
        <f t="shared" si="27"/>
        <v>3</v>
      </c>
    </row>
    <row r="1736" spans="1:12" x14ac:dyDescent="0.25">
      <c r="A1736" s="5">
        <v>47099</v>
      </c>
      <c r="B1736" t="s">
        <v>10614</v>
      </c>
      <c r="C1736" s="5" t="s">
        <v>10615</v>
      </c>
      <c r="D1736" t="s">
        <v>10616</v>
      </c>
      <c r="E1736" s="5" t="s">
        <v>7058</v>
      </c>
      <c r="F1736" s="6">
        <v>46086.685416666667</v>
      </c>
      <c r="G1736" s="5" t="s">
        <v>7456</v>
      </c>
      <c r="H1736" s="5" t="s">
        <v>11627</v>
      </c>
      <c r="I1736" s="5" t="s">
        <v>1621</v>
      </c>
      <c r="J1736" s="8">
        <v>30.89</v>
      </c>
      <c r="K1736" s="5" t="s">
        <v>4</v>
      </c>
      <c r="L1736">
        <f t="shared" si="27"/>
        <v>3</v>
      </c>
    </row>
    <row r="1737" spans="1:12" x14ac:dyDescent="0.25">
      <c r="A1737" s="5">
        <v>47101</v>
      </c>
      <c r="B1737" t="s">
        <v>11628</v>
      </c>
      <c r="C1737" s="5" t="s">
        <v>11629</v>
      </c>
      <c r="D1737" t="s">
        <v>11630</v>
      </c>
      <c r="E1737" s="5" t="s">
        <v>1738</v>
      </c>
      <c r="F1737" s="6">
        <v>46086.706944444442</v>
      </c>
      <c r="G1737" s="5" t="s">
        <v>7456</v>
      </c>
      <c r="H1737" s="5" t="s">
        <v>11631</v>
      </c>
      <c r="I1737" s="5" t="s">
        <v>1564</v>
      </c>
      <c r="J1737" s="8">
        <v>153.9</v>
      </c>
      <c r="K1737" s="5" t="s">
        <v>4</v>
      </c>
      <c r="L1737">
        <f t="shared" si="27"/>
        <v>3</v>
      </c>
    </row>
    <row r="1738" spans="1:12" x14ac:dyDescent="0.25">
      <c r="A1738" s="5">
        <v>47103</v>
      </c>
      <c r="B1738" t="s">
        <v>10786</v>
      </c>
      <c r="C1738" s="5" t="s">
        <v>7516</v>
      </c>
      <c r="D1738" t="s">
        <v>10787</v>
      </c>
      <c r="E1738" s="5" t="s">
        <v>11632</v>
      </c>
      <c r="F1738" s="6">
        <v>46086.711805555555</v>
      </c>
      <c r="G1738" s="5" t="s">
        <v>7456</v>
      </c>
      <c r="H1738" s="5" t="s">
        <v>11633</v>
      </c>
      <c r="I1738" s="5" t="s">
        <v>1621</v>
      </c>
      <c r="J1738" s="8">
        <v>0</v>
      </c>
      <c r="K1738" s="5" t="s">
        <v>4</v>
      </c>
      <c r="L1738">
        <f t="shared" si="27"/>
        <v>3</v>
      </c>
    </row>
    <row r="1739" spans="1:12" x14ac:dyDescent="0.25">
      <c r="A1739" s="5">
        <v>47105</v>
      </c>
      <c r="B1739" t="s">
        <v>11634</v>
      </c>
      <c r="C1739" s="5" t="s">
        <v>11635</v>
      </c>
      <c r="D1739" t="s">
        <v>11636</v>
      </c>
      <c r="E1739" s="5" t="s">
        <v>11637</v>
      </c>
      <c r="F1739" s="6">
        <v>46086.760416666664</v>
      </c>
      <c r="G1739" s="5" t="s">
        <v>7672</v>
      </c>
      <c r="H1739" t="s">
        <v>7482</v>
      </c>
      <c r="I1739" s="5" t="s">
        <v>1564</v>
      </c>
      <c r="J1739" s="8">
        <v>425</v>
      </c>
      <c r="K1739" s="5" t="s">
        <v>4</v>
      </c>
      <c r="L1739">
        <f t="shared" si="27"/>
        <v>3</v>
      </c>
    </row>
    <row r="1740" spans="1:12" x14ac:dyDescent="0.25">
      <c r="A1740" s="5">
        <v>47106</v>
      </c>
      <c r="B1740" t="s">
        <v>11638</v>
      </c>
      <c r="C1740" s="5" t="s">
        <v>11639</v>
      </c>
      <c r="D1740" t="s">
        <v>11640</v>
      </c>
      <c r="E1740" s="5" t="s">
        <v>1770</v>
      </c>
      <c r="F1740" s="6">
        <v>46086.76666666667</v>
      </c>
      <c r="G1740" s="5" t="s">
        <v>7456</v>
      </c>
      <c r="H1740" s="5" t="s">
        <v>11641</v>
      </c>
      <c r="I1740" s="5" t="s">
        <v>1564</v>
      </c>
      <c r="J1740" s="8">
        <v>2100</v>
      </c>
      <c r="K1740" s="5" t="s">
        <v>4</v>
      </c>
      <c r="L1740">
        <f t="shared" si="27"/>
        <v>3</v>
      </c>
    </row>
    <row r="1741" spans="1:12" x14ac:dyDescent="0.25">
      <c r="A1741" s="5">
        <v>47107</v>
      </c>
      <c r="B1741" t="s">
        <v>11642</v>
      </c>
      <c r="C1741" s="5" t="s">
        <v>11643</v>
      </c>
      <c r="D1741" t="s">
        <v>11644</v>
      </c>
      <c r="E1741" s="5" t="s">
        <v>2306</v>
      </c>
      <c r="F1741" s="6">
        <v>46086.772222222222</v>
      </c>
      <c r="G1741" s="5" t="s">
        <v>7456</v>
      </c>
      <c r="H1741" s="5" t="s">
        <v>11645</v>
      </c>
      <c r="I1741" s="5" t="s">
        <v>1564</v>
      </c>
      <c r="J1741" s="8">
        <v>327</v>
      </c>
      <c r="K1741" s="5" t="s">
        <v>4</v>
      </c>
      <c r="L1741">
        <f t="shared" si="27"/>
        <v>3</v>
      </c>
    </row>
    <row r="1742" spans="1:12" x14ac:dyDescent="0.25">
      <c r="A1742" s="5">
        <v>47108</v>
      </c>
      <c r="B1742" t="s">
        <v>11431</v>
      </c>
      <c r="C1742" s="5" t="s">
        <v>11355</v>
      </c>
      <c r="D1742" t="s">
        <v>11356</v>
      </c>
      <c r="E1742" s="5" t="s">
        <v>5097</v>
      </c>
      <c r="F1742" s="6">
        <v>46086.777777777781</v>
      </c>
      <c r="G1742" s="5" t="s">
        <v>7456</v>
      </c>
      <c r="H1742" s="5" t="s">
        <v>11646</v>
      </c>
      <c r="I1742" s="5" t="s">
        <v>1564</v>
      </c>
      <c r="J1742" s="8">
        <v>146.4</v>
      </c>
      <c r="K1742" s="5" t="s">
        <v>4</v>
      </c>
      <c r="L1742">
        <f t="shared" si="27"/>
        <v>3</v>
      </c>
    </row>
    <row r="1743" spans="1:12" x14ac:dyDescent="0.25">
      <c r="A1743" s="5">
        <v>47109</v>
      </c>
      <c r="B1743" t="s">
        <v>8965</v>
      </c>
      <c r="C1743" s="5" t="s">
        <v>9154</v>
      </c>
      <c r="D1743" t="s">
        <v>8966</v>
      </c>
      <c r="E1743" s="5" t="s">
        <v>1532</v>
      </c>
      <c r="F1743" s="6">
        <v>46087.384027777778</v>
      </c>
      <c r="G1743" s="5" t="s">
        <v>7595</v>
      </c>
      <c r="H1743" t="s">
        <v>7482</v>
      </c>
      <c r="I1743" s="5" t="s">
        <v>1535</v>
      </c>
      <c r="J1743" s="8">
        <v>14728</v>
      </c>
      <c r="K1743" s="5" t="s">
        <v>4</v>
      </c>
      <c r="L1743">
        <f t="shared" si="27"/>
        <v>3</v>
      </c>
    </row>
    <row r="1744" spans="1:12" x14ac:dyDescent="0.25">
      <c r="A1744" s="5">
        <v>47111</v>
      </c>
      <c r="B1744" t="s">
        <v>11647</v>
      </c>
      <c r="C1744" s="5" t="s">
        <v>11648</v>
      </c>
      <c r="D1744" t="s">
        <v>11649</v>
      </c>
      <c r="E1744" s="5" t="s">
        <v>1759</v>
      </c>
      <c r="F1744" s="6">
        <v>46087.436111111114</v>
      </c>
      <c r="G1744" s="5" t="s">
        <v>7456</v>
      </c>
      <c r="H1744" s="5" t="s">
        <v>11650</v>
      </c>
      <c r="I1744" s="5" t="s">
        <v>1564</v>
      </c>
      <c r="J1744" s="8">
        <v>227.7</v>
      </c>
      <c r="K1744" s="5" t="s">
        <v>4</v>
      </c>
      <c r="L1744">
        <f t="shared" si="27"/>
        <v>3</v>
      </c>
    </row>
    <row r="1745" spans="1:12" x14ac:dyDescent="0.25">
      <c r="A1745" s="5">
        <v>47112</v>
      </c>
      <c r="B1745" t="s">
        <v>11651</v>
      </c>
      <c r="C1745" s="5" t="s">
        <v>11652</v>
      </c>
      <c r="D1745" t="s">
        <v>7644</v>
      </c>
      <c r="E1745" s="5" t="s">
        <v>1738</v>
      </c>
      <c r="F1745" s="6">
        <v>46087.441666666666</v>
      </c>
      <c r="G1745" s="5" t="s">
        <v>7456</v>
      </c>
      <c r="H1745" s="5" t="s">
        <v>11653</v>
      </c>
      <c r="I1745" s="5" t="s">
        <v>1564</v>
      </c>
      <c r="J1745" s="8">
        <v>200</v>
      </c>
      <c r="K1745" s="5" t="s">
        <v>4</v>
      </c>
      <c r="L1745">
        <f t="shared" si="27"/>
        <v>3</v>
      </c>
    </row>
    <row r="1746" spans="1:12" x14ac:dyDescent="0.25">
      <c r="A1746" s="5">
        <v>47113</v>
      </c>
      <c r="B1746" t="s">
        <v>8695</v>
      </c>
      <c r="C1746" s="5" t="s">
        <v>7746</v>
      </c>
      <c r="D1746" t="s">
        <v>8696</v>
      </c>
      <c r="E1746" s="5" t="s">
        <v>1532</v>
      </c>
      <c r="F1746" s="6">
        <v>46087.453472222223</v>
      </c>
      <c r="G1746" s="5" t="s">
        <v>7456</v>
      </c>
      <c r="H1746" s="5" t="s">
        <v>11654</v>
      </c>
      <c r="I1746" s="5" t="s">
        <v>1535</v>
      </c>
      <c r="J1746" s="8">
        <v>344.8</v>
      </c>
      <c r="K1746" s="5" t="s">
        <v>4</v>
      </c>
      <c r="L1746">
        <f t="shared" si="27"/>
        <v>3</v>
      </c>
    </row>
    <row r="1747" spans="1:12" x14ac:dyDescent="0.25">
      <c r="A1747" s="5">
        <v>47114</v>
      </c>
      <c r="B1747" t="s">
        <v>11655</v>
      </c>
      <c r="C1747" s="5" t="s">
        <v>11656</v>
      </c>
      <c r="D1747" t="s">
        <v>11657</v>
      </c>
      <c r="E1747" s="5" t="s">
        <v>2118</v>
      </c>
      <c r="F1747" s="6">
        <v>46087.481249999997</v>
      </c>
      <c r="G1747" s="5" t="s">
        <v>7456</v>
      </c>
      <c r="H1747" s="5" t="s">
        <v>11658</v>
      </c>
      <c r="I1747" s="5" t="s">
        <v>1564</v>
      </c>
      <c r="J1747" s="8">
        <v>152</v>
      </c>
      <c r="K1747" s="5" t="s">
        <v>4</v>
      </c>
      <c r="L1747">
        <f t="shared" si="27"/>
        <v>3</v>
      </c>
    </row>
    <row r="1748" spans="1:12" x14ac:dyDescent="0.25">
      <c r="A1748" s="5">
        <v>47116</v>
      </c>
      <c r="B1748" t="s">
        <v>11659</v>
      </c>
      <c r="C1748" s="5" t="s">
        <v>11660</v>
      </c>
      <c r="D1748" t="s">
        <v>11661</v>
      </c>
      <c r="E1748" s="5" t="s">
        <v>1663</v>
      </c>
      <c r="F1748" s="6">
        <v>46087.603472222225</v>
      </c>
      <c r="G1748" s="5" t="s">
        <v>7456</v>
      </c>
      <c r="H1748" s="5" t="s">
        <v>11662</v>
      </c>
      <c r="I1748" s="5" t="s">
        <v>1564</v>
      </c>
      <c r="J1748" s="8">
        <v>396</v>
      </c>
      <c r="K1748" s="5" t="s">
        <v>4</v>
      </c>
      <c r="L1748">
        <f t="shared" si="27"/>
        <v>3</v>
      </c>
    </row>
    <row r="1749" spans="1:12" x14ac:dyDescent="0.25">
      <c r="A1749" s="5">
        <v>47118</v>
      </c>
      <c r="B1749" t="s">
        <v>11663</v>
      </c>
      <c r="C1749" s="5" t="s">
        <v>7516</v>
      </c>
      <c r="D1749" t="s">
        <v>11664</v>
      </c>
      <c r="E1749" s="5" t="s">
        <v>1813</v>
      </c>
      <c r="F1749" s="6">
        <v>46087.615277777775</v>
      </c>
      <c r="G1749" s="5" t="s">
        <v>7595</v>
      </c>
      <c r="H1749" t="s">
        <v>7482</v>
      </c>
      <c r="I1749" s="5" t="s">
        <v>1535</v>
      </c>
      <c r="J1749" s="8">
        <v>288</v>
      </c>
      <c r="K1749" s="5" t="s">
        <v>4</v>
      </c>
      <c r="L1749">
        <f t="shared" si="27"/>
        <v>3</v>
      </c>
    </row>
    <row r="1750" spans="1:12" x14ac:dyDescent="0.25">
      <c r="A1750" s="5">
        <v>47119</v>
      </c>
      <c r="B1750" t="s">
        <v>11665</v>
      </c>
      <c r="C1750" s="5" t="s">
        <v>11666</v>
      </c>
      <c r="D1750" t="s">
        <v>11667</v>
      </c>
      <c r="E1750" s="5" t="s">
        <v>1532</v>
      </c>
      <c r="F1750" s="6">
        <v>46087.620138888888</v>
      </c>
      <c r="G1750" s="5" t="s">
        <v>7595</v>
      </c>
      <c r="H1750" t="s">
        <v>7482</v>
      </c>
      <c r="I1750" s="5" t="s">
        <v>1535</v>
      </c>
      <c r="J1750" s="8">
        <v>4655.2</v>
      </c>
      <c r="K1750" s="5" t="s">
        <v>4</v>
      </c>
      <c r="L1750">
        <f t="shared" si="27"/>
        <v>3</v>
      </c>
    </row>
    <row r="1751" spans="1:12" x14ac:dyDescent="0.25">
      <c r="A1751" s="5">
        <v>47120</v>
      </c>
      <c r="B1751" t="s">
        <v>11668</v>
      </c>
      <c r="C1751" s="5" t="s">
        <v>11669</v>
      </c>
      <c r="D1751" t="s">
        <v>11670</v>
      </c>
      <c r="E1751" s="5" t="s">
        <v>1813</v>
      </c>
      <c r="F1751" s="6">
        <v>46087.630555555559</v>
      </c>
      <c r="G1751" s="5" t="s">
        <v>7595</v>
      </c>
      <c r="H1751" t="s">
        <v>7482</v>
      </c>
      <c r="I1751" s="5" t="s">
        <v>1535</v>
      </c>
      <c r="J1751" s="8">
        <v>17546.400000000001</v>
      </c>
      <c r="K1751" s="5" t="s">
        <v>4</v>
      </c>
      <c r="L1751">
        <f t="shared" si="27"/>
        <v>3</v>
      </c>
    </row>
    <row r="1752" spans="1:12" x14ac:dyDescent="0.25">
      <c r="A1752" s="5">
        <v>47122</v>
      </c>
      <c r="B1752" t="s">
        <v>11671</v>
      </c>
      <c r="C1752" s="5" t="s">
        <v>9862</v>
      </c>
      <c r="D1752" t="s">
        <v>7644</v>
      </c>
      <c r="E1752" s="5" t="s">
        <v>2118</v>
      </c>
      <c r="F1752" s="6">
        <v>46087.64166666667</v>
      </c>
      <c r="G1752" s="5" t="s">
        <v>7672</v>
      </c>
      <c r="H1752" t="s">
        <v>8626</v>
      </c>
      <c r="I1752" s="5" t="s">
        <v>1564</v>
      </c>
      <c r="J1752" s="8">
        <v>295</v>
      </c>
      <c r="K1752" s="5" t="s">
        <v>4</v>
      </c>
      <c r="L1752">
        <f t="shared" si="27"/>
        <v>3</v>
      </c>
    </row>
    <row r="1753" spans="1:12" x14ac:dyDescent="0.25">
      <c r="A1753" s="5">
        <v>47127</v>
      </c>
      <c r="B1753" t="s">
        <v>11672</v>
      </c>
      <c r="C1753" s="5" t="s">
        <v>11673</v>
      </c>
      <c r="D1753" t="s">
        <v>11674</v>
      </c>
      <c r="E1753" s="5" t="s">
        <v>3764</v>
      </c>
      <c r="F1753" s="6">
        <v>46087.654861111114</v>
      </c>
      <c r="G1753" s="5" t="s">
        <v>7456</v>
      </c>
      <c r="H1753" s="5" t="s">
        <v>11675</v>
      </c>
      <c r="I1753" s="5" t="s">
        <v>1621</v>
      </c>
      <c r="J1753" s="8">
        <v>292.02</v>
      </c>
      <c r="K1753" s="5" t="s">
        <v>4</v>
      </c>
      <c r="L1753">
        <f t="shared" si="27"/>
        <v>3</v>
      </c>
    </row>
    <row r="1754" spans="1:12" x14ac:dyDescent="0.25">
      <c r="A1754" s="5">
        <v>47128</v>
      </c>
      <c r="B1754" t="s">
        <v>11676</v>
      </c>
      <c r="C1754" s="5" t="s">
        <v>11677</v>
      </c>
      <c r="D1754" t="s">
        <v>11678</v>
      </c>
      <c r="E1754" s="5" t="s">
        <v>5150</v>
      </c>
      <c r="F1754" s="6">
        <v>46087.667361111111</v>
      </c>
      <c r="G1754" s="5" t="s">
        <v>7456</v>
      </c>
      <c r="H1754" s="5" t="s">
        <v>11679</v>
      </c>
      <c r="I1754" s="5" t="s">
        <v>1621</v>
      </c>
      <c r="J1754" s="8">
        <v>142</v>
      </c>
      <c r="K1754" s="5" t="s">
        <v>4</v>
      </c>
      <c r="L1754">
        <f t="shared" si="27"/>
        <v>3</v>
      </c>
    </row>
    <row r="1755" spans="1:12" x14ac:dyDescent="0.25">
      <c r="A1755" s="5">
        <v>47129</v>
      </c>
      <c r="B1755" t="s">
        <v>10379</v>
      </c>
      <c r="C1755" s="5" t="s">
        <v>10372</v>
      </c>
      <c r="D1755" t="s">
        <v>10373</v>
      </c>
      <c r="E1755" s="5" t="s">
        <v>1813</v>
      </c>
      <c r="F1755" s="6">
        <v>46087.680555555555</v>
      </c>
      <c r="G1755" s="5" t="s">
        <v>7456</v>
      </c>
      <c r="H1755" s="5" t="s">
        <v>11680</v>
      </c>
      <c r="I1755" s="5" t="s">
        <v>1535</v>
      </c>
      <c r="J1755" s="8">
        <v>210.98</v>
      </c>
      <c r="K1755" s="5" t="s">
        <v>4</v>
      </c>
      <c r="L1755">
        <f t="shared" si="27"/>
        <v>3</v>
      </c>
    </row>
    <row r="1756" spans="1:12" x14ac:dyDescent="0.25">
      <c r="A1756" s="5">
        <v>47130</v>
      </c>
      <c r="B1756" t="s">
        <v>11681</v>
      </c>
      <c r="C1756" s="5" t="s">
        <v>11682</v>
      </c>
      <c r="D1756" t="s">
        <v>11683</v>
      </c>
      <c r="E1756" s="5" t="s">
        <v>1770</v>
      </c>
      <c r="F1756" s="6">
        <v>46087.681944444441</v>
      </c>
      <c r="G1756" s="5" t="s">
        <v>7672</v>
      </c>
      <c r="H1756" t="s">
        <v>7482</v>
      </c>
      <c r="I1756" s="5" t="s">
        <v>1564</v>
      </c>
      <c r="J1756" s="8">
        <v>930.6</v>
      </c>
      <c r="K1756" s="5" t="s">
        <v>4</v>
      </c>
      <c r="L1756">
        <f t="shared" si="27"/>
        <v>3</v>
      </c>
    </row>
    <row r="1757" spans="1:12" x14ac:dyDescent="0.25">
      <c r="A1757" s="5">
        <v>47132</v>
      </c>
      <c r="B1757" t="s">
        <v>11684</v>
      </c>
      <c r="C1757" s="5" t="s">
        <v>11685</v>
      </c>
      <c r="D1757" t="s">
        <v>11686</v>
      </c>
      <c r="E1757" s="5" t="s">
        <v>1663</v>
      </c>
      <c r="F1757" s="6">
        <v>46090.377083333333</v>
      </c>
      <c r="G1757" s="5" t="s">
        <v>7672</v>
      </c>
      <c r="H1757" t="s">
        <v>8626</v>
      </c>
      <c r="I1757" s="5" t="s">
        <v>1564</v>
      </c>
      <c r="J1757" s="8">
        <v>2949.6</v>
      </c>
      <c r="K1757" s="5" t="s">
        <v>4</v>
      </c>
      <c r="L1757">
        <f t="shared" si="27"/>
        <v>3</v>
      </c>
    </row>
    <row r="1758" spans="1:12" x14ac:dyDescent="0.25">
      <c r="A1758" s="5">
        <v>47134</v>
      </c>
      <c r="B1758" t="s">
        <v>11687</v>
      </c>
      <c r="C1758" s="5" t="s">
        <v>8082</v>
      </c>
      <c r="D1758" t="s">
        <v>11688</v>
      </c>
      <c r="E1758" s="5" t="s">
        <v>1770</v>
      </c>
      <c r="F1758" s="6">
        <v>46090.382638888892</v>
      </c>
      <c r="G1758" s="5" t="s">
        <v>7456</v>
      </c>
      <c r="H1758" s="5" t="s">
        <v>11689</v>
      </c>
      <c r="I1758" s="5" t="s">
        <v>1564</v>
      </c>
      <c r="J1758" s="8">
        <v>95</v>
      </c>
      <c r="K1758" s="5" t="s">
        <v>4</v>
      </c>
      <c r="L1758">
        <f t="shared" si="27"/>
        <v>3</v>
      </c>
    </row>
    <row r="1759" spans="1:12" x14ac:dyDescent="0.25">
      <c r="A1759" s="5">
        <v>47138</v>
      </c>
      <c r="B1759" t="s">
        <v>11690</v>
      </c>
      <c r="C1759" s="5" t="s">
        <v>229</v>
      </c>
      <c r="D1759" t="s">
        <v>11691</v>
      </c>
      <c r="E1759" s="5" t="s">
        <v>6563</v>
      </c>
      <c r="F1759" s="6">
        <v>46090.449305555558</v>
      </c>
      <c r="G1759" s="5" t="s">
        <v>7456</v>
      </c>
      <c r="H1759" s="5" t="s">
        <v>11692</v>
      </c>
      <c r="I1759" s="5" t="s">
        <v>1564</v>
      </c>
      <c r="J1759" s="8">
        <v>59.5</v>
      </c>
      <c r="K1759" s="5" t="s">
        <v>4</v>
      </c>
      <c r="L1759">
        <f t="shared" si="27"/>
        <v>3</v>
      </c>
    </row>
    <row r="1760" spans="1:12" x14ac:dyDescent="0.25">
      <c r="A1760" s="5">
        <v>47139</v>
      </c>
      <c r="B1760" t="s">
        <v>11693</v>
      </c>
      <c r="C1760" s="5" t="s">
        <v>7516</v>
      </c>
      <c r="D1760" t="s">
        <v>11694</v>
      </c>
      <c r="E1760" s="5" t="s">
        <v>11695</v>
      </c>
      <c r="F1760" s="6">
        <v>46090.481944444444</v>
      </c>
      <c r="G1760" s="5" t="s">
        <v>7672</v>
      </c>
      <c r="H1760" t="s">
        <v>8626</v>
      </c>
      <c r="I1760" s="5" t="s">
        <v>1564</v>
      </c>
      <c r="J1760" s="8">
        <v>1917</v>
      </c>
      <c r="K1760" s="5" t="s">
        <v>4</v>
      </c>
      <c r="L1760">
        <f t="shared" si="27"/>
        <v>3</v>
      </c>
    </row>
    <row r="1761" spans="1:12" x14ac:dyDescent="0.25">
      <c r="A1761" s="5">
        <v>47140</v>
      </c>
      <c r="B1761" t="s">
        <v>9491</v>
      </c>
      <c r="C1761" s="5" t="s">
        <v>11696</v>
      </c>
      <c r="D1761" t="s">
        <v>9493</v>
      </c>
      <c r="E1761" s="5" t="s">
        <v>4443</v>
      </c>
      <c r="F1761" s="6">
        <v>46090.486805555556</v>
      </c>
      <c r="G1761" s="5" t="s">
        <v>7456</v>
      </c>
      <c r="H1761" s="5" t="s">
        <v>11697</v>
      </c>
      <c r="I1761" s="5" t="s">
        <v>1564</v>
      </c>
      <c r="J1761" s="8">
        <v>196.4</v>
      </c>
      <c r="K1761" s="5" t="s">
        <v>4</v>
      </c>
      <c r="L1761">
        <f t="shared" si="27"/>
        <v>3</v>
      </c>
    </row>
    <row r="1762" spans="1:12" x14ac:dyDescent="0.25">
      <c r="A1762" s="5">
        <v>47141</v>
      </c>
      <c r="B1762" t="s">
        <v>11698</v>
      </c>
      <c r="C1762" s="5" t="s">
        <v>11699</v>
      </c>
      <c r="D1762" t="s">
        <v>11700</v>
      </c>
      <c r="E1762" s="5" t="s">
        <v>1770</v>
      </c>
      <c r="F1762" s="6">
        <v>46090.490972222222</v>
      </c>
      <c r="G1762" s="5" t="s">
        <v>7456</v>
      </c>
      <c r="H1762" s="5" t="s">
        <v>11701</v>
      </c>
      <c r="I1762" s="5" t="s">
        <v>1564</v>
      </c>
      <c r="J1762" s="8">
        <v>1792.4</v>
      </c>
      <c r="K1762" s="5" t="s">
        <v>4</v>
      </c>
      <c r="L1762">
        <f t="shared" si="27"/>
        <v>3</v>
      </c>
    </row>
    <row r="1763" spans="1:12" x14ac:dyDescent="0.25">
      <c r="A1763" s="5">
        <v>47142</v>
      </c>
      <c r="B1763" t="s">
        <v>11702</v>
      </c>
      <c r="C1763" s="5" t="s">
        <v>11699</v>
      </c>
      <c r="D1763" t="s">
        <v>11703</v>
      </c>
      <c r="E1763" s="5" t="s">
        <v>2379</v>
      </c>
      <c r="F1763" s="6">
        <v>46090.51458333333</v>
      </c>
      <c r="G1763" s="5" t="s">
        <v>7456</v>
      </c>
      <c r="H1763" s="5" t="s">
        <v>11704</v>
      </c>
      <c r="I1763" s="5" t="s">
        <v>1564</v>
      </c>
      <c r="J1763" s="8">
        <v>771.9</v>
      </c>
      <c r="K1763" s="5" t="s">
        <v>4</v>
      </c>
      <c r="L1763">
        <f t="shared" si="27"/>
        <v>3</v>
      </c>
    </row>
    <row r="1764" spans="1:12" x14ac:dyDescent="0.25">
      <c r="A1764" s="5">
        <v>47143</v>
      </c>
      <c r="B1764" t="s">
        <v>11705</v>
      </c>
      <c r="C1764" s="5" t="s">
        <v>11706</v>
      </c>
      <c r="D1764" t="s">
        <v>11707</v>
      </c>
      <c r="E1764" s="5" t="s">
        <v>2615</v>
      </c>
      <c r="F1764" s="6">
        <v>46090.523611111108</v>
      </c>
      <c r="G1764" s="5" t="s">
        <v>7456</v>
      </c>
      <c r="H1764" s="5" t="s">
        <v>11708</v>
      </c>
      <c r="I1764" s="5" t="s">
        <v>1564</v>
      </c>
      <c r="J1764" s="8">
        <v>599.79999999999995</v>
      </c>
      <c r="K1764" s="5" t="s">
        <v>4</v>
      </c>
      <c r="L1764">
        <f t="shared" si="27"/>
        <v>3</v>
      </c>
    </row>
    <row r="1765" spans="1:12" x14ac:dyDescent="0.25">
      <c r="A1765" s="5">
        <v>47144</v>
      </c>
      <c r="B1765" t="s">
        <v>11709</v>
      </c>
      <c r="C1765" s="5" t="s">
        <v>11710</v>
      </c>
      <c r="D1765" t="s">
        <v>11711</v>
      </c>
      <c r="E1765" s="5" t="s">
        <v>1770</v>
      </c>
      <c r="F1765" s="6">
        <v>46090.527083333334</v>
      </c>
      <c r="G1765" s="5" t="s">
        <v>7456</v>
      </c>
      <c r="H1765" s="5" t="s">
        <v>11712</v>
      </c>
      <c r="I1765" s="5" t="s">
        <v>1564</v>
      </c>
      <c r="J1765" s="8">
        <v>467.6</v>
      </c>
      <c r="K1765" s="5" t="s">
        <v>4</v>
      </c>
      <c r="L1765">
        <f t="shared" si="27"/>
        <v>3</v>
      </c>
    </row>
    <row r="1766" spans="1:12" x14ac:dyDescent="0.25">
      <c r="A1766" s="5">
        <v>47145</v>
      </c>
      <c r="B1766" t="s">
        <v>11713</v>
      </c>
      <c r="C1766" s="5" t="s">
        <v>11699</v>
      </c>
      <c r="D1766" t="s">
        <v>11714</v>
      </c>
      <c r="E1766" s="5" t="s">
        <v>2118</v>
      </c>
      <c r="F1766" s="6">
        <v>46090.540277777778</v>
      </c>
      <c r="G1766" s="5" t="s">
        <v>7456</v>
      </c>
      <c r="H1766" s="5" t="s">
        <v>11715</v>
      </c>
      <c r="I1766" s="5" t="s">
        <v>1564</v>
      </c>
      <c r="J1766" s="8">
        <v>155</v>
      </c>
      <c r="K1766" s="5" t="s">
        <v>4</v>
      </c>
      <c r="L1766">
        <f t="shared" si="27"/>
        <v>3</v>
      </c>
    </row>
    <row r="1767" spans="1:12" x14ac:dyDescent="0.25">
      <c r="A1767" s="5">
        <v>47147</v>
      </c>
      <c r="B1767" t="s">
        <v>11716</v>
      </c>
      <c r="C1767" s="5" t="s">
        <v>11717</v>
      </c>
      <c r="D1767" t="s">
        <v>11718</v>
      </c>
      <c r="E1767" s="5" t="s">
        <v>11719</v>
      </c>
      <c r="F1767" s="6">
        <v>46090.604861111111</v>
      </c>
      <c r="G1767" s="5" t="s">
        <v>7672</v>
      </c>
      <c r="H1767" t="s">
        <v>8626</v>
      </c>
      <c r="I1767" s="5" t="s">
        <v>1564</v>
      </c>
      <c r="J1767" s="8">
        <v>2987</v>
      </c>
      <c r="K1767" s="5" t="s">
        <v>4</v>
      </c>
      <c r="L1767">
        <f t="shared" si="27"/>
        <v>3</v>
      </c>
    </row>
    <row r="1768" spans="1:12" x14ac:dyDescent="0.25">
      <c r="A1768" s="5">
        <v>47149</v>
      </c>
      <c r="B1768" t="s">
        <v>11720</v>
      </c>
      <c r="C1768" s="5" t="s">
        <v>11721</v>
      </c>
      <c r="D1768" t="s">
        <v>11722</v>
      </c>
      <c r="E1768" s="5" t="s">
        <v>1759</v>
      </c>
      <c r="F1768" s="6">
        <v>46090.615972222222</v>
      </c>
      <c r="G1768" s="5" t="s">
        <v>7672</v>
      </c>
      <c r="H1768" t="s">
        <v>7482</v>
      </c>
      <c r="I1768" s="5" t="s">
        <v>1564</v>
      </c>
      <c r="J1768" s="8">
        <v>3002.8</v>
      </c>
      <c r="K1768" s="5" t="s">
        <v>4</v>
      </c>
      <c r="L1768">
        <f t="shared" si="27"/>
        <v>3</v>
      </c>
    </row>
    <row r="1769" spans="1:12" x14ac:dyDescent="0.25">
      <c r="A1769" s="5">
        <v>47152</v>
      </c>
      <c r="B1769" t="s">
        <v>8921</v>
      </c>
      <c r="C1769" s="5" t="s">
        <v>1363</v>
      </c>
      <c r="D1769" t="s">
        <v>8922</v>
      </c>
      <c r="E1769" s="5" t="s">
        <v>5540</v>
      </c>
      <c r="F1769" s="6">
        <v>46090.646527777775</v>
      </c>
      <c r="G1769" s="5" t="s">
        <v>7456</v>
      </c>
      <c r="H1769" s="5" t="s">
        <v>11723</v>
      </c>
      <c r="I1769" s="5" t="s">
        <v>1621</v>
      </c>
      <c r="J1769" s="8">
        <v>119.13</v>
      </c>
      <c r="K1769" s="5" t="s">
        <v>4</v>
      </c>
      <c r="L1769">
        <f t="shared" si="27"/>
        <v>3</v>
      </c>
    </row>
    <row r="1770" spans="1:12" x14ac:dyDescent="0.25">
      <c r="A1770" s="5">
        <v>47153</v>
      </c>
      <c r="B1770" t="s">
        <v>8151</v>
      </c>
      <c r="C1770" s="5" t="s">
        <v>8545</v>
      </c>
      <c r="D1770" t="s">
        <v>8546</v>
      </c>
      <c r="E1770" s="5" t="s">
        <v>6903</v>
      </c>
      <c r="F1770" s="6">
        <v>46090.652083333334</v>
      </c>
      <c r="G1770" s="5" t="s">
        <v>7456</v>
      </c>
      <c r="H1770" s="5" t="s">
        <v>11724</v>
      </c>
      <c r="I1770" s="5" t="s">
        <v>1535</v>
      </c>
      <c r="J1770" s="8">
        <v>40</v>
      </c>
      <c r="K1770" s="5" t="s">
        <v>4</v>
      </c>
      <c r="L1770">
        <f t="shared" si="27"/>
        <v>3</v>
      </c>
    </row>
    <row r="1771" spans="1:12" x14ac:dyDescent="0.25">
      <c r="A1771" s="5">
        <v>47154</v>
      </c>
      <c r="B1771" t="s">
        <v>11725</v>
      </c>
      <c r="C1771" s="5" t="s">
        <v>8955</v>
      </c>
      <c r="D1771" t="s">
        <v>11726</v>
      </c>
      <c r="E1771" s="5" t="s">
        <v>1770</v>
      </c>
      <c r="F1771" s="6">
        <v>46090.669444444444</v>
      </c>
      <c r="G1771" s="5" t="s">
        <v>7456</v>
      </c>
      <c r="H1771" s="5" t="s">
        <v>11727</v>
      </c>
      <c r="I1771" s="5" t="s">
        <v>1564</v>
      </c>
      <c r="J1771" s="8">
        <v>205</v>
      </c>
      <c r="K1771" s="5" t="s">
        <v>4</v>
      </c>
      <c r="L1771">
        <f t="shared" si="27"/>
        <v>3</v>
      </c>
    </row>
    <row r="1772" spans="1:12" x14ac:dyDescent="0.25">
      <c r="A1772" s="5">
        <v>47155</v>
      </c>
      <c r="B1772" t="s">
        <v>11671</v>
      </c>
      <c r="C1772" s="5" t="s">
        <v>9862</v>
      </c>
      <c r="D1772" t="s">
        <v>7644</v>
      </c>
      <c r="E1772" s="5" t="s">
        <v>1770</v>
      </c>
      <c r="F1772" s="6">
        <v>46090.678472222222</v>
      </c>
      <c r="G1772" s="5" t="s">
        <v>7456</v>
      </c>
      <c r="H1772" s="5" t="s">
        <v>11728</v>
      </c>
      <c r="I1772" s="5" t="s">
        <v>1564</v>
      </c>
      <c r="J1772" s="8">
        <v>287.5</v>
      </c>
      <c r="K1772" s="5" t="s">
        <v>4</v>
      </c>
      <c r="L1772">
        <f t="shared" si="27"/>
        <v>3</v>
      </c>
    </row>
    <row r="1773" spans="1:12" x14ac:dyDescent="0.25">
      <c r="A1773" s="5">
        <v>47156</v>
      </c>
      <c r="B1773" t="s">
        <v>11729</v>
      </c>
      <c r="C1773" s="5" t="s">
        <v>8082</v>
      </c>
      <c r="D1773" t="s">
        <v>11730</v>
      </c>
      <c r="E1773" s="5" t="s">
        <v>3659</v>
      </c>
      <c r="F1773" s="6">
        <v>46090.65625</v>
      </c>
      <c r="G1773" s="5" t="s">
        <v>7456</v>
      </c>
      <c r="H1773" s="5" t="s">
        <v>11731</v>
      </c>
      <c r="I1773" s="5" t="s">
        <v>1621</v>
      </c>
      <c r="J1773" s="8">
        <v>303.75</v>
      </c>
      <c r="K1773" s="5" t="s">
        <v>4</v>
      </c>
      <c r="L1773">
        <f t="shared" si="27"/>
        <v>3</v>
      </c>
    </row>
    <row r="1774" spans="1:12" x14ac:dyDescent="0.25">
      <c r="A1774" s="5">
        <v>47159</v>
      </c>
      <c r="B1774" t="s">
        <v>11732</v>
      </c>
      <c r="C1774" s="5" t="s">
        <v>11733</v>
      </c>
      <c r="D1774" t="s">
        <v>11734</v>
      </c>
      <c r="E1774" s="5" t="s">
        <v>2358</v>
      </c>
      <c r="F1774" s="6">
        <v>46090.739583333336</v>
      </c>
      <c r="G1774" s="5" t="s">
        <v>7456</v>
      </c>
      <c r="H1774" s="5" t="s">
        <v>11735</v>
      </c>
      <c r="I1774" s="5" t="s">
        <v>1564</v>
      </c>
      <c r="J1774" s="8">
        <v>790</v>
      </c>
      <c r="K1774" s="5" t="s">
        <v>4</v>
      </c>
      <c r="L1774">
        <f t="shared" si="27"/>
        <v>3</v>
      </c>
    </row>
    <row r="1775" spans="1:12" x14ac:dyDescent="0.25">
      <c r="A1775" s="5">
        <v>47160</v>
      </c>
      <c r="B1775" t="s">
        <v>11736</v>
      </c>
      <c r="C1775" s="5" t="s">
        <v>11737</v>
      </c>
      <c r="D1775" t="s">
        <v>11738</v>
      </c>
      <c r="E1775" s="5" t="s">
        <v>4723</v>
      </c>
      <c r="F1775" s="6">
        <v>46090.712500000001</v>
      </c>
      <c r="G1775" s="5" t="s">
        <v>7456</v>
      </c>
      <c r="H1775" s="5" t="s">
        <v>11739</v>
      </c>
      <c r="I1775" s="5" t="s">
        <v>1621</v>
      </c>
      <c r="J1775" s="8">
        <v>173.86</v>
      </c>
      <c r="K1775" s="5" t="s">
        <v>4</v>
      </c>
      <c r="L1775">
        <f t="shared" si="27"/>
        <v>3</v>
      </c>
    </row>
    <row r="1776" spans="1:12" x14ac:dyDescent="0.25">
      <c r="A1776" s="5">
        <v>47161</v>
      </c>
      <c r="B1776" t="s">
        <v>11740</v>
      </c>
      <c r="C1776" s="5" t="s">
        <v>11082</v>
      </c>
      <c r="D1776" t="s">
        <v>11741</v>
      </c>
      <c r="E1776" s="5" t="s">
        <v>1770</v>
      </c>
      <c r="F1776" s="6">
        <v>46091.371527777781</v>
      </c>
      <c r="G1776" s="5" t="s">
        <v>7456</v>
      </c>
      <c r="H1776" s="5" t="s">
        <v>11742</v>
      </c>
      <c r="I1776" s="5" t="s">
        <v>1564</v>
      </c>
      <c r="J1776" s="8">
        <v>570.4</v>
      </c>
      <c r="K1776" s="5" t="s">
        <v>4</v>
      </c>
      <c r="L1776">
        <f t="shared" si="27"/>
        <v>3</v>
      </c>
    </row>
    <row r="1777" spans="1:12" x14ac:dyDescent="0.25">
      <c r="A1777" s="5">
        <v>47162</v>
      </c>
      <c r="B1777" t="s">
        <v>11743</v>
      </c>
      <c r="C1777" s="5" t="s">
        <v>11744</v>
      </c>
      <c r="D1777" t="s">
        <v>11745</v>
      </c>
      <c r="E1777" s="5" t="s">
        <v>1759</v>
      </c>
      <c r="F1777" s="6">
        <v>46091.379166666666</v>
      </c>
      <c r="G1777" s="5" t="s">
        <v>7672</v>
      </c>
      <c r="H1777" t="s">
        <v>7482</v>
      </c>
      <c r="I1777" s="5" t="s">
        <v>1564</v>
      </c>
      <c r="J1777" s="8">
        <v>589.6</v>
      </c>
      <c r="K1777" s="5" t="s">
        <v>4</v>
      </c>
      <c r="L1777">
        <f t="shared" si="27"/>
        <v>3</v>
      </c>
    </row>
    <row r="1778" spans="1:12" x14ac:dyDescent="0.25">
      <c r="A1778" s="5">
        <v>47164</v>
      </c>
      <c r="B1778" t="s">
        <v>11746</v>
      </c>
      <c r="C1778" s="5" t="s">
        <v>11747</v>
      </c>
      <c r="D1778" t="s">
        <v>11748</v>
      </c>
      <c r="E1778" s="5" t="s">
        <v>2074</v>
      </c>
      <c r="F1778" s="6">
        <v>46091.439583333333</v>
      </c>
      <c r="G1778" s="5" t="s">
        <v>7456</v>
      </c>
      <c r="H1778" s="5" t="s">
        <v>11749</v>
      </c>
      <c r="I1778" s="5" t="s">
        <v>1564</v>
      </c>
      <c r="J1778" s="8">
        <v>1080</v>
      </c>
      <c r="K1778" s="5" t="s">
        <v>4</v>
      </c>
      <c r="L1778">
        <f t="shared" si="27"/>
        <v>3</v>
      </c>
    </row>
    <row r="1779" spans="1:12" x14ac:dyDescent="0.25">
      <c r="A1779" s="5">
        <v>47166</v>
      </c>
      <c r="B1779" t="s">
        <v>11750</v>
      </c>
      <c r="C1779" s="5" t="s">
        <v>11751</v>
      </c>
      <c r="D1779" t="s">
        <v>11752</v>
      </c>
      <c r="E1779" s="5" t="s">
        <v>2118</v>
      </c>
      <c r="F1779" s="6">
        <v>46091.47152777778</v>
      </c>
      <c r="G1779" s="5" t="s">
        <v>7456</v>
      </c>
      <c r="H1779" s="5" t="s">
        <v>11753</v>
      </c>
      <c r="I1779" s="5" t="s">
        <v>1564</v>
      </c>
      <c r="J1779" s="8">
        <v>535.48</v>
      </c>
      <c r="K1779" s="5" t="s">
        <v>4</v>
      </c>
      <c r="L1779">
        <f t="shared" si="27"/>
        <v>3</v>
      </c>
    </row>
    <row r="1780" spans="1:12" x14ac:dyDescent="0.25">
      <c r="A1780" s="5">
        <v>47167</v>
      </c>
      <c r="B1780" t="s">
        <v>11754</v>
      </c>
      <c r="C1780" s="5" t="s">
        <v>11755</v>
      </c>
      <c r="D1780" t="s">
        <v>11756</v>
      </c>
      <c r="E1780" s="5" t="s">
        <v>3730</v>
      </c>
      <c r="F1780" s="6">
        <v>46091.520138888889</v>
      </c>
      <c r="G1780" s="5" t="s">
        <v>7456</v>
      </c>
      <c r="H1780" s="5" t="s">
        <v>11757</v>
      </c>
      <c r="I1780" s="5" t="s">
        <v>1564</v>
      </c>
      <c r="J1780" s="8">
        <v>296.3</v>
      </c>
      <c r="K1780" s="5" t="s">
        <v>4</v>
      </c>
      <c r="L1780">
        <f t="shared" si="27"/>
        <v>3</v>
      </c>
    </row>
    <row r="1781" spans="1:12" x14ac:dyDescent="0.25">
      <c r="A1781" s="5">
        <v>47168</v>
      </c>
      <c r="B1781" t="s">
        <v>11758</v>
      </c>
      <c r="C1781" s="5" t="s">
        <v>11759</v>
      </c>
      <c r="D1781" t="s">
        <v>11760</v>
      </c>
      <c r="E1781" s="5" t="s">
        <v>1770</v>
      </c>
      <c r="F1781" s="6">
        <v>46091.525000000001</v>
      </c>
      <c r="G1781" s="5" t="s">
        <v>7456</v>
      </c>
      <c r="H1781" s="5" t="s">
        <v>11761</v>
      </c>
      <c r="I1781" s="5" t="s">
        <v>1564</v>
      </c>
      <c r="J1781" s="8">
        <v>585</v>
      </c>
      <c r="K1781" s="5" t="s">
        <v>4</v>
      </c>
      <c r="L1781">
        <f t="shared" si="27"/>
        <v>3</v>
      </c>
    </row>
    <row r="1782" spans="1:12" x14ac:dyDescent="0.25">
      <c r="A1782" s="5">
        <v>47169</v>
      </c>
      <c r="B1782" t="s">
        <v>11762</v>
      </c>
      <c r="C1782" s="5" t="s">
        <v>11759</v>
      </c>
      <c r="D1782" t="s">
        <v>11760</v>
      </c>
      <c r="E1782" s="5" t="s">
        <v>1770</v>
      </c>
      <c r="F1782" s="6">
        <v>46091.529166666667</v>
      </c>
      <c r="G1782" s="5" t="s">
        <v>7456</v>
      </c>
      <c r="H1782" s="5" t="s">
        <v>11763</v>
      </c>
      <c r="I1782" s="5" t="s">
        <v>1564</v>
      </c>
      <c r="J1782" s="8">
        <v>200</v>
      </c>
      <c r="K1782" s="5" t="s">
        <v>4</v>
      </c>
      <c r="L1782">
        <f t="shared" si="27"/>
        <v>3</v>
      </c>
    </row>
    <row r="1783" spans="1:12" x14ac:dyDescent="0.25">
      <c r="A1783" s="5">
        <v>47170</v>
      </c>
      <c r="B1783" t="s">
        <v>11764</v>
      </c>
      <c r="C1783" s="5" t="s">
        <v>11765</v>
      </c>
      <c r="D1783" t="s">
        <v>11766</v>
      </c>
      <c r="E1783" s="5" t="s">
        <v>4006</v>
      </c>
      <c r="F1783" s="6">
        <v>46091.538194444445</v>
      </c>
      <c r="G1783" s="5" t="s">
        <v>7456</v>
      </c>
      <c r="H1783" s="5" t="s">
        <v>11767</v>
      </c>
      <c r="I1783" s="5" t="s">
        <v>1564</v>
      </c>
      <c r="J1783" s="8">
        <v>257.86</v>
      </c>
      <c r="K1783" s="5" t="s">
        <v>4</v>
      </c>
      <c r="L1783">
        <f t="shared" si="27"/>
        <v>3</v>
      </c>
    </row>
    <row r="1784" spans="1:12" x14ac:dyDescent="0.25">
      <c r="A1784" s="5">
        <v>47171</v>
      </c>
      <c r="B1784" t="s">
        <v>8125</v>
      </c>
      <c r="C1784" s="5" t="s">
        <v>11768</v>
      </c>
      <c r="D1784" t="s">
        <v>8127</v>
      </c>
      <c r="E1784" s="5" t="s">
        <v>1813</v>
      </c>
      <c r="F1784" s="6">
        <v>46091.553472222222</v>
      </c>
      <c r="G1784" s="5" t="s">
        <v>7595</v>
      </c>
      <c r="H1784" t="s">
        <v>7482</v>
      </c>
      <c r="I1784" s="5" t="s">
        <v>1535</v>
      </c>
      <c r="J1784" s="8">
        <v>365.4</v>
      </c>
      <c r="K1784" s="5" t="s">
        <v>4</v>
      </c>
      <c r="L1784">
        <f t="shared" si="27"/>
        <v>3</v>
      </c>
    </row>
    <row r="1785" spans="1:12" x14ac:dyDescent="0.25">
      <c r="A1785" s="5">
        <v>47172</v>
      </c>
      <c r="B1785" t="s">
        <v>11769</v>
      </c>
      <c r="C1785" s="5" t="s">
        <v>11770</v>
      </c>
      <c r="D1785" t="s">
        <v>11771</v>
      </c>
      <c r="E1785" s="5" t="s">
        <v>1813</v>
      </c>
      <c r="F1785" s="6">
        <v>46091.556250000001</v>
      </c>
      <c r="G1785" s="5" t="s">
        <v>7595</v>
      </c>
      <c r="H1785" t="s">
        <v>7482</v>
      </c>
      <c r="I1785" s="5" t="s">
        <v>1535</v>
      </c>
      <c r="J1785" s="8">
        <v>234</v>
      </c>
      <c r="K1785" s="5" t="s">
        <v>4</v>
      </c>
      <c r="L1785">
        <f t="shared" si="27"/>
        <v>3</v>
      </c>
    </row>
    <row r="1786" spans="1:12" x14ac:dyDescent="0.25">
      <c r="A1786" s="5">
        <v>47173</v>
      </c>
      <c r="B1786" t="s">
        <v>9979</v>
      </c>
      <c r="C1786" s="5" t="s">
        <v>9980</v>
      </c>
      <c r="D1786" t="s">
        <v>9981</v>
      </c>
      <c r="E1786" s="5" t="s">
        <v>1548</v>
      </c>
      <c r="F1786" s="6">
        <v>46091.591666666667</v>
      </c>
      <c r="G1786" s="5" t="s">
        <v>7456</v>
      </c>
      <c r="H1786" s="5" t="s">
        <v>11772</v>
      </c>
      <c r="I1786" s="5" t="s">
        <v>1621</v>
      </c>
      <c r="J1786" s="8">
        <v>0</v>
      </c>
      <c r="K1786" s="5" t="s">
        <v>4</v>
      </c>
      <c r="L1786">
        <f t="shared" si="27"/>
        <v>3</v>
      </c>
    </row>
    <row r="1787" spans="1:12" x14ac:dyDescent="0.25">
      <c r="A1787" s="5">
        <v>47174</v>
      </c>
      <c r="B1787" t="s">
        <v>11773</v>
      </c>
      <c r="C1787" s="5" t="s">
        <v>11774</v>
      </c>
      <c r="D1787" t="s">
        <v>11775</v>
      </c>
      <c r="E1787" s="5" t="s">
        <v>4133</v>
      </c>
      <c r="F1787" s="6">
        <v>46091.595833333333</v>
      </c>
      <c r="G1787" s="5" t="s">
        <v>7456</v>
      </c>
      <c r="H1787" s="5" t="s">
        <v>11776</v>
      </c>
      <c r="I1787" s="5" t="s">
        <v>1621</v>
      </c>
      <c r="J1787" s="8">
        <v>239.19</v>
      </c>
      <c r="K1787" s="5" t="s">
        <v>4</v>
      </c>
      <c r="L1787">
        <f t="shared" si="27"/>
        <v>3</v>
      </c>
    </row>
    <row r="1788" spans="1:12" x14ac:dyDescent="0.25">
      <c r="A1788" s="5">
        <v>47175</v>
      </c>
      <c r="B1788" t="s">
        <v>11777</v>
      </c>
      <c r="C1788" s="5" t="s">
        <v>11082</v>
      </c>
      <c r="D1788" t="s">
        <v>11778</v>
      </c>
      <c r="E1788" s="5" t="s">
        <v>2987</v>
      </c>
      <c r="F1788" s="6">
        <v>46091.614583333336</v>
      </c>
      <c r="G1788" s="5" t="s">
        <v>7456</v>
      </c>
      <c r="H1788" s="5" t="s">
        <v>11779</v>
      </c>
      <c r="I1788" s="5" t="s">
        <v>1564</v>
      </c>
      <c r="J1788" s="8">
        <v>460</v>
      </c>
      <c r="K1788" s="5" t="s">
        <v>4</v>
      </c>
      <c r="L1788">
        <f t="shared" si="27"/>
        <v>3</v>
      </c>
    </row>
    <row r="1789" spans="1:12" x14ac:dyDescent="0.25">
      <c r="A1789" s="5">
        <v>47176</v>
      </c>
      <c r="B1789" t="s">
        <v>11331</v>
      </c>
      <c r="C1789" s="5" t="s">
        <v>11332</v>
      </c>
      <c r="D1789" t="s">
        <v>11333</v>
      </c>
      <c r="E1789" s="5" t="s">
        <v>3022</v>
      </c>
      <c r="F1789" s="6">
        <v>46091.619444444441</v>
      </c>
      <c r="G1789" s="5" t="s">
        <v>7595</v>
      </c>
      <c r="H1789" t="s">
        <v>7482</v>
      </c>
      <c r="I1789" s="5" t="s">
        <v>1535</v>
      </c>
      <c r="J1789" s="8">
        <v>230</v>
      </c>
      <c r="K1789" s="5" t="s">
        <v>4</v>
      </c>
      <c r="L1789">
        <f t="shared" si="27"/>
        <v>3</v>
      </c>
    </row>
    <row r="1790" spans="1:12" x14ac:dyDescent="0.25">
      <c r="A1790" s="5">
        <v>47178</v>
      </c>
      <c r="B1790" t="s">
        <v>11780</v>
      </c>
      <c r="C1790" s="5" t="s">
        <v>11781</v>
      </c>
      <c r="D1790" t="s">
        <v>11782</v>
      </c>
      <c r="E1790" s="5" t="s">
        <v>2512</v>
      </c>
      <c r="F1790" s="6">
        <v>46091.623611111114</v>
      </c>
      <c r="G1790" s="5" t="s">
        <v>7456</v>
      </c>
      <c r="H1790" s="5" t="s">
        <v>11783</v>
      </c>
      <c r="I1790" s="5" t="s">
        <v>1564</v>
      </c>
      <c r="J1790" s="8">
        <v>670</v>
      </c>
      <c r="K1790" s="5" t="s">
        <v>4</v>
      </c>
      <c r="L1790">
        <f t="shared" si="27"/>
        <v>3</v>
      </c>
    </row>
    <row r="1791" spans="1:12" x14ac:dyDescent="0.25">
      <c r="A1791" s="5">
        <v>47179</v>
      </c>
      <c r="B1791" t="s">
        <v>11784</v>
      </c>
      <c r="C1791" s="5" t="s">
        <v>11355</v>
      </c>
      <c r="D1791" t="s">
        <v>11356</v>
      </c>
      <c r="E1791" s="5" t="s">
        <v>1759</v>
      </c>
      <c r="F1791" s="6">
        <v>46091.640277777777</v>
      </c>
      <c r="G1791" s="5" t="s">
        <v>7456</v>
      </c>
      <c r="H1791" s="5" t="s">
        <v>11785</v>
      </c>
      <c r="I1791" s="5" t="s">
        <v>1564</v>
      </c>
      <c r="J1791" s="8">
        <v>136.25</v>
      </c>
      <c r="K1791" s="5" t="s">
        <v>4</v>
      </c>
      <c r="L1791">
        <f t="shared" si="27"/>
        <v>3</v>
      </c>
    </row>
    <row r="1792" spans="1:12" x14ac:dyDescent="0.25">
      <c r="A1792" s="5">
        <v>47180</v>
      </c>
      <c r="B1792" t="s">
        <v>11786</v>
      </c>
      <c r="C1792" s="5" t="s">
        <v>131</v>
      </c>
      <c r="D1792" t="s">
        <v>8819</v>
      </c>
      <c r="E1792" s="5" t="s">
        <v>3535</v>
      </c>
      <c r="F1792" s="6">
        <v>46091.600694444445</v>
      </c>
      <c r="G1792" s="5" t="s">
        <v>7456</v>
      </c>
      <c r="H1792" s="5" t="s">
        <v>11787</v>
      </c>
      <c r="I1792" s="5" t="s">
        <v>1621</v>
      </c>
      <c r="J1792" s="8">
        <v>318.70999999999998</v>
      </c>
      <c r="K1792" s="5" t="s">
        <v>4</v>
      </c>
      <c r="L1792">
        <f t="shared" si="27"/>
        <v>3</v>
      </c>
    </row>
    <row r="1793" spans="1:12" x14ac:dyDescent="0.25">
      <c r="A1793" s="5">
        <v>47181</v>
      </c>
      <c r="B1793" t="s">
        <v>9913</v>
      </c>
      <c r="C1793" s="5" t="s">
        <v>1265</v>
      </c>
      <c r="D1793" t="s">
        <v>9914</v>
      </c>
      <c r="E1793" s="5" t="s">
        <v>7165</v>
      </c>
      <c r="F1793" s="6">
        <v>46091.644444444442</v>
      </c>
      <c r="G1793" s="5" t="s">
        <v>7456</v>
      </c>
      <c r="H1793" s="5" t="s">
        <v>11788</v>
      </c>
      <c r="I1793" s="5" t="s">
        <v>1621</v>
      </c>
      <c r="J1793" s="8">
        <v>27.19</v>
      </c>
      <c r="K1793" s="5" t="s">
        <v>4</v>
      </c>
      <c r="L1793">
        <f t="shared" si="27"/>
        <v>3</v>
      </c>
    </row>
    <row r="1794" spans="1:12" x14ac:dyDescent="0.25">
      <c r="A1794" s="5">
        <v>47182</v>
      </c>
      <c r="B1794" t="s">
        <v>11789</v>
      </c>
      <c r="C1794" s="5" t="s">
        <v>11790</v>
      </c>
      <c r="D1794" t="s">
        <v>7644</v>
      </c>
      <c r="E1794" s="5" t="s">
        <v>7264</v>
      </c>
      <c r="F1794" s="6">
        <v>46091.65</v>
      </c>
      <c r="G1794" s="5" t="s">
        <v>7456</v>
      </c>
      <c r="H1794" s="5" t="s">
        <v>11791</v>
      </c>
      <c r="I1794" s="5" t="s">
        <v>1621</v>
      </c>
      <c r="J1794" s="8">
        <v>19.899999999999999</v>
      </c>
      <c r="K1794" s="5" t="s">
        <v>4</v>
      </c>
      <c r="L1794">
        <f t="shared" si="27"/>
        <v>3</v>
      </c>
    </row>
    <row r="1795" spans="1:12" x14ac:dyDescent="0.25">
      <c r="A1795" s="5">
        <v>47183</v>
      </c>
      <c r="B1795" t="s">
        <v>11378</v>
      </c>
      <c r="C1795" s="5" t="s">
        <v>11379</v>
      </c>
      <c r="D1795" t="s">
        <v>11380</v>
      </c>
      <c r="E1795" s="5" t="s">
        <v>1738</v>
      </c>
      <c r="F1795" s="6">
        <v>46091.666666666664</v>
      </c>
      <c r="G1795" s="5" t="s">
        <v>7456</v>
      </c>
      <c r="H1795" s="5" t="s">
        <v>11792</v>
      </c>
      <c r="I1795" s="5" t="s">
        <v>1564</v>
      </c>
      <c r="J1795" s="8">
        <v>280</v>
      </c>
      <c r="K1795" s="5" t="s">
        <v>4</v>
      </c>
      <c r="L1795">
        <f t="shared" ref="L1795:L1858" si="28">MONTH(F1795)</f>
        <v>3</v>
      </c>
    </row>
    <row r="1796" spans="1:12" x14ac:dyDescent="0.25">
      <c r="A1796" s="5">
        <v>47185</v>
      </c>
      <c r="B1796" t="s">
        <v>11222</v>
      </c>
      <c r="C1796" s="5" t="s">
        <v>11793</v>
      </c>
      <c r="D1796" t="s">
        <v>11794</v>
      </c>
      <c r="E1796" s="5" t="s">
        <v>1813</v>
      </c>
      <c r="F1796" s="6">
        <v>46091.668055555558</v>
      </c>
      <c r="G1796" s="5" t="s">
        <v>7595</v>
      </c>
      <c r="H1796" t="s">
        <v>7482</v>
      </c>
      <c r="I1796" s="5" t="s">
        <v>1535</v>
      </c>
      <c r="J1796" s="8">
        <v>488</v>
      </c>
      <c r="K1796" s="5" t="s">
        <v>4</v>
      </c>
      <c r="L1796">
        <f t="shared" si="28"/>
        <v>3</v>
      </c>
    </row>
    <row r="1797" spans="1:12" x14ac:dyDescent="0.25">
      <c r="A1797" s="5">
        <v>47186</v>
      </c>
      <c r="B1797" t="s">
        <v>11795</v>
      </c>
      <c r="C1797" s="5" t="s">
        <v>11796</v>
      </c>
      <c r="D1797" t="s">
        <v>11797</v>
      </c>
      <c r="E1797" s="5" t="s">
        <v>3621</v>
      </c>
      <c r="F1797" s="6">
        <v>46091.654861111114</v>
      </c>
      <c r="G1797" s="5" t="s">
        <v>7456</v>
      </c>
      <c r="H1797" s="5" t="s">
        <v>11798</v>
      </c>
      <c r="I1797" s="5" t="s">
        <v>1621</v>
      </c>
      <c r="J1797" s="8">
        <v>307.87</v>
      </c>
      <c r="K1797" s="5" t="s">
        <v>4</v>
      </c>
      <c r="L1797">
        <f t="shared" si="28"/>
        <v>3</v>
      </c>
    </row>
    <row r="1798" spans="1:12" x14ac:dyDescent="0.25">
      <c r="A1798" s="5">
        <v>47187</v>
      </c>
      <c r="B1798" t="s">
        <v>11799</v>
      </c>
      <c r="C1798" s="5" t="s">
        <v>729</v>
      </c>
      <c r="D1798" t="s">
        <v>11800</v>
      </c>
      <c r="E1798" s="5" t="s">
        <v>7313</v>
      </c>
      <c r="F1798" s="6">
        <v>46091.681250000001</v>
      </c>
      <c r="G1798" s="5" t="s">
        <v>7456</v>
      </c>
      <c r="H1798" s="5" t="s">
        <v>11801</v>
      </c>
      <c r="I1798" s="5" t="s">
        <v>1621</v>
      </c>
      <c r="J1798" s="8">
        <v>16.53</v>
      </c>
      <c r="K1798" s="5" t="s">
        <v>4</v>
      </c>
      <c r="L1798">
        <f t="shared" si="28"/>
        <v>3</v>
      </c>
    </row>
    <row r="1799" spans="1:12" x14ac:dyDescent="0.25">
      <c r="A1799" s="5">
        <v>47188</v>
      </c>
      <c r="B1799" t="s">
        <v>11802</v>
      </c>
      <c r="C1799" s="5" t="s">
        <v>11803</v>
      </c>
      <c r="D1799" t="s">
        <v>11804</v>
      </c>
      <c r="E1799" s="5" t="s">
        <v>6852</v>
      </c>
      <c r="F1799" s="6">
        <v>46091.6875</v>
      </c>
      <c r="G1799" s="5" t="s">
        <v>7456</v>
      </c>
      <c r="H1799" s="5" t="s">
        <v>11805</v>
      </c>
      <c r="I1799" s="5" t="s">
        <v>1621</v>
      </c>
      <c r="J1799" s="8">
        <v>42.69</v>
      </c>
      <c r="K1799" s="5" t="s">
        <v>4</v>
      </c>
      <c r="L1799">
        <f t="shared" si="28"/>
        <v>3</v>
      </c>
    </row>
    <row r="1800" spans="1:12" x14ac:dyDescent="0.25">
      <c r="A1800" s="5">
        <v>47189</v>
      </c>
      <c r="B1800" t="s">
        <v>11806</v>
      </c>
      <c r="C1800" s="5" t="s">
        <v>11807</v>
      </c>
      <c r="D1800" t="s">
        <v>11808</v>
      </c>
      <c r="E1800" s="5" t="s">
        <v>1738</v>
      </c>
      <c r="F1800" s="6">
        <v>46091.693749999999</v>
      </c>
      <c r="G1800" s="5" t="s">
        <v>7456</v>
      </c>
      <c r="H1800" s="5" t="s">
        <v>11809</v>
      </c>
      <c r="I1800" s="5" t="s">
        <v>1564</v>
      </c>
      <c r="J1800" s="8">
        <v>105</v>
      </c>
      <c r="K1800" s="5" t="s">
        <v>4</v>
      </c>
      <c r="L1800">
        <f t="shared" si="28"/>
        <v>3</v>
      </c>
    </row>
    <row r="1801" spans="1:12" x14ac:dyDescent="0.25">
      <c r="A1801" s="5">
        <v>47191</v>
      </c>
      <c r="B1801" t="s">
        <v>11810</v>
      </c>
      <c r="C1801" s="5" t="s">
        <v>11811</v>
      </c>
      <c r="D1801" t="s">
        <v>11812</v>
      </c>
      <c r="E1801" s="5" t="s">
        <v>3955</v>
      </c>
      <c r="F1801" s="6">
        <v>46091.694444444445</v>
      </c>
      <c r="G1801" s="5" t="s">
        <v>7456</v>
      </c>
      <c r="H1801" s="5" t="s">
        <v>11813</v>
      </c>
      <c r="I1801" s="5" t="s">
        <v>1621</v>
      </c>
      <c r="J1801" s="8">
        <v>263.79000000000002</v>
      </c>
      <c r="K1801" s="5" t="s">
        <v>4</v>
      </c>
      <c r="L1801">
        <f t="shared" si="28"/>
        <v>3</v>
      </c>
    </row>
    <row r="1802" spans="1:12" x14ac:dyDescent="0.25">
      <c r="A1802" s="5">
        <v>47193</v>
      </c>
      <c r="B1802" t="s">
        <v>11814</v>
      </c>
      <c r="C1802" s="5" t="s">
        <v>11815</v>
      </c>
      <c r="D1802" t="s">
        <v>11816</v>
      </c>
      <c r="E1802" s="5" t="s">
        <v>5122</v>
      </c>
      <c r="F1802" s="6">
        <v>46091.728472222225</v>
      </c>
      <c r="G1802" s="5" t="s">
        <v>7456</v>
      </c>
      <c r="H1802" s="5" t="s">
        <v>11817</v>
      </c>
      <c r="I1802" s="5" t="s">
        <v>1564</v>
      </c>
      <c r="J1802" s="8">
        <v>145</v>
      </c>
      <c r="K1802" s="5" t="s">
        <v>4</v>
      </c>
      <c r="L1802">
        <f t="shared" si="28"/>
        <v>3</v>
      </c>
    </row>
    <row r="1803" spans="1:12" x14ac:dyDescent="0.25">
      <c r="A1803" s="5">
        <v>47194</v>
      </c>
      <c r="B1803" t="s">
        <v>11818</v>
      </c>
      <c r="C1803" s="5" t="s">
        <v>11819</v>
      </c>
      <c r="D1803" t="s">
        <v>11820</v>
      </c>
      <c r="E1803" s="5" t="s">
        <v>1770</v>
      </c>
      <c r="F1803" s="6">
        <v>46091.750694444447</v>
      </c>
      <c r="G1803" s="5" t="s">
        <v>7456</v>
      </c>
      <c r="H1803" s="5" t="s">
        <v>11821</v>
      </c>
      <c r="I1803" s="5" t="s">
        <v>1564</v>
      </c>
      <c r="J1803" s="8">
        <v>102.5</v>
      </c>
      <c r="K1803" s="5" t="s">
        <v>4</v>
      </c>
      <c r="L1803">
        <f t="shared" si="28"/>
        <v>3</v>
      </c>
    </row>
    <row r="1804" spans="1:12" x14ac:dyDescent="0.25">
      <c r="A1804" s="5">
        <v>47195</v>
      </c>
      <c r="B1804" t="s">
        <v>11081</v>
      </c>
      <c r="C1804" s="5" t="s">
        <v>11822</v>
      </c>
      <c r="D1804" t="s">
        <v>11083</v>
      </c>
      <c r="E1804" s="5" t="s">
        <v>1759</v>
      </c>
      <c r="F1804" s="6">
        <v>46091.783333333333</v>
      </c>
      <c r="G1804" s="5" t="s">
        <v>7456</v>
      </c>
      <c r="H1804" s="5" t="s">
        <v>11823</v>
      </c>
      <c r="I1804" s="5" t="s">
        <v>1564</v>
      </c>
      <c r="J1804" s="8">
        <v>148.5</v>
      </c>
      <c r="K1804" s="5" t="s">
        <v>4</v>
      </c>
      <c r="L1804">
        <f t="shared" si="28"/>
        <v>3</v>
      </c>
    </row>
    <row r="1805" spans="1:12" x14ac:dyDescent="0.25">
      <c r="A1805" s="5">
        <v>47197</v>
      </c>
      <c r="B1805" t="s">
        <v>11824</v>
      </c>
      <c r="C1805" s="5" t="s">
        <v>11825</v>
      </c>
      <c r="D1805" t="s">
        <v>11826</v>
      </c>
      <c r="E1805" s="5" t="s">
        <v>2941</v>
      </c>
      <c r="F1805" s="6">
        <v>46092.404166666667</v>
      </c>
      <c r="G1805" s="5" t="s">
        <v>7456</v>
      </c>
      <c r="H1805" s="5" t="s">
        <v>11827</v>
      </c>
      <c r="I1805" s="5" t="s">
        <v>1564</v>
      </c>
      <c r="J1805" s="8">
        <v>472</v>
      </c>
      <c r="K1805" s="5" t="s">
        <v>4</v>
      </c>
      <c r="L1805">
        <f t="shared" si="28"/>
        <v>3</v>
      </c>
    </row>
    <row r="1806" spans="1:12" x14ac:dyDescent="0.25">
      <c r="A1806" s="5">
        <v>47198</v>
      </c>
      <c r="B1806" t="s">
        <v>9901</v>
      </c>
      <c r="C1806" s="5" t="s">
        <v>11828</v>
      </c>
      <c r="D1806" t="s">
        <v>9902</v>
      </c>
      <c r="E1806" s="5" t="s">
        <v>1548</v>
      </c>
      <c r="F1806" s="6">
        <v>46092.415972222225</v>
      </c>
      <c r="G1806" s="5" t="s">
        <v>7456</v>
      </c>
      <c r="H1806" s="5" t="s">
        <v>11829</v>
      </c>
      <c r="I1806" s="5" t="s">
        <v>1535</v>
      </c>
      <c r="J1806" s="8">
        <v>1153.0999999999999</v>
      </c>
      <c r="K1806" s="5" t="s">
        <v>4</v>
      </c>
      <c r="L1806">
        <f t="shared" si="28"/>
        <v>3</v>
      </c>
    </row>
    <row r="1807" spans="1:12" x14ac:dyDescent="0.25">
      <c r="A1807" s="5">
        <v>47199</v>
      </c>
      <c r="B1807" t="s">
        <v>11830</v>
      </c>
      <c r="C1807" s="5" t="s">
        <v>11223</v>
      </c>
      <c r="D1807" t="s">
        <v>11224</v>
      </c>
      <c r="E1807" s="5" t="s">
        <v>1705</v>
      </c>
      <c r="F1807" s="6">
        <v>46092.429166666669</v>
      </c>
      <c r="G1807" s="5" t="s">
        <v>7456</v>
      </c>
      <c r="H1807" s="5" t="s">
        <v>11831</v>
      </c>
      <c r="I1807" s="5" t="s">
        <v>1535</v>
      </c>
      <c r="J1807" s="8">
        <v>2838</v>
      </c>
      <c r="K1807" s="5" t="s">
        <v>4</v>
      </c>
      <c r="L1807">
        <f t="shared" si="28"/>
        <v>3</v>
      </c>
    </row>
    <row r="1808" spans="1:12" x14ac:dyDescent="0.25">
      <c r="A1808" s="5">
        <v>47200</v>
      </c>
      <c r="B1808" t="s">
        <v>11832</v>
      </c>
      <c r="C1808" s="5" t="s">
        <v>9333</v>
      </c>
      <c r="D1808" t="s">
        <v>11833</v>
      </c>
      <c r="E1808" s="5" t="s">
        <v>5412</v>
      </c>
      <c r="F1808" s="6">
        <v>46092.45</v>
      </c>
      <c r="G1808" s="5" t="s">
        <v>7456</v>
      </c>
      <c r="H1808" s="5" t="s">
        <v>11834</v>
      </c>
      <c r="I1808" s="5" t="s">
        <v>1535</v>
      </c>
      <c r="J1808" s="8">
        <v>130.69999999999999</v>
      </c>
      <c r="K1808" s="5" t="s">
        <v>4</v>
      </c>
      <c r="L1808">
        <f t="shared" si="28"/>
        <v>3</v>
      </c>
    </row>
    <row r="1809" spans="1:12" x14ac:dyDescent="0.25">
      <c r="A1809" s="5">
        <v>47201</v>
      </c>
      <c r="B1809" t="s">
        <v>11835</v>
      </c>
      <c r="C1809" s="5" t="s">
        <v>11836</v>
      </c>
      <c r="D1809" t="s">
        <v>11837</v>
      </c>
      <c r="E1809" s="5" t="s">
        <v>1738</v>
      </c>
      <c r="F1809" s="6">
        <v>46092.454861111109</v>
      </c>
      <c r="G1809" s="5" t="s">
        <v>7456</v>
      </c>
      <c r="H1809" s="5" t="s">
        <v>11838</v>
      </c>
      <c r="I1809" s="5" t="s">
        <v>1564</v>
      </c>
      <c r="J1809" s="8">
        <v>590</v>
      </c>
      <c r="K1809" s="5" t="s">
        <v>4</v>
      </c>
      <c r="L1809">
        <f t="shared" si="28"/>
        <v>3</v>
      </c>
    </row>
    <row r="1810" spans="1:12" x14ac:dyDescent="0.25">
      <c r="A1810" s="5">
        <v>47202</v>
      </c>
      <c r="B1810" t="s">
        <v>11839</v>
      </c>
      <c r="C1810" s="5" t="s">
        <v>11840</v>
      </c>
      <c r="D1810" t="s">
        <v>11841</v>
      </c>
      <c r="E1810" s="5" t="s">
        <v>1759</v>
      </c>
      <c r="F1810" s="6">
        <v>46092.458333333336</v>
      </c>
      <c r="G1810" s="5" t="s">
        <v>7456</v>
      </c>
      <c r="H1810" s="5" t="s">
        <v>11842</v>
      </c>
      <c r="I1810" s="5" t="s">
        <v>1564</v>
      </c>
      <c r="J1810" s="8">
        <v>140</v>
      </c>
      <c r="K1810" s="5" t="s">
        <v>4</v>
      </c>
      <c r="L1810">
        <f t="shared" si="28"/>
        <v>3</v>
      </c>
    </row>
    <row r="1811" spans="1:12" x14ac:dyDescent="0.25">
      <c r="A1811" s="5">
        <v>47205</v>
      </c>
      <c r="B1811" t="s">
        <v>11843</v>
      </c>
      <c r="C1811" s="5" t="s">
        <v>11844</v>
      </c>
      <c r="D1811" t="s">
        <v>11845</v>
      </c>
      <c r="E1811" s="5" t="s">
        <v>1813</v>
      </c>
      <c r="F1811" s="6">
        <v>46092.462500000001</v>
      </c>
      <c r="G1811" s="5" t="s">
        <v>7456</v>
      </c>
      <c r="H1811" s="5" t="s">
        <v>11846</v>
      </c>
      <c r="I1811" s="5" t="s">
        <v>1535</v>
      </c>
      <c r="J1811" s="8">
        <v>1000</v>
      </c>
      <c r="K1811" s="5" t="s">
        <v>4</v>
      </c>
      <c r="L1811">
        <f t="shared" si="28"/>
        <v>3</v>
      </c>
    </row>
    <row r="1812" spans="1:12" x14ac:dyDescent="0.25">
      <c r="A1812" s="5">
        <v>47206</v>
      </c>
      <c r="B1812" t="s">
        <v>11386</v>
      </c>
      <c r="C1812" s="5" t="s">
        <v>11387</v>
      </c>
      <c r="D1812" t="s">
        <v>11388</v>
      </c>
      <c r="E1812" s="5" t="s">
        <v>1738</v>
      </c>
      <c r="F1812" s="6">
        <v>46092.480555555558</v>
      </c>
      <c r="G1812" s="5" t="s">
        <v>7672</v>
      </c>
      <c r="H1812" t="s">
        <v>7482</v>
      </c>
      <c r="I1812" s="5" t="s">
        <v>1564</v>
      </c>
      <c r="J1812" s="8">
        <v>247</v>
      </c>
      <c r="K1812" s="5" t="s">
        <v>4</v>
      </c>
      <c r="L1812">
        <f t="shared" si="28"/>
        <v>3</v>
      </c>
    </row>
    <row r="1813" spans="1:12" x14ac:dyDescent="0.25">
      <c r="A1813" s="5">
        <v>47207</v>
      </c>
      <c r="B1813" t="s">
        <v>11405</v>
      </c>
      <c r="C1813" s="5" t="s">
        <v>11406</v>
      </c>
      <c r="D1813" t="s">
        <v>11407</v>
      </c>
      <c r="E1813" s="5" t="s">
        <v>2987</v>
      </c>
      <c r="F1813" s="6">
        <v>46092.525000000001</v>
      </c>
      <c r="G1813" s="5" t="s">
        <v>7456</v>
      </c>
      <c r="H1813" s="5" t="s">
        <v>11847</v>
      </c>
      <c r="I1813" s="5" t="s">
        <v>1564</v>
      </c>
      <c r="J1813" s="8">
        <v>319.8</v>
      </c>
      <c r="K1813" s="5" t="s">
        <v>4</v>
      </c>
      <c r="L1813">
        <f t="shared" si="28"/>
        <v>3</v>
      </c>
    </row>
    <row r="1814" spans="1:12" x14ac:dyDescent="0.25">
      <c r="A1814" s="5">
        <v>47208</v>
      </c>
      <c r="B1814" t="s">
        <v>10383</v>
      </c>
      <c r="C1814" s="5" t="s">
        <v>10384</v>
      </c>
      <c r="D1814" t="s">
        <v>10385</v>
      </c>
      <c r="E1814" s="5" t="s">
        <v>2118</v>
      </c>
      <c r="F1814" s="6">
        <v>46092.52847222222</v>
      </c>
      <c r="G1814" s="5" t="s">
        <v>7456</v>
      </c>
      <c r="H1814" s="5" t="s">
        <v>11848</v>
      </c>
      <c r="I1814" s="5" t="s">
        <v>1564</v>
      </c>
      <c r="J1814" s="8">
        <v>286.39999999999998</v>
      </c>
      <c r="K1814" s="5" t="s">
        <v>4</v>
      </c>
      <c r="L1814">
        <f t="shared" si="28"/>
        <v>3</v>
      </c>
    </row>
    <row r="1815" spans="1:12" x14ac:dyDescent="0.25">
      <c r="A1815" s="5">
        <v>47209</v>
      </c>
      <c r="B1815" t="s">
        <v>9997</v>
      </c>
      <c r="C1815" s="5" t="s">
        <v>9998</v>
      </c>
      <c r="D1815" t="s">
        <v>9999</v>
      </c>
      <c r="E1815" s="5" t="s">
        <v>1759</v>
      </c>
      <c r="F1815" s="6">
        <v>46092.541666666664</v>
      </c>
      <c r="G1815" s="5" t="s">
        <v>7456</v>
      </c>
      <c r="H1815" s="5" t="s">
        <v>11849</v>
      </c>
      <c r="I1815" s="5" t="s">
        <v>1564</v>
      </c>
      <c r="J1815" s="8">
        <v>455.28</v>
      </c>
      <c r="K1815" s="5" t="s">
        <v>4</v>
      </c>
      <c r="L1815">
        <f t="shared" si="28"/>
        <v>3</v>
      </c>
    </row>
    <row r="1816" spans="1:12" x14ac:dyDescent="0.25">
      <c r="A1816" s="5">
        <v>47210</v>
      </c>
      <c r="B1816" t="s">
        <v>10010</v>
      </c>
      <c r="C1816" s="5" t="s">
        <v>10011</v>
      </c>
      <c r="D1816" t="s">
        <v>9999</v>
      </c>
      <c r="E1816" s="5" t="s">
        <v>1759</v>
      </c>
      <c r="F1816" s="6">
        <v>46092.547222222223</v>
      </c>
      <c r="G1816" s="5" t="s">
        <v>7456</v>
      </c>
      <c r="H1816" s="5" t="s">
        <v>7522</v>
      </c>
      <c r="I1816" s="5" t="s">
        <v>1564</v>
      </c>
      <c r="J1816" s="8">
        <v>197.63</v>
      </c>
      <c r="K1816" s="5" t="s">
        <v>4</v>
      </c>
      <c r="L1816">
        <f t="shared" si="28"/>
        <v>3</v>
      </c>
    </row>
    <row r="1817" spans="1:12" x14ac:dyDescent="0.25">
      <c r="A1817" s="5">
        <v>47211</v>
      </c>
      <c r="B1817" t="s">
        <v>11850</v>
      </c>
      <c r="C1817" s="5" t="s">
        <v>11851</v>
      </c>
      <c r="D1817" t="s">
        <v>11852</v>
      </c>
      <c r="E1817" s="5" t="s">
        <v>2118</v>
      </c>
      <c r="F1817" s="6">
        <v>46092.552083333336</v>
      </c>
      <c r="G1817" s="5" t="s">
        <v>7672</v>
      </c>
      <c r="H1817" t="s">
        <v>8626</v>
      </c>
      <c r="I1817" s="5" t="s">
        <v>1564</v>
      </c>
      <c r="J1817" s="8">
        <v>300</v>
      </c>
      <c r="K1817" s="5" t="s">
        <v>4</v>
      </c>
      <c r="L1817">
        <f t="shared" si="28"/>
        <v>3</v>
      </c>
    </row>
    <row r="1818" spans="1:12" x14ac:dyDescent="0.25">
      <c r="A1818" s="5">
        <v>47216</v>
      </c>
      <c r="B1818" t="s">
        <v>11853</v>
      </c>
      <c r="C1818" s="5" t="s">
        <v>11854</v>
      </c>
      <c r="D1818" t="s">
        <v>11855</v>
      </c>
      <c r="E1818" s="5" t="s">
        <v>3580</v>
      </c>
      <c r="F1818" s="6">
        <v>46092.632638888892</v>
      </c>
      <c r="G1818" s="5" t="s">
        <v>7456</v>
      </c>
      <c r="H1818" s="5" t="s">
        <v>11856</v>
      </c>
      <c r="I1818" s="5" t="s">
        <v>1535</v>
      </c>
      <c r="J1818" s="8">
        <v>313.8</v>
      </c>
      <c r="K1818" s="5" t="s">
        <v>4</v>
      </c>
      <c r="L1818">
        <f t="shared" si="28"/>
        <v>3</v>
      </c>
    </row>
    <row r="1819" spans="1:12" x14ac:dyDescent="0.25">
      <c r="A1819" s="5">
        <v>47217</v>
      </c>
      <c r="B1819" t="s">
        <v>11857</v>
      </c>
      <c r="C1819" s="5" t="s">
        <v>11858</v>
      </c>
      <c r="D1819" t="s">
        <v>11859</v>
      </c>
      <c r="E1819" s="5" t="s">
        <v>6954</v>
      </c>
      <c r="F1819" s="6">
        <v>46092.64166666667</v>
      </c>
      <c r="G1819" s="5" t="s">
        <v>7456</v>
      </c>
      <c r="H1819" s="5" t="s">
        <v>11860</v>
      </c>
      <c r="I1819" s="5" t="s">
        <v>1621</v>
      </c>
      <c r="J1819" s="8">
        <v>37.75</v>
      </c>
      <c r="K1819" s="5" t="s">
        <v>4</v>
      </c>
      <c r="L1819">
        <f t="shared" si="28"/>
        <v>3</v>
      </c>
    </row>
    <row r="1820" spans="1:12" x14ac:dyDescent="0.25">
      <c r="A1820" s="5">
        <v>47218</v>
      </c>
      <c r="B1820" t="s">
        <v>10270</v>
      </c>
      <c r="C1820" s="5" t="s">
        <v>9178</v>
      </c>
      <c r="D1820" t="s">
        <v>11861</v>
      </c>
      <c r="E1820" s="5" t="s">
        <v>5220</v>
      </c>
      <c r="F1820" s="6">
        <v>46092.655555555553</v>
      </c>
      <c r="G1820" s="5" t="s">
        <v>7456</v>
      </c>
      <c r="H1820" s="5" t="s">
        <v>11862</v>
      </c>
      <c r="I1820" s="5" t="s">
        <v>1535</v>
      </c>
      <c r="J1820" s="8">
        <v>139.80000000000001</v>
      </c>
      <c r="K1820" s="5" t="s">
        <v>4</v>
      </c>
      <c r="L1820">
        <f t="shared" si="28"/>
        <v>3</v>
      </c>
    </row>
    <row r="1821" spans="1:12" x14ac:dyDescent="0.25">
      <c r="A1821" s="5">
        <v>47219</v>
      </c>
      <c r="B1821" t="s">
        <v>11863</v>
      </c>
      <c r="C1821" s="5" t="s">
        <v>11699</v>
      </c>
      <c r="D1821" t="s">
        <v>11864</v>
      </c>
      <c r="E1821" s="5" t="s">
        <v>2118</v>
      </c>
      <c r="F1821" s="6">
        <v>46092.657638888886</v>
      </c>
      <c r="G1821" s="5" t="s">
        <v>7456</v>
      </c>
      <c r="H1821" s="5" t="s">
        <v>11865</v>
      </c>
      <c r="I1821" s="5" t="s">
        <v>1564</v>
      </c>
      <c r="J1821" s="8">
        <v>485</v>
      </c>
      <c r="K1821" s="5" t="s">
        <v>4</v>
      </c>
      <c r="L1821">
        <f t="shared" si="28"/>
        <v>3</v>
      </c>
    </row>
    <row r="1822" spans="1:12" x14ac:dyDescent="0.25">
      <c r="A1822" s="5">
        <v>47220</v>
      </c>
      <c r="B1822" t="s">
        <v>11866</v>
      </c>
      <c r="C1822" s="5" t="s">
        <v>1152</v>
      </c>
      <c r="D1822" t="s">
        <v>11867</v>
      </c>
      <c r="E1822" s="5" t="s">
        <v>6989</v>
      </c>
      <c r="F1822" s="6">
        <v>46092.662499999999</v>
      </c>
      <c r="G1822" s="5" t="s">
        <v>7456</v>
      </c>
      <c r="H1822" s="5" t="s">
        <v>11868</v>
      </c>
      <c r="I1822" s="5" t="s">
        <v>1621</v>
      </c>
      <c r="J1822" s="8">
        <v>35.1</v>
      </c>
      <c r="K1822" s="5" t="s">
        <v>4</v>
      </c>
      <c r="L1822">
        <f t="shared" si="28"/>
        <v>3</v>
      </c>
    </row>
    <row r="1823" spans="1:12" x14ac:dyDescent="0.25">
      <c r="A1823" s="5">
        <v>47222</v>
      </c>
      <c r="B1823" t="s">
        <v>11869</v>
      </c>
      <c r="C1823" s="5" t="s">
        <v>11870</v>
      </c>
      <c r="D1823" t="s">
        <v>7644</v>
      </c>
      <c r="E1823" s="5" t="s">
        <v>5354</v>
      </c>
      <c r="F1823" s="6">
        <v>46092.691666666666</v>
      </c>
      <c r="G1823" s="5" t="s">
        <v>7456</v>
      </c>
      <c r="H1823" s="5" t="s">
        <v>11871</v>
      </c>
      <c r="I1823" s="5" t="s">
        <v>1621</v>
      </c>
      <c r="J1823" s="8">
        <v>133.27000000000001</v>
      </c>
      <c r="K1823" s="5" t="s">
        <v>4</v>
      </c>
      <c r="L1823">
        <f t="shared" si="28"/>
        <v>3</v>
      </c>
    </row>
    <row r="1824" spans="1:12" x14ac:dyDescent="0.25">
      <c r="A1824" s="5">
        <v>47223</v>
      </c>
      <c r="B1824" t="s">
        <v>11872</v>
      </c>
      <c r="C1824" s="5" t="s">
        <v>11873</v>
      </c>
      <c r="D1824" t="s">
        <v>11874</v>
      </c>
      <c r="E1824" s="5" t="s">
        <v>4278</v>
      </c>
      <c r="F1824" s="6">
        <v>46092.705555555556</v>
      </c>
      <c r="G1824" s="5" t="s">
        <v>7456</v>
      </c>
      <c r="H1824" s="5" t="s">
        <v>11875</v>
      </c>
      <c r="I1824" s="5" t="s">
        <v>1621</v>
      </c>
      <c r="J1824" s="8">
        <v>224.21</v>
      </c>
      <c r="K1824" s="5" t="s">
        <v>4</v>
      </c>
      <c r="L1824">
        <f t="shared" si="28"/>
        <v>3</v>
      </c>
    </row>
    <row r="1825" spans="1:12" x14ac:dyDescent="0.25">
      <c r="A1825" s="5">
        <v>47224</v>
      </c>
      <c r="B1825" t="s">
        <v>11876</v>
      </c>
      <c r="C1825" s="5" t="s">
        <v>11877</v>
      </c>
      <c r="D1825" t="s">
        <v>11878</v>
      </c>
      <c r="E1825" s="5" t="s">
        <v>4529</v>
      </c>
      <c r="F1825" s="6">
        <v>46092.723611111112</v>
      </c>
      <c r="G1825" s="5" t="s">
        <v>7456</v>
      </c>
      <c r="H1825" s="5" t="s">
        <v>11879</v>
      </c>
      <c r="I1825" s="5" t="s">
        <v>1621</v>
      </c>
      <c r="J1825" s="8">
        <v>190.05</v>
      </c>
      <c r="K1825" s="5" t="s">
        <v>4</v>
      </c>
      <c r="L1825">
        <f t="shared" si="28"/>
        <v>3</v>
      </c>
    </row>
    <row r="1826" spans="1:12" x14ac:dyDescent="0.25">
      <c r="A1826" s="5">
        <v>47225</v>
      </c>
      <c r="B1826" t="s">
        <v>11880</v>
      </c>
      <c r="C1826" s="5" t="s">
        <v>11881</v>
      </c>
      <c r="D1826" t="s">
        <v>11882</v>
      </c>
      <c r="E1826" s="5" t="s">
        <v>1702</v>
      </c>
      <c r="F1826" s="6">
        <v>46092.73541666667</v>
      </c>
      <c r="G1826" s="5" t="s">
        <v>7456</v>
      </c>
      <c r="H1826" s="5" t="s">
        <v>11883</v>
      </c>
      <c r="I1826" s="5" t="s">
        <v>1564</v>
      </c>
      <c r="J1826" s="8">
        <v>231</v>
      </c>
      <c r="K1826" s="5" t="s">
        <v>4</v>
      </c>
      <c r="L1826">
        <f t="shared" si="28"/>
        <v>3</v>
      </c>
    </row>
    <row r="1827" spans="1:12" x14ac:dyDescent="0.25">
      <c r="A1827" s="5">
        <v>47227</v>
      </c>
      <c r="B1827" t="s">
        <v>11386</v>
      </c>
      <c r="C1827" s="5" t="s">
        <v>11387</v>
      </c>
      <c r="D1827" t="s">
        <v>11388</v>
      </c>
      <c r="E1827" s="5" t="s">
        <v>1567</v>
      </c>
      <c r="F1827" s="6">
        <v>46092.744444444441</v>
      </c>
      <c r="G1827" s="5" t="s">
        <v>7672</v>
      </c>
      <c r="H1827" t="s">
        <v>7482</v>
      </c>
      <c r="I1827" s="5" t="s">
        <v>1564</v>
      </c>
      <c r="J1827" s="8">
        <v>433</v>
      </c>
      <c r="K1827" s="5" t="s">
        <v>4</v>
      </c>
      <c r="L1827">
        <f t="shared" si="28"/>
        <v>3</v>
      </c>
    </row>
    <row r="1828" spans="1:12" x14ac:dyDescent="0.25">
      <c r="A1828" s="5">
        <v>47228</v>
      </c>
      <c r="B1828" t="s">
        <v>7869</v>
      </c>
      <c r="C1828" s="5" t="s">
        <v>7870</v>
      </c>
      <c r="D1828" t="s">
        <v>7871</v>
      </c>
      <c r="E1828" s="5" t="s">
        <v>1532</v>
      </c>
      <c r="F1828" s="6">
        <v>46093.35833333333</v>
      </c>
      <c r="G1828" s="5" t="s">
        <v>8128</v>
      </c>
      <c r="H1828" t="s">
        <v>7482</v>
      </c>
      <c r="I1828" s="5" t="s">
        <v>1535</v>
      </c>
      <c r="J1828" s="8">
        <v>629.20000000000005</v>
      </c>
      <c r="K1828" s="5" t="s">
        <v>4</v>
      </c>
      <c r="L1828">
        <f t="shared" si="28"/>
        <v>3</v>
      </c>
    </row>
    <row r="1829" spans="1:12" x14ac:dyDescent="0.25">
      <c r="A1829" s="5">
        <v>47229</v>
      </c>
      <c r="B1829" t="s">
        <v>11884</v>
      </c>
      <c r="C1829" s="5" t="s">
        <v>11885</v>
      </c>
      <c r="D1829" t="s">
        <v>11886</v>
      </c>
      <c r="E1829" s="5" t="s">
        <v>1532</v>
      </c>
      <c r="F1829" s="6">
        <v>46093.365277777775</v>
      </c>
      <c r="G1829" s="5" t="s">
        <v>7456</v>
      </c>
      <c r="H1829" s="5" t="s">
        <v>11887</v>
      </c>
      <c r="I1829" s="5" t="s">
        <v>1535</v>
      </c>
      <c r="J1829" s="8">
        <v>156</v>
      </c>
      <c r="K1829" s="5" t="s">
        <v>4</v>
      </c>
      <c r="L1829">
        <f t="shared" si="28"/>
        <v>3</v>
      </c>
    </row>
    <row r="1830" spans="1:12" x14ac:dyDescent="0.25">
      <c r="A1830" s="5">
        <v>47230</v>
      </c>
      <c r="B1830" t="s">
        <v>11888</v>
      </c>
      <c r="C1830" s="5" t="s">
        <v>11889</v>
      </c>
      <c r="D1830" t="s">
        <v>11890</v>
      </c>
      <c r="E1830" s="5" t="s">
        <v>11891</v>
      </c>
      <c r="F1830" s="6">
        <v>46093.374305555553</v>
      </c>
      <c r="G1830" s="5" t="s">
        <v>7672</v>
      </c>
      <c r="H1830" t="s">
        <v>7482</v>
      </c>
      <c r="I1830" s="5" t="s">
        <v>1564</v>
      </c>
      <c r="J1830" s="8">
        <v>1718.2</v>
      </c>
      <c r="K1830" s="5" t="s">
        <v>4</v>
      </c>
      <c r="L1830">
        <f t="shared" si="28"/>
        <v>3</v>
      </c>
    </row>
    <row r="1831" spans="1:12" x14ac:dyDescent="0.25">
      <c r="A1831" s="5">
        <v>47231</v>
      </c>
      <c r="B1831" t="s">
        <v>10158</v>
      </c>
      <c r="C1831" s="5" t="s">
        <v>10159</v>
      </c>
      <c r="D1831" t="s">
        <v>10160</v>
      </c>
      <c r="E1831" s="5" t="s">
        <v>2875</v>
      </c>
      <c r="F1831" s="6">
        <v>46093.381944444445</v>
      </c>
      <c r="G1831" s="5" t="s">
        <v>7595</v>
      </c>
      <c r="H1831" t="s">
        <v>7482</v>
      </c>
      <c r="I1831" s="5" t="s">
        <v>1535</v>
      </c>
      <c r="J1831" s="8">
        <v>1830</v>
      </c>
      <c r="K1831" s="5" t="s">
        <v>4</v>
      </c>
      <c r="L1831">
        <f t="shared" si="28"/>
        <v>3</v>
      </c>
    </row>
    <row r="1832" spans="1:12" x14ac:dyDescent="0.25">
      <c r="A1832" s="5">
        <v>47232</v>
      </c>
      <c r="B1832" t="s">
        <v>9857</v>
      </c>
      <c r="C1832" s="5" t="s">
        <v>9858</v>
      </c>
      <c r="D1832" t="s">
        <v>9859</v>
      </c>
      <c r="E1832" s="5" t="s">
        <v>4360</v>
      </c>
      <c r="F1832" s="6">
        <v>46093.387499999997</v>
      </c>
      <c r="G1832" s="5" t="s">
        <v>7456</v>
      </c>
      <c r="H1832" s="5" t="s">
        <v>11892</v>
      </c>
      <c r="I1832" s="5" t="s">
        <v>1564</v>
      </c>
      <c r="J1832" s="8">
        <v>210</v>
      </c>
      <c r="K1832" s="5" t="s">
        <v>4</v>
      </c>
      <c r="L1832">
        <f t="shared" si="28"/>
        <v>3</v>
      </c>
    </row>
    <row r="1833" spans="1:12" x14ac:dyDescent="0.25">
      <c r="A1833" s="5">
        <v>47233</v>
      </c>
      <c r="B1833" t="s">
        <v>11893</v>
      </c>
      <c r="C1833" s="5" t="s">
        <v>11894</v>
      </c>
      <c r="D1833" t="s">
        <v>11895</v>
      </c>
      <c r="E1833" s="5" t="s">
        <v>2740</v>
      </c>
      <c r="F1833" s="6">
        <v>46093.393750000003</v>
      </c>
      <c r="G1833" s="5" t="s">
        <v>7456</v>
      </c>
      <c r="H1833" s="5" t="s">
        <v>11896</v>
      </c>
      <c r="I1833" s="5" t="s">
        <v>1564</v>
      </c>
      <c r="J1833" s="8">
        <v>107</v>
      </c>
      <c r="K1833" s="5" t="s">
        <v>4</v>
      </c>
      <c r="L1833">
        <f t="shared" si="28"/>
        <v>3</v>
      </c>
    </row>
    <row r="1834" spans="1:12" x14ac:dyDescent="0.25">
      <c r="A1834" s="5">
        <v>47234</v>
      </c>
      <c r="B1834" t="s">
        <v>11897</v>
      </c>
      <c r="C1834" s="5" t="s">
        <v>11696</v>
      </c>
      <c r="D1834" t="s">
        <v>11898</v>
      </c>
      <c r="E1834" s="5" t="s">
        <v>3149</v>
      </c>
      <c r="F1834" s="6">
        <v>46093.404861111114</v>
      </c>
      <c r="G1834" s="5" t="s">
        <v>7456</v>
      </c>
      <c r="H1834" s="5" t="s">
        <v>11899</v>
      </c>
      <c r="I1834" s="5" t="s">
        <v>1564</v>
      </c>
      <c r="J1834" s="8">
        <v>407.5</v>
      </c>
      <c r="K1834" s="5" t="s">
        <v>4</v>
      </c>
      <c r="L1834">
        <f t="shared" si="28"/>
        <v>3</v>
      </c>
    </row>
    <row r="1835" spans="1:12" x14ac:dyDescent="0.25">
      <c r="A1835" s="5">
        <v>47235</v>
      </c>
      <c r="B1835" t="s">
        <v>11900</v>
      </c>
      <c r="C1835" s="5" t="s">
        <v>11901</v>
      </c>
      <c r="D1835" t="s">
        <v>11902</v>
      </c>
      <c r="E1835" s="5" t="s">
        <v>6414</v>
      </c>
      <c r="F1835" s="6">
        <v>46093.404166666667</v>
      </c>
      <c r="G1835" s="5" t="s">
        <v>7456</v>
      </c>
      <c r="H1835" s="5" t="s">
        <v>11903</v>
      </c>
      <c r="I1835" s="5" t="s">
        <v>1621</v>
      </c>
      <c r="J1835" s="8">
        <v>67.930000000000007</v>
      </c>
      <c r="K1835" s="5" t="s">
        <v>4</v>
      </c>
      <c r="L1835">
        <f t="shared" si="28"/>
        <v>3</v>
      </c>
    </row>
    <row r="1836" spans="1:12" x14ac:dyDescent="0.25">
      <c r="A1836" s="5">
        <v>47236</v>
      </c>
      <c r="B1836" t="s">
        <v>11904</v>
      </c>
      <c r="C1836" s="5" t="s">
        <v>11905</v>
      </c>
      <c r="D1836" t="s">
        <v>11906</v>
      </c>
      <c r="E1836" s="5" t="s">
        <v>11907</v>
      </c>
      <c r="F1836" s="6">
        <v>46093.415972222225</v>
      </c>
      <c r="G1836" s="5" t="s">
        <v>7595</v>
      </c>
      <c r="H1836" t="s">
        <v>7482</v>
      </c>
      <c r="I1836" s="5" t="s">
        <v>1535</v>
      </c>
      <c r="J1836" s="8">
        <v>8500</v>
      </c>
      <c r="K1836" s="5" t="s">
        <v>4</v>
      </c>
      <c r="L1836">
        <f t="shared" si="28"/>
        <v>3</v>
      </c>
    </row>
    <row r="1837" spans="1:12" x14ac:dyDescent="0.25">
      <c r="A1837" s="5">
        <v>47237</v>
      </c>
      <c r="B1837" t="s">
        <v>11908</v>
      </c>
      <c r="C1837" s="5" t="s">
        <v>11909</v>
      </c>
      <c r="D1837" t="s">
        <v>11910</v>
      </c>
      <c r="E1837" s="5" t="s">
        <v>5566</v>
      </c>
      <c r="F1837" s="6">
        <v>46093.418055555558</v>
      </c>
      <c r="G1837" s="5" t="s">
        <v>7456</v>
      </c>
      <c r="H1837" s="5" t="s">
        <v>11911</v>
      </c>
      <c r="I1837" s="5" t="s">
        <v>1621</v>
      </c>
      <c r="J1837" s="8">
        <v>117.51</v>
      </c>
      <c r="K1837" s="5" t="s">
        <v>4</v>
      </c>
      <c r="L1837">
        <f t="shared" si="28"/>
        <v>3</v>
      </c>
    </row>
    <row r="1838" spans="1:12" x14ac:dyDescent="0.25">
      <c r="A1838" s="5">
        <v>47238</v>
      </c>
      <c r="B1838" t="s">
        <v>11912</v>
      </c>
      <c r="C1838" s="5" t="s">
        <v>11913</v>
      </c>
      <c r="D1838" t="s">
        <v>11914</v>
      </c>
      <c r="E1838" s="5" t="s">
        <v>3861</v>
      </c>
      <c r="F1838" s="6">
        <v>46093.425694444442</v>
      </c>
      <c r="G1838" s="5" t="s">
        <v>7456</v>
      </c>
      <c r="H1838" s="5" t="s">
        <v>11915</v>
      </c>
      <c r="I1838" s="5" t="s">
        <v>1621</v>
      </c>
      <c r="J1838" s="8">
        <v>277.51</v>
      </c>
      <c r="K1838" s="5" t="s">
        <v>4</v>
      </c>
      <c r="L1838">
        <f t="shared" si="28"/>
        <v>3</v>
      </c>
    </row>
    <row r="1839" spans="1:12" x14ac:dyDescent="0.25">
      <c r="A1839" s="5">
        <v>47240</v>
      </c>
      <c r="B1839" t="s">
        <v>8125</v>
      </c>
      <c r="C1839" s="5" t="s">
        <v>11768</v>
      </c>
      <c r="D1839" t="s">
        <v>8127</v>
      </c>
      <c r="E1839" s="5" t="s">
        <v>3210</v>
      </c>
      <c r="F1839" s="6">
        <v>46093.44027777778</v>
      </c>
      <c r="G1839" s="5" t="s">
        <v>7456</v>
      </c>
      <c r="H1839" s="5" t="s">
        <v>11916</v>
      </c>
      <c r="I1839" s="5" t="s">
        <v>1621</v>
      </c>
      <c r="J1839" s="8">
        <v>392.97</v>
      </c>
      <c r="K1839" s="5" t="s">
        <v>4</v>
      </c>
      <c r="L1839">
        <f t="shared" si="28"/>
        <v>3</v>
      </c>
    </row>
    <row r="1840" spans="1:12" x14ac:dyDescent="0.25">
      <c r="A1840" s="5">
        <v>47241</v>
      </c>
      <c r="B1840" t="s">
        <v>11917</v>
      </c>
      <c r="C1840" s="5" t="s">
        <v>11918</v>
      </c>
      <c r="D1840" t="s">
        <v>11919</v>
      </c>
      <c r="E1840" s="5" t="s">
        <v>1770</v>
      </c>
      <c r="F1840" s="6">
        <v>46093.457638888889</v>
      </c>
      <c r="G1840" s="5" t="s">
        <v>7672</v>
      </c>
      <c r="H1840" t="s">
        <v>7482</v>
      </c>
      <c r="I1840" s="5" t="s">
        <v>1564</v>
      </c>
      <c r="J1840" s="8">
        <v>547</v>
      </c>
      <c r="K1840" s="5" t="s">
        <v>4</v>
      </c>
      <c r="L1840">
        <f t="shared" si="28"/>
        <v>3</v>
      </c>
    </row>
    <row r="1841" spans="1:12" x14ac:dyDescent="0.25">
      <c r="A1841" s="5">
        <v>47242</v>
      </c>
      <c r="B1841" t="s">
        <v>11920</v>
      </c>
      <c r="C1841" s="5" t="s">
        <v>298</v>
      </c>
      <c r="D1841" t="s">
        <v>11921</v>
      </c>
      <c r="E1841" s="5" t="s">
        <v>6943</v>
      </c>
      <c r="F1841" s="6">
        <v>46093.486111111109</v>
      </c>
      <c r="G1841" s="5" t="s">
        <v>7456</v>
      </c>
      <c r="H1841" s="5" t="s">
        <v>11922</v>
      </c>
      <c r="I1841" s="5" t="s">
        <v>1621</v>
      </c>
      <c r="J1841" s="8">
        <v>38.39</v>
      </c>
      <c r="K1841" s="5" t="s">
        <v>4</v>
      </c>
      <c r="L1841">
        <f t="shared" si="28"/>
        <v>3</v>
      </c>
    </row>
    <row r="1842" spans="1:12" x14ac:dyDescent="0.25">
      <c r="A1842" s="5">
        <v>47243</v>
      </c>
      <c r="B1842" t="s">
        <v>11923</v>
      </c>
      <c r="C1842" s="5" t="s">
        <v>11924</v>
      </c>
      <c r="D1842" t="s">
        <v>11925</v>
      </c>
      <c r="E1842" s="5" t="s">
        <v>2306</v>
      </c>
      <c r="F1842" s="6">
        <v>46093.498611111114</v>
      </c>
      <c r="G1842" s="5" t="s">
        <v>7672</v>
      </c>
      <c r="H1842" t="s">
        <v>7482</v>
      </c>
      <c r="I1842" s="5" t="s">
        <v>1564</v>
      </c>
      <c r="J1842" s="8">
        <v>185</v>
      </c>
      <c r="K1842" s="5" t="s">
        <v>4</v>
      </c>
      <c r="L1842">
        <f t="shared" si="28"/>
        <v>3</v>
      </c>
    </row>
    <row r="1843" spans="1:12" x14ac:dyDescent="0.25">
      <c r="A1843" s="5">
        <v>47244</v>
      </c>
      <c r="B1843" t="s">
        <v>11926</v>
      </c>
      <c r="C1843" s="5" t="s">
        <v>11927</v>
      </c>
      <c r="D1843" t="s">
        <v>11928</v>
      </c>
      <c r="E1843" s="5" t="s">
        <v>3989</v>
      </c>
      <c r="F1843" s="6">
        <v>46093.50277777778</v>
      </c>
      <c r="G1843" s="5" t="s">
        <v>7456</v>
      </c>
      <c r="H1843" s="5" t="s">
        <v>11929</v>
      </c>
      <c r="I1843" s="5" t="s">
        <v>1564</v>
      </c>
      <c r="J1843" s="8">
        <v>260</v>
      </c>
      <c r="K1843" s="5" t="s">
        <v>4</v>
      </c>
      <c r="L1843">
        <f t="shared" si="28"/>
        <v>3</v>
      </c>
    </row>
    <row r="1844" spans="1:12" x14ac:dyDescent="0.25">
      <c r="A1844" s="5">
        <v>47245</v>
      </c>
      <c r="B1844" t="s">
        <v>8965</v>
      </c>
      <c r="C1844" s="5" t="s">
        <v>9154</v>
      </c>
      <c r="D1844" t="s">
        <v>8966</v>
      </c>
      <c r="E1844" s="5" t="s">
        <v>1532</v>
      </c>
      <c r="F1844" s="6">
        <v>46093.650694444441</v>
      </c>
      <c r="G1844" s="5" t="s">
        <v>7595</v>
      </c>
      <c r="H1844" t="s">
        <v>7482</v>
      </c>
      <c r="I1844" s="5" t="s">
        <v>1535</v>
      </c>
      <c r="J1844" s="8">
        <v>1050</v>
      </c>
      <c r="K1844" s="5" t="s">
        <v>4</v>
      </c>
      <c r="L1844">
        <f t="shared" si="28"/>
        <v>3</v>
      </c>
    </row>
    <row r="1845" spans="1:12" x14ac:dyDescent="0.25">
      <c r="A1845" s="5">
        <v>47246</v>
      </c>
      <c r="B1845" t="s">
        <v>11930</v>
      </c>
      <c r="C1845" s="5" t="s">
        <v>11931</v>
      </c>
      <c r="D1845" t="s">
        <v>11932</v>
      </c>
      <c r="E1845" s="5" t="s">
        <v>6193</v>
      </c>
      <c r="F1845" s="6">
        <v>46093.649305555555</v>
      </c>
      <c r="G1845" s="5" t="s">
        <v>7456</v>
      </c>
      <c r="H1845" s="5" t="s">
        <v>11933</v>
      </c>
      <c r="I1845" s="5" t="s">
        <v>1621</v>
      </c>
      <c r="J1845" s="8">
        <v>80.98</v>
      </c>
      <c r="K1845" s="5" t="s">
        <v>4</v>
      </c>
      <c r="L1845">
        <f t="shared" si="28"/>
        <v>3</v>
      </c>
    </row>
    <row r="1846" spans="1:12" x14ac:dyDescent="0.25">
      <c r="A1846" s="5">
        <v>47247</v>
      </c>
      <c r="B1846" t="s">
        <v>9823</v>
      </c>
      <c r="C1846" s="5" t="s">
        <v>9824</v>
      </c>
      <c r="D1846" t="s">
        <v>9825</v>
      </c>
      <c r="E1846" s="5" t="s">
        <v>5900</v>
      </c>
      <c r="F1846" s="6">
        <v>46093.664583333331</v>
      </c>
      <c r="G1846" s="5" t="s">
        <v>7456</v>
      </c>
      <c r="H1846" s="5" t="s">
        <v>11934</v>
      </c>
      <c r="I1846" s="5" t="s">
        <v>1564</v>
      </c>
      <c r="J1846" s="8">
        <v>101.6</v>
      </c>
      <c r="K1846" s="5" t="s">
        <v>4</v>
      </c>
      <c r="L1846">
        <f t="shared" si="28"/>
        <v>3</v>
      </c>
    </row>
    <row r="1847" spans="1:12" x14ac:dyDescent="0.25">
      <c r="A1847" s="5">
        <v>47248</v>
      </c>
      <c r="B1847" t="s">
        <v>10010</v>
      </c>
      <c r="C1847" s="5" t="s">
        <v>10011</v>
      </c>
      <c r="D1847" t="s">
        <v>8861</v>
      </c>
      <c r="E1847" s="5" t="s">
        <v>1759</v>
      </c>
      <c r="F1847" s="6">
        <v>46093.670138888891</v>
      </c>
      <c r="G1847" s="5" t="s">
        <v>7672</v>
      </c>
      <c r="H1847" t="s">
        <v>8626</v>
      </c>
      <c r="I1847" s="5" t="s">
        <v>1564</v>
      </c>
      <c r="J1847" s="8">
        <v>197.63</v>
      </c>
      <c r="K1847" s="5" t="s">
        <v>4</v>
      </c>
      <c r="L1847">
        <f t="shared" si="28"/>
        <v>3</v>
      </c>
    </row>
    <row r="1848" spans="1:12" x14ac:dyDescent="0.25">
      <c r="A1848" s="5">
        <v>47249</v>
      </c>
      <c r="B1848" t="s">
        <v>8965</v>
      </c>
      <c r="C1848" s="5" t="s">
        <v>9154</v>
      </c>
      <c r="D1848" t="s">
        <v>8966</v>
      </c>
      <c r="E1848" s="5" t="s">
        <v>1532</v>
      </c>
      <c r="F1848" s="6">
        <v>46093.6875</v>
      </c>
      <c r="G1848" s="5" t="s">
        <v>7595</v>
      </c>
      <c r="H1848" t="s">
        <v>7482</v>
      </c>
      <c r="I1848" s="5" t="s">
        <v>1535</v>
      </c>
      <c r="J1848" s="8">
        <v>785</v>
      </c>
      <c r="K1848" s="5" t="s">
        <v>4</v>
      </c>
      <c r="L1848">
        <f t="shared" si="28"/>
        <v>3</v>
      </c>
    </row>
    <row r="1849" spans="1:12" x14ac:dyDescent="0.25">
      <c r="A1849" s="5">
        <v>47250</v>
      </c>
      <c r="B1849" t="s">
        <v>11935</v>
      </c>
      <c r="C1849" s="5" t="s">
        <v>11936</v>
      </c>
      <c r="D1849" t="s">
        <v>11937</v>
      </c>
      <c r="E1849" s="5" t="s">
        <v>1892</v>
      </c>
      <c r="F1849" s="6">
        <v>46093.722916666666</v>
      </c>
      <c r="G1849" s="5" t="s">
        <v>7672</v>
      </c>
      <c r="H1849" t="s">
        <v>7482</v>
      </c>
      <c r="I1849" s="5" t="s">
        <v>1564</v>
      </c>
      <c r="J1849" s="8">
        <v>200</v>
      </c>
      <c r="K1849" s="5" t="s">
        <v>4</v>
      </c>
      <c r="L1849">
        <f t="shared" si="28"/>
        <v>3</v>
      </c>
    </row>
    <row r="1850" spans="1:12" x14ac:dyDescent="0.25">
      <c r="A1850" s="5">
        <v>47251</v>
      </c>
      <c r="B1850" t="s">
        <v>10219</v>
      </c>
      <c r="C1850" s="5" t="s">
        <v>11938</v>
      </c>
      <c r="D1850" t="s">
        <v>10221</v>
      </c>
      <c r="E1850" s="5" t="s">
        <v>2971</v>
      </c>
      <c r="F1850" s="6">
        <v>46093.728472222225</v>
      </c>
      <c r="G1850" s="5" t="s">
        <v>7456</v>
      </c>
      <c r="H1850" s="5" t="s">
        <v>11939</v>
      </c>
      <c r="I1850" s="5" t="s">
        <v>1564</v>
      </c>
      <c r="J1850" s="8">
        <v>462.14</v>
      </c>
      <c r="K1850" s="5" t="s">
        <v>4</v>
      </c>
      <c r="L1850">
        <f t="shared" si="28"/>
        <v>3</v>
      </c>
    </row>
    <row r="1851" spans="1:12" x14ac:dyDescent="0.25">
      <c r="A1851" s="5">
        <v>47252</v>
      </c>
      <c r="B1851" t="s">
        <v>11940</v>
      </c>
      <c r="C1851" s="5" t="s">
        <v>11941</v>
      </c>
      <c r="D1851" t="s">
        <v>11942</v>
      </c>
      <c r="E1851" s="5" t="s">
        <v>11943</v>
      </c>
      <c r="F1851" s="6">
        <v>46093.734722222223</v>
      </c>
      <c r="G1851" s="5" t="s">
        <v>7672</v>
      </c>
      <c r="H1851" t="s">
        <v>7482</v>
      </c>
      <c r="I1851" s="5" t="s">
        <v>1564</v>
      </c>
      <c r="J1851" s="8">
        <v>429.1</v>
      </c>
      <c r="K1851" s="5" t="s">
        <v>4</v>
      </c>
      <c r="L1851">
        <f t="shared" si="28"/>
        <v>3</v>
      </c>
    </row>
    <row r="1852" spans="1:12" x14ac:dyDescent="0.25">
      <c r="A1852" s="5">
        <v>47253</v>
      </c>
      <c r="B1852" t="s">
        <v>11944</v>
      </c>
      <c r="C1852" s="5" t="s">
        <v>11945</v>
      </c>
      <c r="D1852" t="s">
        <v>11946</v>
      </c>
      <c r="E1852" s="5" t="s">
        <v>1663</v>
      </c>
      <c r="F1852" s="6">
        <v>46093.753472222219</v>
      </c>
      <c r="G1852" s="5" t="s">
        <v>7672</v>
      </c>
      <c r="H1852" t="s">
        <v>7482</v>
      </c>
      <c r="I1852" s="5" t="s">
        <v>1564</v>
      </c>
      <c r="J1852" s="8">
        <v>200</v>
      </c>
      <c r="K1852" s="5" t="s">
        <v>4</v>
      </c>
      <c r="L1852">
        <f t="shared" si="28"/>
        <v>3</v>
      </c>
    </row>
    <row r="1853" spans="1:12" x14ac:dyDescent="0.25">
      <c r="A1853" s="5">
        <v>47254</v>
      </c>
      <c r="B1853" t="s">
        <v>11947</v>
      </c>
      <c r="C1853" s="5" t="s">
        <v>11948</v>
      </c>
      <c r="D1853" t="s">
        <v>11949</v>
      </c>
      <c r="E1853" s="5" t="s">
        <v>1813</v>
      </c>
      <c r="F1853" s="6">
        <v>46094.354861111111</v>
      </c>
      <c r="G1853" s="5" t="s">
        <v>7595</v>
      </c>
      <c r="H1853" t="s">
        <v>7482</v>
      </c>
      <c r="I1853" s="5" t="s">
        <v>1535</v>
      </c>
      <c r="J1853" s="8">
        <v>1767</v>
      </c>
      <c r="K1853" s="5" t="s">
        <v>4</v>
      </c>
      <c r="L1853">
        <f t="shared" si="28"/>
        <v>3</v>
      </c>
    </row>
    <row r="1854" spans="1:12" x14ac:dyDescent="0.25">
      <c r="A1854" s="5">
        <v>47257</v>
      </c>
      <c r="B1854" t="s">
        <v>11950</v>
      </c>
      <c r="C1854" s="5" t="s">
        <v>11951</v>
      </c>
      <c r="D1854" t="s">
        <v>11952</v>
      </c>
      <c r="E1854" s="5" t="s">
        <v>1813</v>
      </c>
      <c r="F1854" s="6">
        <v>46094.373611111114</v>
      </c>
      <c r="G1854" s="5" t="s">
        <v>7595</v>
      </c>
      <c r="H1854" t="s">
        <v>7482</v>
      </c>
      <c r="I1854" s="5" t="s">
        <v>1535</v>
      </c>
      <c r="J1854" s="8">
        <v>587.70000000000005</v>
      </c>
      <c r="K1854" s="5" t="s">
        <v>4</v>
      </c>
      <c r="L1854">
        <f t="shared" si="28"/>
        <v>3</v>
      </c>
    </row>
    <row r="1855" spans="1:12" x14ac:dyDescent="0.25">
      <c r="A1855" s="5">
        <v>47259</v>
      </c>
      <c r="B1855" t="s">
        <v>11953</v>
      </c>
      <c r="C1855" s="5" t="s">
        <v>11954</v>
      </c>
      <c r="D1855" t="s">
        <v>11955</v>
      </c>
      <c r="E1855" s="5" t="s">
        <v>2118</v>
      </c>
      <c r="F1855" s="6">
        <v>46094.384722222225</v>
      </c>
      <c r="G1855" s="5" t="s">
        <v>7672</v>
      </c>
      <c r="H1855" t="s">
        <v>8626</v>
      </c>
      <c r="I1855" s="5" t="s">
        <v>1564</v>
      </c>
      <c r="J1855" s="8">
        <v>149</v>
      </c>
      <c r="K1855" s="5" t="s">
        <v>4</v>
      </c>
      <c r="L1855">
        <f t="shared" si="28"/>
        <v>3</v>
      </c>
    </row>
    <row r="1856" spans="1:12" x14ac:dyDescent="0.25">
      <c r="A1856" s="5">
        <v>47260</v>
      </c>
      <c r="B1856" t="s">
        <v>11956</v>
      </c>
      <c r="C1856" s="5" t="s">
        <v>11957</v>
      </c>
      <c r="D1856" t="s">
        <v>11958</v>
      </c>
      <c r="E1856" s="5" t="s">
        <v>5031</v>
      </c>
      <c r="F1856" s="6">
        <v>46094.409722222219</v>
      </c>
      <c r="G1856" s="5" t="s">
        <v>7456</v>
      </c>
      <c r="H1856" s="5" t="s">
        <v>11959</v>
      </c>
      <c r="I1856" s="5" t="s">
        <v>1564</v>
      </c>
      <c r="J1856" s="8">
        <v>150.80000000000001</v>
      </c>
      <c r="K1856" s="5" t="s">
        <v>4</v>
      </c>
      <c r="L1856">
        <f t="shared" si="28"/>
        <v>3</v>
      </c>
    </row>
    <row r="1857" spans="1:12" x14ac:dyDescent="0.25">
      <c r="A1857" s="5">
        <v>47262</v>
      </c>
      <c r="B1857" t="s">
        <v>11960</v>
      </c>
      <c r="C1857" s="5" t="s">
        <v>11961</v>
      </c>
      <c r="D1857" t="s">
        <v>11962</v>
      </c>
      <c r="E1857" s="5" t="s">
        <v>11963</v>
      </c>
      <c r="F1857" s="6">
        <v>46094.434027777781</v>
      </c>
      <c r="G1857" s="5" t="s">
        <v>7672</v>
      </c>
      <c r="H1857" t="s">
        <v>7482</v>
      </c>
      <c r="I1857" s="5" t="s">
        <v>1564</v>
      </c>
      <c r="J1857" s="8">
        <v>1447.9</v>
      </c>
      <c r="K1857" s="5" t="s">
        <v>4</v>
      </c>
      <c r="L1857">
        <f t="shared" si="28"/>
        <v>3</v>
      </c>
    </row>
    <row r="1858" spans="1:12" x14ac:dyDescent="0.25">
      <c r="A1858" s="5">
        <v>47263</v>
      </c>
      <c r="B1858" t="s">
        <v>8965</v>
      </c>
      <c r="C1858" s="5" t="s">
        <v>9333</v>
      </c>
      <c r="D1858" t="s">
        <v>8966</v>
      </c>
      <c r="E1858" s="5" t="s">
        <v>6066</v>
      </c>
      <c r="F1858" s="6">
        <v>46094.4375</v>
      </c>
      <c r="G1858" s="5" t="s">
        <v>7456</v>
      </c>
      <c r="H1858" s="5" t="s">
        <v>11964</v>
      </c>
      <c r="I1858" s="5" t="s">
        <v>1535</v>
      </c>
      <c r="J1858" s="8">
        <v>90</v>
      </c>
      <c r="K1858" s="5" t="s">
        <v>4</v>
      </c>
      <c r="L1858">
        <f t="shared" si="28"/>
        <v>3</v>
      </c>
    </row>
    <row r="1859" spans="1:12" x14ac:dyDescent="0.25">
      <c r="A1859" s="5">
        <v>47264</v>
      </c>
      <c r="B1859" t="s">
        <v>11965</v>
      </c>
      <c r="C1859" s="5" t="s">
        <v>11966</v>
      </c>
      <c r="D1859" t="s">
        <v>11967</v>
      </c>
      <c r="E1859" s="5" t="s">
        <v>1813</v>
      </c>
      <c r="F1859" s="6">
        <v>46094.447222222225</v>
      </c>
      <c r="G1859" s="5" t="s">
        <v>7595</v>
      </c>
      <c r="H1859" t="s">
        <v>7482</v>
      </c>
      <c r="I1859" s="5" t="s">
        <v>1535</v>
      </c>
      <c r="J1859" s="8">
        <v>1507</v>
      </c>
      <c r="K1859" s="5" t="s">
        <v>4</v>
      </c>
      <c r="L1859">
        <f t="shared" ref="L1859:L1922" si="29">MONTH(F1859)</f>
        <v>3</v>
      </c>
    </row>
    <row r="1860" spans="1:12" x14ac:dyDescent="0.25">
      <c r="A1860" s="5">
        <v>47267</v>
      </c>
      <c r="B1860" t="s">
        <v>8965</v>
      </c>
      <c r="C1860" s="5" t="s">
        <v>9154</v>
      </c>
      <c r="D1860" t="s">
        <v>8966</v>
      </c>
      <c r="E1860" s="5" t="s">
        <v>1532</v>
      </c>
      <c r="F1860" s="6">
        <v>46094.558333333334</v>
      </c>
      <c r="G1860" s="5" t="s">
        <v>7595</v>
      </c>
      <c r="H1860" t="s">
        <v>7482</v>
      </c>
      <c r="I1860" s="5" t="s">
        <v>1535</v>
      </c>
      <c r="J1860" s="8">
        <v>2721.5</v>
      </c>
      <c r="K1860" s="5" t="s">
        <v>4</v>
      </c>
      <c r="L1860">
        <f t="shared" si="29"/>
        <v>3</v>
      </c>
    </row>
    <row r="1861" spans="1:12" x14ac:dyDescent="0.25">
      <c r="A1861" s="5">
        <v>47268</v>
      </c>
      <c r="B1861" t="s">
        <v>11968</v>
      </c>
      <c r="C1861" s="5" t="s">
        <v>11969</v>
      </c>
      <c r="D1861" t="s">
        <v>11970</v>
      </c>
      <c r="E1861" s="5" t="s">
        <v>1770</v>
      </c>
      <c r="F1861" s="6">
        <v>46094.605555555558</v>
      </c>
      <c r="G1861" s="5" t="s">
        <v>7456</v>
      </c>
      <c r="H1861" s="5" t="s">
        <v>11971</v>
      </c>
      <c r="I1861" s="5" t="s">
        <v>1564</v>
      </c>
      <c r="J1861" s="8">
        <v>102.5</v>
      </c>
      <c r="K1861" s="5" t="s">
        <v>4</v>
      </c>
      <c r="L1861">
        <f t="shared" si="29"/>
        <v>3</v>
      </c>
    </row>
    <row r="1862" spans="1:12" x14ac:dyDescent="0.25">
      <c r="A1862" s="5">
        <v>47269</v>
      </c>
      <c r="B1862" t="s">
        <v>11222</v>
      </c>
      <c r="C1862" s="5" t="s">
        <v>11223</v>
      </c>
      <c r="D1862" t="s">
        <v>11224</v>
      </c>
      <c r="E1862" s="5" t="s">
        <v>2829</v>
      </c>
      <c r="F1862" s="6">
        <v>46094.615277777775</v>
      </c>
      <c r="G1862" s="5" t="s">
        <v>7456</v>
      </c>
      <c r="H1862" s="5" t="s">
        <v>11972</v>
      </c>
      <c r="I1862" s="5" t="s">
        <v>1535</v>
      </c>
      <c r="J1862" s="8">
        <v>513.9</v>
      </c>
      <c r="K1862" s="5" t="s">
        <v>4</v>
      </c>
      <c r="L1862">
        <f t="shared" si="29"/>
        <v>3</v>
      </c>
    </row>
    <row r="1863" spans="1:12" x14ac:dyDescent="0.25">
      <c r="A1863" s="5">
        <v>47271</v>
      </c>
      <c r="B1863" t="s">
        <v>11973</v>
      </c>
      <c r="C1863" s="5" t="s">
        <v>11974</v>
      </c>
      <c r="D1863" t="s">
        <v>11975</v>
      </c>
      <c r="E1863" s="5" t="s">
        <v>2306</v>
      </c>
      <c r="F1863" s="6">
        <v>46094.663194444445</v>
      </c>
      <c r="G1863" s="5" t="s">
        <v>7672</v>
      </c>
      <c r="H1863" t="s">
        <v>7482</v>
      </c>
      <c r="I1863" s="5" t="s">
        <v>1564</v>
      </c>
      <c r="J1863" s="8">
        <v>3761.13</v>
      </c>
      <c r="K1863" s="5" t="s">
        <v>4</v>
      </c>
      <c r="L1863">
        <f t="shared" si="29"/>
        <v>3</v>
      </c>
    </row>
    <row r="1864" spans="1:12" x14ac:dyDescent="0.25">
      <c r="A1864" s="5">
        <v>47277</v>
      </c>
      <c r="B1864" t="s">
        <v>11976</v>
      </c>
      <c r="C1864" s="5" t="s">
        <v>338</v>
      </c>
      <c r="D1864" t="s">
        <v>11977</v>
      </c>
      <c r="E1864" s="5" t="s">
        <v>5404</v>
      </c>
      <c r="F1864" s="6">
        <v>46094.675000000003</v>
      </c>
      <c r="G1864" s="5" t="s">
        <v>7456</v>
      </c>
      <c r="H1864" s="5" t="s">
        <v>11978</v>
      </c>
      <c r="I1864" s="5" t="s">
        <v>1621</v>
      </c>
      <c r="J1864" s="8">
        <v>131.22999999999999</v>
      </c>
      <c r="K1864" s="5" t="s">
        <v>4</v>
      </c>
      <c r="L1864">
        <f t="shared" si="29"/>
        <v>3</v>
      </c>
    </row>
    <row r="1865" spans="1:12" x14ac:dyDescent="0.25">
      <c r="A1865" s="5">
        <v>47278</v>
      </c>
      <c r="B1865" t="s">
        <v>11979</v>
      </c>
      <c r="C1865" s="5" t="s">
        <v>967</v>
      </c>
      <c r="D1865" t="s">
        <v>11980</v>
      </c>
      <c r="E1865" s="5" t="s">
        <v>3643</v>
      </c>
      <c r="F1865" s="6">
        <v>46094.684027777781</v>
      </c>
      <c r="G1865" s="5" t="s">
        <v>7456</v>
      </c>
      <c r="H1865" s="5" t="s">
        <v>11981</v>
      </c>
      <c r="I1865" s="5" t="s">
        <v>1621</v>
      </c>
      <c r="J1865" s="8">
        <v>304.58</v>
      </c>
      <c r="K1865" s="5" t="s">
        <v>4</v>
      </c>
      <c r="L1865">
        <f t="shared" si="29"/>
        <v>3</v>
      </c>
    </row>
    <row r="1866" spans="1:12" x14ac:dyDescent="0.25">
      <c r="A1866" s="5">
        <v>47279</v>
      </c>
      <c r="B1866" t="s">
        <v>11982</v>
      </c>
      <c r="C1866" s="5" t="s">
        <v>11983</v>
      </c>
      <c r="D1866" t="s">
        <v>11984</v>
      </c>
      <c r="E1866" s="5" t="s">
        <v>3707</v>
      </c>
      <c r="F1866" s="6">
        <v>46094.697222222225</v>
      </c>
      <c r="G1866" s="5" t="s">
        <v>7456</v>
      </c>
      <c r="H1866" s="5" t="s">
        <v>11985</v>
      </c>
      <c r="I1866" s="5" t="s">
        <v>1564</v>
      </c>
      <c r="J1866" s="8">
        <v>146</v>
      </c>
      <c r="K1866" s="5" t="s">
        <v>4</v>
      </c>
      <c r="L1866">
        <f t="shared" si="29"/>
        <v>3</v>
      </c>
    </row>
    <row r="1867" spans="1:12" x14ac:dyDescent="0.25">
      <c r="A1867" s="5">
        <v>47280</v>
      </c>
      <c r="B1867" t="s">
        <v>11146</v>
      </c>
      <c r="C1867" s="5" t="s">
        <v>210</v>
      </c>
      <c r="D1867" t="s">
        <v>11147</v>
      </c>
      <c r="E1867" s="5" t="s">
        <v>1759</v>
      </c>
      <c r="F1867" s="6">
        <v>46097.363888888889</v>
      </c>
      <c r="G1867" s="5" t="s">
        <v>7456</v>
      </c>
      <c r="H1867" s="5" t="s">
        <v>7522</v>
      </c>
      <c r="I1867" s="5" t="s">
        <v>1621</v>
      </c>
      <c r="J1867" s="8">
        <v>0</v>
      </c>
      <c r="K1867" s="5" t="s">
        <v>4</v>
      </c>
      <c r="L1867">
        <f t="shared" si="29"/>
        <v>3</v>
      </c>
    </row>
    <row r="1868" spans="1:12" x14ac:dyDescent="0.25">
      <c r="A1868" s="5">
        <v>47281</v>
      </c>
      <c r="B1868" t="s">
        <v>10894</v>
      </c>
      <c r="C1868" s="5" t="s">
        <v>10895</v>
      </c>
      <c r="D1868" t="s">
        <v>10896</v>
      </c>
      <c r="E1868" s="5" t="s">
        <v>1770</v>
      </c>
      <c r="F1868" s="6">
        <v>46097.390972222223</v>
      </c>
      <c r="G1868" s="5" t="s">
        <v>7456</v>
      </c>
      <c r="H1868" s="5" t="s">
        <v>11986</v>
      </c>
      <c r="I1868" s="5" t="s">
        <v>1564</v>
      </c>
      <c r="J1868" s="8">
        <v>690</v>
      </c>
      <c r="K1868" s="5" t="s">
        <v>4</v>
      </c>
      <c r="L1868">
        <f t="shared" si="29"/>
        <v>3</v>
      </c>
    </row>
    <row r="1869" spans="1:12" x14ac:dyDescent="0.25">
      <c r="A1869" s="5">
        <v>47282</v>
      </c>
      <c r="B1869" t="s">
        <v>10106</v>
      </c>
      <c r="C1869" s="5" t="s">
        <v>10107</v>
      </c>
      <c r="D1869" t="s">
        <v>10108</v>
      </c>
      <c r="E1869" s="5" t="s">
        <v>1738</v>
      </c>
      <c r="F1869" s="6">
        <v>46097.393750000003</v>
      </c>
      <c r="G1869" s="5" t="s">
        <v>7672</v>
      </c>
      <c r="H1869" t="s">
        <v>8626</v>
      </c>
      <c r="I1869" s="5" t="s">
        <v>1564</v>
      </c>
      <c r="J1869" s="8">
        <v>320</v>
      </c>
      <c r="K1869" s="5" t="s">
        <v>4</v>
      </c>
      <c r="L1869">
        <f t="shared" si="29"/>
        <v>3</v>
      </c>
    </row>
    <row r="1870" spans="1:12" x14ac:dyDescent="0.25">
      <c r="A1870" s="5">
        <v>47284</v>
      </c>
      <c r="B1870" t="s">
        <v>11987</v>
      </c>
      <c r="C1870" s="5" t="s">
        <v>11988</v>
      </c>
      <c r="D1870" t="s">
        <v>11989</v>
      </c>
      <c r="E1870" s="5" t="s">
        <v>1567</v>
      </c>
      <c r="F1870" s="6">
        <v>46097.405555555553</v>
      </c>
      <c r="G1870" s="5" t="s">
        <v>7456</v>
      </c>
      <c r="H1870" s="5" t="s">
        <v>11990</v>
      </c>
      <c r="I1870" s="5" t="s">
        <v>1564</v>
      </c>
      <c r="J1870" s="8">
        <v>1284</v>
      </c>
      <c r="K1870" s="5" t="s">
        <v>4</v>
      </c>
      <c r="L1870">
        <f t="shared" si="29"/>
        <v>3</v>
      </c>
    </row>
    <row r="1871" spans="1:12" x14ac:dyDescent="0.25">
      <c r="A1871" s="5">
        <v>47285</v>
      </c>
      <c r="B1871" t="s">
        <v>10853</v>
      </c>
      <c r="C1871" s="5" t="s">
        <v>11082</v>
      </c>
      <c r="D1871" t="s">
        <v>10855</v>
      </c>
      <c r="E1871" s="5" t="s">
        <v>5273</v>
      </c>
      <c r="F1871" s="6">
        <v>46097.413888888892</v>
      </c>
      <c r="G1871" s="5" t="s">
        <v>7456</v>
      </c>
      <c r="H1871" s="5" t="s">
        <v>11991</v>
      </c>
      <c r="I1871" s="5" t="s">
        <v>1564</v>
      </c>
      <c r="J1871" s="8">
        <v>135.30000000000001</v>
      </c>
      <c r="K1871" s="5" t="s">
        <v>4</v>
      </c>
      <c r="L1871">
        <f t="shared" si="29"/>
        <v>3</v>
      </c>
    </row>
    <row r="1872" spans="1:12" x14ac:dyDescent="0.25">
      <c r="A1872" s="5">
        <v>47287</v>
      </c>
      <c r="B1872" t="s">
        <v>11992</v>
      </c>
      <c r="C1872" s="5" t="s">
        <v>8248</v>
      </c>
      <c r="D1872" t="s">
        <v>11993</v>
      </c>
      <c r="E1872" s="5" t="s">
        <v>1738</v>
      </c>
      <c r="F1872" s="6">
        <v>46097.446527777778</v>
      </c>
      <c r="G1872" s="5" t="s">
        <v>7456</v>
      </c>
      <c r="H1872" s="5" t="s">
        <v>11994</v>
      </c>
      <c r="I1872" s="5" t="s">
        <v>1564</v>
      </c>
      <c r="J1872" s="8">
        <v>144</v>
      </c>
      <c r="K1872" s="5" t="s">
        <v>4</v>
      </c>
      <c r="L1872">
        <f t="shared" si="29"/>
        <v>3</v>
      </c>
    </row>
    <row r="1873" spans="1:12" x14ac:dyDescent="0.25">
      <c r="A1873" s="5">
        <v>47288</v>
      </c>
      <c r="B1873" t="s">
        <v>11784</v>
      </c>
      <c r="C1873" s="5" t="s">
        <v>11355</v>
      </c>
      <c r="D1873" t="s">
        <v>11356</v>
      </c>
      <c r="E1873" s="5" t="s">
        <v>1759</v>
      </c>
      <c r="F1873" s="6">
        <v>46097.482638888891</v>
      </c>
      <c r="G1873" s="5" t="s">
        <v>7456</v>
      </c>
      <c r="H1873" s="5" t="s">
        <v>11995</v>
      </c>
      <c r="I1873" s="5" t="s">
        <v>1564</v>
      </c>
      <c r="J1873" s="8">
        <v>145</v>
      </c>
      <c r="K1873" s="5" t="s">
        <v>4</v>
      </c>
      <c r="L1873">
        <f t="shared" si="29"/>
        <v>3</v>
      </c>
    </row>
    <row r="1874" spans="1:12" x14ac:dyDescent="0.25">
      <c r="A1874" s="5">
        <v>47289</v>
      </c>
      <c r="B1874" t="s">
        <v>11996</v>
      </c>
      <c r="C1874" s="5" t="s">
        <v>11997</v>
      </c>
      <c r="D1874" t="s">
        <v>11998</v>
      </c>
      <c r="E1874" s="5" t="s">
        <v>1738</v>
      </c>
      <c r="F1874" s="6">
        <v>46097.538888888892</v>
      </c>
      <c r="G1874" s="5" t="s">
        <v>7456</v>
      </c>
      <c r="H1874" s="5" t="s">
        <v>11999</v>
      </c>
      <c r="I1874" s="5" t="s">
        <v>1564</v>
      </c>
      <c r="J1874" s="8">
        <v>340</v>
      </c>
      <c r="K1874" s="5" t="s">
        <v>4</v>
      </c>
      <c r="L1874">
        <f t="shared" si="29"/>
        <v>3</v>
      </c>
    </row>
    <row r="1875" spans="1:12" x14ac:dyDescent="0.25">
      <c r="A1875" s="5">
        <v>47290</v>
      </c>
      <c r="B1875" t="s">
        <v>12000</v>
      </c>
      <c r="C1875" s="5" t="s">
        <v>12001</v>
      </c>
      <c r="D1875" t="s">
        <v>12002</v>
      </c>
      <c r="E1875" s="5" t="s">
        <v>1813</v>
      </c>
      <c r="F1875" s="6">
        <v>46097.552777777775</v>
      </c>
      <c r="G1875" s="5" t="s">
        <v>7595</v>
      </c>
      <c r="H1875" t="s">
        <v>7482</v>
      </c>
      <c r="I1875" s="5" t="s">
        <v>1535</v>
      </c>
      <c r="J1875" s="8">
        <v>116.9</v>
      </c>
      <c r="K1875" s="5" t="s">
        <v>4</v>
      </c>
      <c r="L1875">
        <f t="shared" si="29"/>
        <v>3</v>
      </c>
    </row>
    <row r="1876" spans="1:12" x14ac:dyDescent="0.25">
      <c r="A1876" s="5">
        <v>47291</v>
      </c>
      <c r="B1876" t="s">
        <v>12003</v>
      </c>
      <c r="C1876" s="5" t="s">
        <v>12004</v>
      </c>
      <c r="D1876" t="s">
        <v>12005</v>
      </c>
      <c r="E1876" s="5" t="s">
        <v>1532</v>
      </c>
      <c r="F1876" s="6">
        <v>46097.563888888886</v>
      </c>
      <c r="G1876" s="5" t="s">
        <v>7595</v>
      </c>
      <c r="H1876" t="s">
        <v>7482</v>
      </c>
      <c r="I1876" s="5" t="s">
        <v>1535</v>
      </c>
      <c r="J1876" s="8">
        <v>695</v>
      </c>
      <c r="K1876" s="5" t="s">
        <v>4</v>
      </c>
      <c r="L1876">
        <f t="shared" si="29"/>
        <v>3</v>
      </c>
    </row>
    <row r="1877" spans="1:12" x14ac:dyDescent="0.25">
      <c r="A1877" s="5">
        <v>47292</v>
      </c>
      <c r="B1877" t="s">
        <v>12006</v>
      </c>
      <c r="C1877" s="5" t="s">
        <v>12007</v>
      </c>
      <c r="D1877" t="s">
        <v>12008</v>
      </c>
      <c r="E1877" s="5" t="s">
        <v>1532</v>
      </c>
      <c r="F1877" s="6">
        <v>46097.57916666667</v>
      </c>
      <c r="G1877" s="5" t="s">
        <v>7456</v>
      </c>
      <c r="H1877" s="5" t="s">
        <v>12009</v>
      </c>
      <c r="I1877" s="5" t="s">
        <v>1535</v>
      </c>
      <c r="J1877" s="8">
        <v>124</v>
      </c>
      <c r="K1877" s="5" t="s">
        <v>4</v>
      </c>
      <c r="L1877">
        <f t="shared" si="29"/>
        <v>3</v>
      </c>
    </row>
    <row r="1878" spans="1:12" x14ac:dyDescent="0.25">
      <c r="A1878" s="5">
        <v>47293</v>
      </c>
      <c r="B1878" t="s">
        <v>9417</v>
      </c>
      <c r="C1878" s="5" t="s">
        <v>10456</v>
      </c>
      <c r="D1878" t="s">
        <v>9419</v>
      </c>
      <c r="E1878" s="5" t="s">
        <v>1532</v>
      </c>
      <c r="F1878" s="6">
        <v>46097.583333333336</v>
      </c>
      <c r="G1878" s="5" t="s">
        <v>7595</v>
      </c>
      <c r="H1878" t="s">
        <v>7482</v>
      </c>
      <c r="I1878" s="5" t="s">
        <v>1535</v>
      </c>
      <c r="J1878" s="8">
        <v>469.5</v>
      </c>
      <c r="K1878" s="5" t="s">
        <v>4</v>
      </c>
      <c r="L1878">
        <f t="shared" si="29"/>
        <v>3</v>
      </c>
    </row>
    <row r="1879" spans="1:12" x14ac:dyDescent="0.25">
      <c r="A1879" s="5">
        <v>47294</v>
      </c>
      <c r="B1879" t="s">
        <v>12010</v>
      </c>
      <c r="C1879" s="5" t="s">
        <v>12011</v>
      </c>
      <c r="D1879" t="s">
        <v>12012</v>
      </c>
      <c r="E1879" s="5" t="s">
        <v>1759</v>
      </c>
      <c r="F1879" s="6">
        <v>46097.636805555558</v>
      </c>
      <c r="G1879" s="5" t="s">
        <v>7456</v>
      </c>
      <c r="H1879" s="5" t="s">
        <v>12013</v>
      </c>
      <c r="I1879" s="5" t="s">
        <v>1564</v>
      </c>
      <c r="J1879" s="8">
        <v>225.5</v>
      </c>
      <c r="K1879" s="5" t="s">
        <v>4</v>
      </c>
      <c r="L1879">
        <f t="shared" si="29"/>
        <v>3</v>
      </c>
    </row>
    <row r="1880" spans="1:12" x14ac:dyDescent="0.25">
      <c r="A1880" s="5">
        <v>47295</v>
      </c>
      <c r="B1880" t="s">
        <v>12014</v>
      </c>
      <c r="C1880" s="5" t="s">
        <v>12015</v>
      </c>
      <c r="D1880" t="s">
        <v>12016</v>
      </c>
      <c r="E1880" s="5" t="s">
        <v>2074</v>
      </c>
      <c r="F1880" s="6">
        <v>46097.64166666667</v>
      </c>
      <c r="G1880" s="5" t="s">
        <v>7456</v>
      </c>
      <c r="H1880" s="5" t="s">
        <v>12017</v>
      </c>
      <c r="I1880" s="5" t="s">
        <v>1564</v>
      </c>
      <c r="J1880" s="8">
        <v>126</v>
      </c>
      <c r="K1880" s="5" t="s">
        <v>4</v>
      </c>
      <c r="L1880">
        <f t="shared" si="29"/>
        <v>3</v>
      </c>
    </row>
    <row r="1881" spans="1:12" x14ac:dyDescent="0.25">
      <c r="A1881" s="5">
        <v>47298</v>
      </c>
      <c r="B1881" t="s">
        <v>12018</v>
      </c>
      <c r="C1881" s="5" t="s">
        <v>12019</v>
      </c>
      <c r="D1881" t="s">
        <v>12020</v>
      </c>
      <c r="E1881" s="5" t="s">
        <v>2637</v>
      </c>
      <c r="F1881" s="6">
        <v>46097.651388888888</v>
      </c>
      <c r="G1881" s="5" t="s">
        <v>7456</v>
      </c>
      <c r="H1881" s="5" t="s">
        <v>12021</v>
      </c>
      <c r="I1881" s="5" t="s">
        <v>1564</v>
      </c>
      <c r="J1881" s="8">
        <v>159.9</v>
      </c>
      <c r="K1881" s="5" t="s">
        <v>4</v>
      </c>
      <c r="L1881">
        <f t="shared" si="29"/>
        <v>3</v>
      </c>
    </row>
    <row r="1882" spans="1:12" x14ac:dyDescent="0.25">
      <c r="A1882" s="5">
        <v>47299</v>
      </c>
      <c r="B1882" t="s">
        <v>12022</v>
      </c>
      <c r="C1882" s="5" t="s">
        <v>12023</v>
      </c>
      <c r="D1882" t="s">
        <v>7644</v>
      </c>
      <c r="E1882" s="5" t="s">
        <v>4729</v>
      </c>
      <c r="F1882" s="6">
        <v>46097.654166666667</v>
      </c>
      <c r="G1882" s="5" t="s">
        <v>7456</v>
      </c>
      <c r="H1882" s="5" t="s">
        <v>12024</v>
      </c>
      <c r="I1882" s="5" t="s">
        <v>1621</v>
      </c>
      <c r="J1882" s="8">
        <v>173.25</v>
      </c>
      <c r="K1882" s="5" t="s">
        <v>4</v>
      </c>
      <c r="L1882">
        <f t="shared" si="29"/>
        <v>3</v>
      </c>
    </row>
    <row r="1883" spans="1:12" x14ac:dyDescent="0.25">
      <c r="A1883" s="5">
        <v>47300</v>
      </c>
      <c r="B1883" t="s">
        <v>12025</v>
      </c>
      <c r="C1883" s="5" t="s">
        <v>12026</v>
      </c>
      <c r="D1883" t="s">
        <v>12027</v>
      </c>
      <c r="E1883" s="5" t="s">
        <v>7200</v>
      </c>
      <c r="F1883" s="6">
        <v>46097.658333333333</v>
      </c>
      <c r="G1883" s="5" t="s">
        <v>7456</v>
      </c>
      <c r="H1883" s="5" t="s">
        <v>12028</v>
      </c>
      <c r="I1883" s="5" t="s">
        <v>1621</v>
      </c>
      <c r="J1883" s="8">
        <v>24.99</v>
      </c>
      <c r="K1883" s="5" t="s">
        <v>4</v>
      </c>
      <c r="L1883">
        <f t="shared" si="29"/>
        <v>3</v>
      </c>
    </row>
    <row r="1884" spans="1:12" x14ac:dyDescent="0.25">
      <c r="A1884" s="5">
        <v>47301</v>
      </c>
      <c r="B1884" t="s">
        <v>8965</v>
      </c>
      <c r="C1884" s="5" t="s">
        <v>9154</v>
      </c>
      <c r="D1884" t="s">
        <v>8966</v>
      </c>
      <c r="E1884" s="5" t="s">
        <v>1532</v>
      </c>
      <c r="F1884" s="6">
        <v>46097.676388888889</v>
      </c>
      <c r="G1884" s="5" t="s">
        <v>7595</v>
      </c>
      <c r="H1884" t="s">
        <v>7482</v>
      </c>
      <c r="I1884" s="5" t="s">
        <v>1535</v>
      </c>
      <c r="J1884" s="8">
        <v>244.7</v>
      </c>
      <c r="K1884" s="5" t="s">
        <v>4</v>
      </c>
      <c r="L1884">
        <f t="shared" si="29"/>
        <v>3</v>
      </c>
    </row>
    <row r="1885" spans="1:12" x14ac:dyDescent="0.25">
      <c r="A1885" s="5">
        <v>47302</v>
      </c>
      <c r="B1885" t="s">
        <v>12029</v>
      </c>
      <c r="C1885" s="5" t="s">
        <v>12030</v>
      </c>
      <c r="D1885" t="s">
        <v>12031</v>
      </c>
      <c r="E1885" s="5" t="s">
        <v>5787</v>
      </c>
      <c r="F1885" s="6">
        <v>46097.662499999999</v>
      </c>
      <c r="G1885" s="5" t="s">
        <v>7456</v>
      </c>
      <c r="H1885" s="5" t="s">
        <v>12032</v>
      </c>
      <c r="I1885" s="5" t="s">
        <v>1621</v>
      </c>
      <c r="J1885" s="8">
        <v>109.13</v>
      </c>
      <c r="K1885" s="5" t="s">
        <v>4</v>
      </c>
      <c r="L1885">
        <f t="shared" si="29"/>
        <v>3</v>
      </c>
    </row>
    <row r="1886" spans="1:12" x14ac:dyDescent="0.25">
      <c r="A1886" s="5">
        <v>47303</v>
      </c>
      <c r="B1886" t="s">
        <v>12033</v>
      </c>
      <c r="C1886" s="5" t="s">
        <v>7516</v>
      </c>
      <c r="D1886" t="s">
        <v>12034</v>
      </c>
      <c r="E1886" s="5" t="s">
        <v>6053</v>
      </c>
      <c r="F1886" s="6">
        <v>46097.693749999999</v>
      </c>
      <c r="G1886" s="5" t="s">
        <v>7456</v>
      </c>
      <c r="H1886" s="5" t="s">
        <v>12035</v>
      </c>
      <c r="I1886" s="5" t="s">
        <v>1621</v>
      </c>
      <c r="J1886" s="8">
        <v>90.56</v>
      </c>
      <c r="K1886" s="5" t="s">
        <v>4</v>
      </c>
      <c r="L1886">
        <f t="shared" si="29"/>
        <v>3</v>
      </c>
    </row>
    <row r="1887" spans="1:12" x14ac:dyDescent="0.25">
      <c r="A1887" s="5">
        <v>47304</v>
      </c>
      <c r="B1887" t="s">
        <v>12036</v>
      </c>
      <c r="C1887" s="5" t="s">
        <v>1103</v>
      </c>
      <c r="D1887" t="s">
        <v>12037</v>
      </c>
      <c r="E1887" s="5" t="s">
        <v>4932</v>
      </c>
      <c r="F1887" s="6">
        <v>46097.702777777777</v>
      </c>
      <c r="G1887" s="5" t="s">
        <v>7456</v>
      </c>
      <c r="H1887" s="5" t="s">
        <v>12038</v>
      </c>
      <c r="I1887" s="5" t="s">
        <v>1621</v>
      </c>
      <c r="J1887" s="8">
        <v>156.19999999999999</v>
      </c>
      <c r="K1887" s="5" t="s">
        <v>4</v>
      </c>
      <c r="L1887">
        <f t="shared" si="29"/>
        <v>3</v>
      </c>
    </row>
    <row r="1888" spans="1:12" x14ac:dyDescent="0.25">
      <c r="A1888" s="5">
        <v>47305</v>
      </c>
      <c r="B1888" t="s">
        <v>12039</v>
      </c>
      <c r="C1888" s="5" t="s">
        <v>1271</v>
      </c>
      <c r="D1888" t="s">
        <v>12040</v>
      </c>
      <c r="E1888" s="5" t="s">
        <v>2528</v>
      </c>
      <c r="F1888" s="6">
        <v>46097.713194444441</v>
      </c>
      <c r="G1888" s="5" t="s">
        <v>7456</v>
      </c>
      <c r="H1888" s="5" t="s">
        <v>12041</v>
      </c>
      <c r="I1888" s="5" t="s">
        <v>1621</v>
      </c>
      <c r="J1888" s="8">
        <v>662.51</v>
      </c>
      <c r="K1888" s="5" t="s">
        <v>4</v>
      </c>
      <c r="L1888">
        <f t="shared" si="29"/>
        <v>3</v>
      </c>
    </row>
    <row r="1889" spans="1:12" x14ac:dyDescent="0.25">
      <c r="A1889" s="5">
        <v>47306</v>
      </c>
      <c r="B1889" t="s">
        <v>12042</v>
      </c>
      <c r="C1889" s="5" t="s">
        <v>438</v>
      </c>
      <c r="D1889" t="s">
        <v>12043</v>
      </c>
      <c r="E1889" s="5" t="s">
        <v>6843</v>
      </c>
      <c r="F1889" s="6">
        <v>46097.724305555559</v>
      </c>
      <c r="G1889" s="5" t="s">
        <v>7456</v>
      </c>
      <c r="H1889" s="5" t="s">
        <v>12044</v>
      </c>
      <c r="I1889" s="5" t="s">
        <v>1621</v>
      </c>
      <c r="J1889" s="8">
        <v>42.88</v>
      </c>
      <c r="K1889" s="5" t="s">
        <v>4</v>
      </c>
      <c r="L1889">
        <f t="shared" si="29"/>
        <v>3</v>
      </c>
    </row>
    <row r="1890" spans="1:12" x14ac:dyDescent="0.25">
      <c r="A1890" s="5">
        <v>47307</v>
      </c>
      <c r="B1890" t="s">
        <v>12045</v>
      </c>
      <c r="C1890" s="5" t="s">
        <v>12046</v>
      </c>
      <c r="D1890" t="s">
        <v>12047</v>
      </c>
      <c r="E1890" s="5" t="s">
        <v>1813</v>
      </c>
      <c r="F1890" s="6">
        <v>46098.371527777781</v>
      </c>
      <c r="G1890" s="5" t="s">
        <v>7595</v>
      </c>
      <c r="H1890" t="s">
        <v>7482</v>
      </c>
      <c r="I1890" s="5" t="s">
        <v>1535</v>
      </c>
      <c r="J1890" s="8">
        <v>969</v>
      </c>
      <c r="K1890" s="5" t="s">
        <v>4</v>
      </c>
      <c r="L1890">
        <f t="shared" si="29"/>
        <v>3</v>
      </c>
    </row>
    <row r="1891" spans="1:12" x14ac:dyDescent="0.25">
      <c r="A1891" s="5">
        <v>47308</v>
      </c>
      <c r="B1891" t="s">
        <v>12048</v>
      </c>
      <c r="C1891" s="5" t="s">
        <v>12049</v>
      </c>
      <c r="D1891" t="s">
        <v>12050</v>
      </c>
      <c r="E1891" s="5" t="s">
        <v>1813</v>
      </c>
      <c r="F1891" s="6">
        <v>46098.414583333331</v>
      </c>
      <c r="G1891" s="5" t="s">
        <v>7595</v>
      </c>
      <c r="H1891" t="s">
        <v>7482</v>
      </c>
      <c r="I1891" s="5" t="s">
        <v>1535</v>
      </c>
      <c r="J1891" s="8">
        <v>539.9</v>
      </c>
      <c r="K1891" s="5" t="s">
        <v>4</v>
      </c>
      <c r="L1891">
        <f t="shared" si="29"/>
        <v>3</v>
      </c>
    </row>
    <row r="1892" spans="1:12" x14ac:dyDescent="0.25">
      <c r="A1892" s="5">
        <v>47309</v>
      </c>
      <c r="B1892" t="s">
        <v>12051</v>
      </c>
      <c r="C1892" s="5" t="s">
        <v>12052</v>
      </c>
      <c r="D1892" t="s">
        <v>12053</v>
      </c>
      <c r="E1892" s="5" t="s">
        <v>1738</v>
      </c>
      <c r="F1892" s="6">
        <v>46098.418749999997</v>
      </c>
      <c r="G1892" s="5" t="s">
        <v>7456</v>
      </c>
      <c r="H1892" s="5" t="s">
        <v>12054</v>
      </c>
      <c r="I1892" s="5" t="s">
        <v>1564</v>
      </c>
      <c r="J1892" s="8">
        <v>1087.33</v>
      </c>
      <c r="K1892" s="5" t="s">
        <v>4</v>
      </c>
      <c r="L1892">
        <f t="shared" si="29"/>
        <v>3</v>
      </c>
    </row>
    <row r="1893" spans="1:12" x14ac:dyDescent="0.25">
      <c r="A1893" s="5">
        <v>47310</v>
      </c>
      <c r="B1893" t="s">
        <v>12055</v>
      </c>
      <c r="C1893" s="5" t="s">
        <v>12056</v>
      </c>
      <c r="D1893" t="s">
        <v>12057</v>
      </c>
      <c r="E1893" s="5" t="s">
        <v>1800</v>
      </c>
      <c r="F1893" s="6">
        <v>46098.431944444441</v>
      </c>
      <c r="G1893" s="5" t="s">
        <v>7456</v>
      </c>
      <c r="H1893" s="5" t="s">
        <v>12058</v>
      </c>
      <c r="I1893" s="5" t="s">
        <v>1564</v>
      </c>
      <c r="J1893" s="8">
        <v>2089.88</v>
      </c>
      <c r="K1893" s="5" t="s">
        <v>4</v>
      </c>
      <c r="L1893">
        <f t="shared" si="29"/>
        <v>3</v>
      </c>
    </row>
    <row r="1894" spans="1:12" x14ac:dyDescent="0.25">
      <c r="A1894" s="5">
        <v>47312</v>
      </c>
      <c r="B1894" t="s">
        <v>12059</v>
      </c>
      <c r="C1894" s="5" t="s">
        <v>12060</v>
      </c>
      <c r="D1894" t="s">
        <v>12061</v>
      </c>
      <c r="E1894" s="5" t="s">
        <v>3746</v>
      </c>
      <c r="F1894" s="6">
        <v>46098.45416666667</v>
      </c>
      <c r="G1894" s="5" t="s">
        <v>7456</v>
      </c>
      <c r="H1894" s="5" t="s">
        <v>12062</v>
      </c>
      <c r="I1894" s="5" t="s">
        <v>1564</v>
      </c>
      <c r="J1894" s="8">
        <v>294.89999999999998</v>
      </c>
      <c r="K1894" s="5" t="s">
        <v>4</v>
      </c>
      <c r="L1894">
        <f t="shared" si="29"/>
        <v>3</v>
      </c>
    </row>
    <row r="1895" spans="1:12" x14ac:dyDescent="0.25">
      <c r="A1895" s="5">
        <v>47314</v>
      </c>
      <c r="B1895" t="s">
        <v>11222</v>
      </c>
      <c r="C1895" s="5" t="s">
        <v>11223</v>
      </c>
      <c r="D1895" t="s">
        <v>11224</v>
      </c>
      <c r="E1895" s="5" t="s">
        <v>2902</v>
      </c>
      <c r="F1895" s="6">
        <v>46098.467361111114</v>
      </c>
      <c r="G1895" s="5" t="s">
        <v>7595</v>
      </c>
      <c r="H1895" s="5" t="s">
        <v>12063</v>
      </c>
      <c r="I1895" s="5" t="s">
        <v>1535</v>
      </c>
      <c r="J1895" s="8">
        <v>488</v>
      </c>
      <c r="K1895" s="5" t="s">
        <v>4</v>
      </c>
      <c r="L1895">
        <f t="shared" si="29"/>
        <v>3</v>
      </c>
    </row>
    <row r="1896" spans="1:12" x14ac:dyDescent="0.25">
      <c r="A1896" s="5">
        <v>47316</v>
      </c>
      <c r="B1896" t="s">
        <v>12064</v>
      </c>
      <c r="C1896" s="5" t="s">
        <v>12065</v>
      </c>
      <c r="D1896" t="s">
        <v>12066</v>
      </c>
      <c r="E1896" s="5" t="s">
        <v>1738</v>
      </c>
      <c r="F1896" s="6">
        <v>46098.512499999997</v>
      </c>
      <c r="G1896" s="5" t="s">
        <v>7456</v>
      </c>
      <c r="H1896" s="5" t="s">
        <v>12067</v>
      </c>
      <c r="I1896" s="5" t="s">
        <v>1564</v>
      </c>
      <c r="J1896" s="8">
        <v>100</v>
      </c>
      <c r="K1896" s="5" t="s">
        <v>4</v>
      </c>
      <c r="L1896">
        <f t="shared" si="29"/>
        <v>3</v>
      </c>
    </row>
    <row r="1897" spans="1:12" x14ac:dyDescent="0.25">
      <c r="A1897" s="5">
        <v>47317</v>
      </c>
      <c r="B1897" t="s">
        <v>12068</v>
      </c>
      <c r="C1897" s="5" t="s">
        <v>12069</v>
      </c>
      <c r="D1897" t="s">
        <v>12070</v>
      </c>
      <c r="E1897" s="5" t="s">
        <v>12071</v>
      </c>
      <c r="F1897" s="6">
        <v>46098.54791666667</v>
      </c>
      <c r="G1897" s="5" t="s">
        <v>7672</v>
      </c>
      <c r="H1897" t="s">
        <v>7482</v>
      </c>
      <c r="I1897" s="5" t="s">
        <v>1564</v>
      </c>
      <c r="J1897" s="8">
        <v>356</v>
      </c>
      <c r="K1897" s="5" t="s">
        <v>4</v>
      </c>
      <c r="L1897">
        <f t="shared" si="29"/>
        <v>3</v>
      </c>
    </row>
    <row r="1898" spans="1:12" x14ac:dyDescent="0.25">
      <c r="A1898" s="5">
        <v>47318</v>
      </c>
      <c r="B1898" t="s">
        <v>12072</v>
      </c>
      <c r="C1898" s="5" t="s">
        <v>12073</v>
      </c>
      <c r="D1898" t="s">
        <v>12074</v>
      </c>
      <c r="E1898" s="5" t="s">
        <v>2096</v>
      </c>
      <c r="F1898" s="6">
        <v>46098.576388888891</v>
      </c>
      <c r="G1898" s="5" t="s">
        <v>7456</v>
      </c>
      <c r="H1898" s="5" t="s">
        <v>12075</v>
      </c>
      <c r="I1898" s="5" t="s">
        <v>1535</v>
      </c>
      <c r="J1898" s="8">
        <v>1056.0999999999999</v>
      </c>
      <c r="K1898" s="5" t="s">
        <v>4</v>
      </c>
      <c r="L1898">
        <f t="shared" si="29"/>
        <v>3</v>
      </c>
    </row>
    <row r="1899" spans="1:12" x14ac:dyDescent="0.25">
      <c r="A1899" s="5">
        <v>47319</v>
      </c>
      <c r="B1899" t="s">
        <v>12076</v>
      </c>
      <c r="C1899" s="5" t="s">
        <v>1083</v>
      </c>
      <c r="D1899" t="s">
        <v>12077</v>
      </c>
      <c r="E1899" s="5" t="s">
        <v>6620</v>
      </c>
      <c r="F1899" s="6">
        <v>46098.57708333333</v>
      </c>
      <c r="G1899" s="5" t="s">
        <v>7456</v>
      </c>
      <c r="H1899" s="5" t="s">
        <v>12078</v>
      </c>
      <c r="I1899" s="5" t="s">
        <v>1621</v>
      </c>
      <c r="J1899" s="8">
        <v>54.04</v>
      </c>
      <c r="K1899" s="5" t="s">
        <v>4</v>
      </c>
      <c r="L1899">
        <f t="shared" si="29"/>
        <v>3</v>
      </c>
    </row>
    <row r="1900" spans="1:12" x14ac:dyDescent="0.25">
      <c r="A1900" s="5">
        <v>47320</v>
      </c>
      <c r="B1900" t="s">
        <v>12039</v>
      </c>
      <c r="C1900" s="5" t="s">
        <v>1271</v>
      </c>
      <c r="D1900" t="s">
        <v>12040</v>
      </c>
      <c r="E1900" s="5" t="s">
        <v>5510</v>
      </c>
      <c r="F1900" s="6">
        <v>46098.589583333334</v>
      </c>
      <c r="G1900" s="5" t="s">
        <v>7456</v>
      </c>
      <c r="H1900" s="5" t="s">
        <v>12079</v>
      </c>
      <c r="I1900" s="5" t="s">
        <v>1621</v>
      </c>
      <c r="J1900" s="8">
        <v>120.61</v>
      </c>
      <c r="K1900" s="5" t="s">
        <v>4</v>
      </c>
      <c r="L1900">
        <f t="shared" si="29"/>
        <v>3</v>
      </c>
    </row>
    <row r="1901" spans="1:12" x14ac:dyDescent="0.25">
      <c r="A1901" s="5">
        <v>47321</v>
      </c>
      <c r="B1901" t="s">
        <v>12080</v>
      </c>
      <c r="C1901" s="5" t="s">
        <v>12081</v>
      </c>
      <c r="D1901" t="s">
        <v>12082</v>
      </c>
      <c r="E1901" s="5" t="s">
        <v>7011</v>
      </c>
      <c r="F1901" s="6">
        <v>46098.595138888886</v>
      </c>
      <c r="G1901" s="5" t="s">
        <v>7456</v>
      </c>
      <c r="H1901" s="5" t="s">
        <v>12083</v>
      </c>
      <c r="I1901" s="5" t="s">
        <v>1621</v>
      </c>
      <c r="J1901" s="8">
        <v>33.369999999999997</v>
      </c>
      <c r="K1901" s="5" t="s">
        <v>4</v>
      </c>
      <c r="L1901">
        <f t="shared" si="29"/>
        <v>3</v>
      </c>
    </row>
    <row r="1902" spans="1:12" x14ac:dyDescent="0.25">
      <c r="A1902" s="5">
        <v>47322</v>
      </c>
      <c r="B1902" t="s">
        <v>12084</v>
      </c>
      <c r="C1902" s="5" t="s">
        <v>12085</v>
      </c>
      <c r="D1902" t="s">
        <v>12086</v>
      </c>
      <c r="E1902" s="5" t="s">
        <v>1813</v>
      </c>
      <c r="F1902" s="6">
        <v>46098.609722222223</v>
      </c>
      <c r="G1902" s="5" t="s">
        <v>7595</v>
      </c>
      <c r="H1902" t="s">
        <v>7482</v>
      </c>
      <c r="I1902" s="5" t="s">
        <v>1535</v>
      </c>
      <c r="J1902" s="8">
        <v>3546</v>
      </c>
      <c r="K1902" s="5" t="s">
        <v>4</v>
      </c>
      <c r="L1902">
        <f t="shared" si="29"/>
        <v>3</v>
      </c>
    </row>
    <row r="1903" spans="1:12" x14ac:dyDescent="0.25">
      <c r="A1903" s="5">
        <v>47323</v>
      </c>
      <c r="B1903" t="s">
        <v>12029</v>
      </c>
      <c r="C1903" s="5" t="s">
        <v>12087</v>
      </c>
      <c r="D1903" t="s">
        <v>7644</v>
      </c>
      <c r="E1903" s="5" t="s">
        <v>6399</v>
      </c>
      <c r="F1903" s="6">
        <v>46098.607638888891</v>
      </c>
      <c r="G1903" s="5" t="s">
        <v>7456</v>
      </c>
      <c r="H1903" s="5" t="s">
        <v>12088</v>
      </c>
      <c r="I1903" s="5" t="s">
        <v>1621</v>
      </c>
      <c r="J1903" s="8">
        <v>69.56</v>
      </c>
      <c r="K1903" s="5" t="s">
        <v>4</v>
      </c>
      <c r="L1903">
        <f t="shared" si="29"/>
        <v>3</v>
      </c>
    </row>
    <row r="1904" spans="1:12" x14ac:dyDescent="0.25">
      <c r="A1904" s="5">
        <v>47325</v>
      </c>
      <c r="B1904" t="s">
        <v>12089</v>
      </c>
      <c r="C1904" s="5" t="s">
        <v>12090</v>
      </c>
      <c r="D1904" t="s">
        <v>12091</v>
      </c>
      <c r="E1904" s="5" t="s">
        <v>12092</v>
      </c>
      <c r="F1904" s="6">
        <v>46098.616666666669</v>
      </c>
      <c r="G1904" s="5" t="s">
        <v>7672</v>
      </c>
      <c r="H1904" t="s">
        <v>7482</v>
      </c>
      <c r="I1904" s="5" t="s">
        <v>1564</v>
      </c>
      <c r="J1904" s="8">
        <v>325.8</v>
      </c>
      <c r="K1904" s="5" t="s">
        <v>4</v>
      </c>
      <c r="L1904">
        <f t="shared" si="29"/>
        <v>3</v>
      </c>
    </row>
    <row r="1905" spans="1:12" x14ac:dyDescent="0.25">
      <c r="A1905" s="5">
        <v>47326</v>
      </c>
      <c r="B1905" t="s">
        <v>12093</v>
      </c>
      <c r="C1905" s="5" t="s">
        <v>12094</v>
      </c>
      <c r="D1905" t="s">
        <v>12095</v>
      </c>
      <c r="E1905" s="5" t="s">
        <v>2074</v>
      </c>
      <c r="F1905" s="6">
        <v>46098.622916666667</v>
      </c>
      <c r="G1905" s="5" t="s">
        <v>7672</v>
      </c>
      <c r="H1905" t="s">
        <v>8626</v>
      </c>
      <c r="I1905" s="5" t="s">
        <v>1564</v>
      </c>
      <c r="J1905" s="8">
        <v>339.8</v>
      </c>
      <c r="K1905" s="5" t="s">
        <v>4</v>
      </c>
      <c r="L1905">
        <f t="shared" si="29"/>
        <v>3</v>
      </c>
    </row>
    <row r="1906" spans="1:12" x14ac:dyDescent="0.25">
      <c r="A1906" s="5">
        <v>47327</v>
      </c>
      <c r="B1906" t="s">
        <v>12029</v>
      </c>
      <c r="C1906" s="5" t="s">
        <v>12096</v>
      </c>
      <c r="D1906" t="s">
        <v>7644</v>
      </c>
      <c r="E1906" s="5" t="s">
        <v>7206</v>
      </c>
      <c r="F1906" s="6">
        <v>46098.611805555556</v>
      </c>
      <c r="G1906" s="5" t="s">
        <v>7456</v>
      </c>
      <c r="H1906" s="5" t="s">
        <v>12097</v>
      </c>
      <c r="I1906" s="5" t="s">
        <v>1621</v>
      </c>
      <c r="J1906" s="8">
        <v>24.93</v>
      </c>
      <c r="K1906" s="5" t="s">
        <v>4</v>
      </c>
      <c r="L1906">
        <f t="shared" si="29"/>
        <v>3</v>
      </c>
    </row>
    <row r="1907" spans="1:12" x14ac:dyDescent="0.25">
      <c r="A1907" s="5">
        <v>47329</v>
      </c>
      <c r="B1907" t="s">
        <v>12098</v>
      </c>
      <c r="C1907" s="5" t="s">
        <v>12099</v>
      </c>
      <c r="D1907" t="s">
        <v>12100</v>
      </c>
      <c r="E1907" s="5" t="s">
        <v>6299</v>
      </c>
      <c r="F1907" s="6">
        <v>46098.627083333333</v>
      </c>
      <c r="G1907" s="5" t="s">
        <v>7456</v>
      </c>
      <c r="H1907" s="5" t="s">
        <v>12101</v>
      </c>
      <c r="I1907" s="5" t="s">
        <v>1621</v>
      </c>
      <c r="J1907" s="8">
        <v>74.94</v>
      </c>
      <c r="K1907" s="5" t="s">
        <v>4</v>
      </c>
      <c r="L1907">
        <f t="shared" si="29"/>
        <v>3</v>
      </c>
    </row>
    <row r="1908" spans="1:12" x14ac:dyDescent="0.25">
      <c r="A1908" s="5">
        <v>47330</v>
      </c>
      <c r="B1908" t="s">
        <v>12102</v>
      </c>
      <c r="C1908" s="5" t="s">
        <v>182</v>
      </c>
      <c r="D1908" t="s">
        <v>12103</v>
      </c>
      <c r="E1908" s="5" t="s">
        <v>4737</v>
      </c>
      <c r="F1908" s="6">
        <v>46098.634722222225</v>
      </c>
      <c r="G1908" s="5" t="s">
        <v>7456</v>
      </c>
      <c r="H1908" s="5" t="s">
        <v>12104</v>
      </c>
      <c r="I1908" s="5" t="s">
        <v>1621</v>
      </c>
      <c r="J1908" s="8">
        <v>172.96</v>
      </c>
      <c r="K1908" s="5" t="s">
        <v>4</v>
      </c>
      <c r="L1908">
        <f t="shared" si="29"/>
        <v>3</v>
      </c>
    </row>
    <row r="1909" spans="1:12" x14ac:dyDescent="0.25">
      <c r="A1909" s="5">
        <v>47332</v>
      </c>
      <c r="B1909" t="s">
        <v>12105</v>
      </c>
      <c r="C1909" s="5" t="s">
        <v>12106</v>
      </c>
      <c r="D1909" t="s">
        <v>12107</v>
      </c>
      <c r="E1909" s="5" t="s">
        <v>12108</v>
      </c>
      <c r="F1909" s="6">
        <v>46098.657638888886</v>
      </c>
      <c r="G1909" s="5" t="s">
        <v>7672</v>
      </c>
      <c r="H1909" t="s">
        <v>8626</v>
      </c>
      <c r="I1909" s="5" t="s">
        <v>1564</v>
      </c>
      <c r="J1909" s="8">
        <v>1980</v>
      </c>
      <c r="K1909" s="5" t="s">
        <v>4</v>
      </c>
      <c r="L1909">
        <f t="shared" si="29"/>
        <v>3</v>
      </c>
    </row>
    <row r="1910" spans="1:12" x14ac:dyDescent="0.25">
      <c r="A1910" s="5">
        <v>47333</v>
      </c>
      <c r="B1910" t="s">
        <v>12109</v>
      </c>
      <c r="C1910" s="5" t="s">
        <v>9012</v>
      </c>
      <c r="D1910" t="s">
        <v>12110</v>
      </c>
      <c r="E1910" s="5" t="s">
        <v>4149</v>
      </c>
      <c r="F1910" s="6">
        <v>46098.661805555559</v>
      </c>
      <c r="G1910" s="5" t="s">
        <v>7456</v>
      </c>
      <c r="H1910" s="5" t="s">
        <v>12111</v>
      </c>
      <c r="I1910" s="5" t="s">
        <v>1535</v>
      </c>
      <c r="J1910" s="8">
        <v>235</v>
      </c>
      <c r="K1910" s="5" t="s">
        <v>4</v>
      </c>
      <c r="L1910">
        <f t="shared" si="29"/>
        <v>3</v>
      </c>
    </row>
    <row r="1911" spans="1:12" x14ac:dyDescent="0.25">
      <c r="A1911" s="5">
        <v>47334</v>
      </c>
      <c r="B1911" t="s">
        <v>12112</v>
      </c>
      <c r="C1911" s="5" t="s">
        <v>7724</v>
      </c>
      <c r="D1911" t="s">
        <v>12113</v>
      </c>
      <c r="E1911" s="5" t="s">
        <v>6475</v>
      </c>
      <c r="F1911" s="6">
        <v>46098.661805555559</v>
      </c>
      <c r="G1911" s="5" t="s">
        <v>7456</v>
      </c>
      <c r="H1911" s="5" t="s">
        <v>12114</v>
      </c>
      <c r="I1911" s="5" t="s">
        <v>1621</v>
      </c>
      <c r="J1911" s="8">
        <v>63.9</v>
      </c>
      <c r="K1911" s="5" t="s">
        <v>4</v>
      </c>
      <c r="L1911">
        <f t="shared" si="29"/>
        <v>3</v>
      </c>
    </row>
    <row r="1912" spans="1:12" x14ac:dyDescent="0.25">
      <c r="A1912" s="5">
        <v>47335</v>
      </c>
      <c r="B1912" t="s">
        <v>12115</v>
      </c>
      <c r="C1912" s="5" t="s">
        <v>12116</v>
      </c>
      <c r="D1912" t="s">
        <v>12117</v>
      </c>
      <c r="E1912" s="5" t="s">
        <v>1673</v>
      </c>
      <c r="F1912" s="6">
        <v>46098.663888888892</v>
      </c>
      <c r="G1912" s="5" t="s">
        <v>7456</v>
      </c>
      <c r="H1912" s="5" t="s">
        <v>12118</v>
      </c>
      <c r="I1912" s="5" t="s">
        <v>1564</v>
      </c>
      <c r="J1912" s="8">
        <v>474</v>
      </c>
      <c r="K1912" s="5" t="s">
        <v>4</v>
      </c>
      <c r="L1912">
        <f t="shared" si="29"/>
        <v>3</v>
      </c>
    </row>
    <row r="1913" spans="1:12" x14ac:dyDescent="0.25">
      <c r="A1913" s="5">
        <v>47336</v>
      </c>
      <c r="B1913" t="s">
        <v>8965</v>
      </c>
      <c r="C1913" s="5" t="s">
        <v>8360</v>
      </c>
      <c r="D1913" t="s">
        <v>8966</v>
      </c>
      <c r="E1913" s="5" t="s">
        <v>2250</v>
      </c>
      <c r="F1913" s="6">
        <v>46098.664583333331</v>
      </c>
      <c r="G1913" s="5" t="s">
        <v>7456</v>
      </c>
      <c r="H1913" s="5" t="s">
        <v>12119</v>
      </c>
      <c r="I1913" s="5" t="s">
        <v>1535</v>
      </c>
      <c r="J1913" s="8">
        <v>875</v>
      </c>
      <c r="K1913" s="5" t="s">
        <v>4</v>
      </c>
      <c r="L1913">
        <f t="shared" si="29"/>
        <v>3</v>
      </c>
    </row>
    <row r="1914" spans="1:12" x14ac:dyDescent="0.25">
      <c r="A1914" s="5">
        <v>47337</v>
      </c>
      <c r="B1914" t="s">
        <v>8965</v>
      </c>
      <c r="C1914" s="5" t="s">
        <v>9154</v>
      </c>
      <c r="D1914" t="s">
        <v>8966</v>
      </c>
      <c r="E1914" s="5" t="s">
        <v>12120</v>
      </c>
      <c r="F1914" s="6">
        <v>46098.681944444441</v>
      </c>
      <c r="G1914" s="5" t="s">
        <v>7595</v>
      </c>
      <c r="H1914" t="s">
        <v>7482</v>
      </c>
      <c r="I1914" s="5" t="s">
        <v>1535</v>
      </c>
      <c r="J1914" s="8">
        <v>2100</v>
      </c>
      <c r="K1914" s="5" t="s">
        <v>4</v>
      </c>
      <c r="L1914">
        <f t="shared" si="29"/>
        <v>3</v>
      </c>
    </row>
    <row r="1915" spans="1:12" x14ac:dyDescent="0.25">
      <c r="A1915" s="5">
        <v>47338</v>
      </c>
      <c r="B1915" t="s">
        <v>12029</v>
      </c>
      <c r="C1915" s="5" t="s">
        <v>12121</v>
      </c>
      <c r="D1915" t="s">
        <v>12122</v>
      </c>
      <c r="E1915" s="5" t="s">
        <v>6511</v>
      </c>
      <c r="F1915" s="6">
        <v>46098.679861111108</v>
      </c>
      <c r="G1915" s="5" t="s">
        <v>7456</v>
      </c>
      <c r="H1915" s="5" t="s">
        <v>12123</v>
      </c>
      <c r="I1915" s="5" t="s">
        <v>1621</v>
      </c>
      <c r="J1915" s="8">
        <v>61.32</v>
      </c>
      <c r="K1915" s="5" t="s">
        <v>4</v>
      </c>
      <c r="L1915">
        <f t="shared" si="29"/>
        <v>3</v>
      </c>
    </row>
    <row r="1916" spans="1:12" x14ac:dyDescent="0.25">
      <c r="A1916" s="5">
        <v>47339</v>
      </c>
      <c r="B1916" t="s">
        <v>12029</v>
      </c>
      <c r="C1916" s="5" t="s">
        <v>12124</v>
      </c>
      <c r="D1916" t="s">
        <v>12125</v>
      </c>
      <c r="E1916" s="5" t="s">
        <v>6651</v>
      </c>
      <c r="F1916" s="6">
        <v>46098.685416666667</v>
      </c>
      <c r="G1916" s="5" t="s">
        <v>7456</v>
      </c>
      <c r="H1916" s="5" t="s">
        <v>12126</v>
      </c>
      <c r="I1916" s="5" t="s">
        <v>1621</v>
      </c>
      <c r="J1916" s="8">
        <v>53.13</v>
      </c>
      <c r="K1916" s="5" t="s">
        <v>4</v>
      </c>
      <c r="L1916">
        <f t="shared" si="29"/>
        <v>3</v>
      </c>
    </row>
    <row r="1917" spans="1:12" x14ac:dyDescent="0.25">
      <c r="A1917" s="5">
        <v>47340</v>
      </c>
      <c r="B1917" t="s">
        <v>12127</v>
      </c>
      <c r="C1917" s="5" t="s">
        <v>1204</v>
      </c>
      <c r="D1917" t="s">
        <v>12128</v>
      </c>
      <c r="E1917" s="5" t="s">
        <v>3274</v>
      </c>
      <c r="F1917" s="6">
        <v>46098.694444444445</v>
      </c>
      <c r="G1917" s="5" t="s">
        <v>7456</v>
      </c>
      <c r="H1917" s="5" t="s">
        <v>12129</v>
      </c>
      <c r="I1917" s="5" t="s">
        <v>1621</v>
      </c>
      <c r="J1917" s="8">
        <v>375.43</v>
      </c>
      <c r="K1917" s="5" t="s">
        <v>4</v>
      </c>
      <c r="L1917">
        <f t="shared" si="29"/>
        <v>3</v>
      </c>
    </row>
    <row r="1918" spans="1:12" x14ac:dyDescent="0.25">
      <c r="A1918" s="5">
        <v>47341</v>
      </c>
      <c r="B1918" t="s">
        <v>12130</v>
      </c>
      <c r="C1918" s="5" t="s">
        <v>11082</v>
      </c>
      <c r="D1918" t="s">
        <v>12131</v>
      </c>
      <c r="E1918" s="5" t="s">
        <v>3994</v>
      </c>
      <c r="F1918" s="6">
        <v>46098.711805555555</v>
      </c>
      <c r="G1918" s="5" t="s">
        <v>7456</v>
      </c>
      <c r="H1918" s="5" t="s">
        <v>12132</v>
      </c>
      <c r="I1918" s="5" t="s">
        <v>1564</v>
      </c>
      <c r="J1918" s="8">
        <v>259.8</v>
      </c>
      <c r="K1918" s="5" t="s">
        <v>4</v>
      </c>
      <c r="L1918">
        <f t="shared" si="29"/>
        <v>3</v>
      </c>
    </row>
    <row r="1919" spans="1:12" x14ac:dyDescent="0.25">
      <c r="A1919" s="5">
        <v>47342</v>
      </c>
      <c r="B1919" t="s">
        <v>8965</v>
      </c>
      <c r="C1919" s="5" t="s">
        <v>9154</v>
      </c>
      <c r="D1919" t="s">
        <v>8966</v>
      </c>
      <c r="E1919" s="5" t="s">
        <v>1532</v>
      </c>
      <c r="F1919" s="6">
        <v>46098.724305555559</v>
      </c>
      <c r="G1919" s="5" t="s">
        <v>7595</v>
      </c>
      <c r="H1919" t="s">
        <v>7482</v>
      </c>
      <c r="I1919" s="5" t="s">
        <v>1535</v>
      </c>
      <c r="J1919" s="8">
        <v>1781.8</v>
      </c>
      <c r="K1919" s="5" t="s">
        <v>4</v>
      </c>
      <c r="L1919">
        <f t="shared" si="29"/>
        <v>3</v>
      </c>
    </row>
    <row r="1920" spans="1:12" x14ac:dyDescent="0.25">
      <c r="A1920" s="5">
        <v>47343</v>
      </c>
      <c r="B1920" t="s">
        <v>12133</v>
      </c>
      <c r="C1920" s="5" t="s">
        <v>12134</v>
      </c>
      <c r="D1920" t="s">
        <v>12135</v>
      </c>
      <c r="E1920" s="5" t="s">
        <v>2911</v>
      </c>
      <c r="F1920" s="6">
        <v>46098.734722222223</v>
      </c>
      <c r="G1920" s="5" t="s">
        <v>7456</v>
      </c>
      <c r="H1920" s="5" t="s">
        <v>12136</v>
      </c>
      <c r="I1920" s="5" t="s">
        <v>1564</v>
      </c>
      <c r="J1920" s="8">
        <v>485</v>
      </c>
      <c r="K1920" s="5" t="s">
        <v>4</v>
      </c>
      <c r="L1920">
        <f t="shared" si="29"/>
        <v>3</v>
      </c>
    </row>
    <row r="1921" spans="1:12" x14ac:dyDescent="0.25">
      <c r="A1921" s="5">
        <v>47345</v>
      </c>
      <c r="B1921" t="s">
        <v>12137</v>
      </c>
      <c r="C1921" s="5" t="s">
        <v>834</v>
      </c>
      <c r="D1921" t="s">
        <v>12138</v>
      </c>
      <c r="E1921" s="5" t="s">
        <v>1738</v>
      </c>
      <c r="F1921" s="6">
        <v>46099.386805555558</v>
      </c>
      <c r="G1921" s="5" t="s">
        <v>7456</v>
      </c>
      <c r="H1921" s="5" t="s">
        <v>12139</v>
      </c>
      <c r="I1921" s="5" t="s">
        <v>1564</v>
      </c>
      <c r="J1921" s="8">
        <v>140</v>
      </c>
      <c r="K1921" s="5" t="s">
        <v>4</v>
      </c>
      <c r="L1921">
        <f t="shared" si="29"/>
        <v>3</v>
      </c>
    </row>
    <row r="1922" spans="1:12" x14ac:dyDescent="0.25">
      <c r="A1922" s="5">
        <v>47346</v>
      </c>
      <c r="B1922" t="s">
        <v>12140</v>
      </c>
      <c r="C1922" s="5" t="s">
        <v>12141</v>
      </c>
      <c r="D1922" t="s">
        <v>12142</v>
      </c>
      <c r="E1922" s="5" t="s">
        <v>5526</v>
      </c>
      <c r="F1922" s="6">
        <v>46099.392361111109</v>
      </c>
      <c r="G1922" s="5" t="s">
        <v>7456</v>
      </c>
      <c r="H1922" s="5" t="s">
        <v>12143</v>
      </c>
      <c r="I1922" s="5" t="s">
        <v>1564</v>
      </c>
      <c r="J1922" s="8">
        <v>120</v>
      </c>
      <c r="K1922" s="5" t="s">
        <v>4</v>
      </c>
      <c r="L1922">
        <f t="shared" si="29"/>
        <v>3</v>
      </c>
    </row>
    <row r="1923" spans="1:12" x14ac:dyDescent="0.25">
      <c r="A1923" s="5">
        <v>47347</v>
      </c>
      <c r="B1923" t="s">
        <v>12144</v>
      </c>
      <c r="C1923" s="5" t="s">
        <v>12145</v>
      </c>
      <c r="D1923" t="s">
        <v>12146</v>
      </c>
      <c r="E1923" s="5" t="s">
        <v>12147</v>
      </c>
      <c r="F1923" s="6">
        <v>46099.407638888886</v>
      </c>
      <c r="G1923" s="5" t="s">
        <v>7672</v>
      </c>
      <c r="H1923" t="s">
        <v>7482</v>
      </c>
      <c r="I1923" s="5" t="s">
        <v>1564</v>
      </c>
      <c r="J1923" s="8">
        <v>981</v>
      </c>
      <c r="K1923" s="5" t="s">
        <v>4</v>
      </c>
      <c r="L1923">
        <f t="shared" ref="L1923:L1986" si="30">MONTH(F1923)</f>
        <v>3</v>
      </c>
    </row>
    <row r="1924" spans="1:12" x14ac:dyDescent="0.25">
      <c r="A1924" s="5">
        <v>47348</v>
      </c>
      <c r="B1924" t="s">
        <v>8695</v>
      </c>
      <c r="C1924" s="5" t="s">
        <v>12148</v>
      </c>
      <c r="D1924" t="s">
        <v>8696</v>
      </c>
      <c r="E1924" s="5" t="s">
        <v>1663</v>
      </c>
      <c r="F1924" s="6">
        <v>46099.416666666664</v>
      </c>
      <c r="G1924" s="5" t="s">
        <v>7456</v>
      </c>
      <c r="H1924" s="5" t="s">
        <v>12149</v>
      </c>
      <c r="I1924" s="5" t="s">
        <v>1564</v>
      </c>
      <c r="J1924" s="8">
        <v>273</v>
      </c>
      <c r="K1924" s="5" t="s">
        <v>4</v>
      </c>
      <c r="L1924">
        <f t="shared" si="30"/>
        <v>3</v>
      </c>
    </row>
    <row r="1925" spans="1:12" x14ac:dyDescent="0.25">
      <c r="A1925" s="5">
        <v>47349</v>
      </c>
      <c r="B1925" t="s">
        <v>10138</v>
      </c>
      <c r="C1925" s="5" t="s">
        <v>7516</v>
      </c>
      <c r="D1925" t="s">
        <v>10139</v>
      </c>
      <c r="E1925" s="5" t="s">
        <v>2296</v>
      </c>
      <c r="F1925" s="6">
        <v>46099.509027777778</v>
      </c>
      <c r="G1925" s="5" t="s">
        <v>7456</v>
      </c>
      <c r="H1925" s="5" t="s">
        <v>12150</v>
      </c>
      <c r="I1925" s="5" t="s">
        <v>1621</v>
      </c>
      <c r="J1925" s="8">
        <v>0</v>
      </c>
      <c r="K1925" s="5" t="s">
        <v>4</v>
      </c>
      <c r="L1925">
        <f t="shared" si="30"/>
        <v>3</v>
      </c>
    </row>
    <row r="1926" spans="1:12" x14ac:dyDescent="0.25">
      <c r="A1926" s="5">
        <v>47350</v>
      </c>
      <c r="B1926" t="s">
        <v>12151</v>
      </c>
      <c r="C1926" s="5" t="s">
        <v>12152</v>
      </c>
      <c r="D1926" t="s">
        <v>12153</v>
      </c>
      <c r="E1926" s="5" t="s">
        <v>1738</v>
      </c>
      <c r="F1926" s="6">
        <v>46099.530555555553</v>
      </c>
      <c r="G1926" s="5" t="s">
        <v>7456</v>
      </c>
      <c r="H1926" s="5" t="s">
        <v>12154</v>
      </c>
      <c r="I1926" s="5" t="s">
        <v>1564</v>
      </c>
      <c r="J1926" s="8">
        <v>320</v>
      </c>
      <c r="K1926" s="5" t="s">
        <v>4</v>
      </c>
      <c r="L1926">
        <f t="shared" si="30"/>
        <v>3</v>
      </c>
    </row>
    <row r="1927" spans="1:12" x14ac:dyDescent="0.25">
      <c r="A1927" s="5">
        <v>47351</v>
      </c>
      <c r="B1927" t="s">
        <v>12155</v>
      </c>
      <c r="C1927" s="5" t="s">
        <v>8360</v>
      </c>
      <c r="D1927" t="s">
        <v>12156</v>
      </c>
      <c r="E1927" s="5" t="s">
        <v>12157</v>
      </c>
      <c r="F1927" s="6">
        <v>46099.537499999999</v>
      </c>
      <c r="G1927" s="5" t="s">
        <v>7672</v>
      </c>
      <c r="H1927" t="s">
        <v>7482</v>
      </c>
      <c r="I1927" s="5" t="s">
        <v>1564</v>
      </c>
      <c r="J1927" s="8">
        <v>6400</v>
      </c>
      <c r="K1927" s="5" t="s">
        <v>4</v>
      </c>
      <c r="L1927">
        <f t="shared" si="30"/>
        <v>3</v>
      </c>
    </row>
    <row r="1928" spans="1:12" x14ac:dyDescent="0.25">
      <c r="A1928" s="5">
        <v>47352</v>
      </c>
      <c r="B1928" t="s">
        <v>8965</v>
      </c>
      <c r="C1928" s="5" t="s">
        <v>12158</v>
      </c>
      <c r="D1928" t="s">
        <v>8966</v>
      </c>
      <c r="E1928" s="5" t="s">
        <v>1532</v>
      </c>
      <c r="F1928" s="6">
        <v>46099.565972222219</v>
      </c>
      <c r="G1928" s="5" t="s">
        <v>7595</v>
      </c>
      <c r="H1928" t="s">
        <v>7482</v>
      </c>
      <c r="I1928" s="5" t="s">
        <v>1535</v>
      </c>
      <c r="J1928" s="8">
        <v>1647</v>
      </c>
      <c r="K1928" s="5" t="s">
        <v>4</v>
      </c>
      <c r="L1928">
        <f t="shared" si="30"/>
        <v>3</v>
      </c>
    </row>
    <row r="1929" spans="1:12" x14ac:dyDescent="0.25">
      <c r="A1929" s="5">
        <v>47353</v>
      </c>
      <c r="B1929" t="s">
        <v>10174</v>
      </c>
      <c r="C1929" s="5" t="s">
        <v>10175</v>
      </c>
      <c r="D1929" t="s">
        <v>10176</v>
      </c>
      <c r="E1929" s="5" t="s">
        <v>1548</v>
      </c>
      <c r="F1929" s="6">
        <v>46099.574999999997</v>
      </c>
      <c r="G1929" s="5" t="s">
        <v>7595</v>
      </c>
      <c r="H1929" t="s">
        <v>7482</v>
      </c>
      <c r="I1929" s="5" t="s">
        <v>1535</v>
      </c>
      <c r="J1929" s="8">
        <v>658</v>
      </c>
      <c r="K1929" s="5" t="s">
        <v>4</v>
      </c>
      <c r="L1929">
        <f t="shared" si="30"/>
        <v>3</v>
      </c>
    </row>
    <row r="1930" spans="1:12" x14ac:dyDescent="0.25">
      <c r="A1930" s="5">
        <v>47358</v>
      </c>
      <c r="B1930" t="s">
        <v>12159</v>
      </c>
      <c r="C1930" s="5" t="s">
        <v>256</v>
      </c>
      <c r="D1930" t="s">
        <v>12160</v>
      </c>
      <c r="E1930" s="5" t="s">
        <v>6910</v>
      </c>
      <c r="F1930" s="6">
        <v>46099.634722222225</v>
      </c>
      <c r="G1930" s="5" t="s">
        <v>7456</v>
      </c>
      <c r="H1930" s="5" t="s">
        <v>12161</v>
      </c>
      <c r="I1930" s="5" t="s">
        <v>1621</v>
      </c>
      <c r="J1930" s="8">
        <v>39.69</v>
      </c>
      <c r="K1930" s="5" t="s">
        <v>4</v>
      </c>
      <c r="L1930">
        <f t="shared" si="30"/>
        <v>3</v>
      </c>
    </row>
    <row r="1931" spans="1:12" x14ac:dyDescent="0.25">
      <c r="A1931" s="5">
        <v>47359</v>
      </c>
      <c r="B1931" t="s">
        <v>12162</v>
      </c>
      <c r="C1931" s="5" t="s">
        <v>12163</v>
      </c>
      <c r="D1931" t="s">
        <v>12164</v>
      </c>
      <c r="E1931" s="5" t="s">
        <v>2037</v>
      </c>
      <c r="F1931" s="6">
        <v>46099.652083333334</v>
      </c>
      <c r="G1931" s="5" t="s">
        <v>7456</v>
      </c>
      <c r="H1931" s="5" t="s">
        <v>12165</v>
      </c>
      <c r="I1931" s="5" t="s">
        <v>1564</v>
      </c>
      <c r="J1931" s="8">
        <v>1165.28</v>
      </c>
      <c r="K1931" s="5" t="s">
        <v>4</v>
      </c>
      <c r="L1931">
        <f t="shared" si="30"/>
        <v>3</v>
      </c>
    </row>
    <row r="1932" spans="1:12" x14ac:dyDescent="0.25">
      <c r="A1932" s="5">
        <v>47360</v>
      </c>
      <c r="B1932" t="s">
        <v>12166</v>
      </c>
      <c r="C1932" s="5" t="s">
        <v>12167</v>
      </c>
      <c r="D1932" t="s">
        <v>12168</v>
      </c>
      <c r="E1932" s="5" t="s">
        <v>6617</v>
      </c>
      <c r="F1932" s="6">
        <v>46099.65347222222</v>
      </c>
      <c r="G1932" s="5" t="s">
        <v>7456</v>
      </c>
      <c r="H1932" s="5" t="s">
        <v>12169</v>
      </c>
      <c r="I1932" s="5" t="s">
        <v>1621</v>
      </c>
      <c r="J1932" s="8">
        <v>54.42</v>
      </c>
      <c r="K1932" s="5" t="s">
        <v>4</v>
      </c>
      <c r="L1932">
        <f t="shared" si="30"/>
        <v>3</v>
      </c>
    </row>
    <row r="1933" spans="1:12" x14ac:dyDescent="0.25">
      <c r="A1933" s="5">
        <v>47361</v>
      </c>
      <c r="B1933" t="s">
        <v>12170</v>
      </c>
      <c r="C1933" s="5" t="s">
        <v>12171</v>
      </c>
      <c r="D1933" t="s">
        <v>12172</v>
      </c>
      <c r="E1933" s="5" t="s">
        <v>1770</v>
      </c>
      <c r="F1933" s="6">
        <v>46099.700694444444</v>
      </c>
      <c r="G1933" s="5" t="s">
        <v>7456</v>
      </c>
      <c r="H1933" s="5" t="s">
        <v>12173</v>
      </c>
      <c r="I1933" s="5" t="s">
        <v>1564</v>
      </c>
      <c r="J1933" s="8">
        <v>424.5</v>
      </c>
      <c r="K1933" s="5" t="s">
        <v>4</v>
      </c>
      <c r="L1933">
        <f t="shared" si="30"/>
        <v>3</v>
      </c>
    </row>
    <row r="1934" spans="1:12" x14ac:dyDescent="0.25">
      <c r="A1934" s="5">
        <v>47362</v>
      </c>
      <c r="B1934" t="s">
        <v>12174</v>
      </c>
      <c r="C1934" s="5" t="s">
        <v>12175</v>
      </c>
      <c r="D1934" t="s">
        <v>12176</v>
      </c>
      <c r="E1934" s="5" t="s">
        <v>1641</v>
      </c>
      <c r="F1934" s="6">
        <v>46099.707638888889</v>
      </c>
      <c r="G1934" s="5" t="s">
        <v>7456</v>
      </c>
      <c r="H1934" s="5" t="s">
        <v>12177</v>
      </c>
      <c r="I1934" s="5" t="s">
        <v>1564</v>
      </c>
      <c r="J1934" s="8">
        <v>3523.6</v>
      </c>
      <c r="K1934" s="5" t="s">
        <v>4</v>
      </c>
      <c r="L1934">
        <f t="shared" si="30"/>
        <v>3</v>
      </c>
    </row>
    <row r="1935" spans="1:12" x14ac:dyDescent="0.25">
      <c r="A1935" s="5">
        <v>47363</v>
      </c>
      <c r="B1935" t="s">
        <v>8965</v>
      </c>
      <c r="C1935" s="5" t="s">
        <v>8082</v>
      </c>
      <c r="D1935" t="s">
        <v>8966</v>
      </c>
      <c r="E1935" s="5" t="s">
        <v>1532</v>
      </c>
      <c r="F1935" s="6">
        <v>46099.722916666666</v>
      </c>
      <c r="G1935" s="5" t="s">
        <v>7595</v>
      </c>
      <c r="H1935" t="s">
        <v>7482</v>
      </c>
      <c r="I1935" s="5" t="s">
        <v>1535</v>
      </c>
      <c r="J1935" s="8">
        <v>1020</v>
      </c>
      <c r="K1935" s="5" t="s">
        <v>4</v>
      </c>
      <c r="L1935">
        <f t="shared" si="30"/>
        <v>3</v>
      </c>
    </row>
    <row r="1936" spans="1:12" x14ac:dyDescent="0.25">
      <c r="A1936" s="5">
        <v>47364</v>
      </c>
      <c r="B1936" t="s">
        <v>8965</v>
      </c>
      <c r="C1936" s="5" t="s">
        <v>8082</v>
      </c>
      <c r="D1936" t="s">
        <v>8966</v>
      </c>
      <c r="E1936" s="5" t="s">
        <v>3073</v>
      </c>
      <c r="F1936" s="6">
        <v>46099.729166666664</v>
      </c>
      <c r="G1936" s="5" t="s">
        <v>7456</v>
      </c>
      <c r="H1936" s="5" t="s">
        <v>12178</v>
      </c>
      <c r="I1936" s="5" t="s">
        <v>1535</v>
      </c>
      <c r="J1936" s="8">
        <v>0</v>
      </c>
      <c r="K1936" s="5" t="s">
        <v>4</v>
      </c>
      <c r="L1936">
        <f t="shared" si="30"/>
        <v>3</v>
      </c>
    </row>
    <row r="1937" spans="1:12" x14ac:dyDescent="0.25">
      <c r="A1937" s="5">
        <v>47365</v>
      </c>
      <c r="B1937" t="s">
        <v>12179</v>
      </c>
      <c r="C1937" s="5" t="s">
        <v>8569</v>
      </c>
      <c r="D1937" t="s">
        <v>12180</v>
      </c>
      <c r="E1937" s="5" t="s">
        <v>1759</v>
      </c>
      <c r="F1937" s="6">
        <v>46100.347222222219</v>
      </c>
      <c r="G1937" s="5" t="s">
        <v>7456</v>
      </c>
      <c r="H1937" s="5" t="s">
        <v>12181</v>
      </c>
      <c r="I1937" s="5" t="s">
        <v>1564</v>
      </c>
      <c r="J1937" s="8">
        <v>335.05</v>
      </c>
      <c r="K1937" s="5" t="s">
        <v>4</v>
      </c>
      <c r="L1937">
        <f t="shared" si="30"/>
        <v>3</v>
      </c>
    </row>
    <row r="1938" spans="1:12" x14ac:dyDescent="0.25">
      <c r="A1938" s="5">
        <v>47366</v>
      </c>
      <c r="B1938" t="s">
        <v>12182</v>
      </c>
      <c r="C1938" s="5" t="s">
        <v>12183</v>
      </c>
      <c r="D1938" t="s">
        <v>12184</v>
      </c>
      <c r="E1938" s="5" t="s">
        <v>12185</v>
      </c>
      <c r="F1938" s="6">
        <v>46100.378472222219</v>
      </c>
      <c r="G1938" s="5" t="s">
        <v>7672</v>
      </c>
      <c r="H1938" t="s">
        <v>7482</v>
      </c>
      <c r="I1938" s="5" t="s">
        <v>1564</v>
      </c>
      <c r="J1938" s="8">
        <v>274</v>
      </c>
      <c r="K1938" s="5" t="s">
        <v>4</v>
      </c>
      <c r="L1938">
        <f t="shared" si="30"/>
        <v>3</v>
      </c>
    </row>
    <row r="1939" spans="1:12" x14ac:dyDescent="0.25">
      <c r="A1939" s="5">
        <v>47367</v>
      </c>
      <c r="B1939" t="s">
        <v>11231</v>
      </c>
      <c r="C1939" s="5" t="s">
        <v>11232</v>
      </c>
      <c r="D1939" t="s">
        <v>11233</v>
      </c>
      <c r="E1939" s="5" t="s">
        <v>1548</v>
      </c>
      <c r="F1939" s="6">
        <v>46100.381249999999</v>
      </c>
      <c r="G1939" s="5" t="s">
        <v>7456</v>
      </c>
      <c r="H1939" s="5" t="s">
        <v>12186</v>
      </c>
      <c r="I1939" s="5" t="s">
        <v>1535</v>
      </c>
      <c r="J1939" s="8">
        <v>73.8</v>
      </c>
      <c r="K1939" s="5" t="s">
        <v>4</v>
      </c>
      <c r="L1939">
        <f t="shared" si="30"/>
        <v>3</v>
      </c>
    </row>
    <row r="1940" spans="1:12" x14ac:dyDescent="0.25">
      <c r="A1940" s="5">
        <v>47369</v>
      </c>
      <c r="B1940" t="s">
        <v>12187</v>
      </c>
      <c r="C1940" s="5" t="s">
        <v>12188</v>
      </c>
      <c r="D1940" t="s">
        <v>12189</v>
      </c>
      <c r="E1940" s="5" t="s">
        <v>1663</v>
      </c>
      <c r="F1940" s="6">
        <v>46100.390277777777</v>
      </c>
      <c r="G1940" s="5" t="s">
        <v>7672</v>
      </c>
      <c r="H1940" t="s">
        <v>7482</v>
      </c>
      <c r="I1940" s="5" t="s">
        <v>1564</v>
      </c>
      <c r="J1940" s="8">
        <v>8934</v>
      </c>
      <c r="K1940" s="5" t="s">
        <v>4</v>
      </c>
      <c r="L1940">
        <f t="shared" si="30"/>
        <v>3</v>
      </c>
    </row>
    <row r="1941" spans="1:12" x14ac:dyDescent="0.25">
      <c r="A1941" s="5">
        <v>47370</v>
      </c>
      <c r="B1941" t="s">
        <v>12048</v>
      </c>
      <c r="C1941" s="5" t="s">
        <v>12049</v>
      </c>
      <c r="D1941" t="s">
        <v>12050</v>
      </c>
      <c r="E1941" s="5" t="s">
        <v>2471</v>
      </c>
      <c r="F1941" s="6">
        <v>46100.413194444445</v>
      </c>
      <c r="G1941" s="5" t="s">
        <v>7456</v>
      </c>
      <c r="H1941" s="5" t="s">
        <v>12190</v>
      </c>
      <c r="I1941" s="5" t="s">
        <v>1535</v>
      </c>
      <c r="J1941" s="8">
        <v>699</v>
      </c>
      <c r="K1941" s="5" t="s">
        <v>4</v>
      </c>
      <c r="L1941">
        <f t="shared" si="30"/>
        <v>3</v>
      </c>
    </row>
    <row r="1942" spans="1:12" x14ac:dyDescent="0.25">
      <c r="A1942" s="5">
        <v>47372</v>
      </c>
      <c r="B1942" t="s">
        <v>12191</v>
      </c>
      <c r="C1942" s="5" t="s">
        <v>12192</v>
      </c>
      <c r="D1942" t="s">
        <v>12193</v>
      </c>
      <c r="E1942" s="5" t="s">
        <v>1813</v>
      </c>
      <c r="F1942" s="6">
        <v>46100.427083333336</v>
      </c>
      <c r="G1942" s="5" t="s">
        <v>7595</v>
      </c>
      <c r="H1942" t="s">
        <v>7482</v>
      </c>
      <c r="I1942" s="5" t="s">
        <v>1535</v>
      </c>
      <c r="J1942" s="8">
        <v>765</v>
      </c>
      <c r="K1942" s="5" t="s">
        <v>4</v>
      </c>
      <c r="L1942">
        <f t="shared" si="30"/>
        <v>3</v>
      </c>
    </row>
    <row r="1943" spans="1:12" x14ac:dyDescent="0.25">
      <c r="A1943" s="5">
        <v>47373</v>
      </c>
      <c r="B1943" t="s">
        <v>12003</v>
      </c>
      <c r="C1943" s="5" t="s">
        <v>12004</v>
      </c>
      <c r="D1943" t="s">
        <v>12005</v>
      </c>
      <c r="E1943" s="5" t="s">
        <v>2054</v>
      </c>
      <c r="F1943" s="6">
        <v>46100.43472222222</v>
      </c>
      <c r="G1943" s="5" t="s">
        <v>7456</v>
      </c>
      <c r="H1943" s="5" t="s">
        <v>12194</v>
      </c>
      <c r="I1943" s="5" t="s">
        <v>1535</v>
      </c>
      <c r="J1943" s="8">
        <v>1135</v>
      </c>
      <c r="K1943" s="5" t="s">
        <v>4</v>
      </c>
      <c r="L1943">
        <f t="shared" si="30"/>
        <v>3</v>
      </c>
    </row>
    <row r="1944" spans="1:12" x14ac:dyDescent="0.25">
      <c r="A1944" s="5">
        <v>47374</v>
      </c>
      <c r="B1944" t="s">
        <v>12195</v>
      </c>
      <c r="C1944" s="5" t="s">
        <v>12196</v>
      </c>
      <c r="D1944" t="s">
        <v>12197</v>
      </c>
      <c r="E1944" s="5" t="s">
        <v>1813</v>
      </c>
      <c r="F1944" s="6">
        <v>46100.450694444444</v>
      </c>
      <c r="G1944" s="5" t="s">
        <v>7595</v>
      </c>
      <c r="H1944" t="s">
        <v>7482</v>
      </c>
      <c r="I1944" s="5" t="s">
        <v>1535</v>
      </c>
      <c r="J1944" s="8">
        <v>6693.3</v>
      </c>
      <c r="K1944" s="5" t="s">
        <v>4</v>
      </c>
      <c r="L1944">
        <f t="shared" si="30"/>
        <v>3</v>
      </c>
    </row>
    <row r="1945" spans="1:12" x14ac:dyDescent="0.25">
      <c r="A1945" s="5">
        <v>47375</v>
      </c>
      <c r="B1945" t="s">
        <v>12198</v>
      </c>
      <c r="C1945" s="5" t="s">
        <v>12199</v>
      </c>
      <c r="D1945" t="s">
        <v>12200</v>
      </c>
      <c r="E1945" s="5" t="s">
        <v>4535</v>
      </c>
      <c r="F1945" s="6">
        <v>46100.452777777777</v>
      </c>
      <c r="G1945" s="5" t="s">
        <v>7456</v>
      </c>
      <c r="H1945" s="5" t="s">
        <v>12201</v>
      </c>
      <c r="I1945" s="5" t="s">
        <v>1564</v>
      </c>
      <c r="J1945" s="8">
        <v>190</v>
      </c>
      <c r="K1945" s="5" t="s">
        <v>4</v>
      </c>
      <c r="L1945">
        <f t="shared" si="30"/>
        <v>3</v>
      </c>
    </row>
    <row r="1946" spans="1:12" x14ac:dyDescent="0.25">
      <c r="A1946" s="5">
        <v>47376</v>
      </c>
      <c r="B1946" t="s">
        <v>12202</v>
      </c>
      <c r="C1946" s="5" t="s">
        <v>11685</v>
      </c>
      <c r="D1946" t="s">
        <v>11686</v>
      </c>
      <c r="E1946" s="5" t="s">
        <v>1738</v>
      </c>
      <c r="F1946" s="6">
        <v>46100.462500000001</v>
      </c>
      <c r="G1946" s="5" t="s">
        <v>7456</v>
      </c>
      <c r="H1946" s="5" t="s">
        <v>12203</v>
      </c>
      <c r="I1946" s="5" t="s">
        <v>1564</v>
      </c>
      <c r="J1946" s="8">
        <v>1011</v>
      </c>
      <c r="K1946" s="5" t="s">
        <v>4</v>
      </c>
      <c r="L1946">
        <f t="shared" si="30"/>
        <v>3</v>
      </c>
    </row>
    <row r="1947" spans="1:12" x14ac:dyDescent="0.25">
      <c r="A1947" s="5">
        <v>47377</v>
      </c>
      <c r="B1947" t="s">
        <v>12204</v>
      </c>
      <c r="C1947" s="5" t="s">
        <v>12205</v>
      </c>
      <c r="D1947" t="s">
        <v>12206</v>
      </c>
      <c r="E1947" s="5" t="s">
        <v>1816</v>
      </c>
      <c r="F1947" s="6">
        <v>46100.478472222225</v>
      </c>
      <c r="G1947" s="5" t="s">
        <v>7456</v>
      </c>
      <c r="H1947" s="5" t="s">
        <v>12207</v>
      </c>
      <c r="I1947" s="5" t="s">
        <v>1564</v>
      </c>
      <c r="J1947" s="8">
        <v>1978.4</v>
      </c>
      <c r="K1947" s="5" t="s">
        <v>4</v>
      </c>
      <c r="L1947">
        <f t="shared" si="30"/>
        <v>3</v>
      </c>
    </row>
    <row r="1948" spans="1:12" x14ac:dyDescent="0.25">
      <c r="A1948" s="5">
        <v>47378</v>
      </c>
      <c r="B1948" t="s">
        <v>12208</v>
      </c>
      <c r="C1948" s="5" t="s">
        <v>12209</v>
      </c>
      <c r="D1948" t="s">
        <v>12210</v>
      </c>
      <c r="E1948" s="5" t="s">
        <v>1853</v>
      </c>
      <c r="F1948" s="6">
        <v>46100.486111111109</v>
      </c>
      <c r="G1948" s="5" t="s">
        <v>7456</v>
      </c>
      <c r="H1948" s="5" t="s">
        <v>12211</v>
      </c>
      <c r="I1948" s="5" t="s">
        <v>1564</v>
      </c>
      <c r="J1948" s="8">
        <v>1817.7</v>
      </c>
      <c r="K1948" s="5" t="s">
        <v>4</v>
      </c>
      <c r="L1948">
        <f t="shared" si="30"/>
        <v>3</v>
      </c>
    </row>
    <row r="1949" spans="1:12" x14ac:dyDescent="0.25">
      <c r="A1949" s="5">
        <v>47380</v>
      </c>
      <c r="B1949" t="s">
        <v>12212</v>
      </c>
      <c r="C1949" s="5" t="s">
        <v>7516</v>
      </c>
      <c r="D1949" t="s">
        <v>12213</v>
      </c>
      <c r="E1949" s="5" t="s">
        <v>1770</v>
      </c>
      <c r="F1949" s="6">
        <v>46100.529166666667</v>
      </c>
      <c r="G1949" s="5" t="s">
        <v>7672</v>
      </c>
      <c r="H1949" t="s">
        <v>7482</v>
      </c>
      <c r="I1949" s="5" t="s">
        <v>1564</v>
      </c>
      <c r="J1949" s="8">
        <v>170</v>
      </c>
      <c r="K1949" s="5" t="s">
        <v>4</v>
      </c>
      <c r="L1949">
        <f t="shared" si="30"/>
        <v>3</v>
      </c>
    </row>
    <row r="1950" spans="1:12" x14ac:dyDescent="0.25">
      <c r="A1950" s="5">
        <v>47381</v>
      </c>
      <c r="B1950" t="s">
        <v>10242</v>
      </c>
      <c r="C1950" s="5" t="s">
        <v>10243</v>
      </c>
      <c r="D1950" t="s">
        <v>10244</v>
      </c>
      <c r="E1950" s="5" t="s">
        <v>1742</v>
      </c>
      <c r="F1950" s="6">
        <v>46100.570138888892</v>
      </c>
      <c r="G1950" s="5" t="s">
        <v>7456</v>
      </c>
      <c r="H1950" s="5" t="s">
        <v>12214</v>
      </c>
      <c r="I1950" s="5" t="s">
        <v>1535</v>
      </c>
      <c r="J1950" s="8">
        <v>86.35</v>
      </c>
      <c r="K1950" s="5" t="s">
        <v>4</v>
      </c>
      <c r="L1950">
        <f t="shared" si="30"/>
        <v>3</v>
      </c>
    </row>
    <row r="1951" spans="1:12" x14ac:dyDescent="0.25">
      <c r="A1951" s="5">
        <v>47382</v>
      </c>
      <c r="B1951" t="s">
        <v>12215</v>
      </c>
      <c r="C1951" s="5" t="s">
        <v>7516</v>
      </c>
      <c r="D1951" t="s">
        <v>12216</v>
      </c>
      <c r="E1951" s="5" t="s">
        <v>1532</v>
      </c>
      <c r="F1951" s="6">
        <v>46100.586111111108</v>
      </c>
      <c r="G1951" s="5" t="s">
        <v>7595</v>
      </c>
      <c r="H1951" t="s">
        <v>7482</v>
      </c>
      <c r="I1951" s="5" t="s">
        <v>1535</v>
      </c>
      <c r="J1951" s="8">
        <v>612.5</v>
      </c>
      <c r="K1951" s="5" t="s">
        <v>4</v>
      </c>
      <c r="L1951">
        <f t="shared" si="30"/>
        <v>3</v>
      </c>
    </row>
    <row r="1952" spans="1:12" x14ac:dyDescent="0.25">
      <c r="A1952" s="5">
        <v>47383</v>
      </c>
      <c r="B1952" t="s">
        <v>10010</v>
      </c>
      <c r="C1952" s="5" t="s">
        <v>10011</v>
      </c>
      <c r="D1952" t="s">
        <v>8861</v>
      </c>
      <c r="E1952" s="5" t="s">
        <v>1759</v>
      </c>
      <c r="F1952" s="6">
        <v>46100.60833333333</v>
      </c>
      <c r="G1952" s="5" t="s">
        <v>7672</v>
      </c>
      <c r="H1952" t="s">
        <v>8626</v>
      </c>
      <c r="I1952" s="5" t="s">
        <v>1564</v>
      </c>
      <c r="J1952" s="8">
        <v>165</v>
      </c>
      <c r="K1952" s="5" t="s">
        <v>4</v>
      </c>
      <c r="L1952">
        <f t="shared" si="30"/>
        <v>3</v>
      </c>
    </row>
    <row r="1953" spans="1:12" x14ac:dyDescent="0.25">
      <c r="A1953" s="5">
        <v>47384</v>
      </c>
      <c r="B1953" t="s">
        <v>10449</v>
      </c>
      <c r="C1953" s="5" t="s">
        <v>12217</v>
      </c>
      <c r="D1953" t="s">
        <v>10451</v>
      </c>
      <c r="E1953" s="5" t="s">
        <v>1759</v>
      </c>
      <c r="F1953" s="6">
        <v>46100.629861111112</v>
      </c>
      <c r="G1953" s="5" t="s">
        <v>7456</v>
      </c>
      <c r="H1953" s="5" t="s">
        <v>12218</v>
      </c>
      <c r="I1953" s="5" t="s">
        <v>1564</v>
      </c>
      <c r="J1953" s="8">
        <v>565.20000000000005</v>
      </c>
      <c r="K1953" s="5" t="s">
        <v>4</v>
      </c>
      <c r="L1953">
        <f t="shared" si="30"/>
        <v>3</v>
      </c>
    </row>
    <row r="1954" spans="1:12" x14ac:dyDescent="0.25">
      <c r="A1954" s="5">
        <v>47385</v>
      </c>
      <c r="B1954" t="s">
        <v>12219</v>
      </c>
      <c r="C1954" s="5" t="s">
        <v>1215</v>
      </c>
      <c r="D1954" t="s">
        <v>12220</v>
      </c>
      <c r="E1954" s="5" t="s">
        <v>1663</v>
      </c>
      <c r="F1954" s="6">
        <v>46100.634722222225</v>
      </c>
      <c r="G1954" s="5" t="s">
        <v>7456</v>
      </c>
      <c r="H1954" s="5" t="s">
        <v>12221</v>
      </c>
      <c r="I1954" s="5" t="s">
        <v>1564</v>
      </c>
      <c r="J1954" s="8">
        <v>164.8</v>
      </c>
      <c r="K1954" s="5" t="s">
        <v>4</v>
      </c>
      <c r="L1954">
        <f t="shared" si="30"/>
        <v>3</v>
      </c>
    </row>
    <row r="1955" spans="1:12" x14ac:dyDescent="0.25">
      <c r="A1955" s="5">
        <v>47386</v>
      </c>
      <c r="B1955" t="s">
        <v>12222</v>
      </c>
      <c r="C1955" s="5" t="s">
        <v>8017</v>
      </c>
      <c r="D1955" t="s">
        <v>12223</v>
      </c>
      <c r="E1955" s="5" t="s">
        <v>2740</v>
      </c>
      <c r="F1955" s="6">
        <v>46100.642361111109</v>
      </c>
      <c r="G1955" s="5" t="s">
        <v>7672</v>
      </c>
      <c r="H1955" t="s">
        <v>7482</v>
      </c>
      <c r="I1955" s="5" t="s">
        <v>1564</v>
      </c>
      <c r="J1955" s="8">
        <v>280</v>
      </c>
      <c r="K1955" s="5" t="s">
        <v>4</v>
      </c>
      <c r="L1955">
        <f t="shared" si="30"/>
        <v>3</v>
      </c>
    </row>
    <row r="1956" spans="1:12" x14ac:dyDescent="0.25">
      <c r="A1956" s="5">
        <v>47387</v>
      </c>
      <c r="B1956" t="s">
        <v>12224</v>
      </c>
      <c r="C1956" s="5" t="s">
        <v>12225</v>
      </c>
      <c r="D1956" t="s">
        <v>12226</v>
      </c>
      <c r="E1956" s="5" t="s">
        <v>6156</v>
      </c>
      <c r="F1956" s="6">
        <v>46100.652083333334</v>
      </c>
      <c r="G1956" s="5" t="s">
        <v>7456</v>
      </c>
      <c r="H1956" s="5" t="s">
        <v>12227</v>
      </c>
      <c r="I1956" s="5" t="s">
        <v>1621</v>
      </c>
      <c r="J1956" s="8">
        <v>84.09</v>
      </c>
      <c r="K1956" s="5" t="s">
        <v>4</v>
      </c>
      <c r="L1956">
        <f t="shared" si="30"/>
        <v>3</v>
      </c>
    </row>
    <row r="1957" spans="1:12" x14ac:dyDescent="0.25">
      <c r="A1957" s="5">
        <v>47389</v>
      </c>
      <c r="B1957" t="s">
        <v>12228</v>
      </c>
      <c r="C1957" s="5" t="s">
        <v>479</v>
      </c>
      <c r="D1957" t="s">
        <v>12229</v>
      </c>
      <c r="E1957" s="5" t="s">
        <v>6017</v>
      </c>
      <c r="F1957" s="6">
        <v>46100.668749999997</v>
      </c>
      <c r="G1957" s="5" t="s">
        <v>7456</v>
      </c>
      <c r="H1957" s="5" t="s">
        <v>12230</v>
      </c>
      <c r="I1957" s="5" t="s">
        <v>1621</v>
      </c>
      <c r="J1957" s="8">
        <v>94.38</v>
      </c>
      <c r="K1957" s="5" t="s">
        <v>4</v>
      </c>
      <c r="L1957">
        <f t="shared" si="30"/>
        <v>3</v>
      </c>
    </row>
    <row r="1958" spans="1:12" x14ac:dyDescent="0.25">
      <c r="A1958" s="5">
        <v>47390</v>
      </c>
      <c r="B1958" t="s">
        <v>12029</v>
      </c>
      <c r="C1958" s="5" t="s">
        <v>12231</v>
      </c>
      <c r="D1958" t="s">
        <v>12232</v>
      </c>
      <c r="E1958" s="5" t="s">
        <v>4616</v>
      </c>
      <c r="F1958" s="6">
        <v>46100.676388888889</v>
      </c>
      <c r="G1958" s="5" t="s">
        <v>7456</v>
      </c>
      <c r="H1958" s="5" t="s">
        <v>12233</v>
      </c>
      <c r="I1958" s="5" t="s">
        <v>1621</v>
      </c>
      <c r="J1958" s="8">
        <v>181.23</v>
      </c>
      <c r="K1958" s="5" t="s">
        <v>4</v>
      </c>
      <c r="L1958">
        <f t="shared" si="30"/>
        <v>3</v>
      </c>
    </row>
    <row r="1959" spans="1:12" x14ac:dyDescent="0.25">
      <c r="A1959" s="5">
        <v>47391</v>
      </c>
      <c r="B1959" t="s">
        <v>12234</v>
      </c>
      <c r="C1959" s="5" t="s">
        <v>12235</v>
      </c>
      <c r="D1959" t="s">
        <v>12236</v>
      </c>
      <c r="E1959" s="5" t="s">
        <v>5358</v>
      </c>
      <c r="F1959" s="6">
        <v>46100.686111111114</v>
      </c>
      <c r="G1959" s="5" t="s">
        <v>7456</v>
      </c>
      <c r="H1959" s="5" t="s">
        <v>12237</v>
      </c>
      <c r="I1959" s="5" t="s">
        <v>1621</v>
      </c>
      <c r="J1959" s="8">
        <v>133.27000000000001</v>
      </c>
      <c r="K1959" s="5" t="s">
        <v>4</v>
      </c>
      <c r="L1959">
        <f t="shared" si="30"/>
        <v>3</v>
      </c>
    </row>
    <row r="1960" spans="1:12" x14ac:dyDescent="0.25">
      <c r="A1960" s="5">
        <v>47394</v>
      </c>
      <c r="B1960" t="s">
        <v>12238</v>
      </c>
      <c r="C1960" s="5" t="s">
        <v>12239</v>
      </c>
      <c r="D1960" t="s">
        <v>12240</v>
      </c>
      <c r="E1960" s="5" t="s">
        <v>1759</v>
      </c>
      <c r="F1960" s="6">
        <v>46100.725694444445</v>
      </c>
      <c r="G1960" s="5" t="s">
        <v>7456</v>
      </c>
      <c r="H1960" s="5" t="s">
        <v>12241</v>
      </c>
      <c r="I1960" s="5" t="s">
        <v>1564</v>
      </c>
      <c r="J1960" s="8">
        <v>105</v>
      </c>
      <c r="K1960" s="5" t="s">
        <v>4</v>
      </c>
      <c r="L1960">
        <f t="shared" si="30"/>
        <v>3</v>
      </c>
    </row>
    <row r="1961" spans="1:12" x14ac:dyDescent="0.25">
      <c r="A1961" s="5">
        <v>47395</v>
      </c>
      <c r="B1961" t="s">
        <v>12242</v>
      </c>
      <c r="C1961" s="5" t="s">
        <v>1002</v>
      </c>
      <c r="D1961" t="s">
        <v>12243</v>
      </c>
      <c r="E1961" s="5" t="s">
        <v>3966</v>
      </c>
      <c r="F1961" s="6">
        <v>46100.706944444442</v>
      </c>
      <c r="G1961" s="5" t="s">
        <v>7456</v>
      </c>
      <c r="H1961" s="5" t="s">
        <v>12244</v>
      </c>
      <c r="I1961" s="5" t="s">
        <v>1621</v>
      </c>
      <c r="J1961" s="8">
        <v>260.14999999999998</v>
      </c>
      <c r="K1961" s="5" t="s">
        <v>4</v>
      </c>
      <c r="L1961">
        <f t="shared" si="30"/>
        <v>3</v>
      </c>
    </row>
    <row r="1962" spans="1:12" x14ac:dyDescent="0.25">
      <c r="A1962" s="5">
        <v>47396</v>
      </c>
      <c r="B1962" t="s">
        <v>11450</v>
      </c>
      <c r="C1962" s="5" t="s">
        <v>11451</v>
      </c>
      <c r="D1962" t="s">
        <v>11452</v>
      </c>
      <c r="E1962" s="5" t="s">
        <v>1738</v>
      </c>
      <c r="F1962" s="6">
        <v>46100.731249999997</v>
      </c>
      <c r="G1962" s="5" t="s">
        <v>7456</v>
      </c>
      <c r="H1962" s="5" t="s">
        <v>12245</v>
      </c>
      <c r="I1962" s="5" t="s">
        <v>1564</v>
      </c>
      <c r="J1962" s="8">
        <v>325</v>
      </c>
      <c r="K1962" s="5" t="s">
        <v>4</v>
      </c>
      <c r="L1962">
        <f t="shared" si="30"/>
        <v>3</v>
      </c>
    </row>
    <row r="1963" spans="1:12" x14ac:dyDescent="0.25">
      <c r="A1963" s="5">
        <v>47397</v>
      </c>
      <c r="B1963" t="s">
        <v>12246</v>
      </c>
      <c r="C1963" s="5" t="s">
        <v>12247</v>
      </c>
      <c r="D1963" t="s">
        <v>12248</v>
      </c>
      <c r="E1963" s="5" t="s">
        <v>1738</v>
      </c>
      <c r="F1963" s="6">
        <v>46100.745833333334</v>
      </c>
      <c r="G1963" s="5" t="s">
        <v>7672</v>
      </c>
      <c r="H1963" t="s">
        <v>7482</v>
      </c>
      <c r="I1963" s="5" t="s">
        <v>1564</v>
      </c>
      <c r="J1963" s="8">
        <v>1496.4</v>
      </c>
      <c r="K1963" s="5" t="s">
        <v>4</v>
      </c>
      <c r="L1963">
        <f t="shared" si="30"/>
        <v>3</v>
      </c>
    </row>
    <row r="1964" spans="1:12" x14ac:dyDescent="0.25">
      <c r="A1964" s="5">
        <v>47402</v>
      </c>
      <c r="B1964" t="s">
        <v>10171</v>
      </c>
      <c r="C1964" s="5" t="s">
        <v>10172</v>
      </c>
      <c r="D1964" t="s">
        <v>10173</v>
      </c>
      <c r="E1964" s="5" t="s">
        <v>2765</v>
      </c>
      <c r="F1964" s="6">
        <v>46101.414583333331</v>
      </c>
      <c r="G1964" s="5" t="s">
        <v>7456</v>
      </c>
      <c r="H1964" s="5" t="s">
        <v>12249</v>
      </c>
      <c r="I1964" s="5" t="s">
        <v>1535</v>
      </c>
      <c r="J1964" s="8">
        <v>99.9</v>
      </c>
      <c r="K1964" s="5" t="s">
        <v>4</v>
      </c>
      <c r="L1964">
        <f t="shared" si="30"/>
        <v>3</v>
      </c>
    </row>
    <row r="1965" spans="1:12" x14ac:dyDescent="0.25">
      <c r="A1965" s="5">
        <v>47404</v>
      </c>
      <c r="B1965" t="s">
        <v>11339</v>
      </c>
      <c r="C1965" s="5" t="s">
        <v>11340</v>
      </c>
      <c r="D1965" t="s">
        <v>11341</v>
      </c>
      <c r="E1965" s="5" t="s">
        <v>1759</v>
      </c>
      <c r="F1965" s="6">
        <v>46101.450694444444</v>
      </c>
      <c r="G1965" s="5" t="s">
        <v>7456</v>
      </c>
      <c r="H1965" s="5" t="s">
        <v>12250</v>
      </c>
      <c r="I1965" s="5" t="s">
        <v>1564</v>
      </c>
      <c r="J1965" s="8">
        <v>112</v>
      </c>
      <c r="K1965" s="5" t="s">
        <v>4</v>
      </c>
      <c r="L1965">
        <f t="shared" si="30"/>
        <v>3</v>
      </c>
    </row>
    <row r="1966" spans="1:12" x14ac:dyDescent="0.25">
      <c r="A1966" s="5">
        <v>47405</v>
      </c>
      <c r="B1966" t="s">
        <v>12251</v>
      </c>
      <c r="C1966" s="5" t="s">
        <v>12252</v>
      </c>
      <c r="D1966" t="s">
        <v>12253</v>
      </c>
      <c r="E1966" s="5" t="s">
        <v>12254</v>
      </c>
      <c r="F1966" s="6">
        <v>46101.462500000001</v>
      </c>
      <c r="G1966" s="5" t="s">
        <v>7672</v>
      </c>
      <c r="H1966" t="s">
        <v>8626</v>
      </c>
      <c r="I1966" s="5" t="s">
        <v>1564</v>
      </c>
      <c r="J1966" s="8">
        <v>6377.1</v>
      </c>
      <c r="K1966" s="5" t="s">
        <v>4</v>
      </c>
      <c r="L1966">
        <f t="shared" si="30"/>
        <v>3</v>
      </c>
    </row>
    <row r="1967" spans="1:12" x14ac:dyDescent="0.25">
      <c r="A1967" s="5">
        <v>47406</v>
      </c>
      <c r="B1967" t="s">
        <v>8151</v>
      </c>
      <c r="C1967" s="5" t="s">
        <v>8545</v>
      </c>
      <c r="D1967" t="s">
        <v>8546</v>
      </c>
      <c r="E1967" s="5" t="s">
        <v>5412</v>
      </c>
      <c r="F1967" s="6">
        <v>46101.46875</v>
      </c>
      <c r="G1967" s="5" t="s">
        <v>7456</v>
      </c>
      <c r="H1967" s="5" t="s">
        <v>12255</v>
      </c>
      <c r="I1967" s="5" t="s">
        <v>1535</v>
      </c>
      <c r="J1967" s="8">
        <v>63.9</v>
      </c>
      <c r="K1967" s="5" t="s">
        <v>4</v>
      </c>
      <c r="L1967">
        <f t="shared" si="30"/>
        <v>3</v>
      </c>
    </row>
    <row r="1968" spans="1:12" x14ac:dyDescent="0.25">
      <c r="A1968" s="5">
        <v>47407</v>
      </c>
      <c r="B1968" t="s">
        <v>12256</v>
      </c>
      <c r="C1968" s="5" t="s">
        <v>12257</v>
      </c>
      <c r="D1968" t="s">
        <v>12258</v>
      </c>
      <c r="E1968" s="5" t="s">
        <v>2406</v>
      </c>
      <c r="F1968" s="6">
        <v>46101.509722222225</v>
      </c>
      <c r="G1968" s="5" t="s">
        <v>7456</v>
      </c>
      <c r="H1968" s="5" t="s">
        <v>12259</v>
      </c>
      <c r="I1968" s="5" t="s">
        <v>1564</v>
      </c>
      <c r="J1968" s="8">
        <v>740</v>
      </c>
      <c r="K1968" s="5" t="s">
        <v>4</v>
      </c>
      <c r="L1968">
        <f t="shared" si="30"/>
        <v>3</v>
      </c>
    </row>
    <row r="1969" spans="1:12" x14ac:dyDescent="0.25">
      <c r="A1969" s="5">
        <v>47408</v>
      </c>
      <c r="B1969" t="s">
        <v>12260</v>
      </c>
      <c r="C1969" s="5" t="s">
        <v>12261</v>
      </c>
      <c r="D1969" t="s">
        <v>12262</v>
      </c>
      <c r="E1969" s="5" t="s">
        <v>2118</v>
      </c>
      <c r="F1969" s="6">
        <v>46101.536111111112</v>
      </c>
      <c r="G1969" s="5" t="s">
        <v>7456</v>
      </c>
      <c r="H1969" s="5" t="s">
        <v>12263</v>
      </c>
      <c r="I1969" s="5" t="s">
        <v>1564</v>
      </c>
      <c r="J1969" s="8">
        <v>362</v>
      </c>
      <c r="K1969" s="5" t="s">
        <v>4</v>
      </c>
      <c r="L1969">
        <f t="shared" si="30"/>
        <v>3</v>
      </c>
    </row>
    <row r="1970" spans="1:12" x14ac:dyDescent="0.25">
      <c r="A1970" s="5">
        <v>47409</v>
      </c>
      <c r="B1970" t="s">
        <v>12264</v>
      </c>
      <c r="C1970" s="5" t="s">
        <v>12265</v>
      </c>
      <c r="D1970" t="s">
        <v>12266</v>
      </c>
      <c r="E1970" s="5" t="s">
        <v>1759</v>
      </c>
      <c r="F1970" s="6">
        <v>46101.552777777775</v>
      </c>
      <c r="G1970" s="5" t="s">
        <v>7456</v>
      </c>
      <c r="H1970" s="5" t="s">
        <v>12267</v>
      </c>
      <c r="I1970" s="5" t="s">
        <v>1564</v>
      </c>
      <c r="J1970" s="8">
        <v>531.6</v>
      </c>
      <c r="K1970" s="5" t="s">
        <v>4</v>
      </c>
      <c r="L1970">
        <f t="shared" si="30"/>
        <v>3</v>
      </c>
    </row>
    <row r="1971" spans="1:12" x14ac:dyDescent="0.25">
      <c r="A1971" s="5">
        <v>47412</v>
      </c>
      <c r="B1971" t="s">
        <v>10383</v>
      </c>
      <c r="C1971" s="5" t="s">
        <v>10384</v>
      </c>
      <c r="D1971" t="s">
        <v>10385</v>
      </c>
      <c r="E1971" s="5" t="s">
        <v>2118</v>
      </c>
      <c r="F1971" s="6">
        <v>46101.628472222219</v>
      </c>
      <c r="G1971" s="5" t="s">
        <v>7456</v>
      </c>
      <c r="H1971" s="5" t="s">
        <v>12268</v>
      </c>
      <c r="I1971" s="5" t="s">
        <v>1535</v>
      </c>
      <c r="J1971" s="8">
        <v>95.7</v>
      </c>
      <c r="K1971" s="5" t="s">
        <v>4</v>
      </c>
      <c r="L1971">
        <f t="shared" si="30"/>
        <v>3</v>
      </c>
    </row>
    <row r="1972" spans="1:12" x14ac:dyDescent="0.25">
      <c r="A1972" s="5">
        <v>47417</v>
      </c>
      <c r="B1972" t="s">
        <v>12269</v>
      </c>
      <c r="C1972" s="5" t="s">
        <v>12270</v>
      </c>
      <c r="D1972" t="s">
        <v>12271</v>
      </c>
      <c r="E1972" s="5" t="s">
        <v>6645</v>
      </c>
      <c r="F1972" s="6">
        <v>46101.648611111108</v>
      </c>
      <c r="G1972" s="5" t="s">
        <v>7456</v>
      </c>
      <c r="H1972" s="5" t="s">
        <v>12272</v>
      </c>
      <c r="I1972" s="5" t="s">
        <v>1621</v>
      </c>
      <c r="J1972" s="8">
        <v>53.24</v>
      </c>
      <c r="K1972" s="5" t="s">
        <v>4</v>
      </c>
      <c r="L1972">
        <f t="shared" si="30"/>
        <v>3</v>
      </c>
    </row>
    <row r="1973" spans="1:12" x14ac:dyDescent="0.25">
      <c r="A1973" s="5">
        <v>47418</v>
      </c>
      <c r="B1973" t="s">
        <v>12273</v>
      </c>
      <c r="C1973" s="5" t="s">
        <v>628</v>
      </c>
      <c r="D1973" t="s">
        <v>12274</v>
      </c>
      <c r="E1973" s="5" t="s">
        <v>6933</v>
      </c>
      <c r="F1973" s="6">
        <v>46101.656944444447</v>
      </c>
      <c r="G1973" s="5" t="s">
        <v>7456</v>
      </c>
      <c r="H1973" s="5" t="s">
        <v>12275</v>
      </c>
      <c r="I1973" s="5" t="s">
        <v>1621</v>
      </c>
      <c r="J1973" s="8">
        <v>38.5</v>
      </c>
      <c r="K1973" s="5" t="s">
        <v>4</v>
      </c>
      <c r="L1973">
        <f t="shared" si="30"/>
        <v>3</v>
      </c>
    </row>
    <row r="1974" spans="1:12" x14ac:dyDescent="0.25">
      <c r="A1974" s="5">
        <v>47419</v>
      </c>
      <c r="B1974" t="s">
        <v>12276</v>
      </c>
      <c r="C1974" s="5" t="s">
        <v>12277</v>
      </c>
      <c r="D1974" t="s">
        <v>12278</v>
      </c>
      <c r="E1974" s="5" t="s">
        <v>1738</v>
      </c>
      <c r="F1974" s="6">
        <v>46101.67083333333</v>
      </c>
      <c r="G1974" s="5" t="s">
        <v>7456</v>
      </c>
      <c r="H1974" s="5" t="s">
        <v>12279</v>
      </c>
      <c r="I1974" s="5" t="s">
        <v>1564</v>
      </c>
      <c r="J1974" s="8">
        <v>1038.75</v>
      </c>
      <c r="K1974" s="5" t="s">
        <v>4</v>
      </c>
      <c r="L1974">
        <f t="shared" si="30"/>
        <v>3</v>
      </c>
    </row>
    <row r="1975" spans="1:12" x14ac:dyDescent="0.25">
      <c r="A1975" s="5">
        <v>47420</v>
      </c>
      <c r="B1975" t="s">
        <v>12280</v>
      </c>
      <c r="C1975" s="5" t="s">
        <v>473</v>
      </c>
      <c r="D1975" t="s">
        <v>12281</v>
      </c>
      <c r="E1975" s="5" t="s">
        <v>5552</v>
      </c>
      <c r="F1975" s="6">
        <v>46101.668749999997</v>
      </c>
      <c r="G1975" s="5" t="s">
        <v>7456</v>
      </c>
      <c r="H1975" s="5" t="s">
        <v>12282</v>
      </c>
      <c r="I1975" s="5" t="s">
        <v>1621</v>
      </c>
      <c r="J1975" s="8">
        <v>118.35</v>
      </c>
      <c r="K1975" s="5" t="s">
        <v>4</v>
      </c>
      <c r="L1975">
        <f t="shared" si="30"/>
        <v>3</v>
      </c>
    </row>
    <row r="1976" spans="1:12" x14ac:dyDescent="0.25">
      <c r="A1976" s="5">
        <v>47421</v>
      </c>
      <c r="B1976" t="s">
        <v>8965</v>
      </c>
      <c r="C1976" s="5" t="s">
        <v>9154</v>
      </c>
      <c r="D1976" t="s">
        <v>8966</v>
      </c>
      <c r="E1976" s="5" t="s">
        <v>5560</v>
      </c>
      <c r="F1976" s="6">
        <v>46101.679166666669</v>
      </c>
      <c r="G1976" s="5" t="s">
        <v>7456</v>
      </c>
      <c r="H1976" s="5" t="s">
        <v>12283</v>
      </c>
      <c r="I1976" s="5" t="s">
        <v>1535</v>
      </c>
      <c r="J1976" s="8">
        <v>118</v>
      </c>
      <c r="K1976" s="5" t="s">
        <v>4</v>
      </c>
      <c r="L1976">
        <f t="shared" si="30"/>
        <v>3</v>
      </c>
    </row>
    <row r="1977" spans="1:12" x14ac:dyDescent="0.25">
      <c r="A1977" s="5">
        <v>47422</v>
      </c>
      <c r="B1977" t="s">
        <v>12284</v>
      </c>
      <c r="C1977" s="5" t="s">
        <v>12285</v>
      </c>
      <c r="D1977" t="s">
        <v>12286</v>
      </c>
      <c r="E1977" s="5" t="s">
        <v>6043</v>
      </c>
      <c r="F1977" s="6">
        <v>46101.683333333334</v>
      </c>
      <c r="G1977" s="5" t="s">
        <v>7456</v>
      </c>
      <c r="H1977" s="5" t="s">
        <v>12287</v>
      </c>
      <c r="I1977" s="5" t="s">
        <v>1621</v>
      </c>
      <c r="J1977" s="8">
        <v>91.04</v>
      </c>
      <c r="K1977" s="5" t="s">
        <v>4</v>
      </c>
      <c r="L1977">
        <f t="shared" si="30"/>
        <v>3</v>
      </c>
    </row>
    <row r="1978" spans="1:12" x14ac:dyDescent="0.25">
      <c r="A1978" s="5">
        <v>47423</v>
      </c>
      <c r="B1978" t="s">
        <v>12288</v>
      </c>
      <c r="C1978" s="5" t="s">
        <v>12289</v>
      </c>
      <c r="D1978" t="s">
        <v>12290</v>
      </c>
      <c r="E1978" s="5" t="s">
        <v>1567</v>
      </c>
      <c r="F1978" s="6">
        <v>46101.69027777778</v>
      </c>
      <c r="G1978" s="5" t="s">
        <v>7456</v>
      </c>
      <c r="H1978" s="5" t="s">
        <v>12291</v>
      </c>
      <c r="I1978" s="5" t="s">
        <v>1564</v>
      </c>
      <c r="J1978" s="8">
        <v>268.5</v>
      </c>
      <c r="K1978" s="5" t="s">
        <v>4</v>
      </c>
      <c r="L1978">
        <f t="shared" si="30"/>
        <v>3</v>
      </c>
    </row>
    <row r="1979" spans="1:12" x14ac:dyDescent="0.25">
      <c r="A1979" s="5">
        <v>47424</v>
      </c>
      <c r="B1979" t="s">
        <v>12292</v>
      </c>
      <c r="C1979" s="5" t="s">
        <v>587</v>
      </c>
      <c r="D1979" t="s">
        <v>12293</v>
      </c>
      <c r="E1979" s="5" t="s">
        <v>6668</v>
      </c>
      <c r="F1979" s="6">
        <v>46101.688194444447</v>
      </c>
      <c r="G1979" s="5" t="s">
        <v>7456</v>
      </c>
      <c r="H1979" s="5" t="s">
        <v>12294</v>
      </c>
      <c r="I1979" s="5" t="s">
        <v>1621</v>
      </c>
      <c r="J1979" s="8">
        <v>52.58</v>
      </c>
      <c r="K1979" s="5" t="s">
        <v>4</v>
      </c>
      <c r="L1979">
        <f t="shared" si="30"/>
        <v>3</v>
      </c>
    </row>
    <row r="1980" spans="1:12" x14ac:dyDescent="0.25">
      <c r="A1980" s="5">
        <v>47425</v>
      </c>
      <c r="B1980" t="s">
        <v>12295</v>
      </c>
      <c r="C1980" s="5" t="s">
        <v>11082</v>
      </c>
      <c r="D1980" t="s">
        <v>12296</v>
      </c>
      <c r="E1980" s="5" t="s">
        <v>1759</v>
      </c>
      <c r="F1980" s="6">
        <v>46104.374305555553</v>
      </c>
      <c r="G1980" s="5" t="s">
        <v>7672</v>
      </c>
      <c r="H1980" t="s">
        <v>8626</v>
      </c>
      <c r="I1980" s="5" t="s">
        <v>1564</v>
      </c>
      <c r="J1980" s="8">
        <v>140</v>
      </c>
      <c r="K1980" s="5" t="s">
        <v>4</v>
      </c>
      <c r="L1980">
        <f t="shared" si="30"/>
        <v>3</v>
      </c>
    </row>
    <row r="1981" spans="1:12" x14ac:dyDescent="0.25">
      <c r="A1981" s="5">
        <v>47426</v>
      </c>
      <c r="B1981" t="s">
        <v>12297</v>
      </c>
      <c r="C1981" s="5" t="s">
        <v>12298</v>
      </c>
      <c r="D1981" t="s">
        <v>12299</v>
      </c>
      <c r="E1981" s="5" t="s">
        <v>1759</v>
      </c>
      <c r="F1981" s="6">
        <v>46104.380555555559</v>
      </c>
      <c r="G1981" s="5" t="s">
        <v>7456</v>
      </c>
      <c r="H1981" s="5" t="s">
        <v>12300</v>
      </c>
      <c r="I1981" s="5" t="s">
        <v>1564</v>
      </c>
      <c r="J1981" s="8">
        <v>185</v>
      </c>
      <c r="K1981" s="5" t="s">
        <v>4</v>
      </c>
      <c r="L1981">
        <f t="shared" si="30"/>
        <v>3</v>
      </c>
    </row>
    <row r="1982" spans="1:12" x14ac:dyDescent="0.25">
      <c r="A1982" s="5">
        <v>47427</v>
      </c>
      <c r="B1982" t="s">
        <v>8910</v>
      </c>
      <c r="C1982" s="5" t="s">
        <v>8911</v>
      </c>
      <c r="D1982" t="s">
        <v>8912</v>
      </c>
      <c r="E1982" s="5" t="s">
        <v>4810</v>
      </c>
      <c r="F1982" s="6">
        <v>46104.388888888891</v>
      </c>
      <c r="G1982" s="5" t="s">
        <v>7456</v>
      </c>
      <c r="H1982" s="5" t="s">
        <v>12301</v>
      </c>
      <c r="I1982" s="5" t="s">
        <v>1535</v>
      </c>
      <c r="J1982" s="8">
        <v>166</v>
      </c>
      <c r="K1982" s="5" t="s">
        <v>4</v>
      </c>
      <c r="L1982">
        <f t="shared" si="30"/>
        <v>3</v>
      </c>
    </row>
    <row r="1983" spans="1:12" x14ac:dyDescent="0.25">
      <c r="A1983" s="5">
        <v>47428</v>
      </c>
      <c r="B1983" t="s">
        <v>12302</v>
      </c>
      <c r="C1983" s="5" t="s">
        <v>12303</v>
      </c>
      <c r="D1983" t="s">
        <v>12304</v>
      </c>
      <c r="E1983" s="5" t="s">
        <v>1532</v>
      </c>
      <c r="F1983" s="6">
        <v>46104.402777777781</v>
      </c>
      <c r="G1983" s="5" t="s">
        <v>7595</v>
      </c>
      <c r="H1983" t="s">
        <v>7482</v>
      </c>
      <c r="I1983" s="5" t="s">
        <v>1535</v>
      </c>
      <c r="J1983" s="8">
        <v>1230</v>
      </c>
      <c r="K1983" s="5" t="s">
        <v>4</v>
      </c>
      <c r="L1983">
        <f t="shared" si="30"/>
        <v>3</v>
      </c>
    </row>
    <row r="1984" spans="1:12" x14ac:dyDescent="0.25">
      <c r="A1984" s="5">
        <v>47429</v>
      </c>
      <c r="B1984" t="s">
        <v>12305</v>
      </c>
      <c r="C1984" s="5" t="s">
        <v>12306</v>
      </c>
      <c r="D1984" t="s">
        <v>12307</v>
      </c>
      <c r="E1984" s="5" t="s">
        <v>2740</v>
      </c>
      <c r="F1984" s="6">
        <v>46104.424305555556</v>
      </c>
      <c r="G1984" s="5" t="s">
        <v>7672</v>
      </c>
      <c r="H1984" t="s">
        <v>7482</v>
      </c>
      <c r="I1984" s="5" t="s">
        <v>1564</v>
      </c>
      <c r="J1984" s="8">
        <v>1520</v>
      </c>
      <c r="K1984" s="5" t="s">
        <v>4</v>
      </c>
      <c r="L1984">
        <f t="shared" si="30"/>
        <v>3</v>
      </c>
    </row>
    <row r="1985" spans="1:12" x14ac:dyDescent="0.25">
      <c r="A1985" s="5">
        <v>47430</v>
      </c>
      <c r="B1985" t="s">
        <v>12308</v>
      </c>
      <c r="C1985" s="5" t="s">
        <v>12309</v>
      </c>
      <c r="D1985" t="s">
        <v>12310</v>
      </c>
      <c r="E1985" s="5" t="s">
        <v>4421</v>
      </c>
      <c r="F1985" s="6">
        <v>46104.44027777778</v>
      </c>
      <c r="G1985" s="5" t="s">
        <v>7456</v>
      </c>
      <c r="H1985" s="5" t="s">
        <v>12311</v>
      </c>
      <c r="I1985" s="5" t="s">
        <v>1564</v>
      </c>
      <c r="J1985" s="8">
        <v>199.2</v>
      </c>
      <c r="K1985" s="5" t="s">
        <v>4</v>
      </c>
      <c r="L1985">
        <f t="shared" si="30"/>
        <v>3</v>
      </c>
    </row>
    <row r="1986" spans="1:12" x14ac:dyDescent="0.25">
      <c r="A1986" s="5">
        <v>47431</v>
      </c>
      <c r="B1986" t="s">
        <v>12312</v>
      </c>
      <c r="C1986" s="5" t="s">
        <v>55</v>
      </c>
      <c r="D1986" t="s">
        <v>12313</v>
      </c>
      <c r="E1986" s="5" t="s">
        <v>1759</v>
      </c>
      <c r="F1986" s="6">
        <v>46104.45</v>
      </c>
      <c r="G1986" s="5" t="s">
        <v>7456</v>
      </c>
      <c r="H1986" s="5" t="s">
        <v>12314</v>
      </c>
      <c r="I1986" s="5" t="s">
        <v>1564</v>
      </c>
      <c r="J1986" s="8">
        <v>100</v>
      </c>
      <c r="K1986" s="5" t="s">
        <v>4</v>
      </c>
      <c r="L1986">
        <f t="shared" si="30"/>
        <v>3</v>
      </c>
    </row>
    <row r="1987" spans="1:12" x14ac:dyDescent="0.25">
      <c r="A1987" s="5">
        <v>47432</v>
      </c>
      <c r="B1987" t="s">
        <v>12315</v>
      </c>
      <c r="C1987" s="5" t="s">
        <v>12316</v>
      </c>
      <c r="D1987" t="s">
        <v>12317</v>
      </c>
      <c r="E1987" s="5" t="s">
        <v>2074</v>
      </c>
      <c r="F1987" s="6">
        <v>46104.460416666669</v>
      </c>
      <c r="G1987" s="5" t="s">
        <v>7672</v>
      </c>
      <c r="H1987" t="s">
        <v>8626</v>
      </c>
      <c r="I1987" s="5" t="s">
        <v>1564</v>
      </c>
      <c r="J1987" s="8">
        <v>260</v>
      </c>
      <c r="K1987" s="5" t="s">
        <v>4</v>
      </c>
      <c r="L1987">
        <f t="shared" ref="L1987:L2050" si="31">MONTH(F1987)</f>
        <v>3</v>
      </c>
    </row>
    <row r="1988" spans="1:12" x14ac:dyDescent="0.25">
      <c r="A1988" s="5">
        <v>47433</v>
      </c>
      <c r="B1988" t="s">
        <v>12318</v>
      </c>
      <c r="C1988" s="5" t="s">
        <v>12319</v>
      </c>
      <c r="D1988" t="s">
        <v>12320</v>
      </c>
      <c r="E1988" s="5" t="s">
        <v>1759</v>
      </c>
      <c r="F1988" s="6">
        <v>46104.496527777781</v>
      </c>
      <c r="G1988" s="5" t="s">
        <v>7456</v>
      </c>
      <c r="H1988" s="5" t="s">
        <v>12321</v>
      </c>
      <c r="I1988" s="5" t="s">
        <v>1564</v>
      </c>
      <c r="J1988" s="8">
        <v>216.3</v>
      </c>
      <c r="K1988" s="5" t="s">
        <v>4</v>
      </c>
      <c r="L1988">
        <f t="shared" si="31"/>
        <v>3</v>
      </c>
    </row>
    <row r="1989" spans="1:12" x14ac:dyDescent="0.25">
      <c r="A1989" s="5">
        <v>47434</v>
      </c>
      <c r="B1989" t="s">
        <v>12322</v>
      </c>
      <c r="C1989" s="5" t="s">
        <v>7516</v>
      </c>
      <c r="D1989" t="s">
        <v>12323</v>
      </c>
      <c r="E1989" s="5" t="s">
        <v>2765</v>
      </c>
      <c r="F1989" s="6">
        <v>46104.568055555559</v>
      </c>
      <c r="G1989" s="5" t="s">
        <v>7456</v>
      </c>
      <c r="H1989" s="5" t="s">
        <v>12324</v>
      </c>
      <c r="I1989" s="5" t="s">
        <v>1535</v>
      </c>
      <c r="J1989" s="8">
        <v>532</v>
      </c>
      <c r="K1989" s="5" t="s">
        <v>4</v>
      </c>
      <c r="L1989">
        <f t="shared" si="31"/>
        <v>3</v>
      </c>
    </row>
    <row r="1990" spans="1:12" x14ac:dyDescent="0.25">
      <c r="A1990" s="5">
        <v>47436</v>
      </c>
      <c r="B1990" t="s">
        <v>8965</v>
      </c>
      <c r="C1990" s="5" t="s">
        <v>9154</v>
      </c>
      <c r="D1990" t="s">
        <v>8966</v>
      </c>
      <c r="E1990" s="5" t="s">
        <v>3327</v>
      </c>
      <c r="F1990" s="6">
        <v>46104.629166666666</v>
      </c>
      <c r="G1990" s="5" t="s">
        <v>7456</v>
      </c>
      <c r="H1990" s="5" t="s">
        <v>12325</v>
      </c>
      <c r="I1990" s="5" t="s">
        <v>1535</v>
      </c>
      <c r="J1990" s="8">
        <v>355.5</v>
      </c>
      <c r="K1990" s="5" t="s">
        <v>4</v>
      </c>
      <c r="L1990">
        <f t="shared" si="31"/>
        <v>3</v>
      </c>
    </row>
    <row r="1991" spans="1:12" x14ac:dyDescent="0.25">
      <c r="A1991" s="5">
        <v>47437</v>
      </c>
      <c r="B1991" t="s">
        <v>10379</v>
      </c>
      <c r="C1991" s="5" t="s">
        <v>10372</v>
      </c>
      <c r="D1991" t="s">
        <v>10373</v>
      </c>
      <c r="E1991" s="5" t="s">
        <v>1813</v>
      </c>
      <c r="F1991" s="6">
        <v>46104.629166666666</v>
      </c>
      <c r="G1991" s="5" t="s">
        <v>7456</v>
      </c>
      <c r="H1991" s="5" t="s">
        <v>12326</v>
      </c>
      <c r="I1991" s="5" t="s">
        <v>1621</v>
      </c>
      <c r="J1991" s="8">
        <v>0</v>
      </c>
      <c r="K1991" s="5" t="s">
        <v>4</v>
      </c>
      <c r="L1991">
        <f t="shared" si="31"/>
        <v>3</v>
      </c>
    </row>
    <row r="1992" spans="1:12" x14ac:dyDescent="0.25">
      <c r="A1992" s="5">
        <v>47438</v>
      </c>
      <c r="B1992" t="s">
        <v>8965</v>
      </c>
      <c r="C1992" s="5" t="s">
        <v>9154</v>
      </c>
      <c r="D1992" t="s">
        <v>8966</v>
      </c>
      <c r="E1992" s="5" t="s">
        <v>1532</v>
      </c>
      <c r="F1992" s="6">
        <v>46104.647222222222</v>
      </c>
      <c r="G1992" s="5" t="s">
        <v>7595</v>
      </c>
      <c r="H1992" t="s">
        <v>7482</v>
      </c>
      <c r="I1992" s="5" t="s">
        <v>1535</v>
      </c>
      <c r="J1992" s="8">
        <v>615.5</v>
      </c>
      <c r="K1992" s="5" t="s">
        <v>4</v>
      </c>
      <c r="L1992">
        <f t="shared" si="31"/>
        <v>3</v>
      </c>
    </row>
    <row r="1993" spans="1:12" x14ac:dyDescent="0.25">
      <c r="A1993" s="5">
        <v>47439</v>
      </c>
      <c r="B1993" t="s">
        <v>8965</v>
      </c>
      <c r="C1993" s="5" t="s">
        <v>9154</v>
      </c>
      <c r="D1993" t="s">
        <v>8966</v>
      </c>
      <c r="E1993" s="5" t="s">
        <v>1532</v>
      </c>
      <c r="F1993" s="6">
        <v>46104.650694444441</v>
      </c>
      <c r="G1993" s="5" t="s">
        <v>7595</v>
      </c>
      <c r="H1993" t="s">
        <v>7482</v>
      </c>
      <c r="I1993" s="5" t="s">
        <v>1535</v>
      </c>
      <c r="J1993" s="8">
        <v>200</v>
      </c>
      <c r="K1993" s="5" t="s">
        <v>4</v>
      </c>
      <c r="L1993">
        <f t="shared" si="31"/>
        <v>3</v>
      </c>
    </row>
    <row r="1994" spans="1:12" x14ac:dyDescent="0.25">
      <c r="A1994" s="5">
        <v>47440</v>
      </c>
      <c r="B1994" t="s">
        <v>8125</v>
      </c>
      <c r="C1994" s="5" t="s">
        <v>12327</v>
      </c>
      <c r="D1994" t="s">
        <v>8127</v>
      </c>
      <c r="E1994" s="5" t="s">
        <v>1770</v>
      </c>
      <c r="F1994" s="6">
        <v>46104.68472222222</v>
      </c>
      <c r="G1994" s="5" t="s">
        <v>7456</v>
      </c>
      <c r="H1994" s="5" t="s">
        <v>12328</v>
      </c>
      <c r="I1994" s="5" t="s">
        <v>1564</v>
      </c>
      <c r="J1994" s="8">
        <v>141.75</v>
      </c>
      <c r="K1994" s="5" t="s">
        <v>4</v>
      </c>
      <c r="L1994">
        <f t="shared" si="31"/>
        <v>3</v>
      </c>
    </row>
    <row r="1995" spans="1:12" x14ac:dyDescent="0.25">
      <c r="A1995" s="5">
        <v>47443</v>
      </c>
      <c r="B1995" t="s">
        <v>12329</v>
      </c>
      <c r="C1995" s="5" t="s">
        <v>12330</v>
      </c>
      <c r="D1995" t="s">
        <v>12331</v>
      </c>
      <c r="E1995" s="5" t="s">
        <v>3035</v>
      </c>
      <c r="F1995" s="6">
        <v>46104.693749999999</v>
      </c>
      <c r="G1995" s="5" t="s">
        <v>7456</v>
      </c>
      <c r="H1995" s="5" t="s">
        <v>12332</v>
      </c>
      <c r="I1995" s="5" t="s">
        <v>1564</v>
      </c>
      <c r="J1995" s="8">
        <v>284.39999999999998</v>
      </c>
      <c r="K1995" s="5" t="s">
        <v>4</v>
      </c>
      <c r="L1995">
        <f t="shared" si="31"/>
        <v>3</v>
      </c>
    </row>
    <row r="1996" spans="1:12" x14ac:dyDescent="0.25">
      <c r="A1996" s="5">
        <v>47447</v>
      </c>
      <c r="B1996" t="s">
        <v>12333</v>
      </c>
      <c r="C1996" s="5" t="s">
        <v>7516</v>
      </c>
      <c r="D1996" t="s">
        <v>12334</v>
      </c>
      <c r="E1996" s="5" t="s">
        <v>1813</v>
      </c>
      <c r="F1996" s="6">
        <v>46104.705555555556</v>
      </c>
      <c r="G1996" s="5" t="s">
        <v>7456</v>
      </c>
      <c r="H1996" s="5" t="s">
        <v>12335</v>
      </c>
      <c r="I1996" s="5" t="s">
        <v>1535</v>
      </c>
      <c r="J1996" s="8">
        <v>1992.7</v>
      </c>
      <c r="K1996" s="5" t="s">
        <v>4</v>
      </c>
      <c r="L1996">
        <f t="shared" si="31"/>
        <v>3</v>
      </c>
    </row>
    <row r="1997" spans="1:12" x14ac:dyDescent="0.25">
      <c r="A1997" s="5">
        <v>47448</v>
      </c>
      <c r="B1997" t="s">
        <v>9783</v>
      </c>
      <c r="C1997" s="5" t="s">
        <v>12336</v>
      </c>
      <c r="D1997" t="s">
        <v>9784</v>
      </c>
      <c r="E1997" s="5" t="s">
        <v>1770</v>
      </c>
      <c r="F1997" s="6">
        <v>46104.760416666664</v>
      </c>
      <c r="G1997" s="5" t="s">
        <v>7595</v>
      </c>
      <c r="H1997" t="s">
        <v>8626</v>
      </c>
      <c r="I1997" s="5" t="s">
        <v>1564</v>
      </c>
      <c r="J1997" s="8">
        <v>310.5</v>
      </c>
      <c r="K1997" s="5" t="s">
        <v>4</v>
      </c>
      <c r="L1997">
        <f t="shared" si="31"/>
        <v>3</v>
      </c>
    </row>
    <row r="1998" spans="1:12" x14ac:dyDescent="0.25">
      <c r="A1998" s="5">
        <v>47449</v>
      </c>
      <c r="B1998" t="s">
        <v>8965</v>
      </c>
      <c r="C1998" s="5" t="s">
        <v>8082</v>
      </c>
      <c r="D1998" t="s">
        <v>8966</v>
      </c>
      <c r="E1998" s="5" t="s">
        <v>1532</v>
      </c>
      <c r="F1998" s="6">
        <v>46105.34375</v>
      </c>
      <c r="G1998" s="5" t="s">
        <v>7595</v>
      </c>
      <c r="H1998" t="s">
        <v>7482</v>
      </c>
      <c r="I1998" s="5" t="s">
        <v>1535</v>
      </c>
      <c r="J1998" s="8">
        <v>200</v>
      </c>
      <c r="K1998" s="5" t="s">
        <v>4</v>
      </c>
      <c r="L1998">
        <f t="shared" si="31"/>
        <v>3</v>
      </c>
    </row>
    <row r="1999" spans="1:12" x14ac:dyDescent="0.25">
      <c r="A1999" s="5">
        <v>47451</v>
      </c>
      <c r="B1999" t="s">
        <v>12337</v>
      </c>
      <c r="C1999" s="5" t="s">
        <v>12338</v>
      </c>
      <c r="D1999" t="s">
        <v>12339</v>
      </c>
      <c r="E1999" s="5" t="s">
        <v>2306</v>
      </c>
      <c r="F1999" s="6">
        <v>46105.392361111109</v>
      </c>
      <c r="G1999" s="5" t="s">
        <v>7456</v>
      </c>
      <c r="H1999" s="5" t="s">
        <v>12340</v>
      </c>
      <c r="I1999" s="5" t="s">
        <v>1564</v>
      </c>
      <c r="J1999" s="8">
        <v>830</v>
      </c>
      <c r="K1999" s="5" t="s">
        <v>4</v>
      </c>
      <c r="L1999">
        <f t="shared" si="31"/>
        <v>3</v>
      </c>
    </row>
    <row r="2000" spans="1:12" x14ac:dyDescent="0.25">
      <c r="A2000" s="5">
        <v>47452</v>
      </c>
      <c r="B2000" t="s">
        <v>12341</v>
      </c>
      <c r="C2000" s="5" t="s">
        <v>12342</v>
      </c>
      <c r="D2000" t="s">
        <v>12343</v>
      </c>
      <c r="E2000" s="5" t="s">
        <v>1567</v>
      </c>
      <c r="F2000" s="6">
        <v>46105.407638888886</v>
      </c>
      <c r="G2000" s="5" t="s">
        <v>7672</v>
      </c>
      <c r="H2000" s="5" t="s">
        <v>12344</v>
      </c>
      <c r="I2000" s="5" t="s">
        <v>1564</v>
      </c>
      <c r="J2000" s="8">
        <v>190.4</v>
      </c>
      <c r="K2000" s="5" t="s">
        <v>4</v>
      </c>
      <c r="L2000">
        <f t="shared" si="31"/>
        <v>3</v>
      </c>
    </row>
    <row r="2001" spans="1:12" x14ac:dyDescent="0.25">
      <c r="A2001" s="5">
        <v>47453</v>
      </c>
      <c r="B2001" t="s">
        <v>12345</v>
      </c>
      <c r="C2001" s="5" t="s">
        <v>12346</v>
      </c>
      <c r="D2001" t="s">
        <v>12347</v>
      </c>
      <c r="E2001" s="5" t="s">
        <v>3035</v>
      </c>
      <c r="F2001" s="6">
        <v>46105.419444444444</v>
      </c>
      <c r="G2001" s="5" t="s">
        <v>7456</v>
      </c>
      <c r="H2001" t="s">
        <v>7482</v>
      </c>
      <c r="I2001" s="5" t="s">
        <v>1564</v>
      </c>
      <c r="J2001" s="8">
        <v>404.1</v>
      </c>
      <c r="K2001" s="5" t="s">
        <v>4</v>
      </c>
      <c r="L2001">
        <f t="shared" si="31"/>
        <v>3</v>
      </c>
    </row>
    <row r="2002" spans="1:12" x14ac:dyDescent="0.25">
      <c r="A2002" s="5">
        <v>47454</v>
      </c>
      <c r="B2002" t="s">
        <v>12348</v>
      </c>
      <c r="C2002" s="5" t="s">
        <v>12349</v>
      </c>
      <c r="D2002" t="s">
        <v>12350</v>
      </c>
      <c r="E2002" s="5" t="s">
        <v>5011</v>
      </c>
      <c r="F2002" s="6">
        <v>46105.435416666667</v>
      </c>
      <c r="G2002" s="5" t="s">
        <v>7456</v>
      </c>
      <c r="H2002" s="5" t="s">
        <v>12351</v>
      </c>
      <c r="I2002" s="5" t="s">
        <v>1564</v>
      </c>
      <c r="J2002" s="8">
        <v>152.25</v>
      </c>
      <c r="K2002" s="5" t="s">
        <v>4</v>
      </c>
      <c r="L2002">
        <f t="shared" si="31"/>
        <v>3</v>
      </c>
    </row>
    <row r="2003" spans="1:12" x14ac:dyDescent="0.25">
      <c r="A2003" s="5">
        <v>47455</v>
      </c>
      <c r="B2003" t="s">
        <v>9685</v>
      </c>
      <c r="C2003" s="5" t="s">
        <v>9686</v>
      </c>
      <c r="D2003" t="s">
        <v>9687</v>
      </c>
      <c r="E2003" s="5" t="s">
        <v>4755</v>
      </c>
      <c r="F2003" s="6">
        <v>46105.454861111109</v>
      </c>
      <c r="G2003" s="5" t="s">
        <v>7456</v>
      </c>
      <c r="H2003" s="5" t="s">
        <v>12352</v>
      </c>
      <c r="I2003" s="5" t="s">
        <v>1564</v>
      </c>
      <c r="J2003" s="8">
        <v>171.5</v>
      </c>
      <c r="K2003" s="5" t="s">
        <v>4</v>
      </c>
      <c r="L2003">
        <f t="shared" si="31"/>
        <v>3</v>
      </c>
    </row>
    <row r="2004" spans="1:12" x14ac:dyDescent="0.25">
      <c r="A2004" s="5">
        <v>47456</v>
      </c>
      <c r="B2004" t="s">
        <v>12353</v>
      </c>
      <c r="C2004" s="5" t="s">
        <v>12354</v>
      </c>
      <c r="D2004" t="s">
        <v>12355</v>
      </c>
      <c r="E2004" s="5" t="s">
        <v>1770</v>
      </c>
      <c r="F2004" s="6">
        <v>46105.529166666667</v>
      </c>
      <c r="G2004" s="5" t="s">
        <v>7456</v>
      </c>
      <c r="H2004" s="5" t="s">
        <v>12356</v>
      </c>
      <c r="I2004" s="5" t="s">
        <v>1564</v>
      </c>
      <c r="J2004" s="8">
        <v>488.6</v>
      </c>
      <c r="K2004" s="5" t="s">
        <v>4</v>
      </c>
      <c r="L2004">
        <f t="shared" si="31"/>
        <v>3</v>
      </c>
    </row>
    <row r="2005" spans="1:12" x14ac:dyDescent="0.25">
      <c r="A2005" s="5">
        <v>47457</v>
      </c>
      <c r="B2005" t="s">
        <v>12322</v>
      </c>
      <c r="C2005" s="5" t="s">
        <v>7516</v>
      </c>
      <c r="D2005" t="s">
        <v>12323</v>
      </c>
      <c r="E2005" s="5" t="s">
        <v>1532</v>
      </c>
      <c r="F2005" s="6">
        <v>46105.574999999997</v>
      </c>
      <c r="G2005" s="5" t="s">
        <v>7456</v>
      </c>
      <c r="H2005" s="5" t="s">
        <v>12357</v>
      </c>
      <c r="I2005" s="5" t="s">
        <v>1535</v>
      </c>
      <c r="J2005" s="8">
        <v>304.5</v>
      </c>
      <c r="K2005" s="5" t="s">
        <v>4</v>
      </c>
      <c r="L2005">
        <f t="shared" si="31"/>
        <v>3</v>
      </c>
    </row>
    <row r="2006" spans="1:12" x14ac:dyDescent="0.25">
      <c r="A2006" s="5">
        <v>47458</v>
      </c>
      <c r="B2006" t="s">
        <v>12358</v>
      </c>
      <c r="C2006" s="5" t="s">
        <v>7516</v>
      </c>
      <c r="D2006" t="s">
        <v>12359</v>
      </c>
      <c r="E2006" s="5" t="s">
        <v>1532</v>
      </c>
      <c r="F2006" s="6">
        <v>46105.588194444441</v>
      </c>
      <c r="G2006" s="5" t="s">
        <v>7456</v>
      </c>
      <c r="H2006" s="5" t="s">
        <v>12360</v>
      </c>
      <c r="I2006" s="5" t="s">
        <v>1535</v>
      </c>
      <c r="J2006" s="8">
        <v>1320</v>
      </c>
      <c r="K2006" s="5" t="s">
        <v>4</v>
      </c>
      <c r="L2006">
        <f t="shared" si="31"/>
        <v>3</v>
      </c>
    </row>
    <row r="2007" spans="1:12" x14ac:dyDescent="0.25">
      <c r="A2007" s="5">
        <v>47460</v>
      </c>
      <c r="B2007" t="s">
        <v>11335</v>
      </c>
      <c r="C2007" s="5" t="s">
        <v>11336</v>
      </c>
      <c r="D2007" t="s">
        <v>11337</v>
      </c>
      <c r="E2007" s="5" t="s">
        <v>5951</v>
      </c>
      <c r="F2007" s="6">
        <v>46105.601388888892</v>
      </c>
      <c r="G2007" s="5" t="s">
        <v>7456</v>
      </c>
      <c r="H2007" s="5" t="s">
        <v>12361</v>
      </c>
      <c r="I2007" s="5" t="s">
        <v>1564</v>
      </c>
      <c r="J2007" s="8">
        <v>100</v>
      </c>
      <c r="K2007" s="5" t="s">
        <v>4</v>
      </c>
      <c r="L2007">
        <f t="shared" si="31"/>
        <v>3</v>
      </c>
    </row>
    <row r="2008" spans="1:12" x14ac:dyDescent="0.25">
      <c r="A2008" s="5">
        <v>47461</v>
      </c>
      <c r="B2008" t="s">
        <v>12362</v>
      </c>
      <c r="C2008" s="5" t="s">
        <v>10871</v>
      </c>
      <c r="D2008" t="s">
        <v>12363</v>
      </c>
      <c r="E2008" s="5" t="s">
        <v>1738</v>
      </c>
      <c r="F2008" s="6">
        <v>46105.612500000003</v>
      </c>
      <c r="G2008" s="5" t="s">
        <v>7456</v>
      </c>
      <c r="H2008" s="5" t="s">
        <v>12364</v>
      </c>
      <c r="I2008" s="5" t="s">
        <v>1564</v>
      </c>
      <c r="J2008" s="8">
        <v>107</v>
      </c>
      <c r="K2008" s="5" t="s">
        <v>4</v>
      </c>
      <c r="L2008">
        <f t="shared" si="31"/>
        <v>3</v>
      </c>
    </row>
    <row r="2009" spans="1:12" x14ac:dyDescent="0.25">
      <c r="A2009" s="5">
        <v>47462</v>
      </c>
      <c r="B2009" t="s">
        <v>10344</v>
      </c>
      <c r="C2009" s="5" t="s">
        <v>10345</v>
      </c>
      <c r="D2009" t="s">
        <v>10346</v>
      </c>
      <c r="E2009" s="5" t="s">
        <v>1673</v>
      </c>
      <c r="F2009" s="6">
        <v>46105.623611111114</v>
      </c>
      <c r="G2009" s="5" t="s">
        <v>7456</v>
      </c>
      <c r="H2009" s="5" t="s">
        <v>12365</v>
      </c>
      <c r="I2009" s="5" t="s">
        <v>1564</v>
      </c>
      <c r="J2009" s="8">
        <v>1200</v>
      </c>
      <c r="K2009" s="5" t="s">
        <v>4</v>
      </c>
      <c r="L2009">
        <f t="shared" si="31"/>
        <v>3</v>
      </c>
    </row>
    <row r="2010" spans="1:12" x14ac:dyDescent="0.25">
      <c r="A2010" s="5">
        <v>47463</v>
      </c>
      <c r="B2010" t="s">
        <v>12366</v>
      </c>
      <c r="C2010" s="5" t="s">
        <v>59</v>
      </c>
      <c r="D2010" t="s">
        <v>12367</v>
      </c>
      <c r="E2010" s="5" t="s">
        <v>5170</v>
      </c>
      <c r="F2010" s="6">
        <v>46105.622916666667</v>
      </c>
      <c r="G2010" s="5" t="s">
        <v>7456</v>
      </c>
      <c r="H2010" s="5" t="s">
        <v>12368</v>
      </c>
      <c r="I2010" s="5" t="s">
        <v>1621</v>
      </c>
      <c r="J2010" s="8">
        <v>140.91999999999999</v>
      </c>
      <c r="K2010" s="5" t="s">
        <v>4</v>
      </c>
      <c r="L2010">
        <f t="shared" si="31"/>
        <v>3</v>
      </c>
    </row>
    <row r="2011" spans="1:12" x14ac:dyDescent="0.25">
      <c r="A2011" s="5">
        <v>47464</v>
      </c>
      <c r="B2011" t="s">
        <v>12369</v>
      </c>
      <c r="C2011" s="5" t="s">
        <v>12370</v>
      </c>
      <c r="D2011" t="s">
        <v>12371</v>
      </c>
      <c r="E2011" s="5" t="s">
        <v>2808</v>
      </c>
      <c r="F2011" s="6">
        <v>46105.634722222225</v>
      </c>
      <c r="G2011" s="5" t="s">
        <v>7456</v>
      </c>
      <c r="H2011" s="5" t="s">
        <v>12372</v>
      </c>
      <c r="I2011" s="5" t="s">
        <v>1621</v>
      </c>
      <c r="J2011" s="8">
        <v>520</v>
      </c>
      <c r="K2011" s="5" t="s">
        <v>4</v>
      </c>
      <c r="L2011">
        <f t="shared" si="31"/>
        <v>3</v>
      </c>
    </row>
    <row r="2012" spans="1:12" x14ac:dyDescent="0.25">
      <c r="A2012" s="5">
        <v>47465</v>
      </c>
      <c r="B2012" t="s">
        <v>12373</v>
      </c>
      <c r="C2012" s="5" t="s">
        <v>12374</v>
      </c>
      <c r="D2012" t="s">
        <v>12375</v>
      </c>
      <c r="E2012" s="5" t="s">
        <v>6709</v>
      </c>
      <c r="F2012" s="6">
        <v>46105.65347222222</v>
      </c>
      <c r="G2012" s="5" t="s">
        <v>7456</v>
      </c>
      <c r="H2012" s="5" t="s">
        <v>12376</v>
      </c>
      <c r="I2012" s="5" t="s">
        <v>1621</v>
      </c>
      <c r="J2012" s="8">
        <v>51.87</v>
      </c>
      <c r="K2012" s="5" t="s">
        <v>4</v>
      </c>
      <c r="L2012">
        <f t="shared" si="31"/>
        <v>3</v>
      </c>
    </row>
    <row r="2013" spans="1:12" x14ac:dyDescent="0.25">
      <c r="A2013" s="5">
        <v>47466</v>
      </c>
      <c r="B2013" t="s">
        <v>12377</v>
      </c>
      <c r="C2013" s="5" t="s">
        <v>12378</v>
      </c>
      <c r="D2013" t="s">
        <v>12379</v>
      </c>
      <c r="E2013" s="5" t="s">
        <v>6671</v>
      </c>
      <c r="F2013" s="6">
        <v>46105.65902777778</v>
      </c>
      <c r="G2013" s="5" t="s">
        <v>7456</v>
      </c>
      <c r="H2013" s="5" t="s">
        <v>12380</v>
      </c>
      <c r="I2013" s="5" t="s">
        <v>1621</v>
      </c>
      <c r="J2013" s="8">
        <v>52.58</v>
      </c>
      <c r="K2013" s="5" t="s">
        <v>4</v>
      </c>
      <c r="L2013">
        <f t="shared" si="31"/>
        <v>3</v>
      </c>
    </row>
    <row r="2014" spans="1:12" x14ac:dyDescent="0.25">
      <c r="A2014" s="5">
        <v>47467</v>
      </c>
      <c r="B2014" t="s">
        <v>12381</v>
      </c>
      <c r="C2014" s="5" t="s">
        <v>523</v>
      </c>
      <c r="D2014" t="s">
        <v>12382</v>
      </c>
      <c r="E2014" s="5" t="s">
        <v>7178</v>
      </c>
      <c r="F2014" s="6">
        <v>46105.664583333331</v>
      </c>
      <c r="G2014" s="5" t="s">
        <v>7456</v>
      </c>
      <c r="H2014" s="5" t="s">
        <v>12383</v>
      </c>
      <c r="I2014" s="5" t="s">
        <v>1621</v>
      </c>
      <c r="J2014" s="8">
        <v>26.03</v>
      </c>
      <c r="K2014" s="5" t="s">
        <v>4</v>
      </c>
      <c r="L2014">
        <f t="shared" si="31"/>
        <v>3</v>
      </c>
    </row>
    <row r="2015" spans="1:12" x14ac:dyDescent="0.25">
      <c r="A2015" s="5">
        <v>47468</v>
      </c>
      <c r="B2015" t="s">
        <v>12384</v>
      </c>
      <c r="C2015" s="5" t="s">
        <v>12385</v>
      </c>
      <c r="D2015" t="s">
        <v>12386</v>
      </c>
      <c r="E2015" s="5" t="s">
        <v>1738</v>
      </c>
      <c r="F2015" s="6">
        <v>46105.670138888891</v>
      </c>
      <c r="G2015" s="5" t="s">
        <v>7456</v>
      </c>
      <c r="H2015" s="5" t="s">
        <v>12387</v>
      </c>
      <c r="I2015" s="5" t="s">
        <v>1564</v>
      </c>
      <c r="J2015" s="8">
        <v>275</v>
      </c>
      <c r="K2015" s="5" t="s">
        <v>4</v>
      </c>
      <c r="L2015">
        <f t="shared" si="31"/>
        <v>3</v>
      </c>
    </row>
    <row r="2016" spans="1:12" x14ac:dyDescent="0.25">
      <c r="A2016" s="5">
        <v>47469</v>
      </c>
      <c r="B2016" t="s">
        <v>12388</v>
      </c>
      <c r="C2016" s="5" t="s">
        <v>12389</v>
      </c>
      <c r="D2016" t="s">
        <v>12390</v>
      </c>
      <c r="E2016" s="5" t="s">
        <v>2740</v>
      </c>
      <c r="F2016" s="6">
        <v>46105.672222222223</v>
      </c>
      <c r="G2016" s="5" t="s">
        <v>7456</v>
      </c>
      <c r="H2016" s="5" t="s">
        <v>12391</v>
      </c>
      <c r="I2016" s="5" t="s">
        <v>1564</v>
      </c>
      <c r="J2016" s="8">
        <v>290</v>
      </c>
      <c r="K2016" s="5" t="s">
        <v>4</v>
      </c>
      <c r="L2016">
        <f t="shared" si="31"/>
        <v>3</v>
      </c>
    </row>
    <row r="2017" spans="1:12" x14ac:dyDescent="0.25">
      <c r="A2017" s="5">
        <v>47471</v>
      </c>
      <c r="B2017" t="s">
        <v>12392</v>
      </c>
      <c r="C2017" s="5" t="s">
        <v>666</v>
      </c>
      <c r="D2017" t="s">
        <v>12393</v>
      </c>
      <c r="E2017" s="5" t="s">
        <v>5112</v>
      </c>
      <c r="F2017" s="6">
        <v>46105.671527777777</v>
      </c>
      <c r="G2017" s="5" t="s">
        <v>7456</v>
      </c>
      <c r="H2017" s="5" t="s">
        <v>12394</v>
      </c>
      <c r="I2017" s="5" t="s">
        <v>1621</v>
      </c>
      <c r="J2017" s="8">
        <v>145.36000000000001</v>
      </c>
      <c r="K2017" s="5" t="s">
        <v>4</v>
      </c>
      <c r="L2017">
        <f t="shared" si="31"/>
        <v>3</v>
      </c>
    </row>
    <row r="2018" spans="1:12" x14ac:dyDescent="0.25">
      <c r="A2018" s="5">
        <v>47472</v>
      </c>
      <c r="B2018" t="s">
        <v>12395</v>
      </c>
      <c r="C2018" s="5" t="s">
        <v>12396</v>
      </c>
      <c r="D2018" t="s">
        <v>12397</v>
      </c>
      <c r="E2018" s="5" t="s">
        <v>6452</v>
      </c>
      <c r="F2018" s="6">
        <v>46105.679861111108</v>
      </c>
      <c r="G2018" s="5" t="s">
        <v>7456</v>
      </c>
      <c r="H2018" s="5" t="s">
        <v>12398</v>
      </c>
      <c r="I2018" s="5" t="s">
        <v>1621</v>
      </c>
      <c r="J2018" s="8">
        <v>65.849999999999994</v>
      </c>
      <c r="K2018" s="5" t="s">
        <v>4</v>
      </c>
      <c r="L2018">
        <f t="shared" si="31"/>
        <v>3</v>
      </c>
    </row>
    <row r="2019" spans="1:12" x14ac:dyDescent="0.25">
      <c r="A2019" s="5">
        <v>47473</v>
      </c>
      <c r="B2019" t="s">
        <v>12399</v>
      </c>
      <c r="C2019" s="5" t="s">
        <v>123</v>
      </c>
      <c r="D2019" t="s">
        <v>12400</v>
      </c>
      <c r="E2019" s="5" t="s">
        <v>6763</v>
      </c>
      <c r="F2019" s="6">
        <v>46105.694444444445</v>
      </c>
      <c r="G2019" s="5" t="s">
        <v>7456</v>
      </c>
      <c r="H2019" s="5" t="s">
        <v>12401</v>
      </c>
      <c r="I2019" s="5" t="s">
        <v>1621</v>
      </c>
      <c r="J2019" s="8">
        <v>48.05</v>
      </c>
      <c r="K2019" s="5" t="s">
        <v>4</v>
      </c>
      <c r="L2019">
        <f t="shared" si="31"/>
        <v>3</v>
      </c>
    </row>
    <row r="2020" spans="1:12" x14ac:dyDescent="0.25">
      <c r="A2020" s="5">
        <v>47475</v>
      </c>
      <c r="B2020" t="s">
        <v>10270</v>
      </c>
      <c r="C2020" s="5" t="s">
        <v>9178</v>
      </c>
      <c r="D2020" t="s">
        <v>11861</v>
      </c>
      <c r="E2020" s="5" t="s">
        <v>2066</v>
      </c>
      <c r="F2020" s="6">
        <v>46105.722222222219</v>
      </c>
      <c r="G2020" s="5" t="s">
        <v>7456</v>
      </c>
      <c r="H2020" s="5" t="s">
        <v>12402</v>
      </c>
      <c r="I2020" s="5" t="s">
        <v>1535</v>
      </c>
      <c r="J2020" s="8">
        <v>1115</v>
      </c>
      <c r="K2020" s="5" t="s">
        <v>4</v>
      </c>
      <c r="L2020">
        <f t="shared" si="31"/>
        <v>3</v>
      </c>
    </row>
    <row r="2021" spans="1:12" x14ac:dyDescent="0.25">
      <c r="A2021" s="5">
        <v>47476</v>
      </c>
      <c r="B2021" t="s">
        <v>12403</v>
      </c>
      <c r="C2021" s="5" t="s">
        <v>656</v>
      </c>
      <c r="D2021" t="s">
        <v>12404</v>
      </c>
      <c r="E2021" s="5" t="s">
        <v>3081</v>
      </c>
      <c r="F2021" s="6">
        <v>46105.703472222223</v>
      </c>
      <c r="G2021" s="5" t="s">
        <v>7456</v>
      </c>
      <c r="H2021" s="5" t="s">
        <v>12405</v>
      </c>
      <c r="I2021" s="5" t="s">
        <v>1621</v>
      </c>
      <c r="J2021" s="8">
        <v>425.35</v>
      </c>
      <c r="K2021" s="5" t="s">
        <v>4</v>
      </c>
      <c r="L2021">
        <f t="shared" si="31"/>
        <v>3</v>
      </c>
    </row>
    <row r="2022" spans="1:12" x14ac:dyDescent="0.25">
      <c r="A2022" s="5">
        <v>47477</v>
      </c>
      <c r="B2022" t="s">
        <v>12406</v>
      </c>
      <c r="C2022" s="5" t="s">
        <v>12407</v>
      </c>
      <c r="D2022" t="s">
        <v>12408</v>
      </c>
      <c r="E2022" s="5" t="s">
        <v>2568</v>
      </c>
      <c r="F2022" s="6">
        <v>46105.738194444442</v>
      </c>
      <c r="G2022" s="5" t="s">
        <v>7456</v>
      </c>
      <c r="H2022" s="5" t="s">
        <v>12409</v>
      </c>
      <c r="I2022" s="5" t="s">
        <v>1564</v>
      </c>
      <c r="J2022" s="8">
        <v>630</v>
      </c>
      <c r="K2022" s="5" t="s">
        <v>4</v>
      </c>
      <c r="L2022">
        <f t="shared" si="31"/>
        <v>3</v>
      </c>
    </row>
    <row r="2023" spans="1:12" x14ac:dyDescent="0.25">
      <c r="A2023" s="5">
        <v>47478</v>
      </c>
      <c r="B2023" t="s">
        <v>12410</v>
      </c>
      <c r="C2023" s="5" t="s">
        <v>12411</v>
      </c>
      <c r="D2023" t="s">
        <v>12412</v>
      </c>
      <c r="E2023" s="5" t="s">
        <v>1738</v>
      </c>
      <c r="F2023" s="6">
        <v>46105.761805555558</v>
      </c>
      <c r="G2023" s="5" t="s">
        <v>7456</v>
      </c>
      <c r="H2023" s="5" t="s">
        <v>12413</v>
      </c>
      <c r="I2023" s="5" t="s">
        <v>1564</v>
      </c>
      <c r="J2023" s="8">
        <v>800</v>
      </c>
      <c r="K2023" s="5" t="s">
        <v>4</v>
      </c>
      <c r="L2023">
        <f t="shared" si="31"/>
        <v>3</v>
      </c>
    </row>
    <row r="2024" spans="1:12" x14ac:dyDescent="0.25">
      <c r="A2024" s="5">
        <v>47479</v>
      </c>
      <c r="B2024" t="s">
        <v>8125</v>
      </c>
      <c r="C2024" s="5" t="s">
        <v>12414</v>
      </c>
      <c r="D2024" t="s">
        <v>8127</v>
      </c>
      <c r="E2024" s="5" t="s">
        <v>1532</v>
      </c>
      <c r="F2024" s="6">
        <v>46106.356249999997</v>
      </c>
      <c r="G2024" s="5" t="s">
        <v>7595</v>
      </c>
      <c r="H2024" t="s">
        <v>7482</v>
      </c>
      <c r="I2024" s="5" t="s">
        <v>1535</v>
      </c>
      <c r="J2024" s="8">
        <v>416.5</v>
      </c>
      <c r="K2024" s="5" t="s">
        <v>4</v>
      </c>
      <c r="L2024">
        <f t="shared" si="31"/>
        <v>3</v>
      </c>
    </row>
    <row r="2025" spans="1:12" x14ac:dyDescent="0.25">
      <c r="A2025" s="5">
        <v>47480</v>
      </c>
      <c r="B2025" t="s">
        <v>11222</v>
      </c>
      <c r="C2025" s="5" t="s">
        <v>11223</v>
      </c>
      <c r="D2025" t="s">
        <v>11224</v>
      </c>
      <c r="E2025" s="5" t="s">
        <v>2902</v>
      </c>
      <c r="F2025" s="6">
        <v>46106.375694444447</v>
      </c>
      <c r="G2025" s="5" t="s">
        <v>7595</v>
      </c>
      <c r="H2025" t="s">
        <v>7482</v>
      </c>
      <c r="I2025" s="5" t="s">
        <v>1535</v>
      </c>
      <c r="J2025" s="8">
        <v>3900.5</v>
      </c>
      <c r="K2025" s="5" t="s">
        <v>4</v>
      </c>
      <c r="L2025">
        <f t="shared" si="31"/>
        <v>3</v>
      </c>
    </row>
    <row r="2026" spans="1:12" x14ac:dyDescent="0.25">
      <c r="A2026" s="5">
        <v>47481</v>
      </c>
      <c r="B2026" t="s">
        <v>8829</v>
      </c>
      <c r="C2026" s="5" t="s">
        <v>8830</v>
      </c>
      <c r="D2026" t="s">
        <v>8831</v>
      </c>
      <c r="E2026" s="5" t="s">
        <v>2599</v>
      </c>
      <c r="F2026" s="6">
        <v>46106.379166666666</v>
      </c>
      <c r="G2026" s="5" t="s">
        <v>7456</v>
      </c>
      <c r="H2026" s="5" t="s">
        <v>12415</v>
      </c>
      <c r="I2026" s="5" t="s">
        <v>1535</v>
      </c>
      <c r="J2026" s="8">
        <v>609</v>
      </c>
      <c r="K2026" s="5" t="s">
        <v>4</v>
      </c>
      <c r="L2026">
        <f t="shared" si="31"/>
        <v>3</v>
      </c>
    </row>
    <row r="2027" spans="1:12" x14ac:dyDescent="0.25">
      <c r="A2027" s="5">
        <v>47483</v>
      </c>
      <c r="B2027" t="s">
        <v>11157</v>
      </c>
      <c r="C2027" s="5" t="s">
        <v>12416</v>
      </c>
      <c r="D2027" t="s">
        <v>11159</v>
      </c>
      <c r="E2027" s="5" t="s">
        <v>1813</v>
      </c>
      <c r="F2027" s="6">
        <v>46106.449305555558</v>
      </c>
      <c r="G2027" s="5" t="s">
        <v>7456</v>
      </c>
      <c r="H2027" s="5" t="s">
        <v>12417</v>
      </c>
      <c r="I2027" s="5" t="s">
        <v>1535</v>
      </c>
      <c r="J2027" s="8">
        <v>646.79999999999995</v>
      </c>
      <c r="K2027" s="5" t="s">
        <v>4</v>
      </c>
      <c r="L2027">
        <f t="shared" si="31"/>
        <v>3</v>
      </c>
    </row>
    <row r="2028" spans="1:12" x14ac:dyDescent="0.25">
      <c r="A2028" s="5">
        <v>47484</v>
      </c>
      <c r="B2028" t="s">
        <v>12418</v>
      </c>
      <c r="C2028" s="5" t="s">
        <v>12419</v>
      </c>
      <c r="D2028" t="s">
        <v>12420</v>
      </c>
      <c r="E2028" s="5" t="s">
        <v>1759</v>
      </c>
      <c r="F2028" s="6">
        <v>46106.45208333333</v>
      </c>
      <c r="G2028" s="5" t="s">
        <v>7672</v>
      </c>
      <c r="H2028" t="s">
        <v>8626</v>
      </c>
      <c r="I2028" s="5" t="s">
        <v>1564</v>
      </c>
      <c r="J2028" s="8">
        <v>2925.3</v>
      </c>
      <c r="K2028" s="5" t="s">
        <v>4</v>
      </c>
      <c r="L2028">
        <f t="shared" si="31"/>
        <v>3</v>
      </c>
    </row>
    <row r="2029" spans="1:12" x14ac:dyDescent="0.25">
      <c r="A2029" s="5">
        <v>47485</v>
      </c>
      <c r="B2029" t="s">
        <v>8051</v>
      </c>
      <c r="C2029" s="5" t="s">
        <v>7704</v>
      </c>
      <c r="D2029" t="s">
        <v>8053</v>
      </c>
      <c r="E2029" s="5" t="s">
        <v>1532</v>
      </c>
      <c r="F2029" s="6">
        <v>46106.464583333334</v>
      </c>
      <c r="G2029" s="5" t="s">
        <v>7595</v>
      </c>
      <c r="H2029" t="s">
        <v>7482</v>
      </c>
      <c r="I2029" s="5" t="s">
        <v>1535</v>
      </c>
      <c r="J2029" s="8">
        <v>6218.25</v>
      </c>
      <c r="K2029" s="5" t="s">
        <v>4</v>
      </c>
      <c r="L2029">
        <f t="shared" si="31"/>
        <v>3</v>
      </c>
    </row>
    <row r="2030" spans="1:12" x14ac:dyDescent="0.25">
      <c r="A2030" s="5">
        <v>47486</v>
      </c>
      <c r="B2030" t="s">
        <v>9060</v>
      </c>
      <c r="C2030" s="5" t="s">
        <v>1482</v>
      </c>
      <c r="D2030" t="s">
        <v>9061</v>
      </c>
      <c r="E2030" s="5" t="s">
        <v>1770</v>
      </c>
      <c r="F2030" s="6">
        <v>46106.468055555553</v>
      </c>
      <c r="G2030" s="5" t="s">
        <v>7456</v>
      </c>
      <c r="H2030" s="5" t="s">
        <v>12421</v>
      </c>
      <c r="I2030" s="5" t="s">
        <v>1564</v>
      </c>
      <c r="J2030" s="8">
        <v>155</v>
      </c>
      <c r="K2030" s="5" t="s">
        <v>4</v>
      </c>
      <c r="L2030">
        <f t="shared" si="31"/>
        <v>3</v>
      </c>
    </row>
    <row r="2031" spans="1:12" x14ac:dyDescent="0.25">
      <c r="A2031" s="5">
        <v>47487</v>
      </c>
      <c r="B2031" t="s">
        <v>12422</v>
      </c>
      <c r="C2031" s="5" t="s">
        <v>12423</v>
      </c>
      <c r="D2031" t="s">
        <v>12424</v>
      </c>
      <c r="E2031" s="5" t="s">
        <v>2393</v>
      </c>
      <c r="F2031" s="6">
        <v>46106.519444444442</v>
      </c>
      <c r="G2031" s="5" t="s">
        <v>7456</v>
      </c>
      <c r="H2031" s="5" t="s">
        <v>12425</v>
      </c>
      <c r="I2031" s="5" t="s">
        <v>1564</v>
      </c>
      <c r="J2031" s="8">
        <v>745</v>
      </c>
      <c r="K2031" s="5" t="s">
        <v>4</v>
      </c>
      <c r="L2031">
        <f t="shared" si="31"/>
        <v>3</v>
      </c>
    </row>
    <row r="2032" spans="1:12" x14ac:dyDescent="0.25">
      <c r="A2032" s="5">
        <v>47488</v>
      </c>
      <c r="B2032" t="s">
        <v>12426</v>
      </c>
      <c r="C2032" s="5" t="s">
        <v>12427</v>
      </c>
      <c r="D2032" t="s">
        <v>12428</v>
      </c>
      <c r="E2032" s="5" t="s">
        <v>1759</v>
      </c>
      <c r="F2032" s="6">
        <v>46106.526388888888</v>
      </c>
      <c r="G2032" s="5" t="s">
        <v>7672</v>
      </c>
      <c r="H2032" t="s">
        <v>7482</v>
      </c>
      <c r="I2032" s="5" t="s">
        <v>1564</v>
      </c>
      <c r="J2032" s="8">
        <v>607</v>
      </c>
      <c r="K2032" s="5" t="s">
        <v>4</v>
      </c>
      <c r="L2032">
        <f t="shared" si="31"/>
        <v>3</v>
      </c>
    </row>
    <row r="2033" spans="1:12" x14ac:dyDescent="0.25">
      <c r="A2033" s="5">
        <v>47489</v>
      </c>
      <c r="B2033" t="s">
        <v>12429</v>
      </c>
      <c r="C2033" s="5" t="s">
        <v>12430</v>
      </c>
      <c r="D2033" t="s">
        <v>12431</v>
      </c>
      <c r="E2033" s="5" t="s">
        <v>1759</v>
      </c>
      <c r="F2033" s="6">
        <v>46106.537499999999</v>
      </c>
      <c r="G2033" s="5" t="s">
        <v>7456</v>
      </c>
      <c r="H2033" s="5" t="s">
        <v>12432</v>
      </c>
      <c r="I2033" s="5" t="s">
        <v>1564</v>
      </c>
      <c r="J2033" s="8">
        <v>696.9</v>
      </c>
      <c r="K2033" s="5" t="s">
        <v>4</v>
      </c>
      <c r="L2033">
        <f t="shared" si="31"/>
        <v>3</v>
      </c>
    </row>
    <row r="2034" spans="1:12" x14ac:dyDescent="0.25">
      <c r="A2034" s="5">
        <v>47490</v>
      </c>
      <c r="B2034" t="s">
        <v>11031</v>
      </c>
      <c r="C2034" s="5" t="s">
        <v>11032</v>
      </c>
      <c r="D2034" t="s">
        <v>11033</v>
      </c>
      <c r="E2034" s="5" t="s">
        <v>1813</v>
      </c>
      <c r="F2034" s="6">
        <v>46106.581944444442</v>
      </c>
      <c r="G2034" s="5" t="s">
        <v>7456</v>
      </c>
      <c r="H2034" s="5" t="s">
        <v>12433</v>
      </c>
      <c r="I2034" s="5" t="s">
        <v>1535</v>
      </c>
      <c r="J2034" s="8">
        <v>60</v>
      </c>
      <c r="K2034" s="5" t="s">
        <v>4</v>
      </c>
      <c r="L2034">
        <f t="shared" si="31"/>
        <v>3</v>
      </c>
    </row>
    <row r="2035" spans="1:12" x14ac:dyDescent="0.25">
      <c r="A2035" s="5">
        <v>47491</v>
      </c>
      <c r="B2035" t="s">
        <v>12434</v>
      </c>
      <c r="C2035" s="5" t="s">
        <v>12435</v>
      </c>
      <c r="D2035" t="s">
        <v>7644</v>
      </c>
      <c r="E2035" s="5" t="s">
        <v>5412</v>
      </c>
      <c r="F2035" s="6">
        <v>46106.606249999997</v>
      </c>
      <c r="G2035" s="5" t="s">
        <v>7456</v>
      </c>
      <c r="H2035" s="5" t="s">
        <v>12436</v>
      </c>
      <c r="I2035" s="5" t="s">
        <v>1535</v>
      </c>
      <c r="J2035" s="8">
        <v>35</v>
      </c>
      <c r="K2035" s="5" t="s">
        <v>4</v>
      </c>
      <c r="L2035">
        <f t="shared" si="31"/>
        <v>3</v>
      </c>
    </row>
    <row r="2036" spans="1:12" x14ac:dyDescent="0.25">
      <c r="A2036" s="5">
        <v>47492</v>
      </c>
      <c r="B2036" t="s">
        <v>12437</v>
      </c>
      <c r="C2036" s="5" t="s">
        <v>12438</v>
      </c>
      <c r="D2036" t="s">
        <v>12439</v>
      </c>
      <c r="E2036" s="5" t="s">
        <v>2118</v>
      </c>
      <c r="F2036" s="6">
        <v>46106.635416666664</v>
      </c>
      <c r="G2036" s="5" t="s">
        <v>7456</v>
      </c>
      <c r="H2036" s="5" t="s">
        <v>12440</v>
      </c>
      <c r="I2036" s="5" t="s">
        <v>1564</v>
      </c>
      <c r="J2036" s="8">
        <v>201</v>
      </c>
      <c r="K2036" s="5" t="s">
        <v>4</v>
      </c>
      <c r="L2036">
        <f t="shared" si="31"/>
        <v>3</v>
      </c>
    </row>
    <row r="2037" spans="1:12" x14ac:dyDescent="0.25">
      <c r="A2037" s="5">
        <v>47493</v>
      </c>
      <c r="B2037" t="s">
        <v>12441</v>
      </c>
      <c r="C2037" s="5" t="s">
        <v>12442</v>
      </c>
      <c r="D2037" t="s">
        <v>12443</v>
      </c>
      <c r="E2037" s="5" t="s">
        <v>1770</v>
      </c>
      <c r="F2037" s="6">
        <v>46106.643055555556</v>
      </c>
      <c r="G2037" s="5" t="s">
        <v>7456</v>
      </c>
      <c r="H2037" s="5" t="s">
        <v>12444</v>
      </c>
      <c r="I2037" s="5" t="s">
        <v>1564</v>
      </c>
      <c r="J2037" s="8">
        <v>150</v>
      </c>
      <c r="K2037" s="5" t="s">
        <v>4</v>
      </c>
      <c r="L2037">
        <f t="shared" si="31"/>
        <v>3</v>
      </c>
    </row>
    <row r="2038" spans="1:12" x14ac:dyDescent="0.25">
      <c r="A2038" s="5">
        <v>47494</v>
      </c>
      <c r="B2038" t="s">
        <v>12445</v>
      </c>
      <c r="C2038" s="5" t="s">
        <v>12446</v>
      </c>
      <c r="D2038" t="s">
        <v>12447</v>
      </c>
      <c r="E2038" s="5" t="s">
        <v>1738</v>
      </c>
      <c r="F2038" s="6">
        <v>46106.67083333333</v>
      </c>
      <c r="G2038" s="5" t="s">
        <v>7456</v>
      </c>
      <c r="H2038" s="5" t="s">
        <v>12448</v>
      </c>
      <c r="I2038" s="5" t="s">
        <v>1564</v>
      </c>
      <c r="J2038" s="8">
        <v>1290</v>
      </c>
      <c r="K2038" s="5" t="s">
        <v>4</v>
      </c>
      <c r="L2038">
        <f t="shared" si="31"/>
        <v>3</v>
      </c>
    </row>
    <row r="2039" spans="1:12" x14ac:dyDescent="0.25">
      <c r="A2039" s="5">
        <v>47495</v>
      </c>
      <c r="B2039" t="s">
        <v>12449</v>
      </c>
      <c r="C2039" s="5" t="s">
        <v>12450</v>
      </c>
      <c r="D2039" t="s">
        <v>7644</v>
      </c>
      <c r="E2039" s="5" t="s">
        <v>1813</v>
      </c>
      <c r="F2039" s="6">
        <v>46106.674305555556</v>
      </c>
      <c r="G2039" s="5" t="s">
        <v>7456</v>
      </c>
      <c r="H2039" s="5" t="s">
        <v>12451</v>
      </c>
      <c r="I2039" s="5" t="s">
        <v>1535</v>
      </c>
      <c r="J2039" s="8">
        <v>1928</v>
      </c>
      <c r="K2039" s="5" t="s">
        <v>4</v>
      </c>
      <c r="L2039">
        <f t="shared" si="31"/>
        <v>3</v>
      </c>
    </row>
    <row r="2040" spans="1:12" x14ac:dyDescent="0.25">
      <c r="A2040" s="5">
        <v>47496</v>
      </c>
      <c r="B2040" t="s">
        <v>12452</v>
      </c>
      <c r="C2040" s="5" t="s">
        <v>12453</v>
      </c>
      <c r="D2040" t="s">
        <v>12454</v>
      </c>
      <c r="E2040" s="5" t="s">
        <v>1759</v>
      </c>
      <c r="F2040" s="6">
        <v>46106.681250000001</v>
      </c>
      <c r="G2040" s="5" t="s">
        <v>7456</v>
      </c>
      <c r="H2040" s="5" t="s">
        <v>12455</v>
      </c>
      <c r="I2040" s="5" t="s">
        <v>1564</v>
      </c>
      <c r="J2040" s="8">
        <v>984</v>
      </c>
      <c r="K2040" s="5" t="s">
        <v>4</v>
      </c>
      <c r="L2040">
        <f t="shared" si="31"/>
        <v>3</v>
      </c>
    </row>
    <row r="2041" spans="1:12" x14ac:dyDescent="0.25">
      <c r="A2041" s="5">
        <v>47497</v>
      </c>
      <c r="B2041" t="s">
        <v>12456</v>
      </c>
      <c r="C2041" s="5" t="s">
        <v>12457</v>
      </c>
      <c r="D2041" t="s">
        <v>12458</v>
      </c>
      <c r="E2041" s="5" t="s">
        <v>3035</v>
      </c>
      <c r="F2041" s="6">
        <v>46106.693749999999</v>
      </c>
      <c r="G2041" s="5" t="s">
        <v>7456</v>
      </c>
      <c r="H2041" s="5" t="s">
        <v>12459</v>
      </c>
      <c r="I2041" s="5" t="s">
        <v>1564</v>
      </c>
      <c r="J2041" s="8">
        <v>279.3</v>
      </c>
      <c r="K2041" s="5" t="s">
        <v>4</v>
      </c>
      <c r="L2041">
        <f t="shared" si="31"/>
        <v>3</v>
      </c>
    </row>
    <row r="2042" spans="1:12" x14ac:dyDescent="0.25">
      <c r="A2042" s="5">
        <v>47498</v>
      </c>
      <c r="B2042" t="s">
        <v>12460</v>
      </c>
      <c r="C2042" s="5" t="s">
        <v>12461</v>
      </c>
      <c r="D2042" t="s">
        <v>12462</v>
      </c>
      <c r="E2042" s="5" t="s">
        <v>6395</v>
      </c>
      <c r="F2042" s="6">
        <v>46106.692361111112</v>
      </c>
      <c r="G2042" s="5" t="s">
        <v>7456</v>
      </c>
      <c r="H2042" s="5" t="s">
        <v>12463</v>
      </c>
      <c r="I2042" s="5" t="s">
        <v>1621</v>
      </c>
      <c r="J2042" s="8">
        <v>69.83</v>
      </c>
      <c r="K2042" s="5" t="s">
        <v>4</v>
      </c>
      <c r="L2042">
        <f t="shared" si="31"/>
        <v>3</v>
      </c>
    </row>
    <row r="2043" spans="1:12" x14ac:dyDescent="0.25">
      <c r="A2043" s="5">
        <v>47499</v>
      </c>
      <c r="B2043" t="s">
        <v>12464</v>
      </c>
      <c r="C2043" s="5" t="s">
        <v>1087</v>
      </c>
      <c r="D2043" t="s">
        <v>12465</v>
      </c>
      <c r="E2043" s="5" t="s">
        <v>4119</v>
      </c>
      <c r="F2043" s="6">
        <v>46106.697916666664</v>
      </c>
      <c r="G2043" s="5" t="s">
        <v>7456</v>
      </c>
      <c r="H2043" s="5" t="s">
        <v>12466</v>
      </c>
      <c r="I2043" s="5" t="s">
        <v>1621</v>
      </c>
      <c r="J2043" s="8">
        <v>239.79</v>
      </c>
      <c r="K2043" s="5" t="s">
        <v>4</v>
      </c>
      <c r="L2043">
        <f t="shared" si="31"/>
        <v>3</v>
      </c>
    </row>
    <row r="2044" spans="1:12" x14ac:dyDescent="0.25">
      <c r="A2044" s="5">
        <v>47500</v>
      </c>
      <c r="B2044" t="s">
        <v>12467</v>
      </c>
      <c r="C2044" s="5" t="s">
        <v>12468</v>
      </c>
      <c r="D2044" t="s">
        <v>12469</v>
      </c>
      <c r="E2044" s="5" t="s">
        <v>1663</v>
      </c>
      <c r="F2044" s="6">
        <v>46106.71875</v>
      </c>
      <c r="G2044" s="5" t="s">
        <v>7456</v>
      </c>
      <c r="H2044" s="5" t="s">
        <v>12470</v>
      </c>
      <c r="I2044" s="5" t="s">
        <v>1564</v>
      </c>
      <c r="J2044" s="8">
        <v>692</v>
      </c>
      <c r="K2044" s="5" t="s">
        <v>4</v>
      </c>
      <c r="L2044">
        <f t="shared" si="31"/>
        <v>3</v>
      </c>
    </row>
    <row r="2045" spans="1:12" x14ac:dyDescent="0.25">
      <c r="A2045" s="5">
        <v>47501</v>
      </c>
      <c r="B2045" t="s">
        <v>12471</v>
      </c>
      <c r="C2045" s="5" t="s">
        <v>1227</v>
      </c>
      <c r="D2045" t="s">
        <v>12472</v>
      </c>
      <c r="E2045" s="5" t="s">
        <v>6784</v>
      </c>
      <c r="F2045" s="6">
        <v>46106.702777777777</v>
      </c>
      <c r="G2045" s="5" t="s">
        <v>7456</v>
      </c>
      <c r="H2045" s="5" t="s">
        <v>12473</v>
      </c>
      <c r="I2045" s="5" t="s">
        <v>1621</v>
      </c>
      <c r="J2045" s="8">
        <v>45.36</v>
      </c>
      <c r="K2045" s="5" t="s">
        <v>4</v>
      </c>
      <c r="L2045">
        <f t="shared" si="31"/>
        <v>3</v>
      </c>
    </row>
    <row r="2046" spans="1:12" x14ac:dyDescent="0.25">
      <c r="A2046" s="5">
        <v>47507</v>
      </c>
      <c r="B2046" t="s">
        <v>12474</v>
      </c>
      <c r="C2046" s="5" t="s">
        <v>12475</v>
      </c>
      <c r="D2046" t="s">
        <v>12476</v>
      </c>
      <c r="E2046" s="5" t="s">
        <v>2151</v>
      </c>
      <c r="F2046" s="6">
        <v>46106.763888888891</v>
      </c>
      <c r="G2046" s="5" t="s">
        <v>7456</v>
      </c>
      <c r="H2046" s="5" t="s">
        <v>12477</v>
      </c>
      <c r="I2046" s="5" t="s">
        <v>1564</v>
      </c>
      <c r="J2046" s="8">
        <v>1000</v>
      </c>
      <c r="K2046" s="5" t="s">
        <v>4</v>
      </c>
      <c r="L2046">
        <f t="shared" si="31"/>
        <v>3</v>
      </c>
    </row>
    <row r="2047" spans="1:12" x14ac:dyDescent="0.25">
      <c r="A2047" s="5">
        <v>47508</v>
      </c>
      <c r="B2047" t="s">
        <v>12478</v>
      </c>
      <c r="C2047" s="5" t="s">
        <v>12479</v>
      </c>
      <c r="D2047" t="s">
        <v>12480</v>
      </c>
      <c r="E2047" s="5" t="s">
        <v>1759</v>
      </c>
      <c r="F2047" s="6">
        <v>46107.441666666666</v>
      </c>
      <c r="G2047" s="5" t="s">
        <v>7456</v>
      </c>
      <c r="H2047" s="5" t="s">
        <v>12481</v>
      </c>
      <c r="I2047" s="5" t="s">
        <v>1564</v>
      </c>
      <c r="J2047" s="8">
        <v>521</v>
      </c>
      <c r="K2047" s="5" t="s">
        <v>4</v>
      </c>
      <c r="L2047">
        <f t="shared" si="31"/>
        <v>3</v>
      </c>
    </row>
    <row r="2048" spans="1:12" x14ac:dyDescent="0.25">
      <c r="A2048" s="5">
        <v>47510</v>
      </c>
      <c r="B2048" t="s">
        <v>12482</v>
      </c>
      <c r="C2048" s="5" t="s">
        <v>12483</v>
      </c>
      <c r="D2048" t="s">
        <v>12484</v>
      </c>
      <c r="E2048" s="5" t="s">
        <v>1759</v>
      </c>
      <c r="F2048" s="6">
        <v>46107.457638888889</v>
      </c>
      <c r="G2048" s="5" t="s">
        <v>7456</v>
      </c>
      <c r="H2048" s="5" t="s">
        <v>12485</v>
      </c>
      <c r="I2048" s="5" t="s">
        <v>1564</v>
      </c>
      <c r="J2048" s="8">
        <v>280</v>
      </c>
      <c r="K2048" s="5" t="s">
        <v>4</v>
      </c>
      <c r="L2048">
        <f t="shared" si="31"/>
        <v>3</v>
      </c>
    </row>
    <row r="2049" spans="1:12" x14ac:dyDescent="0.25">
      <c r="A2049" s="5">
        <v>47511</v>
      </c>
      <c r="B2049" t="s">
        <v>12486</v>
      </c>
      <c r="C2049" s="5" t="s">
        <v>12487</v>
      </c>
      <c r="D2049" t="s">
        <v>12488</v>
      </c>
      <c r="E2049" s="5" t="s">
        <v>1532</v>
      </c>
      <c r="F2049" s="6">
        <v>46107.473611111112</v>
      </c>
      <c r="G2049" s="5" t="s">
        <v>7456</v>
      </c>
      <c r="H2049" s="5" t="s">
        <v>12489</v>
      </c>
      <c r="I2049" s="5" t="s">
        <v>1535</v>
      </c>
      <c r="J2049" s="8">
        <v>132.80000000000001</v>
      </c>
      <c r="K2049" s="5" t="s">
        <v>4</v>
      </c>
      <c r="L2049">
        <f t="shared" si="31"/>
        <v>3</v>
      </c>
    </row>
    <row r="2050" spans="1:12" x14ac:dyDescent="0.25">
      <c r="A2050" s="5">
        <v>47512</v>
      </c>
      <c r="B2050" t="s">
        <v>12490</v>
      </c>
      <c r="C2050" s="5" t="s">
        <v>12491</v>
      </c>
      <c r="D2050" t="s">
        <v>12492</v>
      </c>
      <c r="E2050" s="5" t="s">
        <v>2118</v>
      </c>
      <c r="F2050" s="6">
        <v>46107.48333333333</v>
      </c>
      <c r="G2050" s="5" t="s">
        <v>7456</v>
      </c>
      <c r="H2050" s="5" t="s">
        <v>12493</v>
      </c>
      <c r="I2050" s="5" t="s">
        <v>1564</v>
      </c>
      <c r="J2050" s="8">
        <v>135</v>
      </c>
      <c r="K2050" s="5" t="s">
        <v>4</v>
      </c>
      <c r="L2050">
        <f t="shared" si="31"/>
        <v>3</v>
      </c>
    </row>
    <row r="2051" spans="1:12" x14ac:dyDescent="0.25">
      <c r="A2051" s="5">
        <v>47513</v>
      </c>
      <c r="B2051" t="s">
        <v>12494</v>
      </c>
      <c r="C2051" s="5" t="s">
        <v>12495</v>
      </c>
      <c r="D2051" t="s">
        <v>12496</v>
      </c>
      <c r="E2051" s="5" t="s">
        <v>2306</v>
      </c>
      <c r="F2051" s="6">
        <v>46107.493055555555</v>
      </c>
      <c r="G2051" s="5" t="s">
        <v>7456</v>
      </c>
      <c r="H2051" s="5" t="s">
        <v>12497</v>
      </c>
      <c r="I2051" s="5" t="s">
        <v>1564</v>
      </c>
      <c r="J2051" s="8">
        <v>593.25</v>
      </c>
      <c r="K2051" s="5" t="s">
        <v>4</v>
      </c>
      <c r="L2051">
        <f t="shared" ref="L2051:L2114" si="32">MONTH(F2051)</f>
        <v>3</v>
      </c>
    </row>
    <row r="2052" spans="1:12" x14ac:dyDescent="0.25">
      <c r="A2052" s="5">
        <v>47515</v>
      </c>
      <c r="B2052" t="s">
        <v>12498</v>
      </c>
      <c r="C2052" s="5" t="s">
        <v>12499</v>
      </c>
      <c r="D2052" t="s">
        <v>12500</v>
      </c>
      <c r="E2052" s="5" t="s">
        <v>2441</v>
      </c>
      <c r="F2052" s="6">
        <v>46107.510416666664</v>
      </c>
      <c r="G2052" s="5" t="s">
        <v>7456</v>
      </c>
      <c r="H2052" s="5" t="s">
        <v>12501</v>
      </c>
      <c r="I2052" s="5" t="s">
        <v>1564</v>
      </c>
      <c r="J2052" s="8">
        <v>714</v>
      </c>
      <c r="K2052" s="5" t="s">
        <v>4</v>
      </c>
      <c r="L2052">
        <f t="shared" si="32"/>
        <v>3</v>
      </c>
    </row>
    <row r="2053" spans="1:12" x14ac:dyDescent="0.25">
      <c r="A2053" s="5">
        <v>47516</v>
      </c>
      <c r="B2053" t="s">
        <v>12502</v>
      </c>
      <c r="C2053" s="5" t="s">
        <v>8569</v>
      </c>
      <c r="D2053" t="s">
        <v>12503</v>
      </c>
      <c r="E2053" s="5" t="s">
        <v>2306</v>
      </c>
      <c r="F2053" s="6">
        <v>46107.522916666669</v>
      </c>
      <c r="G2053" s="5" t="s">
        <v>7456</v>
      </c>
      <c r="H2053" s="5" t="s">
        <v>12504</v>
      </c>
      <c r="I2053" s="5" t="s">
        <v>1564</v>
      </c>
      <c r="J2053" s="8">
        <v>395</v>
      </c>
      <c r="K2053" s="5" t="s">
        <v>4</v>
      </c>
      <c r="L2053">
        <f t="shared" si="32"/>
        <v>3</v>
      </c>
    </row>
    <row r="2054" spans="1:12" x14ac:dyDescent="0.25">
      <c r="A2054" s="5">
        <v>47517</v>
      </c>
      <c r="B2054" t="s">
        <v>12505</v>
      </c>
      <c r="C2054" s="5" t="s">
        <v>12506</v>
      </c>
      <c r="D2054" t="s">
        <v>7644</v>
      </c>
      <c r="E2054" s="5" t="s">
        <v>2118</v>
      </c>
      <c r="F2054" s="6">
        <v>46107.533333333333</v>
      </c>
      <c r="G2054" s="5" t="s">
        <v>7456</v>
      </c>
      <c r="H2054" s="5" t="s">
        <v>12507</v>
      </c>
      <c r="I2054" s="5" t="s">
        <v>1564</v>
      </c>
      <c r="J2054" s="8">
        <v>275</v>
      </c>
      <c r="K2054" s="5" t="s">
        <v>4</v>
      </c>
      <c r="L2054">
        <f t="shared" si="32"/>
        <v>3</v>
      </c>
    </row>
    <row r="2055" spans="1:12" x14ac:dyDescent="0.25">
      <c r="A2055" s="5">
        <v>47518</v>
      </c>
      <c r="B2055" t="s">
        <v>12508</v>
      </c>
      <c r="C2055" s="5" t="s">
        <v>7516</v>
      </c>
      <c r="D2055" t="s">
        <v>12509</v>
      </c>
      <c r="E2055" s="5" t="s">
        <v>12510</v>
      </c>
      <c r="F2055" s="6">
        <v>46107.553472222222</v>
      </c>
      <c r="G2055" s="5" t="s">
        <v>7672</v>
      </c>
      <c r="H2055" t="s">
        <v>8626</v>
      </c>
      <c r="I2055" s="5" t="s">
        <v>1564</v>
      </c>
      <c r="J2055" s="8">
        <v>1596.31</v>
      </c>
      <c r="K2055" s="5" t="s">
        <v>4</v>
      </c>
      <c r="L2055">
        <f t="shared" si="32"/>
        <v>3</v>
      </c>
    </row>
    <row r="2056" spans="1:12" x14ac:dyDescent="0.25">
      <c r="A2056" s="5">
        <v>47519</v>
      </c>
      <c r="B2056" t="s">
        <v>12511</v>
      </c>
      <c r="C2056" s="5" t="s">
        <v>12512</v>
      </c>
      <c r="D2056" t="s">
        <v>12513</v>
      </c>
      <c r="E2056" s="5" t="s">
        <v>1813</v>
      </c>
      <c r="F2056" s="6">
        <v>46107.631249999999</v>
      </c>
      <c r="G2056" s="5" t="s">
        <v>7595</v>
      </c>
      <c r="H2056" t="s">
        <v>7482</v>
      </c>
      <c r="I2056" s="5" t="s">
        <v>1535</v>
      </c>
      <c r="J2056" s="8">
        <v>2464.8000000000002</v>
      </c>
      <c r="K2056" s="5" t="s">
        <v>4</v>
      </c>
      <c r="L2056">
        <f t="shared" si="32"/>
        <v>3</v>
      </c>
    </row>
    <row r="2057" spans="1:12" x14ac:dyDescent="0.25">
      <c r="A2057" s="5">
        <v>47520</v>
      </c>
      <c r="B2057" t="s">
        <v>8719</v>
      </c>
      <c r="C2057" s="5" t="s">
        <v>7960</v>
      </c>
      <c r="D2057" t="s">
        <v>8720</v>
      </c>
      <c r="E2057" s="5" t="s">
        <v>2875</v>
      </c>
      <c r="F2057" s="6">
        <v>46107.660416666666</v>
      </c>
      <c r="G2057" s="5" t="s">
        <v>7595</v>
      </c>
      <c r="H2057" t="s">
        <v>7482</v>
      </c>
      <c r="I2057" s="5" t="s">
        <v>1535</v>
      </c>
      <c r="J2057" s="8">
        <v>158</v>
      </c>
      <c r="K2057" s="5" t="s">
        <v>4</v>
      </c>
      <c r="L2057">
        <f t="shared" si="32"/>
        <v>3</v>
      </c>
    </row>
    <row r="2058" spans="1:12" x14ac:dyDescent="0.25">
      <c r="A2058" s="5">
        <v>47521</v>
      </c>
      <c r="B2058" t="s">
        <v>12514</v>
      </c>
      <c r="C2058" s="5" t="s">
        <v>7516</v>
      </c>
      <c r="D2058" t="s">
        <v>7644</v>
      </c>
      <c r="E2058" s="5" t="s">
        <v>1782</v>
      </c>
      <c r="F2058" s="6">
        <v>46107.673611111109</v>
      </c>
      <c r="G2058" s="5" t="s">
        <v>7456</v>
      </c>
      <c r="H2058" s="5" t="s">
        <v>12515</v>
      </c>
      <c r="I2058" s="5" t="s">
        <v>1535</v>
      </c>
      <c r="J2058" s="8">
        <v>2174</v>
      </c>
      <c r="K2058" s="5" t="s">
        <v>4</v>
      </c>
      <c r="L2058">
        <f t="shared" si="32"/>
        <v>3</v>
      </c>
    </row>
    <row r="2059" spans="1:12" x14ac:dyDescent="0.25">
      <c r="A2059" s="5">
        <v>47524</v>
      </c>
      <c r="B2059" t="s">
        <v>12516</v>
      </c>
      <c r="C2059" s="5" t="s">
        <v>12517</v>
      </c>
      <c r="D2059" t="s">
        <v>12518</v>
      </c>
      <c r="E2059" s="5" t="s">
        <v>5998</v>
      </c>
      <c r="F2059" s="6">
        <v>46107.688194444447</v>
      </c>
      <c r="G2059" s="5" t="s">
        <v>7456</v>
      </c>
      <c r="H2059" s="5" t="s">
        <v>12519</v>
      </c>
      <c r="I2059" s="5" t="s">
        <v>1621</v>
      </c>
      <c r="J2059" s="8">
        <v>94.88</v>
      </c>
      <c r="K2059" s="5" t="s">
        <v>4</v>
      </c>
      <c r="L2059">
        <f t="shared" si="32"/>
        <v>3</v>
      </c>
    </row>
    <row r="2060" spans="1:12" x14ac:dyDescent="0.25">
      <c r="A2060" s="5">
        <v>47525</v>
      </c>
      <c r="B2060" t="s">
        <v>12520</v>
      </c>
      <c r="C2060" s="5" t="s">
        <v>12521</v>
      </c>
      <c r="D2060" t="s">
        <v>12522</v>
      </c>
      <c r="E2060" s="5" t="s">
        <v>1663</v>
      </c>
      <c r="F2060" s="6">
        <v>46107.699305555558</v>
      </c>
      <c r="G2060" s="5" t="s">
        <v>7672</v>
      </c>
      <c r="H2060" t="s">
        <v>7482</v>
      </c>
      <c r="I2060" s="5" t="s">
        <v>1564</v>
      </c>
      <c r="J2060" s="8">
        <v>970</v>
      </c>
      <c r="K2060" s="5" t="s">
        <v>4</v>
      </c>
      <c r="L2060">
        <f t="shared" si="32"/>
        <v>3</v>
      </c>
    </row>
    <row r="2061" spans="1:12" x14ac:dyDescent="0.25">
      <c r="A2061" s="5">
        <v>47526</v>
      </c>
      <c r="B2061" t="s">
        <v>12523</v>
      </c>
      <c r="C2061" s="5" t="s">
        <v>12524</v>
      </c>
      <c r="D2061" t="s">
        <v>7644</v>
      </c>
      <c r="E2061" s="5" t="s">
        <v>6130</v>
      </c>
      <c r="F2061" s="6">
        <v>46107.70208333333</v>
      </c>
      <c r="G2061" s="5" t="s">
        <v>7456</v>
      </c>
      <c r="H2061" s="5" t="s">
        <v>12525</v>
      </c>
      <c r="I2061" s="5" t="s">
        <v>1621</v>
      </c>
      <c r="J2061" s="8">
        <v>85.69</v>
      </c>
      <c r="K2061" s="5" t="s">
        <v>4</v>
      </c>
      <c r="L2061">
        <f t="shared" si="32"/>
        <v>3</v>
      </c>
    </row>
    <row r="2062" spans="1:12" x14ac:dyDescent="0.25">
      <c r="A2062" s="5">
        <v>47527</v>
      </c>
      <c r="B2062" t="s">
        <v>12526</v>
      </c>
      <c r="C2062" s="5" t="s">
        <v>12527</v>
      </c>
      <c r="D2062" t="s">
        <v>12528</v>
      </c>
      <c r="E2062" s="5" t="s">
        <v>12529</v>
      </c>
      <c r="F2062" s="6">
        <v>46107.707638888889</v>
      </c>
      <c r="G2062" s="5" t="s">
        <v>7672</v>
      </c>
      <c r="H2062" t="s">
        <v>8626</v>
      </c>
      <c r="I2062" s="5" t="s">
        <v>1564</v>
      </c>
      <c r="J2062" s="8">
        <v>600</v>
      </c>
      <c r="K2062" s="5" t="s">
        <v>4</v>
      </c>
      <c r="L2062">
        <f t="shared" si="32"/>
        <v>3</v>
      </c>
    </row>
    <row r="2063" spans="1:12" x14ac:dyDescent="0.25">
      <c r="A2063" s="5">
        <v>47528</v>
      </c>
      <c r="B2063" t="s">
        <v>8695</v>
      </c>
      <c r="C2063" s="5" t="s">
        <v>12148</v>
      </c>
      <c r="D2063" t="s">
        <v>8696</v>
      </c>
      <c r="E2063" s="5" t="s">
        <v>1738</v>
      </c>
      <c r="F2063" s="6">
        <v>46107.709027777775</v>
      </c>
      <c r="G2063" s="5" t="s">
        <v>7456</v>
      </c>
      <c r="H2063" s="5" t="s">
        <v>12530</v>
      </c>
      <c r="I2063" s="5" t="s">
        <v>1564</v>
      </c>
      <c r="J2063" s="8">
        <v>100</v>
      </c>
      <c r="K2063" s="5" t="s">
        <v>4</v>
      </c>
      <c r="L2063">
        <f t="shared" si="32"/>
        <v>3</v>
      </c>
    </row>
    <row r="2064" spans="1:12" x14ac:dyDescent="0.25">
      <c r="A2064" s="5">
        <v>47529</v>
      </c>
      <c r="B2064" t="s">
        <v>12531</v>
      </c>
      <c r="C2064" s="5" t="s">
        <v>12532</v>
      </c>
      <c r="D2064" t="s">
        <v>12533</v>
      </c>
      <c r="E2064" s="5" t="s">
        <v>1759</v>
      </c>
      <c r="F2064" s="6">
        <v>46107.715277777781</v>
      </c>
      <c r="G2064" s="5" t="s">
        <v>7456</v>
      </c>
      <c r="H2064" s="5" t="s">
        <v>12534</v>
      </c>
      <c r="I2064" s="5" t="s">
        <v>1564</v>
      </c>
      <c r="J2064" s="8">
        <v>235</v>
      </c>
      <c r="K2064" s="5" t="s">
        <v>4</v>
      </c>
      <c r="L2064">
        <f t="shared" si="32"/>
        <v>3</v>
      </c>
    </row>
    <row r="2065" spans="1:12" x14ac:dyDescent="0.25">
      <c r="A2065" s="5">
        <v>47530</v>
      </c>
      <c r="B2065" t="s">
        <v>12535</v>
      </c>
      <c r="C2065" s="5" t="s">
        <v>388</v>
      </c>
      <c r="D2065" t="s">
        <v>12536</v>
      </c>
      <c r="E2065" s="5" t="s">
        <v>2699</v>
      </c>
      <c r="F2065" s="6">
        <v>46107.713888888888</v>
      </c>
      <c r="G2065" s="5" t="s">
        <v>7456</v>
      </c>
      <c r="H2065" s="5" t="s">
        <v>12537</v>
      </c>
      <c r="I2065" s="5" t="s">
        <v>1621</v>
      </c>
      <c r="J2065" s="8">
        <v>561.79</v>
      </c>
      <c r="K2065" s="5" t="s">
        <v>4</v>
      </c>
      <c r="L2065">
        <f t="shared" si="32"/>
        <v>3</v>
      </c>
    </row>
    <row r="2066" spans="1:12" x14ac:dyDescent="0.25">
      <c r="A2066" s="5">
        <v>47531</v>
      </c>
      <c r="B2066" t="s">
        <v>12538</v>
      </c>
      <c r="C2066" s="5" t="s">
        <v>12539</v>
      </c>
      <c r="D2066" t="s">
        <v>7644</v>
      </c>
      <c r="E2066" s="5" t="s">
        <v>5154</v>
      </c>
      <c r="F2066" s="6">
        <v>46107.727083333331</v>
      </c>
      <c r="G2066" s="5" t="s">
        <v>7456</v>
      </c>
      <c r="H2066" s="5" t="s">
        <v>12540</v>
      </c>
      <c r="I2066" s="5" t="s">
        <v>1621</v>
      </c>
      <c r="J2066" s="8">
        <v>142</v>
      </c>
      <c r="K2066" s="5" t="s">
        <v>4</v>
      </c>
      <c r="L2066">
        <f t="shared" si="32"/>
        <v>3</v>
      </c>
    </row>
    <row r="2067" spans="1:12" x14ac:dyDescent="0.25">
      <c r="A2067" s="5">
        <v>47532</v>
      </c>
      <c r="B2067" t="s">
        <v>10961</v>
      </c>
      <c r="C2067" s="5" t="s">
        <v>10962</v>
      </c>
      <c r="D2067" t="s">
        <v>10963</v>
      </c>
      <c r="E2067" s="5" t="s">
        <v>7167</v>
      </c>
      <c r="F2067" s="6">
        <v>46107.729861111111</v>
      </c>
      <c r="G2067" s="5" t="s">
        <v>7456</v>
      </c>
      <c r="H2067" s="5" t="s">
        <v>12541</v>
      </c>
      <c r="I2067" s="5" t="s">
        <v>1621</v>
      </c>
      <c r="J2067" s="8">
        <v>27.15</v>
      </c>
      <c r="K2067" s="5" t="s">
        <v>4</v>
      </c>
      <c r="L2067">
        <f t="shared" si="32"/>
        <v>3</v>
      </c>
    </row>
    <row r="2068" spans="1:12" x14ac:dyDescent="0.25">
      <c r="A2068" s="5">
        <v>47533</v>
      </c>
      <c r="B2068" t="s">
        <v>12542</v>
      </c>
      <c r="C2068" s="5" t="s">
        <v>51</v>
      </c>
      <c r="D2068" t="s">
        <v>12543</v>
      </c>
      <c r="E2068" s="5" t="s">
        <v>6134</v>
      </c>
      <c r="F2068" s="6">
        <v>46107.734027777777</v>
      </c>
      <c r="G2068" s="5" t="s">
        <v>7456</v>
      </c>
      <c r="H2068" s="5" t="s">
        <v>12544</v>
      </c>
      <c r="I2068" s="5" t="s">
        <v>1621</v>
      </c>
      <c r="J2068" s="8">
        <v>85.68</v>
      </c>
      <c r="K2068" s="5" t="s">
        <v>4</v>
      </c>
      <c r="L2068">
        <f t="shared" si="32"/>
        <v>3</v>
      </c>
    </row>
    <row r="2069" spans="1:12" x14ac:dyDescent="0.25">
      <c r="A2069" s="5">
        <v>47540</v>
      </c>
      <c r="B2069" t="s">
        <v>12545</v>
      </c>
      <c r="C2069" s="5" t="s">
        <v>7516</v>
      </c>
      <c r="D2069" t="s">
        <v>12546</v>
      </c>
      <c r="E2069" s="5" t="s">
        <v>1532</v>
      </c>
      <c r="F2069" s="6">
        <v>46108.383333333331</v>
      </c>
      <c r="G2069" s="5" t="s">
        <v>7456</v>
      </c>
      <c r="H2069" s="5" t="s">
        <v>12547</v>
      </c>
      <c r="I2069" s="5" t="s">
        <v>1535</v>
      </c>
      <c r="J2069" s="8">
        <v>112.25</v>
      </c>
      <c r="K2069" s="5" t="s">
        <v>4</v>
      </c>
      <c r="L2069">
        <f t="shared" si="32"/>
        <v>3</v>
      </c>
    </row>
    <row r="2070" spans="1:12" x14ac:dyDescent="0.25">
      <c r="A2070" s="5">
        <v>47541</v>
      </c>
      <c r="B2070" t="s">
        <v>12548</v>
      </c>
      <c r="C2070" s="5" t="s">
        <v>7960</v>
      </c>
      <c r="D2070" t="s">
        <v>12549</v>
      </c>
      <c r="E2070" s="5" t="s">
        <v>2740</v>
      </c>
      <c r="F2070" s="6">
        <v>46108.386111111111</v>
      </c>
      <c r="G2070" s="5" t="s">
        <v>7456</v>
      </c>
      <c r="H2070" s="5" t="s">
        <v>12550</v>
      </c>
      <c r="I2070" s="5" t="s">
        <v>1564</v>
      </c>
      <c r="J2070" s="8">
        <v>100.67</v>
      </c>
      <c r="K2070" s="5" t="s">
        <v>4</v>
      </c>
      <c r="L2070">
        <f t="shared" si="32"/>
        <v>3</v>
      </c>
    </row>
    <row r="2071" spans="1:12" x14ac:dyDescent="0.25">
      <c r="A2071" s="5">
        <v>47543</v>
      </c>
      <c r="B2071" t="s">
        <v>12551</v>
      </c>
      <c r="C2071" s="5" t="s">
        <v>12552</v>
      </c>
      <c r="D2071" t="s">
        <v>12553</v>
      </c>
      <c r="E2071" s="5" t="s">
        <v>1738</v>
      </c>
      <c r="F2071" s="6">
        <v>46108.393750000003</v>
      </c>
      <c r="G2071" s="5" t="s">
        <v>7456</v>
      </c>
      <c r="H2071" s="5" t="s">
        <v>12554</v>
      </c>
      <c r="I2071" s="5" t="s">
        <v>1564</v>
      </c>
      <c r="J2071" s="8">
        <v>100</v>
      </c>
      <c r="K2071" s="5" t="s">
        <v>4</v>
      </c>
      <c r="L2071">
        <f t="shared" si="32"/>
        <v>3</v>
      </c>
    </row>
    <row r="2072" spans="1:12" x14ac:dyDescent="0.25">
      <c r="A2072" s="5">
        <v>47544</v>
      </c>
      <c r="B2072" t="s">
        <v>12555</v>
      </c>
      <c r="C2072" s="5" t="s">
        <v>12556</v>
      </c>
      <c r="D2072" t="s">
        <v>12557</v>
      </c>
      <c r="E2072" s="5" t="s">
        <v>2637</v>
      </c>
      <c r="F2072" s="6">
        <v>46108.404166666667</v>
      </c>
      <c r="G2072" s="5" t="s">
        <v>7456</v>
      </c>
      <c r="H2072" s="5" t="s">
        <v>12558</v>
      </c>
      <c r="I2072" s="5" t="s">
        <v>1564</v>
      </c>
      <c r="J2072" s="8">
        <v>183.65</v>
      </c>
      <c r="K2072" s="5" t="s">
        <v>4</v>
      </c>
      <c r="L2072">
        <f t="shared" si="32"/>
        <v>3</v>
      </c>
    </row>
    <row r="2073" spans="1:12" x14ac:dyDescent="0.25">
      <c r="A2073" s="5">
        <v>47546</v>
      </c>
      <c r="B2073" t="s">
        <v>12559</v>
      </c>
      <c r="C2073" s="5" t="s">
        <v>288</v>
      </c>
      <c r="D2073" t="s">
        <v>12560</v>
      </c>
      <c r="E2073" s="5" t="s">
        <v>1759</v>
      </c>
      <c r="F2073" s="6">
        <v>46108.420138888891</v>
      </c>
      <c r="G2073" s="5" t="s">
        <v>7456</v>
      </c>
      <c r="H2073" s="5" t="s">
        <v>12561</v>
      </c>
      <c r="I2073" s="5" t="s">
        <v>1564</v>
      </c>
      <c r="J2073" s="8">
        <v>147</v>
      </c>
      <c r="K2073" s="5" t="s">
        <v>4</v>
      </c>
      <c r="L2073">
        <f t="shared" si="32"/>
        <v>3</v>
      </c>
    </row>
    <row r="2074" spans="1:12" x14ac:dyDescent="0.25">
      <c r="A2074" s="5">
        <v>47549</v>
      </c>
      <c r="B2074" t="s">
        <v>12562</v>
      </c>
      <c r="C2074" s="5" t="s">
        <v>8569</v>
      </c>
      <c r="D2074" t="s">
        <v>12563</v>
      </c>
      <c r="E2074" s="5" t="s">
        <v>2206</v>
      </c>
      <c r="F2074" s="6">
        <v>46108.474999999999</v>
      </c>
      <c r="G2074" s="5" t="s">
        <v>7456</v>
      </c>
      <c r="H2074" s="5" t="s">
        <v>12564</v>
      </c>
      <c r="I2074" s="5" t="s">
        <v>1621</v>
      </c>
      <c r="J2074" s="8">
        <v>937.2</v>
      </c>
      <c r="K2074" s="5" t="s">
        <v>4</v>
      </c>
      <c r="L2074">
        <f t="shared" si="32"/>
        <v>3</v>
      </c>
    </row>
    <row r="2075" spans="1:12" x14ac:dyDescent="0.25">
      <c r="A2075" s="5">
        <v>47550</v>
      </c>
      <c r="B2075" t="s">
        <v>12565</v>
      </c>
      <c r="C2075" s="5" t="s">
        <v>12566</v>
      </c>
      <c r="D2075" t="s">
        <v>12567</v>
      </c>
      <c r="E2075" s="5" t="s">
        <v>2660</v>
      </c>
      <c r="F2075" s="6">
        <v>46108.597916666666</v>
      </c>
      <c r="G2075" s="5" t="s">
        <v>7456</v>
      </c>
      <c r="H2075" s="5" t="s">
        <v>12568</v>
      </c>
      <c r="I2075" s="5" t="s">
        <v>1564</v>
      </c>
      <c r="J2075" s="8">
        <v>580</v>
      </c>
      <c r="K2075" s="5" t="s">
        <v>4</v>
      </c>
      <c r="L2075">
        <f t="shared" si="32"/>
        <v>3</v>
      </c>
    </row>
    <row r="2076" spans="1:12" x14ac:dyDescent="0.25">
      <c r="A2076" s="5">
        <v>47551</v>
      </c>
      <c r="B2076" t="s">
        <v>12569</v>
      </c>
      <c r="C2076" s="5" t="s">
        <v>8569</v>
      </c>
      <c r="D2076" t="s">
        <v>12570</v>
      </c>
      <c r="E2076" s="5" t="s">
        <v>6096</v>
      </c>
      <c r="F2076" s="6">
        <v>46108.606249999997</v>
      </c>
      <c r="G2076" s="5" t="s">
        <v>7456</v>
      </c>
      <c r="H2076" s="5" t="s">
        <v>12571</v>
      </c>
      <c r="I2076" s="5" t="s">
        <v>1621</v>
      </c>
      <c r="J2076" s="8">
        <v>88.93</v>
      </c>
      <c r="K2076" s="5" t="s">
        <v>4</v>
      </c>
      <c r="L2076">
        <f t="shared" si="32"/>
        <v>3</v>
      </c>
    </row>
    <row r="2077" spans="1:12" x14ac:dyDescent="0.25">
      <c r="A2077" s="5">
        <v>47552</v>
      </c>
      <c r="B2077" t="s">
        <v>12572</v>
      </c>
      <c r="C2077" s="5" t="s">
        <v>28</v>
      </c>
      <c r="D2077" t="s">
        <v>12573</v>
      </c>
      <c r="E2077" s="5" t="s">
        <v>6100</v>
      </c>
      <c r="F2077" s="6">
        <v>46108.615972222222</v>
      </c>
      <c r="G2077" s="5" t="s">
        <v>7456</v>
      </c>
      <c r="H2077" s="5" t="s">
        <v>12574</v>
      </c>
      <c r="I2077" s="5" t="s">
        <v>1621</v>
      </c>
      <c r="J2077" s="8">
        <v>88.93</v>
      </c>
      <c r="K2077" s="5" t="s">
        <v>4</v>
      </c>
      <c r="L2077">
        <f t="shared" si="32"/>
        <v>3</v>
      </c>
    </row>
    <row r="2078" spans="1:12" x14ac:dyDescent="0.25">
      <c r="A2078" s="5">
        <v>47553</v>
      </c>
      <c r="B2078" t="s">
        <v>12575</v>
      </c>
      <c r="C2078" s="5" t="s">
        <v>12576</v>
      </c>
      <c r="D2078" t="s">
        <v>12577</v>
      </c>
      <c r="E2078" s="5" t="s">
        <v>6500</v>
      </c>
      <c r="F2078" s="6">
        <v>46108.627083333333</v>
      </c>
      <c r="G2078" s="5" t="s">
        <v>7456</v>
      </c>
      <c r="H2078" s="5" t="s">
        <v>12578</v>
      </c>
      <c r="I2078" s="5" t="s">
        <v>1621</v>
      </c>
      <c r="J2078" s="8">
        <v>62.2</v>
      </c>
      <c r="K2078" s="5" t="s">
        <v>4</v>
      </c>
      <c r="L2078">
        <f t="shared" si="32"/>
        <v>3</v>
      </c>
    </row>
    <row r="2079" spans="1:12" x14ac:dyDescent="0.25">
      <c r="A2079" s="5">
        <v>47554</v>
      </c>
      <c r="B2079" t="s">
        <v>12579</v>
      </c>
      <c r="C2079" s="5" t="s">
        <v>12580</v>
      </c>
      <c r="D2079" t="s">
        <v>12581</v>
      </c>
      <c r="E2079" s="5" t="s">
        <v>3881</v>
      </c>
      <c r="F2079" s="6">
        <v>46108.632638888892</v>
      </c>
      <c r="G2079" s="5" t="s">
        <v>7456</v>
      </c>
      <c r="H2079" s="5" t="s">
        <v>12582</v>
      </c>
      <c r="I2079" s="5" t="s">
        <v>1621</v>
      </c>
      <c r="J2079" s="8">
        <v>274.83</v>
      </c>
      <c r="K2079" s="5" t="s">
        <v>4</v>
      </c>
      <c r="L2079">
        <f t="shared" si="32"/>
        <v>3</v>
      </c>
    </row>
    <row r="2080" spans="1:12" x14ac:dyDescent="0.25">
      <c r="A2080" s="5">
        <v>47555</v>
      </c>
      <c r="B2080" t="s">
        <v>12583</v>
      </c>
      <c r="C2080" s="5" t="s">
        <v>129</v>
      </c>
      <c r="D2080" t="s">
        <v>12584</v>
      </c>
      <c r="E2080" s="5" t="s">
        <v>6748</v>
      </c>
      <c r="F2080" s="6">
        <v>46108.638194444444</v>
      </c>
      <c r="G2080" s="5" t="s">
        <v>7456</v>
      </c>
      <c r="H2080" s="5" t="s">
        <v>12585</v>
      </c>
      <c r="I2080" s="5" t="s">
        <v>1621</v>
      </c>
      <c r="J2080" s="8">
        <v>49.69</v>
      </c>
      <c r="K2080" s="5" t="s">
        <v>4</v>
      </c>
      <c r="L2080">
        <f t="shared" si="32"/>
        <v>3</v>
      </c>
    </row>
    <row r="2081" spans="1:12" x14ac:dyDescent="0.25">
      <c r="A2081" s="5">
        <v>47556</v>
      </c>
      <c r="B2081" t="s">
        <v>12586</v>
      </c>
      <c r="C2081" s="5" t="s">
        <v>995</v>
      </c>
      <c r="D2081" t="s">
        <v>12587</v>
      </c>
      <c r="E2081" s="5" t="s">
        <v>6350</v>
      </c>
      <c r="F2081" s="6">
        <v>46108.646527777775</v>
      </c>
      <c r="G2081" s="5" t="s">
        <v>7456</v>
      </c>
      <c r="H2081" s="5" t="s">
        <v>12588</v>
      </c>
      <c r="I2081" s="5" t="s">
        <v>1621</v>
      </c>
      <c r="J2081" s="8">
        <v>71.849999999999994</v>
      </c>
      <c r="K2081" s="5" t="s">
        <v>4</v>
      </c>
      <c r="L2081">
        <f t="shared" si="32"/>
        <v>3</v>
      </c>
    </row>
    <row r="2082" spans="1:12" x14ac:dyDescent="0.25">
      <c r="A2082" s="5">
        <v>47559</v>
      </c>
      <c r="B2082" t="s">
        <v>10874</v>
      </c>
      <c r="C2082" s="5" t="s">
        <v>10875</v>
      </c>
      <c r="D2082" t="s">
        <v>10876</v>
      </c>
      <c r="E2082" s="5" t="s">
        <v>1738</v>
      </c>
      <c r="F2082" s="6">
        <v>46108.668055555558</v>
      </c>
      <c r="G2082" s="5" t="s">
        <v>7456</v>
      </c>
      <c r="H2082" s="5" t="s">
        <v>12589</v>
      </c>
      <c r="I2082" s="5" t="s">
        <v>1621</v>
      </c>
      <c r="J2082" s="8">
        <v>0</v>
      </c>
      <c r="K2082" s="5" t="s">
        <v>4</v>
      </c>
      <c r="L2082">
        <f t="shared" si="32"/>
        <v>3</v>
      </c>
    </row>
    <row r="2083" spans="1:12" x14ac:dyDescent="0.25">
      <c r="A2083" s="5">
        <v>47560</v>
      </c>
      <c r="B2083" t="s">
        <v>10242</v>
      </c>
      <c r="C2083" s="5" t="s">
        <v>10243</v>
      </c>
      <c r="D2083" t="s">
        <v>10244</v>
      </c>
      <c r="E2083" s="5" t="s">
        <v>1742</v>
      </c>
      <c r="F2083" s="6">
        <v>46108.672222222223</v>
      </c>
      <c r="G2083" s="5" t="s">
        <v>7456</v>
      </c>
      <c r="H2083" s="5" t="s">
        <v>12590</v>
      </c>
      <c r="I2083" s="5" t="s">
        <v>1621</v>
      </c>
      <c r="J2083" s="8">
        <v>0</v>
      </c>
      <c r="K2083" s="5" t="s">
        <v>4</v>
      </c>
      <c r="L2083">
        <f t="shared" si="32"/>
        <v>3</v>
      </c>
    </row>
    <row r="2084" spans="1:12" x14ac:dyDescent="0.25">
      <c r="A2084" s="5">
        <v>47561</v>
      </c>
      <c r="B2084" t="s">
        <v>12591</v>
      </c>
      <c r="C2084" s="5" t="s">
        <v>12592</v>
      </c>
      <c r="D2084" t="s">
        <v>12593</v>
      </c>
      <c r="E2084" s="5" t="s">
        <v>6126</v>
      </c>
      <c r="F2084" s="6">
        <v>46108.688888888886</v>
      </c>
      <c r="G2084" s="5" t="s">
        <v>7456</v>
      </c>
      <c r="H2084" s="5" t="s">
        <v>12594</v>
      </c>
      <c r="I2084" s="5" t="s">
        <v>1621</v>
      </c>
      <c r="J2084" s="8">
        <v>85.74</v>
      </c>
      <c r="K2084" s="5" t="s">
        <v>4</v>
      </c>
      <c r="L2084">
        <f t="shared" si="32"/>
        <v>3</v>
      </c>
    </row>
    <row r="2085" spans="1:12" x14ac:dyDescent="0.25">
      <c r="A2085" s="5">
        <v>47563</v>
      </c>
      <c r="B2085" t="s">
        <v>12595</v>
      </c>
      <c r="C2085" s="5" t="s">
        <v>12596</v>
      </c>
      <c r="D2085" t="s">
        <v>12597</v>
      </c>
      <c r="E2085" s="5" t="s">
        <v>1813</v>
      </c>
      <c r="F2085" s="6">
        <v>46111.357638888891</v>
      </c>
      <c r="G2085" s="5" t="s">
        <v>7456</v>
      </c>
      <c r="H2085" s="5" t="s">
        <v>12598</v>
      </c>
      <c r="I2085" s="5" t="s">
        <v>1535</v>
      </c>
      <c r="J2085" s="8">
        <v>213</v>
      </c>
      <c r="K2085" s="5" t="s">
        <v>4</v>
      </c>
      <c r="L2085">
        <f t="shared" si="32"/>
        <v>3</v>
      </c>
    </row>
    <row r="2086" spans="1:12" x14ac:dyDescent="0.25">
      <c r="A2086" s="5">
        <v>47566</v>
      </c>
      <c r="B2086" t="s">
        <v>12599</v>
      </c>
      <c r="C2086" s="5" t="s">
        <v>12600</v>
      </c>
      <c r="D2086" t="s">
        <v>12601</v>
      </c>
      <c r="E2086" s="5" t="s">
        <v>1759</v>
      </c>
      <c r="F2086" s="6">
        <v>46111.378472222219</v>
      </c>
      <c r="G2086" s="5" t="s">
        <v>7456</v>
      </c>
      <c r="H2086" s="5" t="s">
        <v>12602</v>
      </c>
      <c r="I2086" s="5" t="s">
        <v>1564</v>
      </c>
      <c r="J2086" s="8">
        <v>480</v>
      </c>
      <c r="K2086" s="5" t="s">
        <v>4</v>
      </c>
      <c r="L2086">
        <f t="shared" si="32"/>
        <v>3</v>
      </c>
    </row>
    <row r="2087" spans="1:12" x14ac:dyDescent="0.25">
      <c r="A2087" s="5">
        <v>47567</v>
      </c>
      <c r="B2087" t="s">
        <v>12603</v>
      </c>
      <c r="C2087" s="5" t="s">
        <v>12604</v>
      </c>
      <c r="D2087" t="s">
        <v>12605</v>
      </c>
      <c r="E2087" s="5" t="s">
        <v>1770</v>
      </c>
      <c r="F2087" s="6">
        <v>46111.398611111108</v>
      </c>
      <c r="G2087" s="5" t="s">
        <v>7456</v>
      </c>
      <c r="H2087" s="5" t="s">
        <v>12606</v>
      </c>
      <c r="I2087" s="5" t="s">
        <v>1564</v>
      </c>
      <c r="J2087" s="8">
        <v>183.2</v>
      </c>
      <c r="K2087" s="5" t="s">
        <v>4</v>
      </c>
      <c r="L2087">
        <f t="shared" si="32"/>
        <v>3</v>
      </c>
    </row>
    <row r="2088" spans="1:12" x14ac:dyDescent="0.25">
      <c r="A2088" s="5">
        <v>47568</v>
      </c>
      <c r="B2088" t="s">
        <v>12607</v>
      </c>
      <c r="C2088" s="5" t="s">
        <v>7516</v>
      </c>
      <c r="D2088" t="s">
        <v>12608</v>
      </c>
      <c r="E2088" s="5" t="s">
        <v>1813</v>
      </c>
      <c r="F2088" s="6">
        <v>46111.398611111108</v>
      </c>
      <c r="G2088" s="5" t="s">
        <v>7595</v>
      </c>
      <c r="H2088" t="s">
        <v>7482</v>
      </c>
      <c r="I2088" s="5" t="s">
        <v>1535</v>
      </c>
      <c r="J2088" s="8">
        <v>730</v>
      </c>
      <c r="K2088" s="5" t="s">
        <v>4</v>
      </c>
      <c r="L2088">
        <f t="shared" si="32"/>
        <v>3</v>
      </c>
    </row>
    <row r="2089" spans="1:12" x14ac:dyDescent="0.25">
      <c r="A2089" s="5">
        <v>47569</v>
      </c>
      <c r="B2089" t="s">
        <v>12609</v>
      </c>
      <c r="C2089" s="5" t="s">
        <v>12610</v>
      </c>
      <c r="D2089" t="s">
        <v>12611</v>
      </c>
      <c r="E2089" s="5" t="s">
        <v>1532</v>
      </c>
      <c r="F2089" s="6">
        <v>46111.425694444442</v>
      </c>
      <c r="G2089" s="5" t="s">
        <v>7456</v>
      </c>
      <c r="H2089" s="5" t="s">
        <v>12612</v>
      </c>
      <c r="I2089" s="5" t="s">
        <v>1535</v>
      </c>
      <c r="J2089" s="8">
        <v>1012.5</v>
      </c>
      <c r="K2089" s="5" t="s">
        <v>4</v>
      </c>
      <c r="L2089">
        <f t="shared" si="32"/>
        <v>3</v>
      </c>
    </row>
    <row r="2090" spans="1:12" x14ac:dyDescent="0.25">
      <c r="A2090" s="5">
        <v>47570</v>
      </c>
      <c r="B2090" t="s">
        <v>12613</v>
      </c>
      <c r="C2090" s="5" t="s">
        <v>12614</v>
      </c>
      <c r="D2090" t="s">
        <v>12615</v>
      </c>
      <c r="E2090" s="5" t="s">
        <v>1738</v>
      </c>
      <c r="F2090" s="6">
        <v>46111.430555555555</v>
      </c>
      <c r="G2090" s="5" t="s">
        <v>7672</v>
      </c>
      <c r="H2090" t="s">
        <v>7482</v>
      </c>
      <c r="I2090" s="5" t="s">
        <v>1564</v>
      </c>
      <c r="J2090" s="8">
        <v>1410</v>
      </c>
      <c r="K2090" s="5" t="s">
        <v>4</v>
      </c>
      <c r="L2090">
        <f t="shared" si="32"/>
        <v>3</v>
      </c>
    </row>
    <row r="2091" spans="1:12" x14ac:dyDescent="0.25">
      <c r="A2091" s="5">
        <v>47571</v>
      </c>
      <c r="B2091" t="s">
        <v>12616</v>
      </c>
      <c r="C2091" s="5" t="s">
        <v>12617</v>
      </c>
      <c r="D2091" t="s">
        <v>12618</v>
      </c>
      <c r="E2091" s="5" t="s">
        <v>2740</v>
      </c>
      <c r="F2091" s="6">
        <v>46111.441666666666</v>
      </c>
      <c r="G2091" s="5" t="s">
        <v>7456</v>
      </c>
      <c r="H2091" s="5" t="s">
        <v>12619</v>
      </c>
      <c r="I2091" s="5" t="s">
        <v>1564</v>
      </c>
      <c r="J2091" s="8">
        <v>406.84</v>
      </c>
      <c r="K2091" s="5" t="s">
        <v>4</v>
      </c>
      <c r="L2091">
        <f t="shared" si="32"/>
        <v>3</v>
      </c>
    </row>
    <row r="2092" spans="1:12" x14ac:dyDescent="0.25">
      <c r="A2092" s="5">
        <v>47572</v>
      </c>
      <c r="B2092" t="s">
        <v>12620</v>
      </c>
      <c r="C2092" s="5" t="s">
        <v>12621</v>
      </c>
      <c r="D2092" t="s">
        <v>12622</v>
      </c>
      <c r="E2092" s="5" t="s">
        <v>4659</v>
      </c>
      <c r="F2092" s="6">
        <v>46111.45416666667</v>
      </c>
      <c r="G2092" s="5" t="s">
        <v>7456</v>
      </c>
      <c r="H2092" s="5" t="s">
        <v>12623</v>
      </c>
      <c r="I2092" s="5" t="s">
        <v>1564</v>
      </c>
      <c r="J2092" s="8">
        <v>178.2</v>
      </c>
      <c r="K2092" s="5" t="s">
        <v>4</v>
      </c>
      <c r="L2092">
        <f t="shared" si="32"/>
        <v>3</v>
      </c>
    </row>
    <row r="2093" spans="1:12" x14ac:dyDescent="0.25">
      <c r="A2093" s="5">
        <v>47573</v>
      </c>
      <c r="B2093" t="s">
        <v>12624</v>
      </c>
      <c r="C2093" s="5" t="s">
        <v>12625</v>
      </c>
      <c r="D2093" t="s">
        <v>12626</v>
      </c>
      <c r="E2093" s="5" t="s">
        <v>1738</v>
      </c>
      <c r="F2093" s="6">
        <v>46111.472222222219</v>
      </c>
      <c r="G2093" s="5" t="s">
        <v>7456</v>
      </c>
      <c r="H2093" s="5" t="s">
        <v>12627</v>
      </c>
      <c r="I2093" s="5" t="s">
        <v>1564</v>
      </c>
      <c r="J2093" s="8">
        <v>50</v>
      </c>
      <c r="K2093" s="5" t="s">
        <v>4</v>
      </c>
      <c r="L2093">
        <f t="shared" si="32"/>
        <v>3</v>
      </c>
    </row>
    <row r="2094" spans="1:12" x14ac:dyDescent="0.25">
      <c r="A2094" s="5">
        <v>47574</v>
      </c>
      <c r="B2094" t="s">
        <v>12628</v>
      </c>
      <c r="C2094" s="5" t="s">
        <v>12629</v>
      </c>
      <c r="D2094" t="s">
        <v>12630</v>
      </c>
      <c r="E2094" s="5" t="s">
        <v>1980</v>
      </c>
      <c r="F2094" s="6">
        <v>46111.484027777777</v>
      </c>
      <c r="G2094" s="5" t="s">
        <v>7456</v>
      </c>
      <c r="H2094" s="5" t="s">
        <v>12631</v>
      </c>
      <c r="I2094" s="5" t="s">
        <v>1564</v>
      </c>
      <c r="J2094" s="8">
        <v>1323</v>
      </c>
      <c r="K2094" s="5" t="s">
        <v>4</v>
      </c>
      <c r="L2094">
        <f t="shared" si="32"/>
        <v>3</v>
      </c>
    </row>
    <row r="2095" spans="1:12" x14ac:dyDescent="0.25">
      <c r="A2095" s="5">
        <v>47575</v>
      </c>
      <c r="B2095" t="s">
        <v>12632</v>
      </c>
      <c r="C2095" s="5" t="s">
        <v>12633</v>
      </c>
      <c r="D2095" t="s">
        <v>12634</v>
      </c>
      <c r="E2095" s="5" t="s">
        <v>3263</v>
      </c>
      <c r="F2095" s="6">
        <v>46111.49722222222</v>
      </c>
      <c r="G2095" s="5" t="s">
        <v>7456</v>
      </c>
      <c r="H2095" s="5" t="s">
        <v>12635</v>
      </c>
      <c r="I2095" s="5" t="s">
        <v>1564</v>
      </c>
      <c r="J2095" s="8">
        <v>378.4</v>
      </c>
      <c r="K2095" s="5" t="s">
        <v>4</v>
      </c>
      <c r="L2095">
        <f t="shared" si="32"/>
        <v>3</v>
      </c>
    </row>
    <row r="2096" spans="1:12" x14ac:dyDescent="0.25">
      <c r="A2096" s="5">
        <v>47576</v>
      </c>
      <c r="B2096" t="s">
        <v>12636</v>
      </c>
      <c r="C2096" s="5" t="s">
        <v>12637</v>
      </c>
      <c r="D2096" t="s">
        <v>12638</v>
      </c>
      <c r="E2096" s="5" t="s">
        <v>4898</v>
      </c>
      <c r="F2096" s="6">
        <v>46111.519444444442</v>
      </c>
      <c r="G2096" s="5" t="s">
        <v>7456</v>
      </c>
      <c r="H2096" s="5" t="s">
        <v>12639</v>
      </c>
      <c r="I2096" s="5" t="s">
        <v>1564</v>
      </c>
      <c r="J2096" s="8">
        <v>159.9</v>
      </c>
      <c r="K2096" s="5" t="s">
        <v>4</v>
      </c>
      <c r="L2096">
        <f t="shared" si="32"/>
        <v>3</v>
      </c>
    </row>
    <row r="2097" spans="1:12" x14ac:dyDescent="0.25">
      <c r="A2097" s="5">
        <v>47577</v>
      </c>
      <c r="B2097" t="s">
        <v>11976</v>
      </c>
      <c r="C2097" s="5" t="s">
        <v>338</v>
      </c>
      <c r="D2097" t="s">
        <v>11977</v>
      </c>
      <c r="E2097" s="5" t="s">
        <v>1532</v>
      </c>
      <c r="F2097" s="6">
        <v>46111.557638888888</v>
      </c>
      <c r="G2097" s="5" t="s">
        <v>7595</v>
      </c>
      <c r="H2097" t="s">
        <v>7482</v>
      </c>
      <c r="I2097" s="5" t="s">
        <v>1535</v>
      </c>
      <c r="J2097" s="8">
        <v>175</v>
      </c>
      <c r="K2097" s="5" t="s">
        <v>4</v>
      </c>
      <c r="L2097">
        <f t="shared" si="32"/>
        <v>3</v>
      </c>
    </row>
    <row r="2098" spans="1:12" x14ac:dyDescent="0.25">
      <c r="A2098" s="5">
        <v>47578</v>
      </c>
      <c r="B2098" t="s">
        <v>8719</v>
      </c>
      <c r="C2098" s="5" t="s">
        <v>7960</v>
      </c>
      <c r="D2098" t="s">
        <v>8720</v>
      </c>
      <c r="E2098" s="5" t="s">
        <v>3410</v>
      </c>
      <c r="F2098" s="6">
        <v>46111.597222222219</v>
      </c>
      <c r="G2098" s="5" t="s">
        <v>7456</v>
      </c>
      <c r="H2098" s="5" t="s">
        <v>12640</v>
      </c>
      <c r="I2098" s="5" t="s">
        <v>1535</v>
      </c>
      <c r="J2098" s="8">
        <v>338</v>
      </c>
      <c r="K2098" s="5" t="s">
        <v>4</v>
      </c>
      <c r="L2098">
        <f t="shared" si="32"/>
        <v>3</v>
      </c>
    </row>
    <row r="2099" spans="1:12" x14ac:dyDescent="0.25">
      <c r="A2099" s="5">
        <v>47579</v>
      </c>
      <c r="B2099" t="s">
        <v>12641</v>
      </c>
      <c r="C2099" s="5" t="s">
        <v>12642</v>
      </c>
      <c r="D2099" t="s">
        <v>12643</v>
      </c>
      <c r="E2099" s="5" t="s">
        <v>1770</v>
      </c>
      <c r="F2099" s="6">
        <v>46111.615972222222</v>
      </c>
      <c r="G2099" s="5" t="s">
        <v>7456</v>
      </c>
      <c r="H2099" s="5" t="s">
        <v>12644</v>
      </c>
      <c r="I2099" s="5" t="s">
        <v>1564</v>
      </c>
      <c r="J2099" s="8">
        <v>170</v>
      </c>
      <c r="K2099" s="5" t="s">
        <v>4</v>
      </c>
      <c r="L2099">
        <f t="shared" si="32"/>
        <v>3</v>
      </c>
    </row>
    <row r="2100" spans="1:12" x14ac:dyDescent="0.25">
      <c r="A2100" s="5">
        <v>47581</v>
      </c>
      <c r="B2100" t="s">
        <v>12645</v>
      </c>
      <c r="C2100" s="5" t="s">
        <v>12646</v>
      </c>
      <c r="D2100" t="s">
        <v>12647</v>
      </c>
      <c r="E2100" s="5" t="s">
        <v>1899</v>
      </c>
      <c r="F2100" s="6">
        <v>46111.620833333334</v>
      </c>
      <c r="G2100" s="5" t="s">
        <v>7456</v>
      </c>
      <c r="H2100" s="5" t="s">
        <v>12648</v>
      </c>
      <c r="I2100" s="5" t="s">
        <v>1564</v>
      </c>
      <c r="J2100" s="8">
        <v>104</v>
      </c>
      <c r="K2100" s="5" t="s">
        <v>4</v>
      </c>
      <c r="L2100">
        <f t="shared" si="32"/>
        <v>3</v>
      </c>
    </row>
    <row r="2101" spans="1:12" x14ac:dyDescent="0.25">
      <c r="A2101" s="5">
        <v>47582</v>
      </c>
      <c r="B2101" t="s">
        <v>12649</v>
      </c>
      <c r="C2101" s="5" t="s">
        <v>12001</v>
      </c>
      <c r="D2101" t="s">
        <v>12650</v>
      </c>
      <c r="E2101" s="5" t="s">
        <v>1892</v>
      </c>
      <c r="F2101" s="6">
        <v>46111.625694444447</v>
      </c>
      <c r="G2101" s="5" t="s">
        <v>7456</v>
      </c>
      <c r="H2101" s="5" t="s">
        <v>12651</v>
      </c>
      <c r="I2101" s="5" t="s">
        <v>1564</v>
      </c>
      <c r="J2101" s="8">
        <v>1650</v>
      </c>
      <c r="K2101" s="5" t="s">
        <v>4</v>
      </c>
      <c r="L2101">
        <f t="shared" si="32"/>
        <v>3</v>
      </c>
    </row>
    <row r="2102" spans="1:12" x14ac:dyDescent="0.25">
      <c r="A2102" s="5">
        <v>47583</v>
      </c>
      <c r="B2102" t="s">
        <v>12652</v>
      </c>
      <c r="C2102" s="5" t="s">
        <v>12653</v>
      </c>
      <c r="D2102" t="s">
        <v>12654</v>
      </c>
      <c r="E2102" s="5" t="s">
        <v>1604</v>
      </c>
      <c r="F2102" s="6">
        <v>46111.629166666666</v>
      </c>
      <c r="G2102" s="5" t="s">
        <v>7672</v>
      </c>
      <c r="H2102" t="s">
        <v>8626</v>
      </c>
      <c r="I2102" s="5" t="s">
        <v>1564</v>
      </c>
      <c r="J2102" s="8">
        <v>511.99</v>
      </c>
      <c r="K2102" s="5" t="s">
        <v>4</v>
      </c>
      <c r="L2102">
        <f t="shared" si="32"/>
        <v>3</v>
      </c>
    </row>
    <row r="2103" spans="1:12" x14ac:dyDescent="0.25">
      <c r="A2103" s="5">
        <v>47584</v>
      </c>
      <c r="B2103" t="s">
        <v>10957</v>
      </c>
      <c r="C2103" s="5" t="s">
        <v>10958</v>
      </c>
      <c r="D2103" t="s">
        <v>10959</v>
      </c>
      <c r="E2103" s="5" t="s">
        <v>6448</v>
      </c>
      <c r="F2103" s="6">
        <v>46111.628472222219</v>
      </c>
      <c r="G2103" s="5" t="s">
        <v>7456</v>
      </c>
      <c r="H2103" s="5" t="s">
        <v>12655</v>
      </c>
      <c r="I2103" s="5" t="s">
        <v>1621</v>
      </c>
      <c r="J2103" s="8">
        <v>65.87</v>
      </c>
      <c r="K2103" s="5" t="s">
        <v>4</v>
      </c>
      <c r="L2103">
        <f t="shared" si="32"/>
        <v>3</v>
      </c>
    </row>
    <row r="2104" spans="1:12" x14ac:dyDescent="0.25">
      <c r="A2104" s="5">
        <v>47585</v>
      </c>
      <c r="B2104" t="s">
        <v>12656</v>
      </c>
      <c r="C2104" s="5" t="s">
        <v>12657</v>
      </c>
      <c r="D2104" t="s">
        <v>12658</v>
      </c>
      <c r="E2104" s="5" t="s">
        <v>1813</v>
      </c>
      <c r="F2104" s="6">
        <v>46111.636805555558</v>
      </c>
      <c r="G2104" s="5" t="s">
        <v>7595</v>
      </c>
      <c r="H2104" t="s">
        <v>7482</v>
      </c>
      <c r="I2104" s="5" t="s">
        <v>1535</v>
      </c>
      <c r="J2104" s="8">
        <v>620.4</v>
      </c>
      <c r="K2104" s="5" t="s">
        <v>4</v>
      </c>
      <c r="L2104">
        <f t="shared" si="32"/>
        <v>3</v>
      </c>
    </row>
    <row r="2105" spans="1:12" x14ac:dyDescent="0.25">
      <c r="A2105" s="5">
        <v>47586</v>
      </c>
      <c r="B2105" t="s">
        <v>12659</v>
      </c>
      <c r="C2105" s="5" t="s">
        <v>12660</v>
      </c>
      <c r="D2105" t="s">
        <v>12661</v>
      </c>
      <c r="E2105" s="5" t="s">
        <v>4855</v>
      </c>
      <c r="F2105" s="6">
        <v>46111.636805555558</v>
      </c>
      <c r="G2105" s="5" t="s">
        <v>7456</v>
      </c>
      <c r="H2105" s="5" t="s">
        <v>12662</v>
      </c>
      <c r="I2105" s="5" t="s">
        <v>1621</v>
      </c>
      <c r="J2105" s="8">
        <v>162.93</v>
      </c>
      <c r="K2105" s="5" t="s">
        <v>4</v>
      </c>
      <c r="L2105">
        <f t="shared" si="32"/>
        <v>3</v>
      </c>
    </row>
    <row r="2106" spans="1:12" x14ac:dyDescent="0.25">
      <c r="A2106" s="5">
        <v>47587</v>
      </c>
      <c r="B2106" t="s">
        <v>12663</v>
      </c>
      <c r="C2106" s="5" t="s">
        <v>862</v>
      </c>
      <c r="D2106" t="s">
        <v>12664</v>
      </c>
      <c r="E2106" s="5" t="s">
        <v>6866</v>
      </c>
      <c r="F2106" s="6">
        <v>46111.643750000003</v>
      </c>
      <c r="G2106" s="5" t="s">
        <v>7456</v>
      </c>
      <c r="H2106" s="5" t="s">
        <v>12665</v>
      </c>
      <c r="I2106" s="5" t="s">
        <v>1621</v>
      </c>
      <c r="J2106" s="8">
        <v>42.05</v>
      </c>
      <c r="K2106" s="5" t="s">
        <v>4</v>
      </c>
      <c r="L2106">
        <f t="shared" si="32"/>
        <v>3</v>
      </c>
    </row>
    <row r="2107" spans="1:12" x14ac:dyDescent="0.25">
      <c r="A2107" s="5">
        <v>47588</v>
      </c>
      <c r="B2107" t="s">
        <v>12666</v>
      </c>
      <c r="C2107" s="5" t="s">
        <v>12667</v>
      </c>
      <c r="D2107" t="s">
        <v>12668</v>
      </c>
      <c r="E2107" s="5" t="s">
        <v>4424</v>
      </c>
      <c r="F2107" s="6">
        <v>46111.665972222225</v>
      </c>
      <c r="G2107" s="5" t="s">
        <v>7456</v>
      </c>
      <c r="H2107" s="5" t="s">
        <v>12669</v>
      </c>
      <c r="I2107" s="5" t="s">
        <v>1621</v>
      </c>
      <c r="J2107" s="8">
        <v>199.1</v>
      </c>
      <c r="K2107" s="5" t="s">
        <v>4</v>
      </c>
      <c r="L2107">
        <f t="shared" si="32"/>
        <v>3</v>
      </c>
    </row>
    <row r="2108" spans="1:12" x14ac:dyDescent="0.25">
      <c r="A2108" s="5">
        <v>47589</v>
      </c>
      <c r="B2108" t="s">
        <v>12670</v>
      </c>
      <c r="C2108" s="5" t="s">
        <v>33</v>
      </c>
      <c r="D2108" t="s">
        <v>12671</v>
      </c>
      <c r="E2108" s="5" t="s">
        <v>4717</v>
      </c>
      <c r="F2108" s="6">
        <v>46111.677777777775</v>
      </c>
      <c r="G2108" s="5" t="s">
        <v>7456</v>
      </c>
      <c r="H2108" s="5" t="s">
        <v>12672</v>
      </c>
      <c r="I2108" s="5" t="s">
        <v>1621</v>
      </c>
      <c r="J2108" s="8">
        <v>174.23</v>
      </c>
      <c r="K2108" s="5" t="s">
        <v>4</v>
      </c>
      <c r="L2108">
        <f t="shared" si="32"/>
        <v>3</v>
      </c>
    </row>
    <row r="2109" spans="1:12" x14ac:dyDescent="0.25">
      <c r="A2109" s="5">
        <v>47590</v>
      </c>
      <c r="B2109" t="s">
        <v>12673</v>
      </c>
      <c r="C2109" s="5" t="s">
        <v>420</v>
      </c>
      <c r="D2109" t="s">
        <v>12674</v>
      </c>
      <c r="E2109" s="5" t="s">
        <v>6630</v>
      </c>
      <c r="F2109" s="6">
        <v>46111.701388888891</v>
      </c>
      <c r="G2109" s="5" t="s">
        <v>7456</v>
      </c>
      <c r="H2109" s="5" t="s">
        <v>12675</v>
      </c>
      <c r="I2109" s="5" t="s">
        <v>1621</v>
      </c>
      <c r="J2109" s="8">
        <v>53.9</v>
      </c>
      <c r="K2109" s="5" t="s">
        <v>4</v>
      </c>
      <c r="L2109">
        <f t="shared" si="32"/>
        <v>3</v>
      </c>
    </row>
    <row r="2110" spans="1:12" x14ac:dyDescent="0.25">
      <c r="A2110" s="5">
        <v>47591</v>
      </c>
      <c r="B2110" t="s">
        <v>12676</v>
      </c>
      <c r="C2110" s="5" t="s">
        <v>12677</v>
      </c>
      <c r="D2110" t="s">
        <v>12678</v>
      </c>
      <c r="E2110" s="5" t="s">
        <v>2306</v>
      </c>
      <c r="F2110" s="6">
        <v>46111.705555555556</v>
      </c>
      <c r="G2110" s="5" t="s">
        <v>7456</v>
      </c>
      <c r="H2110" s="5" t="s">
        <v>12679</v>
      </c>
      <c r="I2110" s="5" t="s">
        <v>1564</v>
      </c>
      <c r="J2110" s="8">
        <v>293.16000000000003</v>
      </c>
      <c r="K2110" s="5" t="s">
        <v>4</v>
      </c>
      <c r="L2110">
        <f t="shared" si="32"/>
        <v>3</v>
      </c>
    </row>
    <row r="2111" spans="1:12" x14ac:dyDescent="0.25">
      <c r="A2111" s="5">
        <v>47592</v>
      </c>
      <c r="B2111" t="s">
        <v>10863</v>
      </c>
      <c r="C2111" s="5" t="s">
        <v>1407</v>
      </c>
      <c r="D2111" t="s">
        <v>10864</v>
      </c>
      <c r="E2111" s="5" t="s">
        <v>1759</v>
      </c>
      <c r="F2111" s="6">
        <v>46111.724305555559</v>
      </c>
      <c r="G2111" s="5" t="s">
        <v>7456</v>
      </c>
      <c r="H2111" s="5" t="s">
        <v>12680</v>
      </c>
      <c r="I2111" s="5" t="s">
        <v>1621</v>
      </c>
      <c r="J2111" s="8">
        <v>0</v>
      </c>
      <c r="K2111" s="5" t="s">
        <v>4</v>
      </c>
      <c r="L2111">
        <f t="shared" si="32"/>
        <v>3</v>
      </c>
    </row>
    <row r="2112" spans="1:12" x14ac:dyDescent="0.25">
      <c r="A2112" s="5">
        <v>47593</v>
      </c>
      <c r="B2112" t="s">
        <v>12681</v>
      </c>
      <c r="C2112" s="5" t="s">
        <v>12682</v>
      </c>
      <c r="D2112" t="s">
        <v>12683</v>
      </c>
      <c r="E2112" s="5" t="s">
        <v>2775</v>
      </c>
      <c r="F2112" s="6">
        <v>46112.32916666667</v>
      </c>
      <c r="G2112" s="5" t="s">
        <v>7456</v>
      </c>
      <c r="H2112" s="5" t="s">
        <v>12684</v>
      </c>
      <c r="I2112" s="5" t="s">
        <v>1564</v>
      </c>
      <c r="J2112" s="8">
        <v>531</v>
      </c>
      <c r="K2112" s="5" t="s">
        <v>4</v>
      </c>
      <c r="L2112">
        <f t="shared" si="32"/>
        <v>3</v>
      </c>
    </row>
    <row r="2113" spans="1:12" x14ac:dyDescent="0.25">
      <c r="A2113" s="5">
        <v>47594</v>
      </c>
      <c r="B2113" t="s">
        <v>12685</v>
      </c>
      <c r="C2113" s="5" t="s">
        <v>12686</v>
      </c>
      <c r="D2113" t="s">
        <v>12687</v>
      </c>
      <c r="E2113" s="5" t="s">
        <v>1532</v>
      </c>
      <c r="F2113" s="6">
        <v>46112.339583333334</v>
      </c>
      <c r="G2113" s="5" t="s">
        <v>7595</v>
      </c>
      <c r="H2113" t="s">
        <v>7482</v>
      </c>
      <c r="I2113" s="5" t="s">
        <v>1554</v>
      </c>
      <c r="J2113" s="8">
        <v>825</v>
      </c>
      <c r="K2113" s="5" t="s">
        <v>4</v>
      </c>
      <c r="L2113">
        <f t="shared" si="32"/>
        <v>3</v>
      </c>
    </row>
    <row r="2114" spans="1:12" x14ac:dyDescent="0.25">
      <c r="A2114" s="5">
        <v>47595</v>
      </c>
      <c r="B2114" t="s">
        <v>8695</v>
      </c>
      <c r="C2114" s="5" t="s">
        <v>12148</v>
      </c>
      <c r="D2114" t="s">
        <v>8696</v>
      </c>
      <c r="E2114" s="5" t="s">
        <v>1738</v>
      </c>
      <c r="F2114" s="6">
        <v>46112.356249999997</v>
      </c>
      <c r="G2114" s="5" t="s">
        <v>7456</v>
      </c>
      <c r="H2114" s="5" t="s">
        <v>12688</v>
      </c>
      <c r="I2114" s="5" t="s">
        <v>1564</v>
      </c>
      <c r="J2114" s="8">
        <v>350</v>
      </c>
      <c r="K2114" s="5" t="s">
        <v>4</v>
      </c>
      <c r="L2114">
        <f t="shared" si="32"/>
        <v>3</v>
      </c>
    </row>
    <row r="2115" spans="1:12" x14ac:dyDescent="0.25">
      <c r="A2115" s="5">
        <v>47596</v>
      </c>
      <c r="B2115" t="s">
        <v>12689</v>
      </c>
      <c r="C2115" s="5" t="s">
        <v>12690</v>
      </c>
      <c r="D2115" t="s">
        <v>12691</v>
      </c>
      <c r="E2115" s="5" t="s">
        <v>1738</v>
      </c>
      <c r="F2115" s="6">
        <v>46112.390277777777</v>
      </c>
      <c r="G2115" s="5" t="s">
        <v>7456</v>
      </c>
      <c r="H2115" s="5" t="s">
        <v>12692</v>
      </c>
      <c r="I2115" s="5" t="s">
        <v>1564</v>
      </c>
      <c r="J2115" s="8">
        <v>153</v>
      </c>
      <c r="K2115" s="5" t="s">
        <v>4</v>
      </c>
      <c r="L2115">
        <f t="shared" ref="L2115:L2178" si="33">MONTH(F2115)</f>
        <v>3</v>
      </c>
    </row>
    <row r="2116" spans="1:12" x14ac:dyDescent="0.25">
      <c r="A2116" s="5">
        <v>47599</v>
      </c>
      <c r="B2116" t="s">
        <v>12693</v>
      </c>
      <c r="C2116" s="5" t="s">
        <v>12694</v>
      </c>
      <c r="D2116" t="s">
        <v>12695</v>
      </c>
      <c r="E2116" s="5" t="s">
        <v>1742</v>
      </c>
      <c r="F2116" s="6">
        <v>46112.418749999997</v>
      </c>
      <c r="G2116" s="5" t="s">
        <v>7456</v>
      </c>
      <c r="H2116" s="5" t="s">
        <v>12696</v>
      </c>
      <c r="I2116" s="5" t="s">
        <v>1535</v>
      </c>
      <c r="J2116" s="8">
        <v>116</v>
      </c>
      <c r="K2116" s="5" t="s">
        <v>4</v>
      </c>
      <c r="L2116">
        <f t="shared" si="33"/>
        <v>3</v>
      </c>
    </row>
    <row r="2117" spans="1:12" x14ac:dyDescent="0.25">
      <c r="A2117" s="5">
        <v>47600</v>
      </c>
      <c r="B2117" t="s">
        <v>12697</v>
      </c>
      <c r="C2117" s="5" t="s">
        <v>7516</v>
      </c>
      <c r="D2117" t="s">
        <v>12698</v>
      </c>
      <c r="E2117" s="5" t="s">
        <v>2314</v>
      </c>
      <c r="F2117" s="6">
        <v>46112.421527777777</v>
      </c>
      <c r="G2117" s="5" t="s">
        <v>7672</v>
      </c>
      <c r="H2117" t="s">
        <v>7482</v>
      </c>
      <c r="I2117" s="5" t="s">
        <v>1564</v>
      </c>
      <c r="J2117" s="8">
        <v>4928.3999999999996</v>
      </c>
      <c r="K2117" s="5" t="s">
        <v>4</v>
      </c>
      <c r="L2117">
        <f t="shared" si="33"/>
        <v>3</v>
      </c>
    </row>
    <row r="2118" spans="1:12" x14ac:dyDescent="0.25">
      <c r="A2118" s="5">
        <v>47601</v>
      </c>
      <c r="B2118" t="s">
        <v>11440</v>
      </c>
      <c r="C2118" s="5" t="s">
        <v>11441</v>
      </c>
      <c r="D2118" t="s">
        <v>11442</v>
      </c>
      <c r="E2118" s="5" t="s">
        <v>1813</v>
      </c>
      <c r="F2118" s="6">
        <v>46112.438194444447</v>
      </c>
      <c r="G2118" s="5" t="s">
        <v>7456</v>
      </c>
      <c r="H2118" s="5" t="s">
        <v>12699</v>
      </c>
      <c r="I2118" s="5" t="s">
        <v>1621</v>
      </c>
      <c r="J2118" s="8">
        <v>0</v>
      </c>
      <c r="K2118" s="5" t="s">
        <v>4</v>
      </c>
      <c r="L2118">
        <f t="shared" si="33"/>
        <v>3</v>
      </c>
    </row>
    <row r="2119" spans="1:12" x14ac:dyDescent="0.25">
      <c r="A2119" s="5">
        <v>47602</v>
      </c>
      <c r="B2119" t="s">
        <v>12700</v>
      </c>
      <c r="C2119" s="5" t="s">
        <v>12701</v>
      </c>
      <c r="D2119" t="s">
        <v>12702</v>
      </c>
      <c r="E2119" s="5" t="s">
        <v>1770</v>
      </c>
      <c r="F2119" s="6">
        <v>46112.447916666664</v>
      </c>
      <c r="G2119" s="5" t="s">
        <v>7456</v>
      </c>
      <c r="H2119" s="5" t="s">
        <v>12703</v>
      </c>
      <c r="I2119" s="5" t="s">
        <v>1564</v>
      </c>
      <c r="J2119" s="8">
        <v>2265</v>
      </c>
      <c r="K2119" s="5" t="s">
        <v>4</v>
      </c>
      <c r="L2119">
        <f t="shared" si="33"/>
        <v>3</v>
      </c>
    </row>
    <row r="2120" spans="1:12" x14ac:dyDescent="0.25">
      <c r="A2120" s="5">
        <v>47603</v>
      </c>
      <c r="B2120" t="s">
        <v>12704</v>
      </c>
      <c r="C2120" s="5" t="s">
        <v>12705</v>
      </c>
      <c r="D2120" t="s">
        <v>7644</v>
      </c>
      <c r="E2120" s="5" t="s">
        <v>1759</v>
      </c>
      <c r="F2120" s="6">
        <v>46112.456250000003</v>
      </c>
      <c r="G2120" s="5" t="s">
        <v>7456</v>
      </c>
      <c r="H2120" s="5" t="s">
        <v>12706</v>
      </c>
      <c r="I2120" s="5" t="s">
        <v>1564</v>
      </c>
      <c r="J2120" s="8">
        <v>430</v>
      </c>
      <c r="K2120" s="5" t="s">
        <v>4</v>
      </c>
      <c r="L2120">
        <f t="shared" si="33"/>
        <v>3</v>
      </c>
    </row>
    <row r="2121" spans="1:12" x14ac:dyDescent="0.25">
      <c r="A2121" s="5">
        <v>47604</v>
      </c>
      <c r="B2121" t="s">
        <v>12707</v>
      </c>
      <c r="C2121" s="5" t="s">
        <v>12708</v>
      </c>
      <c r="D2121" t="s">
        <v>12709</v>
      </c>
      <c r="E2121" s="5" t="s">
        <v>1532</v>
      </c>
      <c r="F2121" s="6">
        <v>46112.463194444441</v>
      </c>
      <c r="G2121" s="5" t="s">
        <v>7595</v>
      </c>
      <c r="H2121" t="s">
        <v>7482</v>
      </c>
      <c r="I2121" s="5" t="s">
        <v>1554</v>
      </c>
      <c r="J2121" s="8">
        <v>620</v>
      </c>
      <c r="K2121" s="5" t="s">
        <v>4</v>
      </c>
      <c r="L2121">
        <f t="shared" si="33"/>
        <v>3</v>
      </c>
    </row>
    <row r="2122" spans="1:12" x14ac:dyDescent="0.25">
      <c r="A2122" s="5">
        <v>47605</v>
      </c>
      <c r="B2122" t="s">
        <v>9476</v>
      </c>
      <c r="C2122" s="5" t="s">
        <v>9477</v>
      </c>
      <c r="D2122" t="s">
        <v>9478</v>
      </c>
      <c r="E2122" s="5" t="s">
        <v>12710</v>
      </c>
      <c r="F2122" s="6">
        <v>46112.481249999997</v>
      </c>
      <c r="G2122" s="5" t="s">
        <v>7456</v>
      </c>
      <c r="H2122" t="s">
        <v>8626</v>
      </c>
      <c r="I2122" s="5" t="s">
        <v>1564</v>
      </c>
      <c r="J2122" s="8">
        <v>725</v>
      </c>
      <c r="K2122" s="5" t="s">
        <v>4</v>
      </c>
      <c r="L2122">
        <f t="shared" si="33"/>
        <v>3</v>
      </c>
    </row>
    <row r="2123" spans="1:12" x14ac:dyDescent="0.25">
      <c r="A2123" s="5">
        <v>47606</v>
      </c>
      <c r="B2123" t="s">
        <v>12711</v>
      </c>
      <c r="C2123" s="5" t="s">
        <v>12712</v>
      </c>
      <c r="D2123" t="s">
        <v>12713</v>
      </c>
      <c r="E2123" s="5" t="s">
        <v>1759</v>
      </c>
      <c r="F2123" s="6">
        <v>46112.549305555556</v>
      </c>
      <c r="G2123" s="5" t="s">
        <v>7456</v>
      </c>
      <c r="H2123" s="5" t="s">
        <v>12714</v>
      </c>
      <c r="I2123" s="5" t="s">
        <v>1564</v>
      </c>
      <c r="J2123" s="8">
        <v>135</v>
      </c>
      <c r="K2123" s="5" t="s">
        <v>4</v>
      </c>
      <c r="L2123">
        <f t="shared" si="33"/>
        <v>3</v>
      </c>
    </row>
    <row r="2124" spans="1:12" x14ac:dyDescent="0.25">
      <c r="A2124" s="5">
        <v>47607</v>
      </c>
      <c r="B2124" t="s">
        <v>12715</v>
      </c>
      <c r="C2124" s="5" t="s">
        <v>12716</v>
      </c>
      <c r="D2124" t="s">
        <v>9051</v>
      </c>
      <c r="E2124" s="5" t="s">
        <v>1813</v>
      </c>
      <c r="F2124" s="6">
        <v>46112.59375</v>
      </c>
      <c r="G2124" s="5" t="s">
        <v>7595</v>
      </c>
      <c r="H2124" t="s">
        <v>7482</v>
      </c>
      <c r="I2124" s="5" t="s">
        <v>1535</v>
      </c>
      <c r="J2124" s="8">
        <v>336</v>
      </c>
      <c r="K2124" s="5" t="s">
        <v>4</v>
      </c>
      <c r="L2124">
        <f t="shared" si="33"/>
        <v>3</v>
      </c>
    </row>
    <row r="2125" spans="1:12" x14ac:dyDescent="0.25">
      <c r="A2125" s="5">
        <v>47608</v>
      </c>
      <c r="B2125" t="s">
        <v>8965</v>
      </c>
      <c r="C2125" s="5" t="s">
        <v>9154</v>
      </c>
      <c r="D2125" t="s">
        <v>8966</v>
      </c>
      <c r="E2125" s="5" t="s">
        <v>1659</v>
      </c>
      <c r="F2125" s="6">
        <v>46112.634722222225</v>
      </c>
      <c r="G2125" s="5" t="s">
        <v>7456</v>
      </c>
      <c r="H2125" s="5" t="s">
        <v>12717</v>
      </c>
      <c r="I2125" s="5" t="s">
        <v>1535</v>
      </c>
      <c r="J2125" s="8">
        <v>3237</v>
      </c>
      <c r="K2125" s="5" t="s">
        <v>4</v>
      </c>
      <c r="L2125">
        <f t="shared" si="33"/>
        <v>3</v>
      </c>
    </row>
    <row r="2126" spans="1:12" x14ac:dyDescent="0.25">
      <c r="A2126" s="5">
        <v>47609</v>
      </c>
      <c r="B2126" t="s">
        <v>12718</v>
      </c>
      <c r="C2126" s="5" t="s">
        <v>12719</v>
      </c>
      <c r="D2126" t="s">
        <v>12720</v>
      </c>
      <c r="E2126" s="5" t="s">
        <v>4887</v>
      </c>
      <c r="F2126" s="6">
        <v>46112.65347222222</v>
      </c>
      <c r="G2126" s="5" t="s">
        <v>7456</v>
      </c>
      <c r="H2126" s="5" t="s">
        <v>12721</v>
      </c>
      <c r="I2126" s="5" t="s">
        <v>1564</v>
      </c>
      <c r="J2126" s="8">
        <v>160</v>
      </c>
      <c r="K2126" s="5" t="s">
        <v>4</v>
      </c>
      <c r="L2126">
        <f t="shared" si="33"/>
        <v>3</v>
      </c>
    </row>
    <row r="2127" spans="1:12" x14ac:dyDescent="0.25">
      <c r="A2127" s="5">
        <v>47610</v>
      </c>
      <c r="B2127" t="s">
        <v>12722</v>
      </c>
      <c r="C2127" s="5" t="s">
        <v>7560</v>
      </c>
      <c r="D2127" t="s">
        <v>12723</v>
      </c>
      <c r="E2127" s="5" t="s">
        <v>2118</v>
      </c>
      <c r="F2127" s="6">
        <v>46112.657638888886</v>
      </c>
      <c r="G2127" s="5" t="s">
        <v>7456</v>
      </c>
      <c r="H2127" s="5" t="s">
        <v>12724</v>
      </c>
      <c r="I2127" s="5" t="s">
        <v>1564</v>
      </c>
      <c r="J2127" s="8">
        <v>421</v>
      </c>
      <c r="K2127" s="5" t="s">
        <v>4</v>
      </c>
      <c r="L2127">
        <f t="shared" si="33"/>
        <v>3</v>
      </c>
    </row>
    <row r="2128" spans="1:12" x14ac:dyDescent="0.25">
      <c r="A2128" s="5">
        <v>47611</v>
      </c>
      <c r="B2128" t="s">
        <v>12725</v>
      </c>
      <c r="C2128" s="5" t="s">
        <v>12726</v>
      </c>
      <c r="D2128" t="s">
        <v>12727</v>
      </c>
      <c r="E2128" s="5" t="s">
        <v>6779</v>
      </c>
      <c r="F2128" s="6">
        <v>46112.673611111109</v>
      </c>
      <c r="G2128" s="5" t="s">
        <v>7456</v>
      </c>
      <c r="H2128" s="5" t="s">
        <v>12728</v>
      </c>
      <c r="I2128" s="5" t="s">
        <v>1621</v>
      </c>
      <c r="J2128" s="8">
        <v>45.51</v>
      </c>
      <c r="K2128" s="5" t="s">
        <v>4</v>
      </c>
      <c r="L2128">
        <f t="shared" si="33"/>
        <v>3</v>
      </c>
    </row>
    <row r="2129" spans="1:12" x14ac:dyDescent="0.25">
      <c r="A2129" s="5">
        <v>47612</v>
      </c>
      <c r="B2129" t="s">
        <v>12725</v>
      </c>
      <c r="C2129" s="5" t="s">
        <v>12726</v>
      </c>
      <c r="D2129" t="s">
        <v>12727</v>
      </c>
      <c r="E2129" s="5" t="s">
        <v>6570</v>
      </c>
      <c r="F2129" s="6">
        <v>46112.679166666669</v>
      </c>
      <c r="G2129" s="5" t="s">
        <v>7456</v>
      </c>
      <c r="H2129" s="5" t="s">
        <v>12729</v>
      </c>
      <c r="I2129" s="5" t="s">
        <v>1621</v>
      </c>
      <c r="J2129" s="8">
        <v>57.92</v>
      </c>
      <c r="K2129" s="5" t="s">
        <v>4</v>
      </c>
      <c r="L2129">
        <f t="shared" si="33"/>
        <v>3</v>
      </c>
    </row>
    <row r="2130" spans="1:12" x14ac:dyDescent="0.25">
      <c r="A2130" s="5">
        <v>47613</v>
      </c>
      <c r="B2130" t="s">
        <v>12730</v>
      </c>
      <c r="C2130" s="5" t="s">
        <v>12731</v>
      </c>
      <c r="D2130" t="s">
        <v>12732</v>
      </c>
      <c r="E2130" s="5" t="s">
        <v>1759</v>
      </c>
      <c r="F2130" s="6">
        <v>46112.686805555553</v>
      </c>
      <c r="G2130" s="5" t="s">
        <v>7672</v>
      </c>
      <c r="H2130" t="s">
        <v>7482</v>
      </c>
      <c r="I2130" s="5" t="s">
        <v>1564</v>
      </c>
      <c r="J2130" s="8">
        <v>2246</v>
      </c>
      <c r="K2130" s="5" t="s">
        <v>4</v>
      </c>
      <c r="L2130">
        <f t="shared" si="33"/>
        <v>3</v>
      </c>
    </row>
    <row r="2131" spans="1:12" x14ac:dyDescent="0.25">
      <c r="A2131" s="5">
        <v>47614</v>
      </c>
      <c r="B2131" t="s">
        <v>11468</v>
      </c>
      <c r="C2131" s="5" t="s">
        <v>1330</v>
      </c>
      <c r="D2131" t="s">
        <v>11469</v>
      </c>
      <c r="E2131" s="5" t="s">
        <v>7056</v>
      </c>
      <c r="F2131" s="6">
        <v>46112.6875</v>
      </c>
      <c r="G2131" s="5" t="s">
        <v>7456</v>
      </c>
      <c r="H2131" s="5" t="s">
        <v>12733</v>
      </c>
      <c r="I2131" s="5" t="s">
        <v>1621</v>
      </c>
      <c r="J2131" s="8">
        <v>31.02</v>
      </c>
      <c r="K2131" s="5" t="s">
        <v>4</v>
      </c>
      <c r="L2131">
        <f t="shared" si="33"/>
        <v>3</v>
      </c>
    </row>
    <row r="2132" spans="1:12" x14ac:dyDescent="0.25">
      <c r="A2132" s="5">
        <v>47615</v>
      </c>
      <c r="B2132" t="s">
        <v>12734</v>
      </c>
      <c r="C2132" s="5" t="s">
        <v>75</v>
      </c>
      <c r="D2132" t="s">
        <v>12735</v>
      </c>
      <c r="E2132" s="5" t="s">
        <v>6886</v>
      </c>
      <c r="F2132" s="6">
        <v>46112.693749999999</v>
      </c>
      <c r="G2132" s="5" t="s">
        <v>7456</v>
      </c>
      <c r="H2132" s="5" t="s">
        <v>12736</v>
      </c>
      <c r="I2132" s="5" t="s">
        <v>1621</v>
      </c>
      <c r="J2132" s="8">
        <v>40.06</v>
      </c>
      <c r="K2132" s="5" t="s">
        <v>4</v>
      </c>
      <c r="L2132">
        <f t="shared" si="33"/>
        <v>3</v>
      </c>
    </row>
    <row r="2133" spans="1:12" x14ac:dyDescent="0.25">
      <c r="A2133" s="5">
        <v>47616</v>
      </c>
      <c r="B2133" t="s">
        <v>12737</v>
      </c>
      <c r="C2133" s="5" t="s">
        <v>12738</v>
      </c>
      <c r="D2133" t="s">
        <v>12739</v>
      </c>
      <c r="E2133" s="5" t="s">
        <v>12740</v>
      </c>
      <c r="F2133" s="6">
        <v>46112.697222222225</v>
      </c>
      <c r="G2133" s="5" t="s">
        <v>7595</v>
      </c>
      <c r="H2133" t="s">
        <v>7482</v>
      </c>
      <c r="I2133" s="5" t="s">
        <v>1554</v>
      </c>
      <c r="J2133" s="8">
        <v>1030</v>
      </c>
      <c r="K2133" s="5" t="s">
        <v>4</v>
      </c>
      <c r="L2133">
        <f t="shared" si="33"/>
        <v>3</v>
      </c>
    </row>
    <row r="2134" spans="1:12" x14ac:dyDescent="0.25">
      <c r="A2134" s="5">
        <v>47617</v>
      </c>
      <c r="B2134" t="s">
        <v>12741</v>
      </c>
      <c r="C2134" s="5" t="s">
        <v>11301</v>
      </c>
      <c r="D2134" t="s">
        <v>12742</v>
      </c>
      <c r="E2134" s="5" t="s">
        <v>12743</v>
      </c>
      <c r="F2134" s="6">
        <v>46112.700694444444</v>
      </c>
      <c r="G2134" s="5" t="s">
        <v>7595</v>
      </c>
      <c r="H2134" t="s">
        <v>7482</v>
      </c>
      <c r="I2134" s="5" t="s">
        <v>1554</v>
      </c>
      <c r="J2134" s="8">
        <v>1985</v>
      </c>
      <c r="K2134" s="5" t="s">
        <v>4</v>
      </c>
      <c r="L2134">
        <f t="shared" si="33"/>
        <v>3</v>
      </c>
    </row>
    <row r="2135" spans="1:12" x14ac:dyDescent="0.25">
      <c r="A2135" s="5">
        <v>47618</v>
      </c>
      <c r="B2135" t="s">
        <v>12744</v>
      </c>
      <c r="C2135" s="5" t="s">
        <v>416</v>
      </c>
      <c r="D2135" t="s">
        <v>12745</v>
      </c>
      <c r="E2135" s="5" t="s">
        <v>6858</v>
      </c>
      <c r="F2135" s="6">
        <v>46112.699305555558</v>
      </c>
      <c r="G2135" s="5" t="s">
        <v>7456</v>
      </c>
      <c r="H2135" s="5" t="s">
        <v>12746</v>
      </c>
      <c r="I2135" s="5" t="s">
        <v>1621</v>
      </c>
      <c r="J2135" s="8">
        <v>42.29</v>
      </c>
      <c r="K2135" s="5" t="s">
        <v>4</v>
      </c>
      <c r="L2135">
        <f t="shared" si="33"/>
        <v>3</v>
      </c>
    </row>
    <row r="2136" spans="1:12" x14ac:dyDescent="0.25">
      <c r="A2136" s="5">
        <v>47624</v>
      </c>
      <c r="B2136" t="s">
        <v>11698</v>
      </c>
      <c r="C2136" s="5" t="s">
        <v>12747</v>
      </c>
      <c r="D2136" t="s">
        <v>11700</v>
      </c>
      <c r="E2136" s="5" t="s">
        <v>1770</v>
      </c>
      <c r="F2136" s="6">
        <v>46112.728472222225</v>
      </c>
      <c r="G2136" s="5" t="s">
        <v>7456</v>
      </c>
      <c r="H2136" s="5" t="s">
        <v>12748</v>
      </c>
      <c r="I2136" s="5" t="s">
        <v>1564</v>
      </c>
      <c r="J2136" s="8">
        <v>190.13</v>
      </c>
      <c r="K2136" s="5" t="s">
        <v>4</v>
      </c>
      <c r="L2136">
        <f t="shared" si="33"/>
        <v>3</v>
      </c>
    </row>
    <row r="2137" spans="1:12" x14ac:dyDescent="0.25">
      <c r="A2137" s="5">
        <v>47625</v>
      </c>
      <c r="B2137" t="s">
        <v>12749</v>
      </c>
      <c r="C2137" s="5" t="s">
        <v>12750</v>
      </c>
      <c r="D2137" t="s">
        <v>12751</v>
      </c>
      <c r="E2137" s="5" t="s">
        <v>5617</v>
      </c>
      <c r="F2137" s="6">
        <v>46112.743055555555</v>
      </c>
      <c r="G2137" s="5" t="s">
        <v>7456</v>
      </c>
      <c r="H2137" s="5" t="s">
        <v>12752</v>
      </c>
      <c r="I2137" s="5" t="s">
        <v>1564</v>
      </c>
      <c r="J2137" s="8">
        <v>115</v>
      </c>
      <c r="K2137" s="5" t="s">
        <v>4</v>
      </c>
      <c r="L2137">
        <f t="shared" si="33"/>
        <v>3</v>
      </c>
    </row>
    <row r="2138" spans="1:12" x14ac:dyDescent="0.25">
      <c r="A2138" s="5">
        <v>47626</v>
      </c>
      <c r="B2138" t="s">
        <v>9551</v>
      </c>
      <c r="C2138" s="5" t="s">
        <v>9552</v>
      </c>
      <c r="D2138" t="s">
        <v>9553</v>
      </c>
      <c r="E2138" s="5" t="s">
        <v>1770</v>
      </c>
      <c r="F2138" s="6">
        <v>46113.305555555555</v>
      </c>
      <c r="G2138" s="5" t="s">
        <v>7456</v>
      </c>
      <c r="H2138" s="5" t="s">
        <v>12753</v>
      </c>
      <c r="I2138" s="5" t="s">
        <v>1564</v>
      </c>
      <c r="J2138" s="8">
        <v>245</v>
      </c>
      <c r="K2138" s="5" t="s">
        <v>4</v>
      </c>
      <c r="L2138">
        <f t="shared" si="33"/>
        <v>4</v>
      </c>
    </row>
    <row r="2139" spans="1:12" x14ac:dyDescent="0.25">
      <c r="A2139" s="5">
        <v>47627</v>
      </c>
      <c r="B2139" t="s">
        <v>12754</v>
      </c>
      <c r="C2139" s="5" t="s">
        <v>9328</v>
      </c>
      <c r="D2139" t="s">
        <v>12755</v>
      </c>
      <c r="E2139" s="5" t="s">
        <v>4832</v>
      </c>
      <c r="F2139" s="6">
        <v>46113.323611111111</v>
      </c>
      <c r="G2139" s="5" t="s">
        <v>7456</v>
      </c>
      <c r="H2139" s="5" t="s">
        <v>12756</v>
      </c>
      <c r="I2139" s="5" t="s">
        <v>1564</v>
      </c>
      <c r="J2139" s="8">
        <v>108.9</v>
      </c>
      <c r="K2139" s="5" t="s">
        <v>4</v>
      </c>
      <c r="L2139">
        <f t="shared" si="33"/>
        <v>4</v>
      </c>
    </row>
    <row r="2140" spans="1:12" x14ac:dyDescent="0.25">
      <c r="A2140" s="5">
        <v>47628</v>
      </c>
      <c r="B2140" t="s">
        <v>12681</v>
      </c>
      <c r="C2140" s="5" t="s">
        <v>12682</v>
      </c>
      <c r="D2140" t="s">
        <v>12683</v>
      </c>
      <c r="E2140" s="5" t="s">
        <v>2775</v>
      </c>
      <c r="F2140" s="6">
        <v>46113.341666666667</v>
      </c>
      <c r="G2140" s="5" t="s">
        <v>7456</v>
      </c>
      <c r="H2140" s="5" t="s">
        <v>12757</v>
      </c>
      <c r="I2140" s="5" t="s">
        <v>1564</v>
      </c>
      <c r="J2140" s="8">
        <v>500</v>
      </c>
      <c r="K2140" s="5" t="s">
        <v>4</v>
      </c>
      <c r="L2140">
        <f t="shared" si="33"/>
        <v>4</v>
      </c>
    </row>
    <row r="2141" spans="1:12" x14ac:dyDescent="0.25">
      <c r="A2141" s="5">
        <v>47629</v>
      </c>
      <c r="B2141" t="s">
        <v>12758</v>
      </c>
      <c r="C2141" s="5" t="s">
        <v>7516</v>
      </c>
      <c r="D2141" t="s">
        <v>12759</v>
      </c>
      <c r="E2141" s="5" t="s">
        <v>1532</v>
      </c>
      <c r="F2141" s="6">
        <v>46113.355555555558</v>
      </c>
      <c r="G2141" s="5" t="s">
        <v>7456</v>
      </c>
      <c r="H2141" s="5" t="s">
        <v>12760</v>
      </c>
      <c r="I2141" s="5" t="s">
        <v>1535</v>
      </c>
      <c r="J2141" s="8">
        <v>278</v>
      </c>
      <c r="K2141" s="5" t="s">
        <v>4</v>
      </c>
      <c r="L2141">
        <f t="shared" si="33"/>
        <v>4</v>
      </c>
    </row>
    <row r="2142" spans="1:12" x14ac:dyDescent="0.25">
      <c r="A2142" s="5">
        <v>47630</v>
      </c>
      <c r="B2142" t="s">
        <v>8965</v>
      </c>
      <c r="C2142" s="5" t="s">
        <v>9154</v>
      </c>
      <c r="D2142" t="s">
        <v>8966</v>
      </c>
      <c r="E2142" s="5" t="s">
        <v>3710</v>
      </c>
      <c r="F2142" s="6">
        <v>46113.394444444442</v>
      </c>
      <c r="G2142" s="5" t="s">
        <v>7456</v>
      </c>
      <c r="H2142" s="5" t="s">
        <v>12761</v>
      </c>
      <c r="I2142" s="5" t="s">
        <v>1535</v>
      </c>
      <c r="J2142" s="8">
        <v>299.85000000000002</v>
      </c>
      <c r="K2142" s="5" t="s">
        <v>4</v>
      </c>
      <c r="L2142">
        <f t="shared" si="33"/>
        <v>4</v>
      </c>
    </row>
    <row r="2143" spans="1:12" x14ac:dyDescent="0.25">
      <c r="A2143" s="5">
        <v>47631</v>
      </c>
      <c r="B2143" t="s">
        <v>11031</v>
      </c>
      <c r="C2143" s="5" t="s">
        <v>11032</v>
      </c>
      <c r="D2143" t="s">
        <v>11033</v>
      </c>
      <c r="E2143" s="5" t="s">
        <v>1813</v>
      </c>
      <c r="F2143" s="6">
        <v>46113.40347222222</v>
      </c>
      <c r="G2143" s="5" t="s">
        <v>7595</v>
      </c>
      <c r="H2143" t="s">
        <v>7482</v>
      </c>
      <c r="I2143" s="5" t="s">
        <v>1535</v>
      </c>
      <c r="J2143" s="8">
        <v>0</v>
      </c>
      <c r="K2143" s="5" t="s">
        <v>4</v>
      </c>
      <c r="L2143">
        <f t="shared" si="33"/>
        <v>4</v>
      </c>
    </row>
    <row r="2144" spans="1:12" x14ac:dyDescent="0.25">
      <c r="A2144" s="5">
        <v>47632</v>
      </c>
      <c r="B2144" t="s">
        <v>11031</v>
      </c>
      <c r="C2144" s="5" t="s">
        <v>11032</v>
      </c>
      <c r="D2144" t="s">
        <v>11033</v>
      </c>
      <c r="E2144" s="5" t="s">
        <v>1813</v>
      </c>
      <c r="F2144" s="6">
        <v>46113.40625</v>
      </c>
      <c r="G2144" s="5" t="s">
        <v>7456</v>
      </c>
      <c r="H2144" s="5" t="s">
        <v>12762</v>
      </c>
      <c r="I2144" s="5" t="s">
        <v>1621</v>
      </c>
      <c r="J2144" s="8">
        <v>0</v>
      </c>
      <c r="K2144" s="5" t="s">
        <v>4</v>
      </c>
      <c r="L2144">
        <f t="shared" si="33"/>
        <v>4</v>
      </c>
    </row>
    <row r="2145" spans="1:12" x14ac:dyDescent="0.25">
      <c r="A2145" s="5">
        <v>47633</v>
      </c>
      <c r="B2145" t="s">
        <v>12763</v>
      </c>
      <c r="C2145" s="5" t="s">
        <v>9492</v>
      </c>
      <c r="D2145" t="s">
        <v>12764</v>
      </c>
      <c r="E2145" s="5" t="s">
        <v>1759</v>
      </c>
      <c r="F2145" s="6">
        <v>46113.411111111112</v>
      </c>
      <c r="G2145" s="5" t="s">
        <v>7456</v>
      </c>
      <c r="H2145" s="5" t="s">
        <v>12765</v>
      </c>
      <c r="I2145" s="5" t="s">
        <v>1564</v>
      </c>
      <c r="J2145" s="8">
        <v>501.6</v>
      </c>
      <c r="K2145" s="5" t="s">
        <v>4</v>
      </c>
      <c r="L2145">
        <f t="shared" si="33"/>
        <v>4</v>
      </c>
    </row>
    <row r="2146" spans="1:12" x14ac:dyDescent="0.25">
      <c r="A2146" s="5">
        <v>47635</v>
      </c>
      <c r="B2146" t="s">
        <v>12766</v>
      </c>
      <c r="C2146" s="5" t="s">
        <v>12767</v>
      </c>
      <c r="D2146" t="s">
        <v>12768</v>
      </c>
      <c r="E2146" s="5" t="s">
        <v>1663</v>
      </c>
      <c r="F2146" s="6">
        <v>46113.455555555556</v>
      </c>
      <c r="G2146" s="5" t="s">
        <v>7672</v>
      </c>
      <c r="H2146" t="s">
        <v>8626</v>
      </c>
      <c r="I2146" s="5" t="s">
        <v>1564</v>
      </c>
      <c r="J2146" s="8">
        <v>10829</v>
      </c>
      <c r="K2146" s="5" t="s">
        <v>4</v>
      </c>
      <c r="L2146">
        <f t="shared" si="33"/>
        <v>4</v>
      </c>
    </row>
    <row r="2147" spans="1:12" x14ac:dyDescent="0.25">
      <c r="A2147" s="5">
        <v>47637</v>
      </c>
      <c r="B2147" t="s">
        <v>12769</v>
      </c>
      <c r="C2147" s="5" t="s">
        <v>7516</v>
      </c>
      <c r="D2147" t="s">
        <v>12770</v>
      </c>
      <c r="E2147" s="5" t="s">
        <v>1532</v>
      </c>
      <c r="F2147" s="6">
        <v>46113.47152777778</v>
      </c>
      <c r="G2147" s="5" t="s">
        <v>7595</v>
      </c>
      <c r="H2147" t="s">
        <v>7482</v>
      </c>
      <c r="I2147" s="5" t="s">
        <v>1535</v>
      </c>
      <c r="J2147" s="8">
        <v>138.6</v>
      </c>
      <c r="K2147" s="5" t="s">
        <v>4</v>
      </c>
      <c r="L2147">
        <f t="shared" si="33"/>
        <v>4</v>
      </c>
    </row>
    <row r="2148" spans="1:12" x14ac:dyDescent="0.25">
      <c r="A2148" s="5">
        <v>47638</v>
      </c>
      <c r="B2148" t="s">
        <v>12109</v>
      </c>
      <c r="C2148" s="5" t="s">
        <v>9012</v>
      </c>
      <c r="D2148" t="s">
        <v>12110</v>
      </c>
      <c r="E2148" s="5" t="s">
        <v>4149</v>
      </c>
      <c r="F2148" s="6">
        <v>46113.478472222225</v>
      </c>
      <c r="G2148" s="5" t="s">
        <v>7456</v>
      </c>
      <c r="H2148" s="5" t="s">
        <v>12771</v>
      </c>
      <c r="I2148" s="5" t="s">
        <v>1535</v>
      </c>
      <c r="J2148" s="8">
        <v>148</v>
      </c>
      <c r="K2148" s="5" t="s">
        <v>4</v>
      </c>
      <c r="L2148">
        <f t="shared" si="33"/>
        <v>4</v>
      </c>
    </row>
    <row r="2149" spans="1:12" x14ac:dyDescent="0.25">
      <c r="A2149" s="5">
        <v>47639</v>
      </c>
      <c r="B2149" t="s">
        <v>10853</v>
      </c>
      <c r="C2149" s="5" t="s">
        <v>10854</v>
      </c>
      <c r="D2149" t="s">
        <v>10855</v>
      </c>
      <c r="E2149" s="5" t="s">
        <v>5430</v>
      </c>
      <c r="F2149" s="6">
        <v>46113.524305555555</v>
      </c>
      <c r="G2149" s="5" t="s">
        <v>7456</v>
      </c>
      <c r="H2149" s="5" t="s">
        <v>12772</v>
      </c>
      <c r="I2149" s="5" t="s">
        <v>1564</v>
      </c>
      <c r="J2149" s="8">
        <v>129.6</v>
      </c>
      <c r="K2149" s="5" t="s">
        <v>4</v>
      </c>
      <c r="L2149">
        <f t="shared" si="33"/>
        <v>4</v>
      </c>
    </row>
    <row r="2150" spans="1:12" x14ac:dyDescent="0.25">
      <c r="A2150" s="5">
        <v>47640</v>
      </c>
      <c r="B2150" t="s">
        <v>12773</v>
      </c>
      <c r="C2150" s="5" t="s">
        <v>9862</v>
      </c>
      <c r="D2150" t="s">
        <v>12774</v>
      </c>
      <c r="E2150" s="5" t="s">
        <v>1532</v>
      </c>
      <c r="F2150" s="6">
        <v>46113.575694444444</v>
      </c>
      <c r="G2150" s="5" t="s">
        <v>7595</v>
      </c>
      <c r="H2150" t="s">
        <v>7482</v>
      </c>
      <c r="I2150" s="5" t="s">
        <v>1535</v>
      </c>
      <c r="J2150" s="8">
        <v>280</v>
      </c>
      <c r="K2150" s="5" t="s">
        <v>4</v>
      </c>
      <c r="L2150">
        <f t="shared" si="33"/>
        <v>4</v>
      </c>
    </row>
    <row r="2151" spans="1:12" x14ac:dyDescent="0.25">
      <c r="A2151" s="5">
        <v>47641</v>
      </c>
      <c r="B2151" t="s">
        <v>12775</v>
      </c>
      <c r="C2151" s="5" t="s">
        <v>12776</v>
      </c>
      <c r="D2151" t="s">
        <v>12777</v>
      </c>
      <c r="E2151" s="5" t="s">
        <v>1532</v>
      </c>
      <c r="F2151" s="6">
        <v>46113.591666666667</v>
      </c>
      <c r="G2151" s="5" t="s">
        <v>7456</v>
      </c>
      <c r="H2151" s="5" t="s">
        <v>12778</v>
      </c>
      <c r="I2151" s="5" t="s">
        <v>1535</v>
      </c>
      <c r="J2151" s="8">
        <v>722.8</v>
      </c>
      <c r="K2151" s="5" t="s">
        <v>4</v>
      </c>
      <c r="L2151">
        <f t="shared" si="33"/>
        <v>4</v>
      </c>
    </row>
    <row r="2152" spans="1:12" x14ac:dyDescent="0.25">
      <c r="A2152" s="5">
        <v>47642</v>
      </c>
      <c r="B2152" t="s">
        <v>11339</v>
      </c>
      <c r="C2152" s="5" t="s">
        <v>11340</v>
      </c>
      <c r="D2152" t="s">
        <v>11341</v>
      </c>
      <c r="E2152" s="5" t="s">
        <v>1759</v>
      </c>
      <c r="F2152" s="6">
        <v>46113.615277777775</v>
      </c>
      <c r="G2152" s="5" t="s">
        <v>7456</v>
      </c>
      <c r="H2152" s="5" t="s">
        <v>12779</v>
      </c>
      <c r="I2152" s="5" t="s">
        <v>1564</v>
      </c>
      <c r="J2152" s="8">
        <v>135</v>
      </c>
      <c r="K2152" s="5" t="s">
        <v>4</v>
      </c>
      <c r="L2152">
        <f t="shared" si="33"/>
        <v>4</v>
      </c>
    </row>
    <row r="2153" spans="1:12" x14ac:dyDescent="0.25">
      <c r="A2153" s="5">
        <v>47643</v>
      </c>
      <c r="B2153" t="s">
        <v>12780</v>
      </c>
      <c r="C2153" s="5" t="s">
        <v>627</v>
      </c>
      <c r="D2153" t="s">
        <v>12781</v>
      </c>
      <c r="E2153" s="5" t="s">
        <v>5969</v>
      </c>
      <c r="F2153" s="6">
        <v>46113.64166666667</v>
      </c>
      <c r="G2153" s="5" t="s">
        <v>7456</v>
      </c>
      <c r="H2153" s="5" t="s">
        <v>12782</v>
      </c>
      <c r="I2153" s="5" t="s">
        <v>1621</v>
      </c>
      <c r="J2153" s="8">
        <v>97.65</v>
      </c>
      <c r="K2153" s="5" t="s">
        <v>4</v>
      </c>
      <c r="L2153">
        <f t="shared" si="33"/>
        <v>4</v>
      </c>
    </row>
    <row r="2154" spans="1:12" x14ac:dyDescent="0.25">
      <c r="A2154" s="5">
        <v>47644</v>
      </c>
      <c r="B2154" t="s">
        <v>12783</v>
      </c>
      <c r="C2154" s="5" t="s">
        <v>12784</v>
      </c>
      <c r="D2154" t="s">
        <v>12785</v>
      </c>
      <c r="E2154" s="5" t="s">
        <v>6321</v>
      </c>
      <c r="F2154" s="6">
        <v>46113.651388888888</v>
      </c>
      <c r="G2154" s="5" t="s">
        <v>7456</v>
      </c>
      <c r="H2154" s="5" t="s">
        <v>12786</v>
      </c>
      <c r="I2154" s="5" t="s">
        <v>1621</v>
      </c>
      <c r="J2154" s="8">
        <v>73.17</v>
      </c>
      <c r="K2154" s="5" t="s">
        <v>4</v>
      </c>
      <c r="L2154">
        <f t="shared" si="33"/>
        <v>4</v>
      </c>
    </row>
    <row r="2155" spans="1:12" x14ac:dyDescent="0.25">
      <c r="A2155" s="5">
        <v>47645</v>
      </c>
      <c r="B2155" t="s">
        <v>12787</v>
      </c>
      <c r="C2155" s="5" t="s">
        <v>12788</v>
      </c>
      <c r="D2155" t="s">
        <v>12789</v>
      </c>
      <c r="E2155" s="5" t="s">
        <v>1738</v>
      </c>
      <c r="F2155" s="6">
        <v>46113.654166666667</v>
      </c>
      <c r="G2155" s="5" t="s">
        <v>7456</v>
      </c>
      <c r="H2155" s="5" t="s">
        <v>12790</v>
      </c>
      <c r="I2155" s="5" t="s">
        <v>1564</v>
      </c>
      <c r="J2155" s="8">
        <v>600</v>
      </c>
      <c r="K2155" s="5" t="s">
        <v>4</v>
      </c>
      <c r="L2155">
        <f t="shared" si="33"/>
        <v>4</v>
      </c>
    </row>
    <row r="2156" spans="1:12" x14ac:dyDescent="0.25">
      <c r="A2156" s="5">
        <v>47646</v>
      </c>
      <c r="B2156" t="s">
        <v>12791</v>
      </c>
      <c r="C2156" s="5" t="s">
        <v>633</v>
      </c>
      <c r="D2156" t="s">
        <v>12792</v>
      </c>
      <c r="E2156" s="5" t="s">
        <v>3248</v>
      </c>
      <c r="F2156" s="6">
        <v>46113.655555555553</v>
      </c>
      <c r="G2156" s="5" t="s">
        <v>7456</v>
      </c>
      <c r="H2156" s="5" t="s">
        <v>12793</v>
      </c>
      <c r="I2156" s="5" t="s">
        <v>1621</v>
      </c>
      <c r="J2156" s="8">
        <v>381.96</v>
      </c>
      <c r="K2156" s="5" t="s">
        <v>4</v>
      </c>
      <c r="L2156">
        <f t="shared" si="33"/>
        <v>4</v>
      </c>
    </row>
    <row r="2157" spans="1:12" x14ac:dyDescent="0.25">
      <c r="A2157" s="5">
        <v>47647</v>
      </c>
      <c r="B2157" t="s">
        <v>12794</v>
      </c>
      <c r="C2157" s="5" t="s">
        <v>877</v>
      </c>
      <c r="D2157" t="s">
        <v>12795</v>
      </c>
      <c r="E2157" s="5" t="s">
        <v>6681</v>
      </c>
      <c r="F2157" s="6">
        <v>46113.661805555559</v>
      </c>
      <c r="G2157" s="5" t="s">
        <v>7456</v>
      </c>
      <c r="H2157" s="5" t="s">
        <v>12796</v>
      </c>
      <c r="I2157" s="5" t="s">
        <v>1621</v>
      </c>
      <c r="J2157" s="8">
        <v>52.49</v>
      </c>
      <c r="K2157" s="5" t="s">
        <v>4</v>
      </c>
      <c r="L2157">
        <f t="shared" si="33"/>
        <v>4</v>
      </c>
    </row>
    <row r="2158" spans="1:12" x14ac:dyDescent="0.25">
      <c r="A2158" s="5">
        <v>47649</v>
      </c>
      <c r="B2158" t="s">
        <v>8695</v>
      </c>
      <c r="C2158" s="5" t="s">
        <v>12148</v>
      </c>
      <c r="D2158" t="s">
        <v>8696</v>
      </c>
      <c r="E2158" s="5" t="s">
        <v>1738</v>
      </c>
      <c r="F2158" s="6">
        <v>46113.668055555558</v>
      </c>
      <c r="G2158" s="5" t="s">
        <v>7456</v>
      </c>
      <c r="H2158" s="5" t="s">
        <v>12797</v>
      </c>
      <c r="I2158" s="5" t="s">
        <v>1564</v>
      </c>
      <c r="J2158" s="8">
        <v>70</v>
      </c>
      <c r="K2158" s="5" t="s">
        <v>4</v>
      </c>
      <c r="L2158">
        <f t="shared" si="33"/>
        <v>4</v>
      </c>
    </row>
    <row r="2159" spans="1:12" x14ac:dyDescent="0.25">
      <c r="A2159" s="5">
        <v>47653</v>
      </c>
      <c r="B2159" t="s">
        <v>12798</v>
      </c>
      <c r="C2159" s="5" t="s">
        <v>12799</v>
      </c>
      <c r="D2159" t="s">
        <v>12800</v>
      </c>
      <c r="E2159" s="5" t="s">
        <v>2074</v>
      </c>
      <c r="F2159" s="6">
        <v>46113.696527777778</v>
      </c>
      <c r="G2159" s="5" t="s">
        <v>7456</v>
      </c>
      <c r="H2159" s="5" t="s">
        <v>12801</v>
      </c>
      <c r="I2159" s="5" t="s">
        <v>1564</v>
      </c>
      <c r="J2159" s="8">
        <v>180</v>
      </c>
      <c r="K2159" s="5" t="s">
        <v>4</v>
      </c>
      <c r="L2159">
        <f t="shared" si="33"/>
        <v>4</v>
      </c>
    </row>
    <row r="2160" spans="1:12" x14ac:dyDescent="0.25">
      <c r="A2160" s="5">
        <v>47654</v>
      </c>
      <c r="B2160" t="s">
        <v>12422</v>
      </c>
      <c r="C2160" s="5" t="s">
        <v>12423</v>
      </c>
      <c r="D2160" t="s">
        <v>12424</v>
      </c>
      <c r="E2160" s="5" t="s">
        <v>4942</v>
      </c>
      <c r="F2160" s="6">
        <v>46113.730555555558</v>
      </c>
      <c r="G2160" s="5" t="s">
        <v>7456</v>
      </c>
      <c r="H2160" s="5" t="s">
        <v>12802</v>
      </c>
      <c r="I2160" s="5" t="s">
        <v>1564</v>
      </c>
      <c r="J2160" s="8">
        <v>156</v>
      </c>
      <c r="K2160" s="5" t="s">
        <v>4</v>
      </c>
      <c r="L2160">
        <f t="shared" si="33"/>
        <v>4</v>
      </c>
    </row>
    <row r="2161" spans="1:12" x14ac:dyDescent="0.25">
      <c r="A2161" s="5">
        <v>47655</v>
      </c>
      <c r="B2161" t="s">
        <v>8965</v>
      </c>
      <c r="C2161" s="5" t="s">
        <v>9154</v>
      </c>
      <c r="D2161" t="s">
        <v>8966</v>
      </c>
      <c r="E2161" s="5" t="s">
        <v>1532</v>
      </c>
      <c r="F2161" s="6">
        <v>46114.393055555556</v>
      </c>
      <c r="G2161" s="5" t="s">
        <v>7595</v>
      </c>
      <c r="H2161" t="s">
        <v>7482</v>
      </c>
      <c r="I2161" s="5" t="s">
        <v>1535</v>
      </c>
      <c r="J2161" s="8">
        <v>1245</v>
      </c>
      <c r="K2161" s="5" t="s">
        <v>4</v>
      </c>
      <c r="L2161">
        <f t="shared" si="33"/>
        <v>4</v>
      </c>
    </row>
    <row r="2162" spans="1:12" x14ac:dyDescent="0.25">
      <c r="A2162" s="5">
        <v>47656</v>
      </c>
      <c r="B2162" t="s">
        <v>11968</v>
      </c>
      <c r="C2162" s="5" t="s">
        <v>11969</v>
      </c>
      <c r="D2162" t="s">
        <v>11970</v>
      </c>
      <c r="E2162" s="5" t="s">
        <v>1770</v>
      </c>
      <c r="F2162" s="6">
        <v>46114.400694444441</v>
      </c>
      <c r="G2162" s="5" t="s">
        <v>7456</v>
      </c>
      <c r="H2162" s="5" t="s">
        <v>12803</v>
      </c>
      <c r="I2162" s="5" t="s">
        <v>1564</v>
      </c>
      <c r="J2162" s="8">
        <v>192.5</v>
      </c>
      <c r="K2162" s="5" t="s">
        <v>4</v>
      </c>
      <c r="L2162">
        <f t="shared" si="33"/>
        <v>4</v>
      </c>
    </row>
    <row r="2163" spans="1:12" x14ac:dyDescent="0.25">
      <c r="A2163" s="5">
        <v>47657</v>
      </c>
      <c r="B2163" t="s">
        <v>8965</v>
      </c>
      <c r="C2163" s="5" t="s">
        <v>9154</v>
      </c>
      <c r="D2163" t="s">
        <v>8966</v>
      </c>
      <c r="E2163" s="5" t="s">
        <v>1532</v>
      </c>
      <c r="F2163" s="6">
        <v>46114.408333333333</v>
      </c>
      <c r="G2163" s="5" t="s">
        <v>7595</v>
      </c>
      <c r="H2163" t="s">
        <v>7482</v>
      </c>
      <c r="I2163" s="5" t="s">
        <v>1535</v>
      </c>
      <c r="J2163" s="8">
        <v>8240</v>
      </c>
      <c r="K2163" s="5" t="s">
        <v>4</v>
      </c>
      <c r="L2163">
        <f t="shared" si="33"/>
        <v>4</v>
      </c>
    </row>
    <row r="2164" spans="1:12" x14ac:dyDescent="0.25">
      <c r="A2164" s="5">
        <v>47658</v>
      </c>
      <c r="B2164" t="s">
        <v>8965</v>
      </c>
      <c r="C2164" s="5" t="s">
        <v>9154</v>
      </c>
      <c r="D2164" t="s">
        <v>8966</v>
      </c>
      <c r="E2164" s="5" t="s">
        <v>1532</v>
      </c>
      <c r="F2164" s="6">
        <v>46114.413888888892</v>
      </c>
      <c r="G2164" s="5" t="s">
        <v>7595</v>
      </c>
      <c r="H2164" t="s">
        <v>7482</v>
      </c>
      <c r="I2164" s="5" t="s">
        <v>1535</v>
      </c>
      <c r="J2164" s="8">
        <v>2484.6</v>
      </c>
      <c r="K2164" s="5" t="s">
        <v>4</v>
      </c>
      <c r="L2164">
        <f t="shared" si="33"/>
        <v>4</v>
      </c>
    </row>
    <row r="2165" spans="1:12" x14ac:dyDescent="0.25">
      <c r="A2165" s="5">
        <v>47659</v>
      </c>
      <c r="B2165" t="s">
        <v>8965</v>
      </c>
      <c r="C2165" s="5" t="s">
        <v>9154</v>
      </c>
      <c r="D2165" t="s">
        <v>8966</v>
      </c>
      <c r="E2165" s="5" t="s">
        <v>1532</v>
      </c>
      <c r="F2165" s="6">
        <v>46114.42083333333</v>
      </c>
      <c r="G2165" s="5" t="s">
        <v>7595</v>
      </c>
      <c r="H2165" t="s">
        <v>7482</v>
      </c>
      <c r="I2165" s="5" t="s">
        <v>1535</v>
      </c>
      <c r="J2165" s="8">
        <v>95141.4</v>
      </c>
      <c r="K2165" s="5" t="s">
        <v>4</v>
      </c>
      <c r="L2165">
        <f t="shared" si="33"/>
        <v>4</v>
      </c>
    </row>
    <row r="2166" spans="1:12" x14ac:dyDescent="0.25">
      <c r="A2166" s="5">
        <v>47660</v>
      </c>
      <c r="B2166" t="s">
        <v>10039</v>
      </c>
      <c r="C2166" s="5" t="s">
        <v>10040</v>
      </c>
      <c r="D2166" t="s">
        <v>10041</v>
      </c>
      <c r="E2166" s="5" t="s">
        <v>12804</v>
      </c>
      <c r="F2166" s="6">
        <v>46114.46597222222</v>
      </c>
      <c r="G2166" s="5" t="s">
        <v>7456</v>
      </c>
      <c r="H2166" t="s">
        <v>8626</v>
      </c>
      <c r="I2166" s="5" t="s">
        <v>1564</v>
      </c>
      <c r="J2166" s="8">
        <v>1611.4</v>
      </c>
      <c r="K2166" s="5" t="s">
        <v>4</v>
      </c>
      <c r="L2166">
        <f t="shared" si="33"/>
        <v>4</v>
      </c>
    </row>
    <row r="2167" spans="1:12" x14ac:dyDescent="0.25">
      <c r="A2167" s="5">
        <v>47661</v>
      </c>
      <c r="B2167" t="s">
        <v>12805</v>
      </c>
      <c r="C2167" s="5" t="s">
        <v>12806</v>
      </c>
      <c r="D2167" t="s">
        <v>12807</v>
      </c>
      <c r="E2167" s="5" t="s">
        <v>3707</v>
      </c>
      <c r="F2167" s="6">
        <v>46114.489583333336</v>
      </c>
      <c r="G2167" s="5" t="s">
        <v>7456</v>
      </c>
      <c r="H2167" s="5" t="s">
        <v>12808</v>
      </c>
      <c r="I2167" s="5" t="s">
        <v>1564</v>
      </c>
      <c r="J2167" s="8">
        <v>300</v>
      </c>
      <c r="K2167" s="5" t="s">
        <v>4</v>
      </c>
      <c r="L2167">
        <f t="shared" si="33"/>
        <v>4</v>
      </c>
    </row>
    <row r="2168" spans="1:12" x14ac:dyDescent="0.25">
      <c r="A2168" s="5">
        <v>47662</v>
      </c>
      <c r="B2168" t="s">
        <v>11297</v>
      </c>
      <c r="C2168" s="5" t="s">
        <v>12809</v>
      </c>
      <c r="D2168" t="s">
        <v>11299</v>
      </c>
      <c r="E2168" s="5" t="s">
        <v>1663</v>
      </c>
      <c r="F2168" s="6">
        <v>46114.498611111114</v>
      </c>
      <c r="G2168" s="5" t="s">
        <v>7672</v>
      </c>
      <c r="H2168" t="s">
        <v>8626</v>
      </c>
      <c r="I2168" s="5" t="s">
        <v>1564</v>
      </c>
      <c r="J2168" s="8">
        <v>450</v>
      </c>
      <c r="K2168" s="5" t="s">
        <v>4</v>
      </c>
      <c r="L2168">
        <f t="shared" si="33"/>
        <v>4</v>
      </c>
    </row>
    <row r="2169" spans="1:12" x14ac:dyDescent="0.25">
      <c r="A2169" s="5">
        <v>47663</v>
      </c>
      <c r="B2169" t="s">
        <v>12810</v>
      </c>
      <c r="C2169" s="5" t="s">
        <v>1096</v>
      </c>
      <c r="D2169" t="s">
        <v>12355</v>
      </c>
      <c r="E2169" s="5" t="s">
        <v>6741</v>
      </c>
      <c r="F2169" s="6">
        <v>46114.615972222222</v>
      </c>
      <c r="G2169" s="5" t="s">
        <v>7456</v>
      </c>
      <c r="H2169" s="5" t="s">
        <v>12811</v>
      </c>
      <c r="I2169" s="5" t="s">
        <v>1621</v>
      </c>
      <c r="J2169" s="8">
        <v>49.85</v>
      </c>
      <c r="K2169" s="5" t="s">
        <v>4</v>
      </c>
      <c r="L2169">
        <f t="shared" si="33"/>
        <v>4</v>
      </c>
    </row>
    <row r="2170" spans="1:12" x14ac:dyDescent="0.25">
      <c r="A2170" s="5">
        <v>47665</v>
      </c>
      <c r="B2170" t="s">
        <v>12812</v>
      </c>
      <c r="C2170" s="5" t="s">
        <v>12813</v>
      </c>
      <c r="D2170" t="s">
        <v>12814</v>
      </c>
      <c r="E2170" s="5" t="s">
        <v>2740</v>
      </c>
      <c r="F2170" s="6">
        <v>46114.635416666664</v>
      </c>
      <c r="G2170" s="5" t="s">
        <v>7456</v>
      </c>
      <c r="H2170" s="5" t="s">
        <v>12815</v>
      </c>
      <c r="I2170" s="5" t="s">
        <v>1564</v>
      </c>
      <c r="J2170" s="8">
        <v>232.65</v>
      </c>
      <c r="K2170" s="5" t="s">
        <v>4</v>
      </c>
      <c r="L2170">
        <f t="shared" si="33"/>
        <v>4</v>
      </c>
    </row>
    <row r="2171" spans="1:12" x14ac:dyDescent="0.25">
      <c r="A2171" s="5">
        <v>47666</v>
      </c>
      <c r="B2171" t="s">
        <v>12816</v>
      </c>
      <c r="C2171" s="5" t="s">
        <v>12817</v>
      </c>
      <c r="D2171" t="s">
        <v>12818</v>
      </c>
      <c r="E2171" s="5" t="s">
        <v>1738</v>
      </c>
      <c r="F2171" s="6">
        <v>46114.643055555556</v>
      </c>
      <c r="G2171" s="5" t="s">
        <v>7456</v>
      </c>
      <c r="H2171" s="5" t="s">
        <v>12819</v>
      </c>
      <c r="I2171" s="5" t="s">
        <v>1564</v>
      </c>
      <c r="J2171" s="8">
        <v>333</v>
      </c>
      <c r="K2171" s="5" t="s">
        <v>4</v>
      </c>
      <c r="L2171">
        <f t="shared" si="33"/>
        <v>4</v>
      </c>
    </row>
    <row r="2172" spans="1:12" x14ac:dyDescent="0.25">
      <c r="A2172" s="5">
        <v>47667</v>
      </c>
      <c r="B2172" t="s">
        <v>12820</v>
      </c>
      <c r="C2172" s="5" t="s">
        <v>12821</v>
      </c>
      <c r="D2172" t="s">
        <v>12822</v>
      </c>
      <c r="E2172" s="5" t="s">
        <v>5373</v>
      </c>
      <c r="F2172" s="6">
        <v>46114.643750000003</v>
      </c>
      <c r="G2172" s="5" t="s">
        <v>7456</v>
      </c>
      <c r="H2172" s="5" t="s">
        <v>12823</v>
      </c>
      <c r="I2172" s="5" t="s">
        <v>1621</v>
      </c>
      <c r="J2172" s="8">
        <v>132.81</v>
      </c>
      <c r="K2172" s="5" t="s">
        <v>4</v>
      </c>
      <c r="L2172">
        <f t="shared" si="33"/>
        <v>4</v>
      </c>
    </row>
    <row r="2173" spans="1:12" x14ac:dyDescent="0.25">
      <c r="A2173" s="5">
        <v>47668</v>
      </c>
      <c r="B2173" t="s">
        <v>12824</v>
      </c>
      <c r="C2173" s="5" t="s">
        <v>1123</v>
      </c>
      <c r="D2173" t="s">
        <v>12825</v>
      </c>
      <c r="E2173" s="5" t="s">
        <v>7283</v>
      </c>
      <c r="F2173" s="6">
        <v>46114.655555555553</v>
      </c>
      <c r="G2173" s="5" t="s">
        <v>7456</v>
      </c>
      <c r="H2173" s="5" t="s">
        <v>12826</v>
      </c>
      <c r="I2173" s="5" t="s">
        <v>1621</v>
      </c>
      <c r="J2173" s="8">
        <v>19.14</v>
      </c>
      <c r="K2173" s="5" t="s">
        <v>4</v>
      </c>
      <c r="L2173">
        <f t="shared" si="33"/>
        <v>4</v>
      </c>
    </row>
    <row r="2174" spans="1:12" x14ac:dyDescent="0.25">
      <c r="A2174" s="5">
        <v>47670</v>
      </c>
      <c r="B2174" t="s">
        <v>12827</v>
      </c>
      <c r="C2174" s="5" t="s">
        <v>568</v>
      </c>
      <c r="D2174" t="s">
        <v>12828</v>
      </c>
      <c r="E2174" s="5" t="s">
        <v>6479</v>
      </c>
      <c r="F2174" s="6">
        <v>46114.659722222219</v>
      </c>
      <c r="G2174" s="5" t="s">
        <v>7456</v>
      </c>
      <c r="H2174" s="5" t="s">
        <v>12829</v>
      </c>
      <c r="I2174" s="5" t="s">
        <v>1621</v>
      </c>
      <c r="J2174" s="8">
        <v>63.68</v>
      </c>
      <c r="K2174" s="5" t="s">
        <v>4</v>
      </c>
      <c r="L2174">
        <f t="shared" si="33"/>
        <v>4</v>
      </c>
    </row>
    <row r="2175" spans="1:12" x14ac:dyDescent="0.25">
      <c r="A2175" s="5">
        <v>47671</v>
      </c>
      <c r="B2175" t="s">
        <v>12830</v>
      </c>
      <c r="C2175" s="5" t="s">
        <v>396</v>
      </c>
      <c r="D2175" t="s">
        <v>12831</v>
      </c>
      <c r="E2175" s="5" t="s">
        <v>5161</v>
      </c>
      <c r="F2175" s="6">
        <v>46114.67083333333</v>
      </c>
      <c r="G2175" s="5" t="s">
        <v>7456</v>
      </c>
      <c r="H2175" s="5" t="s">
        <v>12832</v>
      </c>
      <c r="I2175" s="5" t="s">
        <v>1621</v>
      </c>
      <c r="J2175" s="8">
        <v>141.99</v>
      </c>
      <c r="K2175" s="5" t="s">
        <v>4</v>
      </c>
      <c r="L2175">
        <f t="shared" si="33"/>
        <v>4</v>
      </c>
    </row>
    <row r="2176" spans="1:12" x14ac:dyDescent="0.25">
      <c r="A2176" s="5">
        <v>47672</v>
      </c>
      <c r="B2176" t="s">
        <v>12833</v>
      </c>
      <c r="C2176" s="5" t="s">
        <v>1113</v>
      </c>
      <c r="D2176" t="s">
        <v>12834</v>
      </c>
      <c r="E2176" s="5" t="s">
        <v>6929</v>
      </c>
      <c r="F2176" s="6">
        <v>46114.678472222222</v>
      </c>
      <c r="G2176" s="5" t="s">
        <v>7456</v>
      </c>
      <c r="H2176" s="5" t="s">
        <v>12835</v>
      </c>
      <c r="I2176" s="5" t="s">
        <v>1621</v>
      </c>
      <c r="J2176" s="8">
        <v>38.619999999999997</v>
      </c>
      <c r="K2176" s="5" t="s">
        <v>4</v>
      </c>
      <c r="L2176">
        <f t="shared" si="33"/>
        <v>4</v>
      </c>
    </row>
    <row r="2177" spans="1:12" x14ac:dyDescent="0.25">
      <c r="A2177" s="5">
        <v>47673</v>
      </c>
      <c r="B2177" t="s">
        <v>12836</v>
      </c>
      <c r="C2177" s="5" t="s">
        <v>12837</v>
      </c>
      <c r="D2177" t="s">
        <v>12838</v>
      </c>
      <c r="E2177" s="5" t="s">
        <v>5500</v>
      </c>
      <c r="F2177" s="6">
        <v>46114.682638888888</v>
      </c>
      <c r="G2177" s="5" t="s">
        <v>7456</v>
      </c>
      <c r="H2177" s="5" t="s">
        <v>12839</v>
      </c>
      <c r="I2177" s="5" t="s">
        <v>1621</v>
      </c>
      <c r="J2177" s="8">
        <v>122.13</v>
      </c>
      <c r="K2177" s="5" t="s">
        <v>4</v>
      </c>
      <c r="L2177">
        <f t="shared" si="33"/>
        <v>4</v>
      </c>
    </row>
    <row r="2178" spans="1:12" x14ac:dyDescent="0.25">
      <c r="A2178" s="5">
        <v>47674</v>
      </c>
      <c r="B2178" t="s">
        <v>12840</v>
      </c>
      <c r="C2178" s="5" t="s">
        <v>12841</v>
      </c>
      <c r="D2178" t="s">
        <v>12842</v>
      </c>
      <c r="E2178" s="5" t="s">
        <v>5530</v>
      </c>
      <c r="F2178" s="6">
        <v>46114.69027777778</v>
      </c>
      <c r="G2178" s="5" t="s">
        <v>7456</v>
      </c>
      <c r="H2178" s="5" t="s">
        <v>12843</v>
      </c>
      <c r="I2178" s="5" t="s">
        <v>1564</v>
      </c>
      <c r="J2178" s="8">
        <v>120</v>
      </c>
      <c r="K2178" s="5" t="s">
        <v>4</v>
      </c>
      <c r="L2178">
        <f t="shared" si="33"/>
        <v>4</v>
      </c>
    </row>
    <row r="2179" spans="1:12" x14ac:dyDescent="0.25">
      <c r="A2179" s="5">
        <v>47675</v>
      </c>
      <c r="B2179" t="s">
        <v>12844</v>
      </c>
      <c r="C2179" s="5" t="s">
        <v>12845</v>
      </c>
      <c r="D2179" t="s">
        <v>12846</v>
      </c>
      <c r="E2179" s="5" t="s">
        <v>3801</v>
      </c>
      <c r="F2179" s="6">
        <v>46114.693749999999</v>
      </c>
      <c r="G2179" s="5" t="s">
        <v>7456</v>
      </c>
      <c r="H2179" s="5" t="s">
        <v>12847</v>
      </c>
      <c r="I2179" s="5" t="s">
        <v>1621</v>
      </c>
      <c r="J2179" s="8">
        <v>284.7</v>
      </c>
      <c r="K2179" s="5" t="s">
        <v>4</v>
      </c>
      <c r="L2179">
        <f t="shared" ref="L2179:L2242" si="34">MONTH(F2179)</f>
        <v>4</v>
      </c>
    </row>
    <row r="2180" spans="1:12" x14ac:dyDescent="0.25">
      <c r="A2180" s="5">
        <v>47684</v>
      </c>
      <c r="B2180" t="s">
        <v>11374</v>
      </c>
      <c r="C2180" s="5" t="s">
        <v>11375</v>
      </c>
      <c r="D2180" t="s">
        <v>11376</v>
      </c>
      <c r="E2180" s="5" t="s">
        <v>3077</v>
      </c>
      <c r="F2180" s="6">
        <v>46114.725694444445</v>
      </c>
      <c r="G2180" s="5" t="s">
        <v>7456</v>
      </c>
      <c r="H2180" s="5" t="s">
        <v>12848</v>
      </c>
      <c r="I2180" s="5" t="s">
        <v>1564</v>
      </c>
      <c r="J2180" s="8">
        <v>102.14</v>
      </c>
      <c r="K2180" s="5" t="s">
        <v>4</v>
      </c>
      <c r="L2180">
        <f t="shared" si="34"/>
        <v>4</v>
      </c>
    </row>
    <row r="2181" spans="1:12" x14ac:dyDescent="0.25">
      <c r="A2181" s="5">
        <v>47685</v>
      </c>
      <c r="B2181" t="s">
        <v>12849</v>
      </c>
      <c r="C2181" s="5" t="s">
        <v>218</v>
      </c>
      <c r="D2181" t="s">
        <v>12850</v>
      </c>
      <c r="E2181" s="5" t="s">
        <v>5361</v>
      </c>
      <c r="F2181" s="6">
        <v>46118.317361111112</v>
      </c>
      <c r="G2181" s="5" t="s">
        <v>7456</v>
      </c>
      <c r="H2181" s="5" t="s">
        <v>12851</v>
      </c>
      <c r="I2181" s="5" t="s">
        <v>1564</v>
      </c>
      <c r="J2181" s="8">
        <v>133.27000000000001</v>
      </c>
      <c r="K2181" s="5" t="s">
        <v>4</v>
      </c>
      <c r="L2181">
        <f t="shared" si="34"/>
        <v>4</v>
      </c>
    </row>
    <row r="2182" spans="1:12" x14ac:dyDescent="0.25">
      <c r="A2182" s="5">
        <v>47686</v>
      </c>
      <c r="B2182" t="s">
        <v>12852</v>
      </c>
      <c r="C2182" s="5" t="s">
        <v>1245</v>
      </c>
      <c r="D2182" t="s">
        <v>12853</v>
      </c>
      <c r="E2182" s="5" t="s">
        <v>1738</v>
      </c>
      <c r="F2182" s="6">
        <v>46118.37222222222</v>
      </c>
      <c r="G2182" s="5" t="s">
        <v>7456</v>
      </c>
      <c r="H2182" s="5" t="s">
        <v>12854</v>
      </c>
      <c r="I2182" s="5" t="s">
        <v>1564</v>
      </c>
      <c r="J2182" s="8">
        <v>215.25</v>
      </c>
      <c r="K2182" s="5" t="s">
        <v>4</v>
      </c>
      <c r="L2182">
        <f t="shared" si="34"/>
        <v>4</v>
      </c>
    </row>
    <row r="2183" spans="1:12" x14ac:dyDescent="0.25">
      <c r="A2183" s="5">
        <v>47687</v>
      </c>
      <c r="B2183" t="s">
        <v>9685</v>
      </c>
      <c r="C2183" s="5" t="s">
        <v>12855</v>
      </c>
      <c r="D2183" t="s">
        <v>9687</v>
      </c>
      <c r="E2183" s="5" t="s">
        <v>4976</v>
      </c>
      <c r="F2183" s="6">
        <v>46118.385416666664</v>
      </c>
      <c r="G2183" s="5" t="s">
        <v>7456</v>
      </c>
      <c r="H2183" s="5" t="s">
        <v>12856</v>
      </c>
      <c r="I2183" s="5" t="s">
        <v>1564</v>
      </c>
      <c r="J2183" s="8">
        <v>155</v>
      </c>
      <c r="K2183" s="5" t="s">
        <v>4</v>
      </c>
      <c r="L2183">
        <f t="shared" si="34"/>
        <v>4</v>
      </c>
    </row>
    <row r="2184" spans="1:12" x14ac:dyDescent="0.25">
      <c r="A2184" s="5">
        <v>47688</v>
      </c>
      <c r="B2184" t="s">
        <v>12857</v>
      </c>
      <c r="C2184" s="5" t="s">
        <v>7516</v>
      </c>
      <c r="D2184" t="s">
        <v>12858</v>
      </c>
      <c r="E2184" s="5" t="s">
        <v>1813</v>
      </c>
      <c r="F2184" s="6">
        <v>46118.398611111108</v>
      </c>
      <c r="G2184" s="5" t="s">
        <v>7595</v>
      </c>
      <c r="H2184" t="s">
        <v>7482</v>
      </c>
      <c r="I2184" s="5" t="s">
        <v>1535</v>
      </c>
      <c r="J2184" s="8">
        <v>2207.5</v>
      </c>
      <c r="K2184" s="5" t="s">
        <v>4</v>
      </c>
      <c r="L2184">
        <f t="shared" si="34"/>
        <v>4</v>
      </c>
    </row>
    <row r="2185" spans="1:12" x14ac:dyDescent="0.25">
      <c r="A2185" s="5">
        <v>47689</v>
      </c>
      <c r="B2185" t="s">
        <v>12857</v>
      </c>
      <c r="C2185" s="5" t="s">
        <v>7516</v>
      </c>
      <c r="D2185" t="s">
        <v>12858</v>
      </c>
      <c r="E2185" s="5" t="s">
        <v>1813</v>
      </c>
      <c r="F2185" s="6">
        <v>46118.405555555553</v>
      </c>
      <c r="G2185" s="5" t="s">
        <v>7595</v>
      </c>
      <c r="H2185" t="s">
        <v>7482</v>
      </c>
      <c r="I2185" s="5" t="s">
        <v>1535</v>
      </c>
      <c r="J2185" s="8">
        <v>1280</v>
      </c>
      <c r="K2185" s="5" t="s">
        <v>4</v>
      </c>
      <c r="L2185">
        <f t="shared" si="34"/>
        <v>4</v>
      </c>
    </row>
    <row r="2186" spans="1:12" x14ac:dyDescent="0.25">
      <c r="A2186" s="5">
        <v>47690</v>
      </c>
      <c r="B2186" t="s">
        <v>12859</v>
      </c>
      <c r="C2186" s="5" t="s">
        <v>12860</v>
      </c>
      <c r="D2186" t="s">
        <v>12861</v>
      </c>
      <c r="E2186" s="5" t="s">
        <v>5536</v>
      </c>
      <c r="F2186" s="6">
        <v>46118.411111111112</v>
      </c>
      <c r="G2186" s="5" t="s">
        <v>7456</v>
      </c>
      <c r="H2186" s="5" t="s">
        <v>12862</v>
      </c>
      <c r="I2186" s="5" t="s">
        <v>1535</v>
      </c>
      <c r="J2186" s="8">
        <v>119.8</v>
      </c>
      <c r="K2186" s="5" t="s">
        <v>4</v>
      </c>
      <c r="L2186">
        <f t="shared" si="34"/>
        <v>4</v>
      </c>
    </row>
    <row r="2187" spans="1:12" x14ac:dyDescent="0.25">
      <c r="A2187" s="5">
        <v>47691</v>
      </c>
      <c r="B2187" t="s">
        <v>12863</v>
      </c>
      <c r="C2187" s="5" t="s">
        <v>12864</v>
      </c>
      <c r="D2187" t="s">
        <v>12865</v>
      </c>
      <c r="E2187" s="5" t="s">
        <v>3022</v>
      </c>
      <c r="F2187" s="6">
        <v>46118.42083333333</v>
      </c>
      <c r="G2187" s="5" t="s">
        <v>7595</v>
      </c>
      <c r="H2187" t="s">
        <v>7482</v>
      </c>
      <c r="I2187" s="5" t="s">
        <v>1535</v>
      </c>
      <c r="J2187" s="8">
        <v>113</v>
      </c>
      <c r="K2187" s="5" t="s">
        <v>4</v>
      </c>
      <c r="L2187">
        <f t="shared" si="34"/>
        <v>4</v>
      </c>
    </row>
    <row r="2188" spans="1:12" x14ac:dyDescent="0.25">
      <c r="A2188" s="5">
        <v>47692</v>
      </c>
      <c r="B2188" t="s">
        <v>12866</v>
      </c>
      <c r="C2188" s="5" t="s">
        <v>11075</v>
      </c>
      <c r="D2188" t="s">
        <v>12867</v>
      </c>
      <c r="E2188" s="5" t="s">
        <v>1532</v>
      </c>
      <c r="F2188" s="6">
        <v>46118.425694444442</v>
      </c>
      <c r="G2188" s="5" t="s">
        <v>7456</v>
      </c>
      <c r="H2188" s="5" t="s">
        <v>12868</v>
      </c>
      <c r="I2188" s="5" t="s">
        <v>1535</v>
      </c>
      <c r="J2188" s="8">
        <v>138</v>
      </c>
      <c r="K2188" s="5" t="s">
        <v>4</v>
      </c>
      <c r="L2188">
        <f t="shared" si="34"/>
        <v>4</v>
      </c>
    </row>
    <row r="2189" spans="1:12" x14ac:dyDescent="0.25">
      <c r="A2189" s="5">
        <v>47694</v>
      </c>
      <c r="B2189" t="s">
        <v>12869</v>
      </c>
      <c r="C2189" s="5" t="s">
        <v>12870</v>
      </c>
      <c r="D2189" t="s">
        <v>12871</v>
      </c>
      <c r="E2189" s="5" t="s">
        <v>2477</v>
      </c>
      <c r="F2189" s="6">
        <v>46118.459027777775</v>
      </c>
      <c r="G2189" s="5" t="s">
        <v>7456</v>
      </c>
      <c r="H2189" s="5" t="s">
        <v>12872</v>
      </c>
      <c r="I2189" s="5" t="s">
        <v>1564</v>
      </c>
      <c r="J2189" s="8">
        <v>695.06</v>
      </c>
      <c r="K2189" s="5" t="s">
        <v>4</v>
      </c>
      <c r="L2189">
        <f t="shared" si="34"/>
        <v>4</v>
      </c>
    </row>
    <row r="2190" spans="1:12" x14ac:dyDescent="0.25">
      <c r="A2190" s="5">
        <v>47696</v>
      </c>
      <c r="B2190" t="s">
        <v>12873</v>
      </c>
      <c r="C2190" s="5" t="s">
        <v>12874</v>
      </c>
      <c r="D2190" t="s">
        <v>12875</v>
      </c>
      <c r="E2190" s="5" t="s">
        <v>12876</v>
      </c>
      <c r="F2190" s="6">
        <v>46118.488888888889</v>
      </c>
      <c r="G2190" s="5" t="s">
        <v>7456</v>
      </c>
      <c r="H2190" s="5" t="s">
        <v>7522</v>
      </c>
      <c r="I2190" s="5" t="s">
        <v>1564</v>
      </c>
      <c r="J2190" s="8">
        <v>972.35</v>
      </c>
      <c r="K2190" s="5" t="s">
        <v>4</v>
      </c>
      <c r="L2190">
        <f t="shared" si="34"/>
        <v>4</v>
      </c>
    </row>
    <row r="2191" spans="1:12" x14ac:dyDescent="0.25">
      <c r="A2191" s="5">
        <v>47698</v>
      </c>
      <c r="B2191" t="s">
        <v>10158</v>
      </c>
      <c r="C2191" s="5" t="s">
        <v>10159</v>
      </c>
      <c r="D2191" t="s">
        <v>10160</v>
      </c>
      <c r="E2191" s="5" t="s">
        <v>2875</v>
      </c>
      <c r="F2191" s="6">
        <v>46118.569444444445</v>
      </c>
      <c r="G2191" s="5" t="s">
        <v>7595</v>
      </c>
      <c r="H2191" t="s">
        <v>7482</v>
      </c>
      <c r="I2191" s="5" t="s">
        <v>1535</v>
      </c>
      <c r="J2191" s="8">
        <v>124.4</v>
      </c>
      <c r="K2191" s="5" t="s">
        <v>4</v>
      </c>
      <c r="L2191">
        <f t="shared" si="34"/>
        <v>4</v>
      </c>
    </row>
    <row r="2192" spans="1:12" x14ac:dyDescent="0.25">
      <c r="A2192" s="5">
        <v>47699</v>
      </c>
      <c r="B2192" t="s">
        <v>12877</v>
      </c>
      <c r="C2192" s="5" t="s">
        <v>7516</v>
      </c>
      <c r="D2192" t="s">
        <v>12878</v>
      </c>
      <c r="E2192" s="5" t="s">
        <v>1813</v>
      </c>
      <c r="F2192" s="6">
        <v>46118.594444444447</v>
      </c>
      <c r="G2192" s="5" t="s">
        <v>7595</v>
      </c>
      <c r="H2192" t="s">
        <v>7482</v>
      </c>
      <c r="I2192" s="5" t="s">
        <v>1535</v>
      </c>
      <c r="J2192" s="8">
        <v>140</v>
      </c>
      <c r="K2192" s="5" t="s">
        <v>4</v>
      </c>
      <c r="L2192">
        <f t="shared" si="34"/>
        <v>4</v>
      </c>
    </row>
    <row r="2193" spans="1:12" x14ac:dyDescent="0.25">
      <c r="A2193" s="5">
        <v>47700</v>
      </c>
      <c r="B2193" t="s">
        <v>12879</v>
      </c>
      <c r="C2193" s="5" t="s">
        <v>731</v>
      </c>
      <c r="D2193" t="s">
        <v>12880</v>
      </c>
      <c r="E2193" s="5" t="s">
        <v>7185</v>
      </c>
      <c r="F2193" s="6">
        <v>46118.659722222219</v>
      </c>
      <c r="G2193" s="5" t="s">
        <v>7456</v>
      </c>
      <c r="H2193" s="5" t="s">
        <v>12881</v>
      </c>
      <c r="I2193" s="5" t="s">
        <v>1564</v>
      </c>
      <c r="J2193" s="8">
        <v>25.79</v>
      </c>
      <c r="K2193" s="5" t="s">
        <v>4</v>
      </c>
      <c r="L2193">
        <f t="shared" si="34"/>
        <v>4</v>
      </c>
    </row>
    <row r="2194" spans="1:12" x14ac:dyDescent="0.25">
      <c r="A2194" s="5">
        <v>47701</v>
      </c>
      <c r="B2194" t="s">
        <v>12882</v>
      </c>
      <c r="C2194" s="5" t="s">
        <v>57</v>
      </c>
      <c r="D2194" t="s">
        <v>12883</v>
      </c>
      <c r="E2194" s="5" t="s">
        <v>2189</v>
      </c>
      <c r="F2194" s="6">
        <v>46118.673611111109</v>
      </c>
      <c r="G2194" s="5" t="s">
        <v>7456</v>
      </c>
      <c r="H2194" s="5" t="s">
        <v>12884</v>
      </c>
      <c r="I2194" s="5" t="s">
        <v>1564</v>
      </c>
      <c r="J2194" s="8">
        <v>959.47</v>
      </c>
      <c r="K2194" s="5" t="s">
        <v>4</v>
      </c>
      <c r="L2194">
        <f t="shared" si="34"/>
        <v>4</v>
      </c>
    </row>
    <row r="2195" spans="1:12" x14ac:dyDescent="0.25">
      <c r="A2195" s="5">
        <v>47703</v>
      </c>
      <c r="B2195" t="s">
        <v>12885</v>
      </c>
      <c r="C2195" s="5" t="s">
        <v>12886</v>
      </c>
      <c r="D2195" t="s">
        <v>12887</v>
      </c>
      <c r="E2195" s="5" t="s">
        <v>2043</v>
      </c>
      <c r="F2195" s="6">
        <v>46118.709027777775</v>
      </c>
      <c r="G2195" s="5" t="s">
        <v>7456</v>
      </c>
      <c r="H2195" s="5" t="s">
        <v>12888</v>
      </c>
      <c r="I2195" s="5" t="s">
        <v>1564</v>
      </c>
      <c r="J2195" s="8">
        <v>1157.54</v>
      </c>
      <c r="K2195" s="5" t="s">
        <v>4</v>
      </c>
      <c r="L2195">
        <f t="shared" si="34"/>
        <v>4</v>
      </c>
    </row>
    <row r="2196" spans="1:12" x14ac:dyDescent="0.25">
      <c r="A2196" s="5">
        <v>47704</v>
      </c>
      <c r="B2196" t="s">
        <v>12889</v>
      </c>
      <c r="C2196" s="5" t="s">
        <v>12890</v>
      </c>
      <c r="D2196" t="s">
        <v>12891</v>
      </c>
      <c r="E2196" s="5" t="s">
        <v>1548</v>
      </c>
      <c r="F2196" s="6">
        <v>46118.705555555556</v>
      </c>
      <c r="G2196" s="5" t="s">
        <v>7456</v>
      </c>
      <c r="H2196" s="5" t="s">
        <v>12892</v>
      </c>
      <c r="I2196" s="5" t="s">
        <v>1535</v>
      </c>
      <c r="J2196" s="8">
        <v>179.45</v>
      </c>
      <c r="K2196" s="5" t="s">
        <v>4</v>
      </c>
      <c r="L2196">
        <f t="shared" si="34"/>
        <v>4</v>
      </c>
    </row>
    <row r="2197" spans="1:12" x14ac:dyDescent="0.25">
      <c r="A2197" s="5">
        <v>47705</v>
      </c>
      <c r="B2197" t="s">
        <v>12893</v>
      </c>
      <c r="C2197" s="5" t="s">
        <v>12894</v>
      </c>
      <c r="D2197" t="s">
        <v>12895</v>
      </c>
      <c r="E2197" s="5" t="s">
        <v>1759</v>
      </c>
      <c r="F2197" s="6">
        <v>46118.727777777778</v>
      </c>
      <c r="G2197" s="5" t="s">
        <v>7672</v>
      </c>
      <c r="H2197" t="s">
        <v>8626</v>
      </c>
      <c r="I2197" s="5" t="s">
        <v>1564</v>
      </c>
      <c r="J2197" s="8">
        <v>313.8</v>
      </c>
      <c r="K2197" s="5" t="s">
        <v>4</v>
      </c>
      <c r="L2197">
        <f t="shared" si="34"/>
        <v>4</v>
      </c>
    </row>
    <row r="2198" spans="1:12" x14ac:dyDescent="0.25">
      <c r="A2198" s="5">
        <v>47707</v>
      </c>
      <c r="B2198" t="s">
        <v>12896</v>
      </c>
      <c r="C2198" s="5" t="s">
        <v>12897</v>
      </c>
      <c r="D2198" t="s">
        <v>12898</v>
      </c>
      <c r="E2198" s="5" t="s">
        <v>3648</v>
      </c>
      <c r="F2198" s="6">
        <v>46118.745833333334</v>
      </c>
      <c r="G2198" s="5" t="s">
        <v>7456</v>
      </c>
      <c r="H2198" s="5" t="s">
        <v>12899</v>
      </c>
      <c r="I2198" s="5" t="s">
        <v>1564</v>
      </c>
      <c r="J2198" s="8">
        <v>304.16000000000003</v>
      </c>
      <c r="K2198" s="5" t="s">
        <v>4</v>
      </c>
      <c r="L2198">
        <f t="shared" si="34"/>
        <v>4</v>
      </c>
    </row>
    <row r="2199" spans="1:12" x14ac:dyDescent="0.25">
      <c r="A2199" s="5">
        <v>47708</v>
      </c>
      <c r="B2199" t="s">
        <v>12900</v>
      </c>
      <c r="C2199" s="5" t="s">
        <v>12901</v>
      </c>
      <c r="D2199" t="s">
        <v>12902</v>
      </c>
      <c r="E2199" s="5" t="s">
        <v>3166</v>
      </c>
      <c r="F2199" s="6">
        <v>46118.769444444442</v>
      </c>
      <c r="G2199" s="5" t="s">
        <v>7456</v>
      </c>
      <c r="H2199" s="5" t="s">
        <v>12903</v>
      </c>
      <c r="I2199" s="5" t="s">
        <v>1564</v>
      </c>
      <c r="J2199" s="8">
        <v>404.9</v>
      </c>
      <c r="K2199" s="5" t="s">
        <v>4</v>
      </c>
      <c r="L2199">
        <f t="shared" si="34"/>
        <v>4</v>
      </c>
    </row>
    <row r="2200" spans="1:12" x14ac:dyDescent="0.25">
      <c r="A2200" s="5">
        <v>47709</v>
      </c>
      <c r="B2200" t="s">
        <v>12676</v>
      </c>
      <c r="C2200" s="5" t="s">
        <v>12677</v>
      </c>
      <c r="D2200" t="s">
        <v>12678</v>
      </c>
      <c r="E2200" s="5" t="s">
        <v>2306</v>
      </c>
      <c r="F2200" s="6">
        <v>46119.334722222222</v>
      </c>
      <c r="G2200" s="5" t="s">
        <v>7456</v>
      </c>
      <c r="H2200" s="5" t="s">
        <v>12904</v>
      </c>
      <c r="I2200" s="5" t="s">
        <v>1564</v>
      </c>
      <c r="J2200" s="8">
        <v>213.5</v>
      </c>
      <c r="K2200" s="5" t="s">
        <v>4</v>
      </c>
      <c r="L2200">
        <f t="shared" si="34"/>
        <v>4</v>
      </c>
    </row>
    <row r="2201" spans="1:12" x14ac:dyDescent="0.25">
      <c r="A2201" s="5">
        <v>47711</v>
      </c>
      <c r="B2201" t="s">
        <v>12905</v>
      </c>
      <c r="C2201" s="5" t="s">
        <v>12906</v>
      </c>
      <c r="D2201" t="s">
        <v>12907</v>
      </c>
      <c r="E2201" s="5" t="s">
        <v>4832</v>
      </c>
      <c r="F2201" s="6">
        <v>46119.390277777777</v>
      </c>
      <c r="G2201" s="5" t="s">
        <v>7456</v>
      </c>
      <c r="H2201" s="5" t="s">
        <v>12908</v>
      </c>
      <c r="I2201" s="5" t="s">
        <v>1564</v>
      </c>
      <c r="J2201" s="8">
        <v>83.9</v>
      </c>
      <c r="K2201" s="5" t="s">
        <v>4</v>
      </c>
      <c r="L2201">
        <f t="shared" si="34"/>
        <v>4</v>
      </c>
    </row>
    <row r="2202" spans="1:12" x14ac:dyDescent="0.25">
      <c r="A2202" s="5">
        <v>47712</v>
      </c>
      <c r="B2202" t="s">
        <v>12909</v>
      </c>
      <c r="C2202" s="5" t="s">
        <v>440</v>
      </c>
      <c r="D2202" t="s">
        <v>12910</v>
      </c>
      <c r="E2202" s="5" t="s">
        <v>6246</v>
      </c>
      <c r="F2202" s="6">
        <v>46119.424305555556</v>
      </c>
      <c r="G2202" s="5" t="s">
        <v>7456</v>
      </c>
      <c r="H2202" s="5" t="s">
        <v>12911</v>
      </c>
      <c r="I2202" s="5" t="s">
        <v>1564</v>
      </c>
      <c r="J2202" s="8">
        <v>77.569999999999993</v>
      </c>
      <c r="K2202" s="5" t="s">
        <v>4</v>
      </c>
      <c r="L2202">
        <f t="shared" si="34"/>
        <v>4</v>
      </c>
    </row>
    <row r="2203" spans="1:12" x14ac:dyDescent="0.25">
      <c r="A2203" s="5">
        <v>47714</v>
      </c>
      <c r="B2203" t="s">
        <v>12912</v>
      </c>
      <c r="C2203" s="5" t="s">
        <v>934</v>
      </c>
      <c r="D2203" t="s">
        <v>12913</v>
      </c>
      <c r="E2203" s="5" t="s">
        <v>5896</v>
      </c>
      <c r="F2203" s="6">
        <v>46119.467361111114</v>
      </c>
      <c r="G2203" s="5" t="s">
        <v>7456</v>
      </c>
      <c r="H2203" s="5" t="s">
        <v>12914</v>
      </c>
      <c r="I2203" s="5" t="s">
        <v>1564</v>
      </c>
      <c r="J2203" s="8">
        <v>101.91</v>
      </c>
      <c r="K2203" s="5" t="s">
        <v>4</v>
      </c>
      <c r="L2203">
        <f t="shared" si="34"/>
        <v>4</v>
      </c>
    </row>
    <row r="2204" spans="1:12" x14ac:dyDescent="0.25">
      <c r="A2204" s="5">
        <v>47715</v>
      </c>
      <c r="B2204" t="s">
        <v>12915</v>
      </c>
      <c r="C2204" s="5" t="s">
        <v>12916</v>
      </c>
      <c r="D2204" t="s">
        <v>12917</v>
      </c>
      <c r="E2204" s="5" t="s">
        <v>1738</v>
      </c>
      <c r="F2204" s="6">
        <v>46119.506249999999</v>
      </c>
      <c r="G2204" s="5" t="s">
        <v>7672</v>
      </c>
      <c r="H2204" t="s">
        <v>7482</v>
      </c>
      <c r="I2204" s="5" t="s">
        <v>1564</v>
      </c>
      <c r="J2204" s="8">
        <v>369</v>
      </c>
      <c r="K2204" s="5" t="s">
        <v>4</v>
      </c>
      <c r="L2204">
        <f t="shared" si="34"/>
        <v>4</v>
      </c>
    </row>
    <row r="2205" spans="1:12" x14ac:dyDescent="0.25">
      <c r="A2205" s="5">
        <v>47717</v>
      </c>
      <c r="B2205" t="s">
        <v>12918</v>
      </c>
      <c r="C2205" s="5" t="s">
        <v>12919</v>
      </c>
      <c r="D2205" t="s">
        <v>12920</v>
      </c>
      <c r="E2205" s="5" t="s">
        <v>1755</v>
      </c>
      <c r="F2205" s="6">
        <v>46119.580555555556</v>
      </c>
      <c r="G2205" s="5" t="s">
        <v>7456</v>
      </c>
      <c r="H2205" s="5" t="s">
        <v>12921</v>
      </c>
      <c r="I2205" s="5" t="s">
        <v>1535</v>
      </c>
      <c r="J2205" s="8">
        <v>2418</v>
      </c>
      <c r="K2205" s="5" t="s">
        <v>4</v>
      </c>
      <c r="L2205">
        <f t="shared" si="34"/>
        <v>4</v>
      </c>
    </row>
    <row r="2206" spans="1:12" x14ac:dyDescent="0.25">
      <c r="A2206" s="5">
        <v>47718</v>
      </c>
      <c r="B2206" t="s">
        <v>12922</v>
      </c>
      <c r="C2206" s="5" t="s">
        <v>7516</v>
      </c>
      <c r="D2206" t="s">
        <v>12923</v>
      </c>
      <c r="E2206" s="5" t="s">
        <v>1813</v>
      </c>
      <c r="F2206" s="6">
        <v>46119.598611111112</v>
      </c>
      <c r="G2206" s="5" t="s">
        <v>7456</v>
      </c>
      <c r="H2206" s="5" t="s">
        <v>12924</v>
      </c>
      <c r="I2206" s="5" t="s">
        <v>1535</v>
      </c>
      <c r="J2206" s="8">
        <v>1055.7</v>
      </c>
      <c r="K2206" s="5" t="s">
        <v>4</v>
      </c>
      <c r="L2206">
        <f t="shared" si="34"/>
        <v>4</v>
      </c>
    </row>
    <row r="2207" spans="1:12" x14ac:dyDescent="0.25">
      <c r="A2207" s="5">
        <v>47719</v>
      </c>
      <c r="B2207" t="s">
        <v>12925</v>
      </c>
      <c r="C2207" s="5" t="s">
        <v>12926</v>
      </c>
      <c r="D2207" t="s">
        <v>12927</v>
      </c>
      <c r="E2207" s="5" t="s">
        <v>1532</v>
      </c>
      <c r="F2207" s="6">
        <v>46119.61041666667</v>
      </c>
      <c r="G2207" s="5" t="s">
        <v>7456</v>
      </c>
      <c r="H2207" s="5" t="s">
        <v>12928</v>
      </c>
      <c r="I2207" s="5" t="s">
        <v>1535</v>
      </c>
      <c r="J2207" s="8">
        <v>270.39999999999998</v>
      </c>
      <c r="K2207" s="5" t="s">
        <v>4</v>
      </c>
      <c r="L2207">
        <f t="shared" si="34"/>
        <v>4</v>
      </c>
    </row>
    <row r="2208" spans="1:12" x14ac:dyDescent="0.25">
      <c r="A2208" s="5">
        <v>47720</v>
      </c>
      <c r="B2208" t="s">
        <v>8789</v>
      </c>
      <c r="C2208" s="5" t="s">
        <v>9285</v>
      </c>
      <c r="D2208" t="s">
        <v>8791</v>
      </c>
      <c r="E2208" s="5" t="s">
        <v>6674</v>
      </c>
      <c r="F2208" s="6">
        <v>46119.649305555555</v>
      </c>
      <c r="G2208" s="5" t="s">
        <v>7456</v>
      </c>
      <c r="H2208" s="5" t="s">
        <v>12929</v>
      </c>
      <c r="I2208" s="5" t="s">
        <v>1564</v>
      </c>
      <c r="J2208" s="8">
        <v>52.58</v>
      </c>
      <c r="K2208" s="5" t="s">
        <v>4</v>
      </c>
      <c r="L2208">
        <f t="shared" si="34"/>
        <v>4</v>
      </c>
    </row>
    <row r="2209" spans="1:12" x14ac:dyDescent="0.25">
      <c r="A2209" s="5">
        <v>47721</v>
      </c>
      <c r="B2209" t="s">
        <v>11562</v>
      </c>
      <c r="C2209" s="5" t="s">
        <v>11563</v>
      </c>
      <c r="D2209" t="s">
        <v>11564</v>
      </c>
      <c r="E2209" s="5" t="s">
        <v>1532</v>
      </c>
      <c r="F2209" s="6">
        <v>46119.652777777781</v>
      </c>
      <c r="G2209" s="5" t="s">
        <v>7595</v>
      </c>
      <c r="H2209" t="s">
        <v>7482</v>
      </c>
      <c r="I2209" s="5" t="s">
        <v>1535</v>
      </c>
      <c r="J2209" s="8">
        <v>120</v>
      </c>
      <c r="K2209" s="5" t="s">
        <v>4</v>
      </c>
      <c r="L2209">
        <f t="shared" si="34"/>
        <v>4</v>
      </c>
    </row>
    <row r="2210" spans="1:12" x14ac:dyDescent="0.25">
      <c r="A2210" s="5">
        <v>47722</v>
      </c>
      <c r="B2210" t="s">
        <v>12930</v>
      </c>
      <c r="C2210" s="5" t="s">
        <v>12931</v>
      </c>
      <c r="D2210" t="s">
        <v>12932</v>
      </c>
      <c r="E2210" s="5" t="s">
        <v>5422</v>
      </c>
      <c r="F2210" s="6">
        <v>46119.659722222219</v>
      </c>
      <c r="G2210" s="5" t="s">
        <v>7456</v>
      </c>
      <c r="H2210" s="5" t="s">
        <v>12933</v>
      </c>
      <c r="I2210" s="5" t="s">
        <v>1564</v>
      </c>
      <c r="J2210" s="8">
        <v>130</v>
      </c>
      <c r="K2210" s="5" t="s">
        <v>4</v>
      </c>
      <c r="L2210">
        <f t="shared" si="34"/>
        <v>4</v>
      </c>
    </row>
    <row r="2211" spans="1:12" x14ac:dyDescent="0.25">
      <c r="A2211" s="5">
        <v>47723</v>
      </c>
      <c r="B2211" t="s">
        <v>9566</v>
      </c>
      <c r="C2211" s="5" t="s">
        <v>9567</v>
      </c>
      <c r="D2211" t="s">
        <v>9568</v>
      </c>
      <c r="E2211" s="5" t="s">
        <v>1759</v>
      </c>
      <c r="F2211" s="6">
        <v>46119.67083333333</v>
      </c>
      <c r="G2211" s="5" t="s">
        <v>7456</v>
      </c>
      <c r="H2211" s="5" t="s">
        <v>12934</v>
      </c>
      <c r="I2211" s="5" t="s">
        <v>1564</v>
      </c>
      <c r="J2211" s="8">
        <v>725.2</v>
      </c>
      <c r="K2211" s="5" t="s">
        <v>4</v>
      </c>
      <c r="L2211">
        <f t="shared" si="34"/>
        <v>4</v>
      </c>
    </row>
    <row r="2212" spans="1:12" x14ac:dyDescent="0.25">
      <c r="A2212" s="5">
        <v>47724</v>
      </c>
      <c r="B2212" t="s">
        <v>8965</v>
      </c>
      <c r="C2212" s="5" t="s">
        <v>12935</v>
      </c>
      <c r="D2212" t="s">
        <v>8966</v>
      </c>
      <c r="E2212" s="5" t="s">
        <v>12936</v>
      </c>
      <c r="F2212" s="6">
        <v>46119.677777777775</v>
      </c>
      <c r="G2212" s="5" t="s">
        <v>7595</v>
      </c>
      <c r="H2212" t="s">
        <v>7482</v>
      </c>
      <c r="I2212" s="5" t="s">
        <v>1535</v>
      </c>
      <c r="J2212" s="8">
        <v>2299</v>
      </c>
      <c r="K2212" s="5" t="s">
        <v>4</v>
      </c>
      <c r="L2212">
        <f t="shared" si="34"/>
        <v>4</v>
      </c>
    </row>
    <row r="2213" spans="1:12" x14ac:dyDescent="0.25">
      <c r="A2213" s="5">
        <v>47725</v>
      </c>
      <c r="B2213" t="s">
        <v>8965</v>
      </c>
      <c r="C2213" s="5" t="s">
        <v>12935</v>
      </c>
      <c r="D2213" t="s">
        <v>8966</v>
      </c>
      <c r="E2213" s="5" t="s">
        <v>1670</v>
      </c>
      <c r="F2213" s="6">
        <v>46119.681944444441</v>
      </c>
      <c r="G2213" s="5" t="s">
        <v>7456</v>
      </c>
      <c r="H2213" s="5" t="s">
        <v>12937</v>
      </c>
      <c r="I2213" s="5" t="s">
        <v>1535</v>
      </c>
      <c r="J2213" s="8">
        <v>3099</v>
      </c>
      <c r="K2213" s="5" t="s">
        <v>4</v>
      </c>
      <c r="L2213">
        <f t="shared" si="34"/>
        <v>4</v>
      </c>
    </row>
    <row r="2214" spans="1:12" x14ac:dyDescent="0.25">
      <c r="A2214" s="5">
        <v>47726</v>
      </c>
      <c r="B2214" t="s">
        <v>12938</v>
      </c>
      <c r="C2214" s="5" t="s">
        <v>12939</v>
      </c>
      <c r="D2214" t="s">
        <v>12940</v>
      </c>
      <c r="E2214" s="5" t="s">
        <v>2020</v>
      </c>
      <c r="F2214" s="6">
        <v>46119.686111111114</v>
      </c>
      <c r="G2214" s="5" t="s">
        <v>7456</v>
      </c>
      <c r="H2214" s="5" t="s">
        <v>12941</v>
      </c>
      <c r="I2214" s="5" t="s">
        <v>1564</v>
      </c>
      <c r="J2214" s="8">
        <v>1200</v>
      </c>
      <c r="K2214" s="5" t="s">
        <v>4</v>
      </c>
      <c r="L2214">
        <f t="shared" si="34"/>
        <v>4</v>
      </c>
    </row>
    <row r="2215" spans="1:12" x14ac:dyDescent="0.25">
      <c r="A2215" s="5">
        <v>47727</v>
      </c>
      <c r="B2215" t="s">
        <v>8965</v>
      </c>
      <c r="C2215" s="5" t="s">
        <v>12935</v>
      </c>
      <c r="D2215" t="s">
        <v>8966</v>
      </c>
      <c r="E2215" s="5" t="s">
        <v>12936</v>
      </c>
      <c r="F2215" s="6">
        <v>46119.700694444444</v>
      </c>
      <c r="G2215" s="5" t="s">
        <v>7595</v>
      </c>
      <c r="H2215" t="s">
        <v>7482</v>
      </c>
      <c r="I2215" s="5" t="s">
        <v>1535</v>
      </c>
      <c r="J2215" s="8">
        <v>680</v>
      </c>
      <c r="K2215" s="5" t="s">
        <v>4</v>
      </c>
      <c r="L2215">
        <f t="shared" si="34"/>
        <v>4</v>
      </c>
    </row>
    <row r="2216" spans="1:12" x14ac:dyDescent="0.25">
      <c r="A2216" s="5">
        <v>47728</v>
      </c>
      <c r="B2216" t="s">
        <v>12942</v>
      </c>
      <c r="C2216" s="5" t="s">
        <v>12943</v>
      </c>
      <c r="D2216" t="s">
        <v>12944</v>
      </c>
      <c r="E2216" s="5" t="s">
        <v>12945</v>
      </c>
      <c r="F2216" s="6">
        <v>46120.324999999997</v>
      </c>
      <c r="G2216" s="5" t="s">
        <v>7672</v>
      </c>
      <c r="H2216" t="s">
        <v>7482</v>
      </c>
      <c r="I2216" s="5" t="s">
        <v>1564</v>
      </c>
      <c r="J2216" s="8">
        <v>2071.34</v>
      </c>
      <c r="K2216" s="5" t="s">
        <v>4</v>
      </c>
      <c r="L2216">
        <f t="shared" si="34"/>
        <v>4</v>
      </c>
    </row>
    <row r="2217" spans="1:12" x14ac:dyDescent="0.25">
      <c r="A2217" s="5">
        <v>47729</v>
      </c>
      <c r="B2217" t="s">
        <v>11081</v>
      </c>
      <c r="C2217" s="5" t="s">
        <v>12946</v>
      </c>
      <c r="D2217" t="s">
        <v>11083</v>
      </c>
      <c r="E2217" s="5" t="s">
        <v>1759</v>
      </c>
      <c r="F2217" s="6">
        <v>46120.359027777777</v>
      </c>
      <c r="G2217" s="5" t="s">
        <v>7456</v>
      </c>
      <c r="H2217" s="5" t="s">
        <v>12947</v>
      </c>
      <c r="I2217" s="5" t="s">
        <v>1564</v>
      </c>
      <c r="J2217" s="8">
        <v>297</v>
      </c>
      <c r="K2217" s="5" t="s">
        <v>4</v>
      </c>
      <c r="L2217">
        <f t="shared" si="34"/>
        <v>4</v>
      </c>
    </row>
    <row r="2218" spans="1:12" x14ac:dyDescent="0.25">
      <c r="A2218" s="5">
        <v>47730</v>
      </c>
      <c r="B2218" t="s">
        <v>12948</v>
      </c>
      <c r="C2218" s="5" t="s">
        <v>12946</v>
      </c>
      <c r="D2218" t="s">
        <v>11083</v>
      </c>
      <c r="E2218" s="5" t="s">
        <v>1759</v>
      </c>
      <c r="F2218" s="6">
        <v>46120.359722222223</v>
      </c>
      <c r="G2218" s="5" t="s">
        <v>7456</v>
      </c>
      <c r="H2218" s="5" t="s">
        <v>12949</v>
      </c>
      <c r="I2218" s="5" t="s">
        <v>1564</v>
      </c>
      <c r="J2218" s="8">
        <v>297</v>
      </c>
      <c r="K2218" s="5" t="s">
        <v>4</v>
      </c>
      <c r="L2218">
        <f t="shared" si="34"/>
        <v>4</v>
      </c>
    </row>
    <row r="2219" spans="1:12" x14ac:dyDescent="0.25">
      <c r="A2219" s="5">
        <v>47731</v>
      </c>
      <c r="B2219" t="s">
        <v>12950</v>
      </c>
      <c r="C2219" s="5" t="s">
        <v>12946</v>
      </c>
      <c r="D2219" t="s">
        <v>11083</v>
      </c>
      <c r="E2219" s="5" t="s">
        <v>1759</v>
      </c>
      <c r="F2219" s="6">
        <v>46120.361111111109</v>
      </c>
      <c r="G2219" s="5" t="s">
        <v>7456</v>
      </c>
      <c r="H2219" s="5" t="s">
        <v>12951</v>
      </c>
      <c r="I2219" s="5" t="s">
        <v>1564</v>
      </c>
      <c r="J2219" s="8">
        <v>297</v>
      </c>
      <c r="K2219" s="5" t="s">
        <v>4</v>
      </c>
      <c r="L2219">
        <f t="shared" si="34"/>
        <v>4</v>
      </c>
    </row>
    <row r="2220" spans="1:12" x14ac:dyDescent="0.25">
      <c r="A2220" s="5">
        <v>47732</v>
      </c>
      <c r="B2220" t="s">
        <v>12010</v>
      </c>
      <c r="C2220" s="5" t="s">
        <v>12011</v>
      </c>
      <c r="D2220" t="s">
        <v>12012</v>
      </c>
      <c r="E2220" s="5" t="s">
        <v>1759</v>
      </c>
      <c r="F2220" s="6">
        <v>46120.363194444442</v>
      </c>
      <c r="G2220" s="5" t="s">
        <v>7456</v>
      </c>
      <c r="H2220" s="5" t="s">
        <v>12952</v>
      </c>
      <c r="I2220" s="5" t="s">
        <v>1535</v>
      </c>
      <c r="J2220" s="8">
        <v>150</v>
      </c>
      <c r="K2220" s="5" t="s">
        <v>4</v>
      </c>
      <c r="L2220">
        <f t="shared" si="34"/>
        <v>4</v>
      </c>
    </row>
    <row r="2221" spans="1:12" x14ac:dyDescent="0.25">
      <c r="A2221" s="5">
        <v>47733</v>
      </c>
      <c r="B2221" t="s">
        <v>12953</v>
      </c>
      <c r="C2221" s="5" t="s">
        <v>12954</v>
      </c>
      <c r="D2221" t="s">
        <v>12955</v>
      </c>
      <c r="E2221" s="5" t="s">
        <v>1759</v>
      </c>
      <c r="F2221" s="6">
        <v>46120.37222222222</v>
      </c>
      <c r="G2221" s="5" t="s">
        <v>7456</v>
      </c>
      <c r="H2221" s="5" t="s">
        <v>12956</v>
      </c>
      <c r="I2221" s="5" t="s">
        <v>1564</v>
      </c>
      <c r="J2221" s="8">
        <v>369.6</v>
      </c>
      <c r="K2221" s="5" t="s">
        <v>4</v>
      </c>
      <c r="L2221">
        <f t="shared" si="34"/>
        <v>4</v>
      </c>
    </row>
    <row r="2222" spans="1:12" x14ac:dyDescent="0.25">
      <c r="A2222" s="5">
        <v>47734</v>
      </c>
      <c r="B2222" t="s">
        <v>10014</v>
      </c>
      <c r="C2222" s="5" t="s">
        <v>12957</v>
      </c>
      <c r="D2222" t="s">
        <v>10016</v>
      </c>
      <c r="E2222" s="5" t="s">
        <v>3375</v>
      </c>
      <c r="F2222" s="6">
        <v>46120.386805555558</v>
      </c>
      <c r="G2222" s="5" t="s">
        <v>7456</v>
      </c>
      <c r="H2222" s="5" t="s">
        <v>12958</v>
      </c>
      <c r="I2222" s="5" t="s">
        <v>1564</v>
      </c>
      <c r="J2222" s="8">
        <v>347.8</v>
      </c>
      <c r="K2222" s="5" t="s">
        <v>4</v>
      </c>
      <c r="L2222">
        <f t="shared" si="34"/>
        <v>4</v>
      </c>
    </row>
    <row r="2223" spans="1:12" x14ac:dyDescent="0.25">
      <c r="A2223" s="5">
        <v>47735</v>
      </c>
      <c r="B2223" t="s">
        <v>12959</v>
      </c>
      <c r="C2223" s="5" t="s">
        <v>7516</v>
      </c>
      <c r="D2223" t="s">
        <v>12960</v>
      </c>
      <c r="E2223" s="5" t="s">
        <v>3884</v>
      </c>
      <c r="F2223" s="6">
        <v>46120.393750000003</v>
      </c>
      <c r="G2223" s="5" t="s">
        <v>7456</v>
      </c>
      <c r="H2223" s="5" t="s">
        <v>12961</v>
      </c>
      <c r="I2223" s="5" t="s">
        <v>1535</v>
      </c>
      <c r="J2223" s="8">
        <v>274.2</v>
      </c>
      <c r="K2223" s="5" t="s">
        <v>4</v>
      </c>
      <c r="L2223">
        <f t="shared" si="34"/>
        <v>4</v>
      </c>
    </row>
    <row r="2224" spans="1:12" x14ac:dyDescent="0.25">
      <c r="A2224" s="5">
        <v>47736</v>
      </c>
      <c r="B2224" t="s">
        <v>12962</v>
      </c>
      <c r="C2224" s="5" t="s">
        <v>846</v>
      </c>
      <c r="D2224" t="s">
        <v>12963</v>
      </c>
      <c r="E2224" s="5" t="s">
        <v>3626</v>
      </c>
      <c r="F2224" s="6">
        <v>46120.399305555555</v>
      </c>
      <c r="G2224" s="5" t="s">
        <v>7456</v>
      </c>
      <c r="H2224" s="5" t="s">
        <v>12964</v>
      </c>
      <c r="I2224" s="5" t="s">
        <v>1564</v>
      </c>
      <c r="J2224" s="8">
        <v>307.10000000000002</v>
      </c>
      <c r="K2224" s="5" t="s">
        <v>4</v>
      </c>
      <c r="L2224">
        <f t="shared" si="34"/>
        <v>4</v>
      </c>
    </row>
    <row r="2225" spans="1:12" x14ac:dyDescent="0.25">
      <c r="A2225" s="5">
        <v>47737</v>
      </c>
      <c r="B2225" t="s">
        <v>12965</v>
      </c>
      <c r="C2225" s="5" t="s">
        <v>12199</v>
      </c>
      <c r="D2225" t="s">
        <v>12966</v>
      </c>
      <c r="E2225" s="5" t="s">
        <v>2740</v>
      </c>
      <c r="F2225" s="6">
        <v>46120.411111111112</v>
      </c>
      <c r="G2225" s="5" t="s">
        <v>7672</v>
      </c>
      <c r="H2225" t="s">
        <v>8626</v>
      </c>
      <c r="I2225" s="5" t="s">
        <v>1564</v>
      </c>
      <c r="J2225" s="8">
        <v>1302.4000000000001</v>
      </c>
      <c r="K2225" s="5" t="s">
        <v>4</v>
      </c>
      <c r="L2225">
        <f t="shared" si="34"/>
        <v>4</v>
      </c>
    </row>
    <row r="2226" spans="1:12" x14ac:dyDescent="0.25">
      <c r="A2226" s="5">
        <v>47738</v>
      </c>
      <c r="B2226" t="s">
        <v>9382</v>
      </c>
      <c r="C2226" s="5" t="s">
        <v>7516</v>
      </c>
      <c r="D2226" t="s">
        <v>9383</v>
      </c>
      <c r="E2226" s="5" t="s">
        <v>1532</v>
      </c>
      <c r="F2226" s="6">
        <v>46120.429166666669</v>
      </c>
      <c r="G2226" s="5" t="s">
        <v>7456</v>
      </c>
      <c r="H2226" s="5" t="s">
        <v>12967</v>
      </c>
      <c r="I2226" s="5" t="s">
        <v>1535</v>
      </c>
      <c r="J2226" s="8">
        <v>101</v>
      </c>
      <c r="K2226" s="5" t="s">
        <v>4</v>
      </c>
      <c r="L2226">
        <f t="shared" si="34"/>
        <v>4</v>
      </c>
    </row>
    <row r="2227" spans="1:12" x14ac:dyDescent="0.25">
      <c r="A2227" s="5">
        <v>47739</v>
      </c>
      <c r="B2227" t="s">
        <v>12968</v>
      </c>
      <c r="C2227" s="5" t="s">
        <v>12969</v>
      </c>
      <c r="D2227" t="s">
        <v>12970</v>
      </c>
      <c r="E2227" s="5" t="s">
        <v>3011</v>
      </c>
      <c r="F2227" s="6">
        <v>46120.443055555559</v>
      </c>
      <c r="G2227" s="5" t="s">
        <v>7456</v>
      </c>
      <c r="H2227" s="5" t="s">
        <v>12971</v>
      </c>
      <c r="I2227" s="5" t="s">
        <v>1564</v>
      </c>
      <c r="J2227" s="8">
        <v>450.5</v>
      </c>
      <c r="K2227" s="5" t="s">
        <v>4</v>
      </c>
      <c r="L2227">
        <f t="shared" si="34"/>
        <v>4</v>
      </c>
    </row>
    <row r="2228" spans="1:12" x14ac:dyDescent="0.25">
      <c r="A2228" s="5">
        <v>47740</v>
      </c>
      <c r="B2228" t="s">
        <v>9735</v>
      </c>
      <c r="C2228" s="5" t="s">
        <v>7516</v>
      </c>
      <c r="D2228" t="s">
        <v>9736</v>
      </c>
      <c r="E2228" s="5" t="s">
        <v>1532</v>
      </c>
      <c r="F2228" s="6">
        <v>46120.447222222225</v>
      </c>
      <c r="G2228" s="5" t="s">
        <v>7456</v>
      </c>
      <c r="H2228" s="5" t="s">
        <v>12972</v>
      </c>
      <c r="I2228" s="5" t="s">
        <v>1535</v>
      </c>
      <c r="J2228" s="8">
        <v>168</v>
      </c>
      <c r="K2228" s="5" t="s">
        <v>4</v>
      </c>
      <c r="L2228">
        <f t="shared" si="34"/>
        <v>4</v>
      </c>
    </row>
    <row r="2229" spans="1:12" x14ac:dyDescent="0.25">
      <c r="A2229" s="5">
        <v>47742</v>
      </c>
      <c r="B2229" t="s">
        <v>12973</v>
      </c>
      <c r="C2229" s="5" t="s">
        <v>12974</v>
      </c>
      <c r="D2229" t="s">
        <v>12975</v>
      </c>
      <c r="E2229" s="5" t="s">
        <v>3035</v>
      </c>
      <c r="F2229" s="6">
        <v>46120.486805555556</v>
      </c>
      <c r="G2229" s="5" t="s">
        <v>7456</v>
      </c>
      <c r="H2229" t="s">
        <v>8626</v>
      </c>
      <c r="I2229" s="5" t="s">
        <v>1564</v>
      </c>
      <c r="J2229" s="8">
        <v>844.9</v>
      </c>
      <c r="K2229" s="5" t="s">
        <v>4</v>
      </c>
      <c r="L2229">
        <f t="shared" si="34"/>
        <v>4</v>
      </c>
    </row>
    <row r="2230" spans="1:12" x14ac:dyDescent="0.25">
      <c r="A2230" s="5">
        <v>47743</v>
      </c>
      <c r="B2230" t="s">
        <v>8706</v>
      </c>
      <c r="C2230" s="5" t="s">
        <v>8707</v>
      </c>
      <c r="D2230" t="s">
        <v>8708</v>
      </c>
      <c r="E2230" s="5" t="s">
        <v>1770</v>
      </c>
      <c r="F2230" s="6">
        <v>46120.496527777781</v>
      </c>
      <c r="G2230" s="5" t="s">
        <v>7456</v>
      </c>
      <c r="H2230" s="5" t="s">
        <v>12976</v>
      </c>
      <c r="I2230" s="5" t="s">
        <v>1564</v>
      </c>
      <c r="J2230" s="8">
        <v>16.899999999999999</v>
      </c>
      <c r="K2230" s="5" t="s">
        <v>4</v>
      </c>
      <c r="L2230">
        <f t="shared" si="34"/>
        <v>4</v>
      </c>
    </row>
    <row r="2231" spans="1:12" x14ac:dyDescent="0.25">
      <c r="A2231" s="5">
        <v>47744</v>
      </c>
      <c r="B2231" t="s">
        <v>11806</v>
      </c>
      <c r="C2231" s="5" t="s">
        <v>12977</v>
      </c>
      <c r="D2231" t="s">
        <v>11808</v>
      </c>
      <c r="E2231" s="5" t="s">
        <v>1824</v>
      </c>
      <c r="F2231" s="6">
        <v>46120.517361111109</v>
      </c>
      <c r="G2231" s="5" t="s">
        <v>7456</v>
      </c>
      <c r="H2231" s="5" t="s">
        <v>12978</v>
      </c>
      <c r="I2231" s="5" t="s">
        <v>1564</v>
      </c>
      <c r="J2231" s="8">
        <v>560</v>
      </c>
      <c r="K2231" s="5" t="s">
        <v>4</v>
      </c>
      <c r="L2231">
        <f t="shared" si="34"/>
        <v>4</v>
      </c>
    </row>
    <row r="2232" spans="1:12" x14ac:dyDescent="0.25">
      <c r="A2232" s="5">
        <v>47745</v>
      </c>
      <c r="B2232" t="s">
        <v>12979</v>
      </c>
      <c r="C2232" s="5">
        <v>1</v>
      </c>
      <c r="D2232" t="s">
        <v>12980</v>
      </c>
      <c r="E2232" s="5" t="s">
        <v>4415</v>
      </c>
      <c r="F2232" s="6">
        <v>46120.520138888889</v>
      </c>
      <c r="G2232" s="5" t="s">
        <v>7456</v>
      </c>
      <c r="H2232" s="5" t="s">
        <v>12981</v>
      </c>
      <c r="I2232" s="5" t="s">
        <v>1564</v>
      </c>
      <c r="J2232" s="8">
        <v>199.9</v>
      </c>
      <c r="K2232" s="5" t="s">
        <v>4</v>
      </c>
      <c r="L2232">
        <f t="shared" si="34"/>
        <v>4</v>
      </c>
    </row>
    <row r="2233" spans="1:12" x14ac:dyDescent="0.25">
      <c r="A2233" s="5">
        <v>47746</v>
      </c>
      <c r="B2233" t="s">
        <v>12982</v>
      </c>
      <c r="C2233" s="5" t="s">
        <v>12983</v>
      </c>
      <c r="D2233" t="s">
        <v>12984</v>
      </c>
      <c r="E2233" s="5" t="s">
        <v>12985</v>
      </c>
      <c r="F2233" s="6">
        <v>46120.536805555559</v>
      </c>
      <c r="G2233" s="5" t="s">
        <v>7672</v>
      </c>
      <c r="H2233" t="s">
        <v>7482</v>
      </c>
      <c r="I2233" s="5" t="s">
        <v>1564</v>
      </c>
      <c r="J2233" s="8">
        <v>635.20000000000005</v>
      </c>
      <c r="K2233" s="5" t="s">
        <v>4</v>
      </c>
      <c r="L2233">
        <f t="shared" si="34"/>
        <v>4</v>
      </c>
    </row>
    <row r="2234" spans="1:12" x14ac:dyDescent="0.25">
      <c r="A2234" s="5">
        <v>47747</v>
      </c>
      <c r="B2234" t="s">
        <v>8965</v>
      </c>
      <c r="C2234" s="5" t="s">
        <v>8082</v>
      </c>
      <c r="D2234" t="s">
        <v>8966</v>
      </c>
      <c r="E2234" s="5" t="s">
        <v>1573</v>
      </c>
      <c r="F2234" s="6">
        <v>46120.584722222222</v>
      </c>
      <c r="G2234" s="5" t="s">
        <v>7456</v>
      </c>
      <c r="H2234" s="5" t="s">
        <v>12986</v>
      </c>
      <c r="I2234" s="5" t="s">
        <v>1535</v>
      </c>
      <c r="J2234" s="8">
        <v>6480</v>
      </c>
      <c r="K2234" s="5" t="s">
        <v>4</v>
      </c>
      <c r="L2234">
        <f t="shared" si="34"/>
        <v>4</v>
      </c>
    </row>
    <row r="2235" spans="1:12" x14ac:dyDescent="0.25">
      <c r="A2235" s="5">
        <v>47748</v>
      </c>
      <c r="B2235" t="s">
        <v>12987</v>
      </c>
      <c r="C2235" s="5" t="s">
        <v>12988</v>
      </c>
      <c r="D2235" t="s">
        <v>12989</v>
      </c>
      <c r="E2235" s="5" t="s">
        <v>1738</v>
      </c>
      <c r="F2235" s="6">
        <v>46120.618750000001</v>
      </c>
      <c r="G2235" s="5" t="s">
        <v>7456</v>
      </c>
      <c r="H2235" s="5" t="s">
        <v>12990</v>
      </c>
      <c r="I2235" s="5" t="s">
        <v>1564</v>
      </c>
      <c r="J2235" s="8">
        <v>2462</v>
      </c>
      <c r="K2235" s="5" t="s">
        <v>4</v>
      </c>
      <c r="L2235">
        <f t="shared" si="34"/>
        <v>4</v>
      </c>
    </row>
    <row r="2236" spans="1:12" x14ac:dyDescent="0.25">
      <c r="A2236" s="5">
        <v>47749</v>
      </c>
      <c r="B2236" t="s">
        <v>8965</v>
      </c>
      <c r="C2236" s="5" t="s">
        <v>10280</v>
      </c>
      <c r="D2236" t="s">
        <v>8966</v>
      </c>
      <c r="E2236" s="5" t="s">
        <v>1532</v>
      </c>
      <c r="F2236" s="6">
        <v>46120.625694444447</v>
      </c>
      <c r="G2236" s="5" t="s">
        <v>7595</v>
      </c>
      <c r="H2236" t="s">
        <v>7482</v>
      </c>
      <c r="I2236" s="5" t="s">
        <v>1535</v>
      </c>
      <c r="J2236" s="8">
        <v>15505.8</v>
      </c>
      <c r="K2236" s="5" t="s">
        <v>4</v>
      </c>
      <c r="L2236">
        <f t="shared" si="34"/>
        <v>4</v>
      </c>
    </row>
    <row r="2237" spans="1:12" x14ac:dyDescent="0.25">
      <c r="A2237" s="5">
        <v>47750</v>
      </c>
      <c r="B2237" t="s">
        <v>8965</v>
      </c>
      <c r="C2237" s="5" t="s">
        <v>9154</v>
      </c>
      <c r="D2237" t="s">
        <v>8966</v>
      </c>
      <c r="E2237" s="5" t="s">
        <v>12991</v>
      </c>
      <c r="F2237" s="6">
        <v>46120.629166666666</v>
      </c>
      <c r="G2237" s="5" t="s">
        <v>7456</v>
      </c>
      <c r="H2237" s="5" t="s">
        <v>7522</v>
      </c>
      <c r="I2237" s="5" t="s">
        <v>1535</v>
      </c>
      <c r="J2237" s="8">
        <v>1368</v>
      </c>
      <c r="K2237" s="5" t="s">
        <v>4</v>
      </c>
      <c r="L2237">
        <f t="shared" si="34"/>
        <v>4</v>
      </c>
    </row>
    <row r="2238" spans="1:12" x14ac:dyDescent="0.25">
      <c r="A2238" s="5">
        <v>47751</v>
      </c>
      <c r="B2238" t="s">
        <v>8965</v>
      </c>
      <c r="C2238" s="5" t="s">
        <v>9154</v>
      </c>
      <c r="D2238" t="s">
        <v>8966</v>
      </c>
      <c r="E2238" s="5" t="s">
        <v>1532</v>
      </c>
      <c r="F2238" s="6">
        <v>46120.634722222225</v>
      </c>
      <c r="G2238" s="5" t="s">
        <v>7595</v>
      </c>
      <c r="H2238" t="s">
        <v>7482</v>
      </c>
      <c r="I2238" s="5" t="s">
        <v>1535</v>
      </c>
      <c r="J2238" s="8">
        <v>473.3</v>
      </c>
      <c r="K2238" s="5" t="s">
        <v>4</v>
      </c>
      <c r="L2238">
        <f t="shared" si="34"/>
        <v>4</v>
      </c>
    </row>
    <row r="2239" spans="1:12" x14ac:dyDescent="0.25">
      <c r="A2239" s="5">
        <v>47752</v>
      </c>
      <c r="B2239" t="s">
        <v>12992</v>
      </c>
      <c r="C2239" s="5" t="s">
        <v>772</v>
      </c>
      <c r="D2239" t="s">
        <v>12993</v>
      </c>
      <c r="E2239" s="5" t="s">
        <v>6107</v>
      </c>
      <c r="F2239" s="6">
        <v>46120.64166666667</v>
      </c>
      <c r="G2239" s="5" t="s">
        <v>7456</v>
      </c>
      <c r="H2239" s="5" t="s">
        <v>12994</v>
      </c>
      <c r="I2239" s="5" t="s">
        <v>1564</v>
      </c>
      <c r="J2239" s="8">
        <v>88.49</v>
      </c>
      <c r="K2239" s="5" t="s">
        <v>4</v>
      </c>
      <c r="L2239">
        <f t="shared" si="34"/>
        <v>4</v>
      </c>
    </row>
    <row r="2240" spans="1:12" x14ac:dyDescent="0.25">
      <c r="A2240" s="5">
        <v>47753</v>
      </c>
      <c r="B2240" t="s">
        <v>12995</v>
      </c>
      <c r="C2240" s="5" t="s">
        <v>780</v>
      </c>
      <c r="D2240" t="s">
        <v>10553</v>
      </c>
      <c r="E2240" s="5" t="s">
        <v>1813</v>
      </c>
      <c r="F2240" s="6">
        <v>46120.647916666669</v>
      </c>
      <c r="G2240" s="5" t="s">
        <v>7456</v>
      </c>
      <c r="H2240" s="5" t="s">
        <v>12996</v>
      </c>
      <c r="I2240" s="5" t="s">
        <v>1535</v>
      </c>
      <c r="J2240" s="8">
        <v>266</v>
      </c>
      <c r="K2240" s="5" t="s">
        <v>4</v>
      </c>
      <c r="L2240">
        <f t="shared" si="34"/>
        <v>4</v>
      </c>
    </row>
    <row r="2241" spans="1:12" x14ac:dyDescent="0.25">
      <c r="A2241" s="5">
        <v>47754</v>
      </c>
      <c r="B2241" t="s">
        <v>10158</v>
      </c>
      <c r="C2241" s="5" t="s">
        <v>10159</v>
      </c>
      <c r="D2241" t="s">
        <v>10160</v>
      </c>
      <c r="E2241" s="5" t="s">
        <v>2875</v>
      </c>
      <c r="F2241" s="6">
        <v>46120.682638888888</v>
      </c>
      <c r="G2241" s="5" t="s">
        <v>7595</v>
      </c>
      <c r="H2241" t="s">
        <v>7482</v>
      </c>
      <c r="I2241" s="5" t="s">
        <v>1535</v>
      </c>
      <c r="J2241" s="8">
        <v>313</v>
      </c>
      <c r="K2241" s="5" t="s">
        <v>4</v>
      </c>
      <c r="L2241">
        <f t="shared" si="34"/>
        <v>4</v>
      </c>
    </row>
    <row r="2242" spans="1:12" x14ac:dyDescent="0.25">
      <c r="A2242" s="5">
        <v>47755</v>
      </c>
      <c r="B2242" t="s">
        <v>9931</v>
      </c>
      <c r="C2242" s="5" t="s">
        <v>9932</v>
      </c>
      <c r="D2242" t="s">
        <v>9933</v>
      </c>
      <c r="E2242" s="5" t="s">
        <v>5617</v>
      </c>
      <c r="F2242" s="6">
        <v>46120.688194444447</v>
      </c>
      <c r="G2242" s="5" t="s">
        <v>7456</v>
      </c>
      <c r="H2242" t="s">
        <v>7482</v>
      </c>
      <c r="I2242" s="5" t="s">
        <v>1564</v>
      </c>
      <c r="J2242" s="8">
        <v>135</v>
      </c>
      <c r="K2242" s="5" t="s">
        <v>4</v>
      </c>
      <c r="L2242">
        <f t="shared" si="34"/>
        <v>4</v>
      </c>
    </row>
    <row r="2243" spans="1:12" x14ac:dyDescent="0.25">
      <c r="A2243" s="5">
        <v>47756</v>
      </c>
      <c r="B2243" t="s">
        <v>8965</v>
      </c>
      <c r="C2243" s="5" t="s">
        <v>9333</v>
      </c>
      <c r="D2243" t="s">
        <v>8966</v>
      </c>
      <c r="E2243" s="5" t="s">
        <v>7229</v>
      </c>
      <c r="F2243" s="6">
        <v>46120.688888888886</v>
      </c>
      <c r="G2243" s="5" t="s">
        <v>7456</v>
      </c>
      <c r="H2243" s="5" t="s">
        <v>12997</v>
      </c>
      <c r="I2243" s="5" t="s">
        <v>1535</v>
      </c>
      <c r="J2243" s="8">
        <v>22.8</v>
      </c>
      <c r="K2243" s="5" t="s">
        <v>4</v>
      </c>
      <c r="L2243">
        <f t="shared" ref="L2243:L2306" si="35">MONTH(F2243)</f>
        <v>4</v>
      </c>
    </row>
    <row r="2244" spans="1:12" x14ac:dyDescent="0.25">
      <c r="A2244" s="5">
        <v>47757</v>
      </c>
      <c r="B2244" t="s">
        <v>12998</v>
      </c>
      <c r="C2244" s="5" t="s">
        <v>12999</v>
      </c>
      <c r="D2244" t="s">
        <v>13000</v>
      </c>
      <c r="E2244" s="5" t="s">
        <v>3823</v>
      </c>
      <c r="F2244" s="6">
        <v>46120.747916666667</v>
      </c>
      <c r="G2244" s="5" t="s">
        <v>7456</v>
      </c>
      <c r="H2244" s="5" t="s">
        <v>13001</v>
      </c>
      <c r="I2244" s="5" t="s">
        <v>1564</v>
      </c>
      <c r="J2244" s="8">
        <v>281.49</v>
      </c>
      <c r="K2244" s="5" t="s">
        <v>4</v>
      </c>
      <c r="L2244">
        <f t="shared" si="35"/>
        <v>4</v>
      </c>
    </row>
    <row r="2245" spans="1:12" x14ac:dyDescent="0.25">
      <c r="A2245" s="5">
        <v>47758</v>
      </c>
      <c r="B2245" t="s">
        <v>13002</v>
      </c>
      <c r="C2245" s="5" t="s">
        <v>13003</v>
      </c>
      <c r="D2245" t="s">
        <v>13004</v>
      </c>
      <c r="E2245" s="5" t="s">
        <v>1770</v>
      </c>
      <c r="F2245" s="6">
        <v>46121.351388888892</v>
      </c>
      <c r="G2245" s="5" t="s">
        <v>7456</v>
      </c>
      <c r="H2245" s="5" t="s">
        <v>13005</v>
      </c>
      <c r="I2245" s="5" t="s">
        <v>1564</v>
      </c>
      <c r="J2245" s="8">
        <v>912</v>
      </c>
      <c r="K2245" s="5" t="s">
        <v>4</v>
      </c>
      <c r="L2245">
        <f t="shared" si="35"/>
        <v>4</v>
      </c>
    </row>
    <row r="2246" spans="1:12" x14ac:dyDescent="0.25">
      <c r="A2246" s="5">
        <v>47760</v>
      </c>
      <c r="B2246" t="s">
        <v>13006</v>
      </c>
      <c r="C2246" s="5" t="s">
        <v>13007</v>
      </c>
      <c r="D2246" t="s">
        <v>13008</v>
      </c>
      <c r="E2246" s="5" t="s">
        <v>1813</v>
      </c>
      <c r="F2246" s="6">
        <v>46121.378472222219</v>
      </c>
      <c r="G2246" s="5" t="s">
        <v>7456</v>
      </c>
      <c r="H2246" s="5" t="s">
        <v>13009</v>
      </c>
      <c r="I2246" s="5" t="s">
        <v>1535</v>
      </c>
      <c r="J2246" s="8">
        <v>384</v>
      </c>
      <c r="K2246" s="5" t="s">
        <v>4</v>
      </c>
      <c r="L2246">
        <f t="shared" si="35"/>
        <v>4</v>
      </c>
    </row>
    <row r="2247" spans="1:12" x14ac:dyDescent="0.25">
      <c r="A2247" s="5">
        <v>47761</v>
      </c>
      <c r="B2247" t="s">
        <v>13010</v>
      </c>
      <c r="C2247" s="5" t="s">
        <v>13011</v>
      </c>
      <c r="D2247" t="s">
        <v>13012</v>
      </c>
      <c r="E2247" s="5" t="s">
        <v>1592</v>
      </c>
      <c r="F2247" s="6">
        <v>46121.387499999997</v>
      </c>
      <c r="G2247" s="5" t="s">
        <v>7456</v>
      </c>
      <c r="H2247" s="5" t="s">
        <v>13013</v>
      </c>
      <c r="I2247" s="5" t="s">
        <v>1564</v>
      </c>
      <c r="J2247" s="8">
        <v>5599.85</v>
      </c>
      <c r="K2247" s="5" t="s">
        <v>4</v>
      </c>
      <c r="L2247">
        <f t="shared" si="35"/>
        <v>4</v>
      </c>
    </row>
    <row r="2248" spans="1:12" x14ac:dyDescent="0.25">
      <c r="A2248" s="5">
        <v>47763</v>
      </c>
      <c r="B2248" t="s">
        <v>13014</v>
      </c>
      <c r="C2248" s="5" t="s">
        <v>13015</v>
      </c>
      <c r="D2248" t="s">
        <v>13016</v>
      </c>
      <c r="E2248" s="5" t="s">
        <v>1567</v>
      </c>
      <c r="F2248" s="6">
        <v>46121.395833333336</v>
      </c>
      <c r="G2248" s="5" t="s">
        <v>7672</v>
      </c>
      <c r="H2248" t="s">
        <v>8626</v>
      </c>
      <c r="I2248" s="5" t="s">
        <v>1564</v>
      </c>
      <c r="J2248" s="8">
        <v>1663.5</v>
      </c>
      <c r="K2248" s="5" t="s">
        <v>4</v>
      </c>
      <c r="L2248">
        <f t="shared" si="35"/>
        <v>4</v>
      </c>
    </row>
    <row r="2249" spans="1:12" x14ac:dyDescent="0.25">
      <c r="A2249" s="5">
        <v>47769</v>
      </c>
      <c r="B2249" t="s">
        <v>13017</v>
      </c>
      <c r="C2249" s="5" t="s">
        <v>13018</v>
      </c>
      <c r="D2249" t="s">
        <v>13019</v>
      </c>
      <c r="E2249" s="5" t="s">
        <v>1813</v>
      </c>
      <c r="F2249" s="6">
        <v>46121.411805555559</v>
      </c>
      <c r="G2249" s="5" t="s">
        <v>7456</v>
      </c>
      <c r="H2249" s="5" t="s">
        <v>13020</v>
      </c>
      <c r="I2249" s="5" t="s">
        <v>1535</v>
      </c>
      <c r="J2249" s="8">
        <v>253.9</v>
      </c>
      <c r="K2249" s="5" t="s">
        <v>4</v>
      </c>
      <c r="L2249">
        <f t="shared" si="35"/>
        <v>4</v>
      </c>
    </row>
    <row r="2250" spans="1:12" x14ac:dyDescent="0.25">
      <c r="A2250" s="5">
        <v>47770</v>
      </c>
      <c r="B2250" t="s">
        <v>11386</v>
      </c>
      <c r="C2250" s="5" t="s">
        <v>11387</v>
      </c>
      <c r="D2250" t="s">
        <v>11388</v>
      </c>
      <c r="E2250" s="5" t="s">
        <v>3983</v>
      </c>
      <c r="F2250" s="6">
        <v>46121.414583333331</v>
      </c>
      <c r="G2250" s="5" t="s">
        <v>13021</v>
      </c>
      <c r="H2250" t="s">
        <v>7482</v>
      </c>
      <c r="I2250" s="5" t="s">
        <v>1535</v>
      </c>
      <c r="J2250" s="8">
        <v>790</v>
      </c>
      <c r="K2250" s="5" t="s">
        <v>4</v>
      </c>
      <c r="L2250">
        <f t="shared" si="35"/>
        <v>4</v>
      </c>
    </row>
    <row r="2251" spans="1:12" x14ac:dyDescent="0.25">
      <c r="A2251" s="5">
        <v>47771</v>
      </c>
      <c r="B2251" t="s">
        <v>13022</v>
      </c>
      <c r="C2251" s="5" t="s">
        <v>13023</v>
      </c>
      <c r="D2251" t="s">
        <v>13024</v>
      </c>
      <c r="E2251" s="5" t="s">
        <v>1770</v>
      </c>
      <c r="F2251" s="6">
        <v>46121.417361111111</v>
      </c>
      <c r="G2251" s="5" t="s">
        <v>7456</v>
      </c>
      <c r="H2251" s="5" t="s">
        <v>13025</v>
      </c>
      <c r="I2251" s="5" t="s">
        <v>1564</v>
      </c>
      <c r="J2251" s="8">
        <v>180</v>
      </c>
      <c r="K2251" s="5" t="s">
        <v>4</v>
      </c>
      <c r="L2251">
        <f t="shared" si="35"/>
        <v>4</v>
      </c>
    </row>
    <row r="2252" spans="1:12" x14ac:dyDescent="0.25">
      <c r="A2252" s="5">
        <v>47774</v>
      </c>
      <c r="B2252" t="s">
        <v>13026</v>
      </c>
      <c r="C2252" s="5" t="s">
        <v>11355</v>
      </c>
      <c r="D2252" t="s">
        <v>11356</v>
      </c>
      <c r="E2252" s="5" t="s">
        <v>1813</v>
      </c>
      <c r="F2252" s="6">
        <v>46121.425694444442</v>
      </c>
      <c r="G2252" s="5" t="s">
        <v>7456</v>
      </c>
      <c r="H2252" s="5" t="s">
        <v>13027</v>
      </c>
      <c r="I2252" s="5" t="s">
        <v>1535</v>
      </c>
      <c r="J2252" s="8">
        <v>326</v>
      </c>
      <c r="K2252" s="5" t="s">
        <v>4</v>
      </c>
      <c r="L2252">
        <f t="shared" si="35"/>
        <v>4</v>
      </c>
    </row>
    <row r="2253" spans="1:12" x14ac:dyDescent="0.25">
      <c r="A2253" s="5">
        <v>47775</v>
      </c>
      <c r="B2253" t="s">
        <v>11354</v>
      </c>
      <c r="C2253" s="5" t="s">
        <v>11355</v>
      </c>
      <c r="D2253" t="s">
        <v>11356</v>
      </c>
      <c r="E2253" s="5" t="s">
        <v>1532</v>
      </c>
      <c r="F2253" s="6">
        <v>46121.431944444441</v>
      </c>
      <c r="G2253" s="5" t="s">
        <v>7456</v>
      </c>
      <c r="H2253" s="5" t="s">
        <v>13028</v>
      </c>
      <c r="I2253" s="5" t="s">
        <v>1535</v>
      </c>
      <c r="J2253" s="8">
        <v>216.5</v>
      </c>
      <c r="K2253" s="5" t="s">
        <v>4</v>
      </c>
      <c r="L2253">
        <f t="shared" si="35"/>
        <v>4</v>
      </c>
    </row>
    <row r="2254" spans="1:12" x14ac:dyDescent="0.25">
      <c r="A2254" s="5">
        <v>47776</v>
      </c>
      <c r="B2254" t="s">
        <v>11358</v>
      </c>
      <c r="C2254" s="5" t="s">
        <v>11082</v>
      </c>
      <c r="D2254" t="s">
        <v>11356</v>
      </c>
      <c r="E2254" s="5" t="s">
        <v>1532</v>
      </c>
      <c r="F2254" s="6">
        <v>46121.445833333331</v>
      </c>
      <c r="G2254" s="5" t="s">
        <v>7456</v>
      </c>
      <c r="H2254" s="5" t="s">
        <v>13029</v>
      </c>
      <c r="I2254" s="5" t="s">
        <v>1535</v>
      </c>
      <c r="J2254" s="8">
        <v>890.4</v>
      </c>
      <c r="K2254" s="5" t="s">
        <v>4</v>
      </c>
      <c r="L2254">
        <f t="shared" si="35"/>
        <v>4</v>
      </c>
    </row>
    <row r="2255" spans="1:12" x14ac:dyDescent="0.25">
      <c r="A2255" s="5">
        <v>47780</v>
      </c>
      <c r="B2255" t="s">
        <v>13030</v>
      </c>
      <c r="C2255" s="5" t="s">
        <v>13031</v>
      </c>
      <c r="D2255" t="s">
        <v>13032</v>
      </c>
      <c r="E2255" s="5" t="s">
        <v>1759</v>
      </c>
      <c r="F2255" s="6">
        <v>46121.474999999999</v>
      </c>
      <c r="G2255" s="5" t="s">
        <v>7456</v>
      </c>
      <c r="H2255" s="5" t="s">
        <v>13033</v>
      </c>
      <c r="I2255" s="5" t="s">
        <v>1564</v>
      </c>
      <c r="J2255" s="8">
        <v>522.02</v>
      </c>
      <c r="K2255" s="5" t="s">
        <v>4</v>
      </c>
      <c r="L2255">
        <f t="shared" si="35"/>
        <v>4</v>
      </c>
    </row>
    <row r="2256" spans="1:12" x14ac:dyDescent="0.25">
      <c r="A2256" s="5">
        <v>47781</v>
      </c>
      <c r="B2256" t="s">
        <v>13034</v>
      </c>
      <c r="C2256" s="5" t="s">
        <v>13035</v>
      </c>
      <c r="D2256" t="s">
        <v>13036</v>
      </c>
      <c r="E2256" s="5" t="s">
        <v>1759</v>
      </c>
      <c r="F2256" s="6">
        <v>46121.479861111111</v>
      </c>
      <c r="G2256" s="5" t="s">
        <v>7456</v>
      </c>
      <c r="H2256" s="5" t="s">
        <v>13037</v>
      </c>
      <c r="I2256" s="5" t="s">
        <v>1564</v>
      </c>
      <c r="J2256" s="8">
        <v>189</v>
      </c>
      <c r="K2256" s="5" t="s">
        <v>4</v>
      </c>
      <c r="L2256">
        <f t="shared" si="35"/>
        <v>4</v>
      </c>
    </row>
    <row r="2257" spans="1:12" x14ac:dyDescent="0.25">
      <c r="A2257" s="5">
        <v>47782</v>
      </c>
      <c r="B2257" t="s">
        <v>13038</v>
      </c>
      <c r="C2257" s="5" t="s">
        <v>13039</v>
      </c>
      <c r="D2257" t="s">
        <v>12522</v>
      </c>
      <c r="E2257" s="5" t="s">
        <v>1663</v>
      </c>
      <c r="F2257" s="6">
        <v>46121.521527777775</v>
      </c>
      <c r="G2257" s="5" t="s">
        <v>7672</v>
      </c>
      <c r="H2257" t="s">
        <v>8626</v>
      </c>
      <c r="I2257" s="5" t="s">
        <v>1564</v>
      </c>
      <c r="J2257" s="8">
        <v>1555</v>
      </c>
      <c r="K2257" s="5" t="s">
        <v>4</v>
      </c>
      <c r="L2257">
        <f t="shared" si="35"/>
        <v>4</v>
      </c>
    </row>
    <row r="2258" spans="1:12" x14ac:dyDescent="0.25">
      <c r="A2258" s="5">
        <v>47783</v>
      </c>
      <c r="B2258" t="s">
        <v>13040</v>
      </c>
      <c r="C2258" s="5" t="s">
        <v>13041</v>
      </c>
      <c r="D2258" t="s">
        <v>13042</v>
      </c>
      <c r="E2258" s="5" t="s">
        <v>1800</v>
      </c>
      <c r="F2258" s="6">
        <v>46121.52847222222</v>
      </c>
      <c r="G2258" s="5" t="s">
        <v>7456</v>
      </c>
      <c r="H2258" s="5" t="s">
        <v>13043</v>
      </c>
      <c r="I2258" s="5" t="s">
        <v>1564</v>
      </c>
      <c r="J2258" s="8">
        <v>1599.5</v>
      </c>
      <c r="K2258" s="5" t="s">
        <v>4</v>
      </c>
      <c r="L2258">
        <f t="shared" si="35"/>
        <v>4</v>
      </c>
    </row>
    <row r="2259" spans="1:12" x14ac:dyDescent="0.25">
      <c r="A2259" s="5">
        <v>47784</v>
      </c>
      <c r="B2259" t="s">
        <v>8789</v>
      </c>
      <c r="C2259" s="5" t="s">
        <v>9285</v>
      </c>
      <c r="D2259" t="s">
        <v>8791</v>
      </c>
      <c r="E2259" s="5" t="s">
        <v>1548</v>
      </c>
      <c r="F2259" s="6">
        <v>46121.587500000001</v>
      </c>
      <c r="G2259" s="5" t="s">
        <v>7595</v>
      </c>
      <c r="H2259" t="s">
        <v>7482</v>
      </c>
      <c r="I2259" s="5" t="s">
        <v>1535</v>
      </c>
      <c r="J2259" s="8">
        <v>359</v>
      </c>
      <c r="K2259" s="5" t="s">
        <v>4</v>
      </c>
      <c r="L2259">
        <f t="shared" si="35"/>
        <v>4</v>
      </c>
    </row>
    <row r="2260" spans="1:12" x14ac:dyDescent="0.25">
      <c r="A2260" s="5">
        <v>47785</v>
      </c>
      <c r="B2260" t="s">
        <v>13044</v>
      </c>
      <c r="C2260" s="5" t="s">
        <v>13045</v>
      </c>
      <c r="D2260" t="s">
        <v>13046</v>
      </c>
      <c r="E2260" s="5" t="s">
        <v>2306</v>
      </c>
      <c r="F2260" s="6">
        <v>46121.604861111111</v>
      </c>
      <c r="G2260" s="5" t="s">
        <v>7456</v>
      </c>
      <c r="H2260" s="5" t="s">
        <v>13047</v>
      </c>
      <c r="I2260" s="5" t="s">
        <v>1564</v>
      </c>
      <c r="J2260" s="8">
        <v>295.39999999999998</v>
      </c>
      <c r="K2260" s="5" t="s">
        <v>4</v>
      </c>
      <c r="L2260">
        <f t="shared" si="35"/>
        <v>4</v>
      </c>
    </row>
    <row r="2261" spans="1:12" x14ac:dyDescent="0.25">
      <c r="A2261" s="5">
        <v>47786</v>
      </c>
      <c r="B2261" t="s">
        <v>13048</v>
      </c>
      <c r="C2261" s="5" t="s">
        <v>13049</v>
      </c>
      <c r="D2261" t="s">
        <v>13050</v>
      </c>
      <c r="E2261" s="5" t="s">
        <v>1738</v>
      </c>
      <c r="F2261" s="6">
        <v>46121.609027777777</v>
      </c>
      <c r="G2261" s="5" t="s">
        <v>7456</v>
      </c>
      <c r="H2261" s="5" t="s">
        <v>13051</v>
      </c>
      <c r="I2261" s="5" t="s">
        <v>1564</v>
      </c>
      <c r="J2261" s="8">
        <v>220</v>
      </c>
      <c r="K2261" s="5" t="s">
        <v>4</v>
      </c>
      <c r="L2261">
        <f t="shared" si="35"/>
        <v>4</v>
      </c>
    </row>
    <row r="2262" spans="1:12" x14ac:dyDescent="0.25">
      <c r="A2262" s="5">
        <v>47787</v>
      </c>
      <c r="B2262" t="s">
        <v>13052</v>
      </c>
      <c r="C2262" s="5" t="s">
        <v>13053</v>
      </c>
      <c r="D2262" t="s">
        <v>13054</v>
      </c>
      <c r="E2262" s="5" t="s">
        <v>1532</v>
      </c>
      <c r="F2262" s="6">
        <v>46121.616666666669</v>
      </c>
      <c r="G2262" s="5" t="s">
        <v>7456</v>
      </c>
      <c r="H2262" s="5" t="s">
        <v>13055</v>
      </c>
      <c r="I2262" s="5" t="s">
        <v>1535</v>
      </c>
      <c r="J2262" s="8">
        <v>600</v>
      </c>
      <c r="K2262" s="5" t="s">
        <v>4</v>
      </c>
      <c r="L2262">
        <f t="shared" si="35"/>
        <v>4</v>
      </c>
    </row>
    <row r="2263" spans="1:12" x14ac:dyDescent="0.25">
      <c r="A2263" s="5">
        <v>47788</v>
      </c>
      <c r="B2263" t="s">
        <v>13056</v>
      </c>
      <c r="C2263" s="5" t="s">
        <v>13057</v>
      </c>
      <c r="D2263" t="s">
        <v>13058</v>
      </c>
      <c r="E2263" s="5" t="s">
        <v>5544</v>
      </c>
      <c r="F2263" s="6">
        <v>46121.621527777781</v>
      </c>
      <c r="G2263" s="5" t="s">
        <v>7456</v>
      </c>
      <c r="H2263" s="5" t="s">
        <v>13059</v>
      </c>
      <c r="I2263" s="5" t="s">
        <v>1535</v>
      </c>
      <c r="J2263" s="8">
        <v>119</v>
      </c>
      <c r="K2263" s="5" t="s">
        <v>4</v>
      </c>
      <c r="L2263">
        <f t="shared" si="35"/>
        <v>4</v>
      </c>
    </row>
    <row r="2264" spans="1:12" x14ac:dyDescent="0.25">
      <c r="A2264" s="5">
        <v>47789</v>
      </c>
      <c r="B2264" t="s">
        <v>7453</v>
      </c>
      <c r="C2264" s="5" t="s">
        <v>7454</v>
      </c>
      <c r="D2264" t="s">
        <v>7455</v>
      </c>
      <c r="E2264" s="5" t="s">
        <v>1548</v>
      </c>
      <c r="F2264" s="6">
        <v>46121.65</v>
      </c>
      <c r="G2264" s="5" t="s">
        <v>7595</v>
      </c>
      <c r="H2264" t="s">
        <v>7482</v>
      </c>
      <c r="I2264" s="5" t="s">
        <v>1535</v>
      </c>
      <c r="J2264" s="8">
        <v>155</v>
      </c>
      <c r="K2264" s="5" t="s">
        <v>4</v>
      </c>
      <c r="L2264">
        <f t="shared" si="35"/>
        <v>4</v>
      </c>
    </row>
    <row r="2265" spans="1:12" x14ac:dyDescent="0.25">
      <c r="A2265" s="5">
        <v>47790</v>
      </c>
      <c r="B2265" t="s">
        <v>13060</v>
      </c>
      <c r="C2265" s="5" t="s">
        <v>13061</v>
      </c>
      <c r="D2265" t="s">
        <v>13062</v>
      </c>
      <c r="E2265" s="5" t="s">
        <v>13063</v>
      </c>
      <c r="F2265" s="6">
        <v>46121.688194444447</v>
      </c>
      <c r="G2265" s="5" t="s">
        <v>7672</v>
      </c>
      <c r="H2265" t="s">
        <v>7482</v>
      </c>
      <c r="I2265" s="5" t="s">
        <v>1564</v>
      </c>
      <c r="J2265" s="8">
        <v>20341.5</v>
      </c>
      <c r="K2265" s="5" t="s">
        <v>4</v>
      </c>
      <c r="L2265">
        <f t="shared" si="35"/>
        <v>4</v>
      </c>
    </row>
    <row r="2266" spans="1:12" x14ac:dyDescent="0.25">
      <c r="A2266" s="5">
        <v>47791</v>
      </c>
      <c r="B2266" t="s">
        <v>12649</v>
      </c>
      <c r="C2266" s="5" t="s">
        <v>12001</v>
      </c>
      <c r="D2266" t="s">
        <v>12650</v>
      </c>
      <c r="E2266" s="5" t="s">
        <v>1892</v>
      </c>
      <c r="F2266" s="6">
        <v>46121.695833333331</v>
      </c>
      <c r="G2266" s="5" t="s">
        <v>7456</v>
      </c>
      <c r="H2266" s="5" t="s">
        <v>13064</v>
      </c>
      <c r="I2266" s="5" t="s">
        <v>1564</v>
      </c>
      <c r="J2266" s="8">
        <v>865</v>
      </c>
      <c r="K2266" s="5" t="s">
        <v>4</v>
      </c>
      <c r="L2266">
        <f t="shared" si="35"/>
        <v>4</v>
      </c>
    </row>
    <row r="2267" spans="1:12" x14ac:dyDescent="0.25">
      <c r="A2267" s="5">
        <v>47792</v>
      </c>
      <c r="B2267" t="s">
        <v>13065</v>
      </c>
      <c r="C2267" s="5" t="s">
        <v>13066</v>
      </c>
      <c r="D2267" t="s">
        <v>13067</v>
      </c>
      <c r="E2267" s="5" t="s">
        <v>2155</v>
      </c>
      <c r="F2267" s="6">
        <v>46121.712500000001</v>
      </c>
      <c r="G2267" s="5" t="s">
        <v>7456</v>
      </c>
      <c r="H2267" s="5" t="s">
        <v>13068</v>
      </c>
      <c r="I2267" s="5" t="s">
        <v>1564</v>
      </c>
      <c r="J2267" s="8">
        <v>1000</v>
      </c>
      <c r="K2267" s="5" t="s">
        <v>4</v>
      </c>
      <c r="L2267">
        <f t="shared" si="35"/>
        <v>4</v>
      </c>
    </row>
    <row r="2268" spans="1:12" x14ac:dyDescent="0.25">
      <c r="A2268" s="5">
        <v>47793</v>
      </c>
      <c r="B2268" t="s">
        <v>13069</v>
      </c>
      <c r="C2268" s="5" t="s">
        <v>13070</v>
      </c>
      <c r="D2268" t="s">
        <v>13071</v>
      </c>
      <c r="E2268" s="5" t="s">
        <v>6424</v>
      </c>
      <c r="F2268" s="6">
        <v>46121.756944444445</v>
      </c>
      <c r="G2268" s="5" t="s">
        <v>7456</v>
      </c>
      <c r="H2268" s="5" t="s">
        <v>13072</v>
      </c>
      <c r="I2268" s="5" t="s">
        <v>1564</v>
      </c>
      <c r="J2268" s="8">
        <v>66.72</v>
      </c>
      <c r="K2268" s="5" t="s">
        <v>4</v>
      </c>
      <c r="L2268">
        <f t="shared" si="35"/>
        <v>4</v>
      </c>
    </row>
    <row r="2269" spans="1:12" x14ac:dyDescent="0.25">
      <c r="A2269" s="5">
        <v>47794</v>
      </c>
      <c r="B2269" t="s">
        <v>13073</v>
      </c>
      <c r="C2269" s="5" t="s">
        <v>13074</v>
      </c>
      <c r="D2269" t="s">
        <v>13075</v>
      </c>
      <c r="E2269" s="5" t="s">
        <v>6324</v>
      </c>
      <c r="F2269" s="6">
        <v>46121.761805555558</v>
      </c>
      <c r="G2269" s="5" t="s">
        <v>7456</v>
      </c>
      <c r="H2269" s="5" t="s">
        <v>13076</v>
      </c>
      <c r="I2269" s="5" t="s">
        <v>1564</v>
      </c>
      <c r="J2269" s="8">
        <v>73.17</v>
      </c>
      <c r="K2269" s="5" t="s">
        <v>4</v>
      </c>
      <c r="L2269">
        <f t="shared" si="35"/>
        <v>4</v>
      </c>
    </row>
    <row r="2270" spans="1:12" x14ac:dyDescent="0.25">
      <c r="A2270" s="5">
        <v>47795</v>
      </c>
      <c r="B2270" t="s">
        <v>13077</v>
      </c>
      <c r="C2270" s="5" t="s">
        <v>13078</v>
      </c>
      <c r="D2270" t="s">
        <v>13079</v>
      </c>
      <c r="E2270" s="5" t="s">
        <v>6275</v>
      </c>
      <c r="F2270" s="6">
        <v>46121.765277777777</v>
      </c>
      <c r="G2270" s="5" t="s">
        <v>7456</v>
      </c>
      <c r="H2270" s="5" t="s">
        <v>13080</v>
      </c>
      <c r="I2270" s="5" t="s">
        <v>1564</v>
      </c>
      <c r="J2270" s="8">
        <v>76.61</v>
      </c>
      <c r="K2270" s="5" t="s">
        <v>4</v>
      </c>
      <c r="L2270">
        <f t="shared" si="35"/>
        <v>4</v>
      </c>
    </row>
    <row r="2271" spans="1:12" x14ac:dyDescent="0.25">
      <c r="A2271" s="5">
        <v>47796</v>
      </c>
      <c r="B2271" t="s">
        <v>13081</v>
      </c>
      <c r="C2271" s="5" t="s">
        <v>360</v>
      </c>
      <c r="D2271" t="s">
        <v>13082</v>
      </c>
      <c r="E2271" s="5" t="s">
        <v>6752</v>
      </c>
      <c r="F2271" s="6">
        <v>46121.768750000003</v>
      </c>
      <c r="G2271" s="5" t="s">
        <v>7456</v>
      </c>
      <c r="H2271" s="5" t="s">
        <v>13083</v>
      </c>
      <c r="I2271" s="5" t="s">
        <v>1564</v>
      </c>
      <c r="J2271" s="8">
        <v>49.69</v>
      </c>
      <c r="K2271" s="5" t="s">
        <v>4</v>
      </c>
      <c r="L2271">
        <f t="shared" si="35"/>
        <v>4</v>
      </c>
    </row>
    <row r="2272" spans="1:12" x14ac:dyDescent="0.25">
      <c r="A2272" s="5">
        <v>47797</v>
      </c>
      <c r="B2272" t="s">
        <v>13084</v>
      </c>
      <c r="C2272" s="5" t="s">
        <v>361</v>
      </c>
      <c r="D2272" t="s">
        <v>13085</v>
      </c>
      <c r="E2272" s="5" t="s">
        <v>5401</v>
      </c>
      <c r="F2272" s="6">
        <v>46121.772916666669</v>
      </c>
      <c r="G2272" s="5" t="s">
        <v>7456</v>
      </c>
      <c r="H2272" s="5" t="s">
        <v>13086</v>
      </c>
      <c r="I2272" s="5" t="s">
        <v>1564</v>
      </c>
      <c r="J2272" s="8">
        <v>131.36000000000001</v>
      </c>
      <c r="K2272" s="5" t="s">
        <v>4</v>
      </c>
      <c r="L2272">
        <f t="shared" si="35"/>
        <v>4</v>
      </c>
    </row>
    <row r="2273" spans="1:12" x14ac:dyDescent="0.25">
      <c r="A2273" s="5">
        <v>47798</v>
      </c>
      <c r="B2273" t="s">
        <v>13087</v>
      </c>
      <c r="C2273" s="5" t="s">
        <v>1403</v>
      </c>
      <c r="D2273" t="s">
        <v>13088</v>
      </c>
      <c r="E2273" s="5" t="s">
        <v>6495</v>
      </c>
      <c r="F2273" s="6">
        <v>46121.776388888888</v>
      </c>
      <c r="G2273" s="5" t="s">
        <v>7456</v>
      </c>
      <c r="H2273" s="5" t="s">
        <v>13089</v>
      </c>
      <c r="I2273" s="5" t="s">
        <v>1564</v>
      </c>
      <c r="J2273" s="8">
        <v>62.46</v>
      </c>
      <c r="K2273" s="5" t="s">
        <v>4</v>
      </c>
      <c r="L2273">
        <f t="shared" si="35"/>
        <v>4</v>
      </c>
    </row>
    <row r="2274" spans="1:12" x14ac:dyDescent="0.25">
      <c r="A2274" s="5">
        <v>47799</v>
      </c>
      <c r="B2274" t="s">
        <v>13090</v>
      </c>
      <c r="C2274" s="5" t="s">
        <v>22</v>
      </c>
      <c r="D2274" t="s">
        <v>13091</v>
      </c>
      <c r="E2274" s="5" t="s">
        <v>4852</v>
      </c>
      <c r="F2274" s="6">
        <v>46121.782638888886</v>
      </c>
      <c r="G2274" s="5" t="s">
        <v>7456</v>
      </c>
      <c r="H2274" s="5" t="s">
        <v>13092</v>
      </c>
      <c r="I2274" s="5" t="s">
        <v>1564</v>
      </c>
      <c r="J2274" s="8">
        <v>163.27000000000001</v>
      </c>
      <c r="K2274" s="5" t="s">
        <v>4</v>
      </c>
      <c r="L2274">
        <f t="shared" si="35"/>
        <v>4</v>
      </c>
    </row>
    <row r="2275" spans="1:12" x14ac:dyDescent="0.25">
      <c r="A2275" s="5">
        <v>47800</v>
      </c>
      <c r="B2275" t="s">
        <v>11515</v>
      </c>
      <c r="C2275" s="5" t="s">
        <v>13093</v>
      </c>
      <c r="D2275" t="s">
        <v>11517</v>
      </c>
      <c r="E2275" s="5" t="s">
        <v>1770</v>
      </c>
      <c r="F2275" s="6">
        <v>46122.324305555558</v>
      </c>
      <c r="G2275" s="5" t="s">
        <v>7456</v>
      </c>
      <c r="H2275" t="s">
        <v>7482</v>
      </c>
      <c r="I2275" s="5" t="s">
        <v>1564</v>
      </c>
      <c r="J2275" s="8">
        <v>1602.24</v>
      </c>
      <c r="K2275" s="5" t="s">
        <v>4</v>
      </c>
      <c r="L2275">
        <f t="shared" si="35"/>
        <v>4</v>
      </c>
    </row>
    <row r="2276" spans="1:12" x14ac:dyDescent="0.25">
      <c r="A2276" s="5">
        <v>47801</v>
      </c>
      <c r="B2276" t="s">
        <v>13094</v>
      </c>
      <c r="C2276" s="5" t="s">
        <v>13095</v>
      </c>
      <c r="D2276" t="s">
        <v>13096</v>
      </c>
      <c r="E2276" s="5" t="s">
        <v>7030</v>
      </c>
      <c r="F2276" s="6">
        <v>46122.338888888888</v>
      </c>
      <c r="G2276" s="5" t="s">
        <v>7456</v>
      </c>
      <c r="H2276" s="5" t="s">
        <v>13097</v>
      </c>
      <c r="I2276" s="5" t="s">
        <v>1564</v>
      </c>
      <c r="J2276" s="8">
        <v>32.44</v>
      </c>
      <c r="K2276" s="5" t="s">
        <v>4</v>
      </c>
      <c r="L2276">
        <f t="shared" si="35"/>
        <v>4</v>
      </c>
    </row>
    <row r="2277" spans="1:12" x14ac:dyDescent="0.25">
      <c r="A2277" s="5">
        <v>47802</v>
      </c>
      <c r="B2277" t="s">
        <v>8852</v>
      </c>
      <c r="C2277" s="5" t="s">
        <v>8853</v>
      </c>
      <c r="D2277" t="s">
        <v>8854</v>
      </c>
      <c r="E2277" s="5" t="s">
        <v>1532</v>
      </c>
      <c r="F2277" s="6">
        <v>46122.351388888892</v>
      </c>
      <c r="G2277" s="5" t="s">
        <v>7456</v>
      </c>
      <c r="H2277" s="5" t="s">
        <v>13098</v>
      </c>
      <c r="I2277" s="5" t="s">
        <v>1535</v>
      </c>
      <c r="J2277" s="8">
        <v>200.5</v>
      </c>
      <c r="K2277" s="5" t="s">
        <v>4</v>
      </c>
      <c r="L2277">
        <f t="shared" si="35"/>
        <v>4</v>
      </c>
    </row>
    <row r="2278" spans="1:12" x14ac:dyDescent="0.25">
      <c r="A2278" s="5">
        <v>47804</v>
      </c>
      <c r="B2278" t="s">
        <v>13099</v>
      </c>
      <c r="C2278" s="5" t="s">
        <v>13100</v>
      </c>
      <c r="D2278" t="s">
        <v>13101</v>
      </c>
      <c r="E2278" s="5" t="s">
        <v>13102</v>
      </c>
      <c r="F2278" s="6">
        <v>46122.356249999997</v>
      </c>
      <c r="G2278" s="5" t="s">
        <v>7672</v>
      </c>
      <c r="H2278" t="s">
        <v>7482</v>
      </c>
      <c r="I2278" s="5" t="s">
        <v>1564</v>
      </c>
      <c r="J2278" s="8">
        <v>6945.08</v>
      </c>
      <c r="K2278" s="5" t="s">
        <v>4</v>
      </c>
      <c r="L2278">
        <f t="shared" si="35"/>
        <v>4</v>
      </c>
    </row>
    <row r="2279" spans="1:12" x14ac:dyDescent="0.25">
      <c r="A2279" s="5">
        <v>47805</v>
      </c>
      <c r="B2279" t="s">
        <v>10648</v>
      </c>
      <c r="C2279" s="5" t="s">
        <v>7516</v>
      </c>
      <c r="D2279" t="s">
        <v>10649</v>
      </c>
      <c r="E2279" s="5" t="s">
        <v>1813</v>
      </c>
      <c r="F2279" s="6">
        <v>46122.393055555556</v>
      </c>
      <c r="G2279" s="5" t="s">
        <v>7456</v>
      </c>
      <c r="H2279" s="5" t="s">
        <v>13103</v>
      </c>
      <c r="I2279" s="5" t="s">
        <v>1535</v>
      </c>
      <c r="J2279" s="8">
        <v>130.80000000000001</v>
      </c>
      <c r="K2279" s="5" t="s">
        <v>4</v>
      </c>
      <c r="L2279">
        <f t="shared" si="35"/>
        <v>4</v>
      </c>
    </row>
    <row r="2280" spans="1:12" x14ac:dyDescent="0.25">
      <c r="A2280" s="5">
        <v>47807</v>
      </c>
      <c r="B2280" t="s">
        <v>13104</v>
      </c>
      <c r="C2280" s="5" t="s">
        <v>12767</v>
      </c>
      <c r="D2280" t="s">
        <v>12768</v>
      </c>
      <c r="E2280" s="5" t="s">
        <v>2615</v>
      </c>
      <c r="F2280" s="6">
        <v>46122.412499999999</v>
      </c>
      <c r="G2280" s="5" t="s">
        <v>7672</v>
      </c>
      <c r="H2280" t="s">
        <v>7482</v>
      </c>
      <c r="I2280" s="5" t="s">
        <v>1564</v>
      </c>
      <c r="J2280" s="8">
        <v>1054.7</v>
      </c>
      <c r="K2280" s="5" t="s">
        <v>4</v>
      </c>
      <c r="L2280">
        <f t="shared" si="35"/>
        <v>4</v>
      </c>
    </row>
    <row r="2281" spans="1:12" x14ac:dyDescent="0.25">
      <c r="A2281" s="5">
        <v>47809</v>
      </c>
      <c r="B2281" t="s">
        <v>12212</v>
      </c>
      <c r="C2281" s="5" t="s">
        <v>7516</v>
      </c>
      <c r="D2281" t="s">
        <v>12213</v>
      </c>
      <c r="E2281" s="5" t="s">
        <v>1770</v>
      </c>
      <c r="F2281" s="6">
        <v>46122.433333333334</v>
      </c>
      <c r="G2281" s="5" t="s">
        <v>7456</v>
      </c>
      <c r="H2281" s="5" t="s">
        <v>13105</v>
      </c>
      <c r="I2281" s="5" t="s">
        <v>1564</v>
      </c>
      <c r="J2281" s="8">
        <v>347</v>
      </c>
      <c r="K2281" s="5" t="s">
        <v>4</v>
      </c>
      <c r="L2281">
        <f t="shared" si="35"/>
        <v>4</v>
      </c>
    </row>
    <row r="2282" spans="1:12" x14ac:dyDescent="0.25">
      <c r="A2282" s="5">
        <v>47810</v>
      </c>
      <c r="B2282" t="s">
        <v>13106</v>
      </c>
      <c r="C2282" s="5" t="s">
        <v>10784</v>
      </c>
      <c r="D2282" t="s">
        <v>13107</v>
      </c>
      <c r="E2282" s="5" t="s">
        <v>1759</v>
      </c>
      <c r="F2282" s="6">
        <v>46122.450694444444</v>
      </c>
      <c r="G2282" s="5" t="s">
        <v>7456</v>
      </c>
      <c r="H2282" s="5" t="s">
        <v>13108</v>
      </c>
      <c r="I2282" s="5" t="s">
        <v>1564</v>
      </c>
      <c r="J2282" s="8">
        <v>410</v>
      </c>
      <c r="K2282" s="5" t="s">
        <v>4</v>
      </c>
      <c r="L2282">
        <f t="shared" si="35"/>
        <v>4</v>
      </c>
    </row>
    <row r="2283" spans="1:12" x14ac:dyDescent="0.25">
      <c r="A2283" s="5">
        <v>47811</v>
      </c>
      <c r="B2283" t="s">
        <v>11465</v>
      </c>
      <c r="C2283" s="5" t="s">
        <v>13109</v>
      </c>
      <c r="D2283" t="s">
        <v>11466</v>
      </c>
      <c r="E2283" s="5" t="s">
        <v>1770</v>
      </c>
      <c r="F2283" s="6">
        <v>46122.500694444447</v>
      </c>
      <c r="G2283" s="5" t="s">
        <v>7456</v>
      </c>
      <c r="H2283" s="5" t="s">
        <v>13110</v>
      </c>
      <c r="I2283" s="5" t="s">
        <v>1564</v>
      </c>
      <c r="J2283" s="8">
        <v>1066.72</v>
      </c>
      <c r="K2283" s="5" t="s">
        <v>4</v>
      </c>
      <c r="L2283">
        <f t="shared" si="35"/>
        <v>4</v>
      </c>
    </row>
    <row r="2284" spans="1:12" x14ac:dyDescent="0.25">
      <c r="A2284" s="5">
        <v>47812</v>
      </c>
      <c r="B2284" t="s">
        <v>9060</v>
      </c>
      <c r="C2284" s="5" t="s">
        <v>1482</v>
      </c>
      <c r="D2284" t="s">
        <v>9061</v>
      </c>
      <c r="E2284" s="5" t="s">
        <v>1770</v>
      </c>
      <c r="F2284" s="6">
        <v>46122.504861111112</v>
      </c>
      <c r="G2284" s="5" t="s">
        <v>7456</v>
      </c>
      <c r="H2284" s="5" t="s">
        <v>13111</v>
      </c>
      <c r="I2284" s="5" t="s">
        <v>1564</v>
      </c>
      <c r="J2284" s="8">
        <v>155</v>
      </c>
      <c r="K2284" s="5" t="s">
        <v>4</v>
      </c>
      <c r="L2284">
        <f t="shared" si="35"/>
        <v>4</v>
      </c>
    </row>
    <row r="2285" spans="1:12" x14ac:dyDescent="0.25">
      <c r="A2285" s="5">
        <v>47814</v>
      </c>
      <c r="B2285" t="s">
        <v>13112</v>
      </c>
      <c r="C2285" s="5" t="s">
        <v>13113</v>
      </c>
      <c r="D2285" t="s">
        <v>13114</v>
      </c>
      <c r="E2285" s="5" t="s">
        <v>2106</v>
      </c>
      <c r="F2285" s="6">
        <v>46122.613194444442</v>
      </c>
      <c r="G2285" s="5" t="s">
        <v>7456</v>
      </c>
      <c r="H2285" s="5" t="s">
        <v>13115</v>
      </c>
      <c r="I2285" s="5" t="s">
        <v>1535</v>
      </c>
      <c r="J2285" s="8">
        <v>1046.4000000000001</v>
      </c>
      <c r="K2285" s="5" t="s">
        <v>4</v>
      </c>
      <c r="L2285">
        <f t="shared" si="35"/>
        <v>4</v>
      </c>
    </row>
    <row r="2286" spans="1:12" x14ac:dyDescent="0.25">
      <c r="A2286" s="5">
        <v>47815</v>
      </c>
      <c r="B2286" t="s">
        <v>8335</v>
      </c>
      <c r="C2286" s="5" t="s">
        <v>8336</v>
      </c>
      <c r="D2286" t="s">
        <v>8337</v>
      </c>
      <c r="E2286" s="5" t="s">
        <v>1691</v>
      </c>
      <c r="F2286" s="6">
        <v>46122.625</v>
      </c>
      <c r="G2286" s="5" t="s">
        <v>7456</v>
      </c>
      <c r="H2286" s="5" t="s">
        <v>13116</v>
      </c>
      <c r="I2286" s="5" t="s">
        <v>1535</v>
      </c>
      <c r="J2286" s="8">
        <v>2919.45</v>
      </c>
      <c r="K2286" s="5" t="s">
        <v>4</v>
      </c>
      <c r="L2286">
        <f t="shared" si="35"/>
        <v>4</v>
      </c>
    </row>
    <row r="2287" spans="1:12" x14ac:dyDescent="0.25">
      <c r="A2287" s="5">
        <v>47816</v>
      </c>
      <c r="B2287" t="s">
        <v>12645</v>
      </c>
      <c r="C2287" s="5" t="s">
        <v>12646</v>
      </c>
      <c r="D2287" t="s">
        <v>12647</v>
      </c>
      <c r="E2287" s="5" t="s">
        <v>1899</v>
      </c>
      <c r="F2287" s="6">
        <v>46122.62777777778</v>
      </c>
      <c r="G2287" s="5" t="s">
        <v>7456</v>
      </c>
      <c r="H2287" s="5" t="s">
        <v>13117</v>
      </c>
      <c r="I2287" s="5" t="s">
        <v>1564</v>
      </c>
      <c r="J2287" s="8">
        <v>208</v>
      </c>
      <c r="K2287" s="5" t="s">
        <v>4</v>
      </c>
      <c r="L2287">
        <f t="shared" si="35"/>
        <v>4</v>
      </c>
    </row>
    <row r="2288" spans="1:12" x14ac:dyDescent="0.25">
      <c r="A2288" s="5">
        <v>47817</v>
      </c>
      <c r="B2288" t="s">
        <v>13118</v>
      </c>
      <c r="C2288" s="5" t="s">
        <v>13119</v>
      </c>
      <c r="D2288" t="s">
        <v>13120</v>
      </c>
      <c r="E2288" s="5" t="s">
        <v>1813</v>
      </c>
      <c r="F2288" s="6">
        <v>46122.633333333331</v>
      </c>
      <c r="G2288" s="5" t="s">
        <v>7595</v>
      </c>
      <c r="H2288" t="s">
        <v>7482</v>
      </c>
      <c r="I2288" s="5" t="s">
        <v>1535</v>
      </c>
      <c r="J2288" s="8">
        <v>677.8</v>
      </c>
      <c r="K2288" s="5" t="s">
        <v>4</v>
      </c>
      <c r="L2288">
        <f t="shared" si="35"/>
        <v>4</v>
      </c>
    </row>
    <row r="2289" spans="1:12" x14ac:dyDescent="0.25">
      <c r="A2289" s="5">
        <v>47819</v>
      </c>
      <c r="B2289" t="s">
        <v>13121</v>
      </c>
      <c r="C2289" s="5" t="s">
        <v>13122</v>
      </c>
      <c r="D2289" t="s">
        <v>13123</v>
      </c>
      <c r="E2289" s="5" t="s">
        <v>1813</v>
      </c>
      <c r="F2289" s="6">
        <v>46122.638194444444</v>
      </c>
      <c r="G2289" s="5" t="s">
        <v>7595</v>
      </c>
      <c r="H2289" t="s">
        <v>7482</v>
      </c>
      <c r="I2289" s="5" t="s">
        <v>1535</v>
      </c>
      <c r="J2289" s="8">
        <v>4009.2</v>
      </c>
      <c r="K2289" s="5" t="s">
        <v>4</v>
      </c>
      <c r="L2289">
        <f t="shared" si="35"/>
        <v>4</v>
      </c>
    </row>
    <row r="2290" spans="1:12" x14ac:dyDescent="0.25">
      <c r="A2290" s="5">
        <v>47820</v>
      </c>
      <c r="B2290" t="s">
        <v>13124</v>
      </c>
      <c r="C2290" s="5" t="s">
        <v>13125</v>
      </c>
      <c r="D2290" t="s">
        <v>7644</v>
      </c>
      <c r="E2290" s="5" t="s">
        <v>13126</v>
      </c>
      <c r="F2290" s="6">
        <v>46122.647916666669</v>
      </c>
      <c r="G2290" s="5" t="s">
        <v>7595</v>
      </c>
      <c r="H2290" t="s">
        <v>7482</v>
      </c>
      <c r="I2290" s="5" t="s">
        <v>1535</v>
      </c>
      <c r="J2290" s="8">
        <v>-5.37</v>
      </c>
      <c r="K2290" s="5" t="s">
        <v>4</v>
      </c>
      <c r="L2290">
        <f t="shared" si="35"/>
        <v>4</v>
      </c>
    </row>
    <row r="2291" spans="1:12" x14ac:dyDescent="0.25">
      <c r="A2291" s="5">
        <v>47821</v>
      </c>
      <c r="B2291" t="s">
        <v>9901</v>
      </c>
      <c r="C2291" s="5" t="s">
        <v>11828</v>
      </c>
      <c r="D2291" t="s">
        <v>9902</v>
      </c>
      <c r="E2291" s="5" t="s">
        <v>1759</v>
      </c>
      <c r="F2291" s="6">
        <v>46122.657638888886</v>
      </c>
      <c r="G2291" s="5" t="s">
        <v>7456</v>
      </c>
      <c r="H2291" s="5" t="s">
        <v>13127</v>
      </c>
      <c r="I2291" s="5" t="s">
        <v>1564</v>
      </c>
      <c r="J2291" s="8">
        <v>201.43</v>
      </c>
      <c r="K2291" s="5" t="s">
        <v>4</v>
      </c>
      <c r="L2291">
        <f t="shared" si="35"/>
        <v>4</v>
      </c>
    </row>
    <row r="2292" spans="1:12" x14ac:dyDescent="0.25">
      <c r="A2292" s="5">
        <v>47822</v>
      </c>
      <c r="B2292" t="s">
        <v>13128</v>
      </c>
      <c r="C2292" s="5" t="s">
        <v>13129</v>
      </c>
      <c r="D2292" t="s">
        <v>7644</v>
      </c>
      <c r="E2292" s="5" t="s">
        <v>2306</v>
      </c>
      <c r="F2292" s="6">
        <v>46122.668749999997</v>
      </c>
      <c r="G2292" s="5" t="s">
        <v>7456</v>
      </c>
      <c r="H2292" s="5" t="s">
        <v>13130</v>
      </c>
      <c r="I2292" s="5" t="s">
        <v>1564</v>
      </c>
      <c r="J2292" s="8">
        <v>349.5</v>
      </c>
      <c r="K2292" s="5" t="s">
        <v>4</v>
      </c>
      <c r="L2292">
        <f t="shared" si="35"/>
        <v>4</v>
      </c>
    </row>
    <row r="2293" spans="1:12" x14ac:dyDescent="0.25">
      <c r="A2293" s="5">
        <v>47823</v>
      </c>
      <c r="B2293" t="s">
        <v>13131</v>
      </c>
      <c r="C2293" s="5" t="s">
        <v>13132</v>
      </c>
      <c r="D2293" t="s">
        <v>13133</v>
      </c>
      <c r="E2293" s="5" t="s">
        <v>4992</v>
      </c>
      <c r="F2293" s="6">
        <v>46125.325694444444</v>
      </c>
      <c r="G2293" s="5" t="s">
        <v>7456</v>
      </c>
      <c r="H2293" s="5" t="s">
        <v>13134</v>
      </c>
      <c r="I2293" s="5" t="s">
        <v>1564</v>
      </c>
      <c r="J2293" s="8">
        <v>154</v>
      </c>
      <c r="K2293" s="5" t="s">
        <v>4</v>
      </c>
      <c r="L2293">
        <f t="shared" si="35"/>
        <v>4</v>
      </c>
    </row>
    <row r="2294" spans="1:12" x14ac:dyDescent="0.25">
      <c r="A2294" s="5">
        <v>47824</v>
      </c>
      <c r="B2294" t="s">
        <v>13135</v>
      </c>
      <c r="C2294" s="5" t="s">
        <v>200</v>
      </c>
      <c r="D2294" t="s">
        <v>13136</v>
      </c>
      <c r="E2294" s="5" t="s">
        <v>5109</v>
      </c>
      <c r="F2294" s="6">
        <v>46125.338888888888</v>
      </c>
      <c r="G2294" s="5" t="s">
        <v>7456</v>
      </c>
      <c r="H2294" s="5" t="s">
        <v>13137</v>
      </c>
      <c r="I2294" s="5" t="s">
        <v>1564</v>
      </c>
      <c r="J2294" s="8">
        <v>145.46</v>
      </c>
      <c r="K2294" s="5" t="s">
        <v>4</v>
      </c>
      <c r="L2294">
        <f t="shared" si="35"/>
        <v>4</v>
      </c>
    </row>
    <row r="2295" spans="1:12" x14ac:dyDescent="0.25">
      <c r="A2295" s="5">
        <v>47826</v>
      </c>
      <c r="B2295" t="s">
        <v>13138</v>
      </c>
      <c r="C2295" s="5" t="s">
        <v>11355</v>
      </c>
      <c r="D2295" t="s">
        <v>11356</v>
      </c>
      <c r="E2295" s="5" t="s">
        <v>1813</v>
      </c>
      <c r="F2295" s="6">
        <v>46125.362500000003</v>
      </c>
      <c r="G2295" s="5" t="s">
        <v>7456</v>
      </c>
      <c r="H2295" s="5" t="s">
        <v>13139</v>
      </c>
      <c r="I2295" s="5" t="s">
        <v>1535</v>
      </c>
      <c r="J2295" s="8">
        <v>500.4</v>
      </c>
      <c r="K2295" s="5" t="s">
        <v>4</v>
      </c>
      <c r="L2295">
        <f t="shared" si="35"/>
        <v>4</v>
      </c>
    </row>
    <row r="2296" spans="1:12" x14ac:dyDescent="0.25">
      <c r="A2296" s="5">
        <v>47827</v>
      </c>
      <c r="B2296" t="s">
        <v>13140</v>
      </c>
      <c r="C2296" s="5" t="s">
        <v>13141</v>
      </c>
      <c r="D2296" t="s">
        <v>13142</v>
      </c>
      <c r="E2296" s="5" t="s">
        <v>1759</v>
      </c>
      <c r="F2296" s="6">
        <v>46125.365277777775</v>
      </c>
      <c r="G2296" s="5" t="s">
        <v>7456</v>
      </c>
      <c r="H2296" s="5" t="s">
        <v>13143</v>
      </c>
      <c r="I2296" s="5" t="s">
        <v>1564</v>
      </c>
      <c r="J2296" s="8">
        <v>125</v>
      </c>
      <c r="K2296" s="5" t="s">
        <v>4</v>
      </c>
      <c r="L2296">
        <f t="shared" si="35"/>
        <v>4</v>
      </c>
    </row>
    <row r="2297" spans="1:12" x14ac:dyDescent="0.25">
      <c r="A2297" s="5">
        <v>47828</v>
      </c>
      <c r="B2297" t="s">
        <v>13144</v>
      </c>
      <c r="C2297" s="5" t="s">
        <v>11355</v>
      </c>
      <c r="D2297" t="s">
        <v>11356</v>
      </c>
      <c r="E2297" s="5" t="s">
        <v>1813</v>
      </c>
      <c r="F2297" s="6">
        <v>46125.365972222222</v>
      </c>
      <c r="G2297" s="5" t="s">
        <v>7456</v>
      </c>
      <c r="H2297" s="5" t="s">
        <v>13145</v>
      </c>
      <c r="I2297" s="5" t="s">
        <v>1535</v>
      </c>
      <c r="J2297" s="8">
        <v>435</v>
      </c>
      <c r="K2297" s="5" t="s">
        <v>4</v>
      </c>
      <c r="L2297">
        <f t="shared" si="35"/>
        <v>4</v>
      </c>
    </row>
    <row r="2298" spans="1:12" x14ac:dyDescent="0.25">
      <c r="A2298" s="5">
        <v>47829</v>
      </c>
      <c r="B2298" t="s">
        <v>13146</v>
      </c>
      <c r="C2298" s="5" t="s">
        <v>13147</v>
      </c>
      <c r="D2298" t="s">
        <v>13148</v>
      </c>
      <c r="E2298" s="5" t="s">
        <v>1813</v>
      </c>
      <c r="F2298" s="6">
        <v>46125.400694444441</v>
      </c>
      <c r="G2298" s="5" t="s">
        <v>13021</v>
      </c>
      <c r="H2298" t="s">
        <v>7482</v>
      </c>
      <c r="I2298" s="5" t="s">
        <v>1535</v>
      </c>
      <c r="J2298" s="8">
        <v>4752</v>
      </c>
      <c r="K2298" s="5" t="s">
        <v>4</v>
      </c>
      <c r="L2298">
        <f t="shared" si="35"/>
        <v>4</v>
      </c>
    </row>
    <row r="2299" spans="1:12" x14ac:dyDescent="0.25">
      <c r="A2299" s="5">
        <v>47830</v>
      </c>
      <c r="B2299" t="s">
        <v>13149</v>
      </c>
      <c r="C2299" s="5" t="s">
        <v>13150</v>
      </c>
      <c r="D2299" t="s">
        <v>13151</v>
      </c>
      <c r="E2299" s="5" t="s">
        <v>4040</v>
      </c>
      <c r="F2299" s="6">
        <v>46125.413194444445</v>
      </c>
      <c r="G2299" s="5" t="s">
        <v>7456</v>
      </c>
      <c r="H2299" s="5" t="s">
        <v>13152</v>
      </c>
      <c r="I2299" s="5" t="s">
        <v>1564</v>
      </c>
      <c r="J2299" s="8">
        <v>252.05</v>
      </c>
      <c r="K2299" s="5" t="s">
        <v>4</v>
      </c>
      <c r="L2299">
        <f t="shared" si="35"/>
        <v>4</v>
      </c>
    </row>
    <row r="2300" spans="1:12" x14ac:dyDescent="0.25">
      <c r="A2300" s="5">
        <v>47831</v>
      </c>
      <c r="B2300" t="s">
        <v>8852</v>
      </c>
      <c r="C2300" s="5" t="s">
        <v>8853</v>
      </c>
      <c r="D2300" t="s">
        <v>8854</v>
      </c>
      <c r="E2300" s="5" t="s">
        <v>13153</v>
      </c>
      <c r="F2300" s="6">
        <v>46125.424305555556</v>
      </c>
      <c r="G2300" s="5" t="s">
        <v>13021</v>
      </c>
      <c r="H2300" t="s">
        <v>7482</v>
      </c>
      <c r="I2300" s="5" t="s">
        <v>1535</v>
      </c>
      <c r="J2300" s="8">
        <v>4007</v>
      </c>
      <c r="K2300" s="5" t="s">
        <v>4</v>
      </c>
      <c r="L2300">
        <f t="shared" si="35"/>
        <v>4</v>
      </c>
    </row>
    <row r="2301" spans="1:12" x14ac:dyDescent="0.25">
      <c r="A2301" s="5">
        <v>47833</v>
      </c>
      <c r="B2301" t="s">
        <v>13154</v>
      </c>
      <c r="C2301" s="5" t="s">
        <v>13155</v>
      </c>
      <c r="D2301" t="s">
        <v>13156</v>
      </c>
      <c r="E2301" s="5" t="s">
        <v>1738</v>
      </c>
      <c r="F2301" s="6">
        <v>46125.435416666667</v>
      </c>
      <c r="G2301" s="5" t="s">
        <v>7456</v>
      </c>
      <c r="H2301" s="5" t="s">
        <v>13157</v>
      </c>
      <c r="I2301" s="5" t="s">
        <v>1564</v>
      </c>
      <c r="J2301" s="8">
        <v>460</v>
      </c>
      <c r="K2301" s="5" t="s">
        <v>4</v>
      </c>
      <c r="L2301">
        <f t="shared" si="35"/>
        <v>4</v>
      </c>
    </row>
    <row r="2302" spans="1:12" x14ac:dyDescent="0.25">
      <c r="A2302" s="5">
        <v>47834</v>
      </c>
      <c r="B2302" t="s">
        <v>13158</v>
      </c>
      <c r="C2302" s="5" t="s">
        <v>660</v>
      </c>
      <c r="D2302" t="s">
        <v>13159</v>
      </c>
      <c r="E2302" s="5" t="s">
        <v>4705</v>
      </c>
      <c r="F2302" s="6">
        <v>46125.449305555558</v>
      </c>
      <c r="G2302" s="5" t="s">
        <v>7456</v>
      </c>
      <c r="H2302" s="5" t="s">
        <v>13160</v>
      </c>
      <c r="I2302" s="5" t="s">
        <v>1564</v>
      </c>
      <c r="J2302" s="8">
        <v>174.65</v>
      </c>
      <c r="K2302" s="5" t="s">
        <v>4</v>
      </c>
      <c r="L2302">
        <f t="shared" si="35"/>
        <v>4</v>
      </c>
    </row>
    <row r="2303" spans="1:12" x14ac:dyDescent="0.25">
      <c r="A2303" s="5">
        <v>47835</v>
      </c>
      <c r="B2303" t="s">
        <v>13161</v>
      </c>
      <c r="C2303" s="5" t="s">
        <v>110</v>
      </c>
      <c r="D2303" t="s">
        <v>13162</v>
      </c>
      <c r="E2303" s="5" t="s">
        <v>5083</v>
      </c>
      <c r="F2303" s="6">
        <v>46125.489583333336</v>
      </c>
      <c r="G2303" s="5" t="s">
        <v>7456</v>
      </c>
      <c r="H2303" s="5" t="s">
        <v>13163</v>
      </c>
      <c r="I2303" s="5" t="s">
        <v>1564</v>
      </c>
      <c r="J2303" s="8">
        <v>148.07</v>
      </c>
      <c r="K2303" s="5" t="s">
        <v>4</v>
      </c>
      <c r="L2303">
        <f t="shared" si="35"/>
        <v>4</v>
      </c>
    </row>
    <row r="2304" spans="1:12" x14ac:dyDescent="0.25">
      <c r="A2304" s="5">
        <v>47837</v>
      </c>
      <c r="B2304" t="s">
        <v>13164</v>
      </c>
      <c r="C2304" s="5" t="s">
        <v>13165</v>
      </c>
      <c r="D2304" t="s">
        <v>13166</v>
      </c>
      <c r="E2304" s="5" t="s">
        <v>4412</v>
      </c>
      <c r="F2304" s="6">
        <v>46125.529166666667</v>
      </c>
      <c r="G2304" s="5" t="s">
        <v>7456</v>
      </c>
      <c r="H2304" s="5" t="s">
        <v>13167</v>
      </c>
      <c r="I2304" s="5" t="s">
        <v>1564</v>
      </c>
      <c r="J2304" s="8">
        <v>200</v>
      </c>
      <c r="K2304" s="5" t="s">
        <v>4</v>
      </c>
      <c r="L2304">
        <f t="shared" si="35"/>
        <v>4</v>
      </c>
    </row>
    <row r="2305" spans="1:12" x14ac:dyDescent="0.25">
      <c r="A2305" s="5">
        <v>47838</v>
      </c>
      <c r="B2305" t="s">
        <v>13168</v>
      </c>
      <c r="C2305" s="5" t="s">
        <v>13169</v>
      </c>
      <c r="D2305" t="s">
        <v>13170</v>
      </c>
      <c r="E2305" s="5" t="s">
        <v>1770</v>
      </c>
      <c r="F2305" s="6">
        <v>46125.538194444445</v>
      </c>
      <c r="G2305" s="5" t="s">
        <v>7456</v>
      </c>
      <c r="H2305" s="5" t="s">
        <v>13171</v>
      </c>
      <c r="I2305" s="5" t="s">
        <v>1564</v>
      </c>
      <c r="J2305" s="8">
        <v>130</v>
      </c>
      <c r="K2305" s="5" t="s">
        <v>4</v>
      </c>
      <c r="L2305">
        <f t="shared" si="35"/>
        <v>4</v>
      </c>
    </row>
    <row r="2306" spans="1:12" x14ac:dyDescent="0.25">
      <c r="A2306" s="5">
        <v>47839</v>
      </c>
      <c r="B2306" t="s">
        <v>13172</v>
      </c>
      <c r="C2306" s="5" t="s">
        <v>13173</v>
      </c>
      <c r="D2306" t="s">
        <v>13174</v>
      </c>
      <c r="E2306" s="5" t="s">
        <v>1663</v>
      </c>
      <c r="F2306" s="6">
        <v>46125.542361111111</v>
      </c>
      <c r="G2306" s="5" t="s">
        <v>7456</v>
      </c>
      <c r="H2306" s="5" t="s">
        <v>13175</v>
      </c>
      <c r="I2306" s="5" t="s">
        <v>1564</v>
      </c>
      <c r="J2306" s="8">
        <v>589.20000000000005</v>
      </c>
      <c r="K2306" s="5" t="s">
        <v>4</v>
      </c>
      <c r="L2306">
        <f t="shared" si="35"/>
        <v>4</v>
      </c>
    </row>
    <row r="2307" spans="1:12" x14ac:dyDescent="0.25">
      <c r="A2307" s="5">
        <v>47840</v>
      </c>
      <c r="B2307" t="s">
        <v>13176</v>
      </c>
      <c r="C2307" s="5" t="s">
        <v>13177</v>
      </c>
      <c r="D2307" t="s">
        <v>13178</v>
      </c>
      <c r="E2307" s="5" t="s">
        <v>1532</v>
      </c>
      <c r="F2307" s="6">
        <v>46125.557638888888</v>
      </c>
      <c r="G2307" s="5" t="s">
        <v>7456</v>
      </c>
      <c r="H2307" s="5" t="s">
        <v>13179</v>
      </c>
      <c r="I2307" s="5" t="s">
        <v>1535</v>
      </c>
      <c r="J2307" s="8">
        <v>192</v>
      </c>
      <c r="K2307" s="5" t="s">
        <v>4</v>
      </c>
      <c r="L2307">
        <f t="shared" ref="L2307:L2370" si="36">MONTH(F2307)</f>
        <v>4</v>
      </c>
    </row>
    <row r="2308" spans="1:12" x14ac:dyDescent="0.25">
      <c r="A2308" s="5">
        <v>47841</v>
      </c>
      <c r="B2308" t="s">
        <v>10138</v>
      </c>
      <c r="C2308" s="5" t="s">
        <v>7516</v>
      </c>
      <c r="D2308" t="s">
        <v>10139</v>
      </c>
      <c r="E2308" s="5" t="s">
        <v>2688</v>
      </c>
      <c r="F2308" s="6">
        <v>46125.597222222219</v>
      </c>
      <c r="G2308" s="5" t="s">
        <v>7456</v>
      </c>
      <c r="H2308" s="5" t="s">
        <v>13180</v>
      </c>
      <c r="I2308" s="5" t="s">
        <v>1535</v>
      </c>
      <c r="J2308" s="8">
        <v>570</v>
      </c>
      <c r="K2308" s="5" t="s">
        <v>4</v>
      </c>
      <c r="L2308">
        <f t="shared" si="36"/>
        <v>4</v>
      </c>
    </row>
    <row r="2309" spans="1:12" x14ac:dyDescent="0.25">
      <c r="A2309" s="5">
        <v>47843</v>
      </c>
      <c r="B2309" t="s">
        <v>10771</v>
      </c>
      <c r="C2309" s="5" t="s">
        <v>10772</v>
      </c>
      <c r="D2309" t="s">
        <v>10773</v>
      </c>
      <c r="E2309" s="5" t="s">
        <v>1813</v>
      </c>
      <c r="F2309" s="6">
        <v>46125.599999999999</v>
      </c>
      <c r="G2309" s="5" t="s">
        <v>13021</v>
      </c>
      <c r="H2309" t="s">
        <v>7482</v>
      </c>
      <c r="I2309" s="5" t="s">
        <v>1535</v>
      </c>
      <c r="J2309" s="8">
        <v>398</v>
      </c>
      <c r="K2309" s="5" t="s">
        <v>4</v>
      </c>
      <c r="L2309">
        <f t="shared" si="36"/>
        <v>4</v>
      </c>
    </row>
    <row r="2310" spans="1:12" x14ac:dyDescent="0.25">
      <c r="A2310" s="5">
        <v>47844</v>
      </c>
      <c r="B2310" t="s">
        <v>12006</v>
      </c>
      <c r="C2310" s="5" t="s">
        <v>12007</v>
      </c>
      <c r="D2310" t="s">
        <v>12008</v>
      </c>
      <c r="E2310" s="5" t="s">
        <v>1532</v>
      </c>
      <c r="F2310" s="6">
        <v>46125.606944444444</v>
      </c>
      <c r="G2310" s="5" t="s">
        <v>7456</v>
      </c>
      <c r="H2310" s="5" t="s">
        <v>13181</v>
      </c>
      <c r="I2310" s="5" t="s">
        <v>1535</v>
      </c>
      <c r="J2310" s="8">
        <v>109</v>
      </c>
      <c r="K2310" s="5" t="s">
        <v>4</v>
      </c>
      <c r="L2310">
        <f t="shared" si="36"/>
        <v>4</v>
      </c>
    </row>
    <row r="2311" spans="1:12" x14ac:dyDescent="0.25">
      <c r="A2311" s="5">
        <v>47845</v>
      </c>
      <c r="B2311" t="s">
        <v>13182</v>
      </c>
      <c r="C2311" s="5" t="s">
        <v>13183</v>
      </c>
      <c r="D2311" t="s">
        <v>13184</v>
      </c>
      <c r="E2311" s="5" t="s">
        <v>2306</v>
      </c>
      <c r="F2311" s="6">
        <v>46125.616666666669</v>
      </c>
      <c r="G2311" s="5" t="s">
        <v>7456</v>
      </c>
      <c r="H2311" s="5" t="s">
        <v>13185</v>
      </c>
      <c r="I2311" s="5" t="s">
        <v>1564</v>
      </c>
      <c r="J2311" s="8">
        <v>185</v>
      </c>
      <c r="K2311" s="5" t="s">
        <v>4</v>
      </c>
      <c r="L2311">
        <f t="shared" si="36"/>
        <v>4</v>
      </c>
    </row>
    <row r="2312" spans="1:12" x14ac:dyDescent="0.25">
      <c r="A2312" s="5">
        <v>47847</v>
      </c>
      <c r="B2312" t="s">
        <v>10238</v>
      </c>
      <c r="C2312" s="5" t="s">
        <v>10239</v>
      </c>
      <c r="D2312" t="s">
        <v>10240</v>
      </c>
      <c r="E2312" s="5" t="s">
        <v>4649</v>
      </c>
      <c r="F2312" s="6">
        <v>46125.644444444442</v>
      </c>
      <c r="G2312" s="5" t="s">
        <v>7456</v>
      </c>
      <c r="H2312" s="5" t="s">
        <v>13186</v>
      </c>
      <c r="I2312" s="5" t="s">
        <v>1564</v>
      </c>
      <c r="J2312" s="8">
        <v>179.25</v>
      </c>
      <c r="K2312" s="5" t="s">
        <v>4</v>
      </c>
      <c r="L2312">
        <f t="shared" si="36"/>
        <v>4</v>
      </c>
    </row>
    <row r="2313" spans="1:12" x14ac:dyDescent="0.25">
      <c r="A2313" s="5">
        <v>47849</v>
      </c>
      <c r="B2313" t="s">
        <v>8965</v>
      </c>
      <c r="C2313" s="5" t="s">
        <v>8360</v>
      </c>
      <c r="D2313" t="s">
        <v>8966</v>
      </c>
      <c r="E2313" s="5" t="s">
        <v>7016</v>
      </c>
      <c r="F2313" s="6">
        <v>46125.648611111108</v>
      </c>
      <c r="G2313" s="5" t="s">
        <v>7456</v>
      </c>
      <c r="H2313" s="5" t="s">
        <v>13187</v>
      </c>
      <c r="I2313" s="5" t="s">
        <v>1535</v>
      </c>
      <c r="J2313" s="8">
        <v>33</v>
      </c>
      <c r="K2313" s="5" t="s">
        <v>4</v>
      </c>
      <c r="L2313">
        <f t="shared" si="36"/>
        <v>4</v>
      </c>
    </row>
    <row r="2314" spans="1:12" x14ac:dyDescent="0.25">
      <c r="A2314" s="5">
        <v>47851</v>
      </c>
      <c r="B2314" t="s">
        <v>8713</v>
      </c>
      <c r="C2314" s="5" t="s">
        <v>8714</v>
      </c>
      <c r="D2314" t="s">
        <v>8715</v>
      </c>
      <c r="E2314" s="5" t="s">
        <v>1824</v>
      </c>
      <c r="F2314" s="6">
        <v>46125.662499999999</v>
      </c>
      <c r="G2314" s="5" t="s">
        <v>7456</v>
      </c>
      <c r="H2314" s="5" t="s">
        <v>13188</v>
      </c>
      <c r="I2314" s="5" t="s">
        <v>1564</v>
      </c>
      <c r="J2314" s="8">
        <v>1926</v>
      </c>
      <c r="K2314" s="5" t="s">
        <v>4</v>
      </c>
      <c r="L2314">
        <f t="shared" si="36"/>
        <v>4</v>
      </c>
    </row>
    <row r="2315" spans="1:12" x14ac:dyDescent="0.25">
      <c r="A2315" s="5">
        <v>47857</v>
      </c>
      <c r="B2315" t="s">
        <v>13189</v>
      </c>
      <c r="C2315" s="5" t="s">
        <v>13190</v>
      </c>
      <c r="D2315" t="s">
        <v>13191</v>
      </c>
      <c r="E2315" s="5" t="s">
        <v>13192</v>
      </c>
      <c r="F2315" s="6">
        <v>46125.688888888886</v>
      </c>
      <c r="G2315" s="5" t="s">
        <v>7672</v>
      </c>
      <c r="H2315" t="s">
        <v>8626</v>
      </c>
      <c r="I2315" s="5" t="s">
        <v>1564</v>
      </c>
      <c r="J2315" s="8">
        <v>1800</v>
      </c>
      <c r="K2315" s="5" t="s">
        <v>4</v>
      </c>
      <c r="L2315">
        <f t="shared" si="36"/>
        <v>4</v>
      </c>
    </row>
    <row r="2316" spans="1:12" x14ac:dyDescent="0.25">
      <c r="A2316" s="5">
        <v>47858</v>
      </c>
      <c r="B2316" t="s">
        <v>13193</v>
      </c>
      <c r="C2316" s="5" t="s">
        <v>13194</v>
      </c>
      <c r="D2316" t="s">
        <v>13195</v>
      </c>
      <c r="E2316" s="5" t="s">
        <v>5890</v>
      </c>
      <c r="F2316" s="6">
        <v>46125.695833333331</v>
      </c>
      <c r="G2316" s="5" t="s">
        <v>7456</v>
      </c>
      <c r="H2316" s="5" t="s">
        <v>13196</v>
      </c>
      <c r="I2316" s="5" t="s">
        <v>1564</v>
      </c>
      <c r="J2316" s="8">
        <v>102.06</v>
      </c>
      <c r="K2316" s="5" t="s">
        <v>4</v>
      </c>
      <c r="L2316">
        <f t="shared" si="36"/>
        <v>4</v>
      </c>
    </row>
    <row r="2317" spans="1:12" x14ac:dyDescent="0.25">
      <c r="A2317" s="5">
        <v>47859</v>
      </c>
      <c r="B2317" t="s">
        <v>13197</v>
      </c>
      <c r="C2317" s="5" t="s">
        <v>1094</v>
      </c>
      <c r="D2317" t="s">
        <v>13198</v>
      </c>
      <c r="E2317" s="5" t="s">
        <v>6642</v>
      </c>
      <c r="F2317" s="6">
        <v>46125.70208333333</v>
      </c>
      <c r="G2317" s="5" t="s">
        <v>7456</v>
      </c>
      <c r="H2317" s="5" t="s">
        <v>13199</v>
      </c>
      <c r="I2317" s="5" t="s">
        <v>1564</v>
      </c>
      <c r="J2317" s="8">
        <v>53.62</v>
      </c>
      <c r="K2317" s="5" t="s">
        <v>4</v>
      </c>
      <c r="L2317">
        <f t="shared" si="36"/>
        <v>4</v>
      </c>
    </row>
    <row r="2318" spans="1:12" x14ac:dyDescent="0.25">
      <c r="A2318" s="5">
        <v>47860</v>
      </c>
      <c r="B2318" t="s">
        <v>8965</v>
      </c>
      <c r="C2318" s="5" t="s">
        <v>12935</v>
      </c>
      <c r="D2318" t="s">
        <v>8966</v>
      </c>
      <c r="E2318" s="5" t="s">
        <v>1870</v>
      </c>
      <c r="F2318" s="6">
        <v>46125.716666666667</v>
      </c>
      <c r="G2318" s="5" t="s">
        <v>7456</v>
      </c>
      <c r="H2318" s="5" t="s">
        <v>13200</v>
      </c>
      <c r="I2318" s="5" t="s">
        <v>1535</v>
      </c>
      <c r="J2318" s="8">
        <v>1776.6</v>
      </c>
      <c r="K2318" s="5" t="s">
        <v>4</v>
      </c>
      <c r="L2318">
        <f t="shared" si="36"/>
        <v>4</v>
      </c>
    </row>
    <row r="2319" spans="1:12" x14ac:dyDescent="0.25">
      <c r="A2319" s="5">
        <v>47862</v>
      </c>
      <c r="B2319" t="s">
        <v>13201</v>
      </c>
      <c r="C2319" s="5" t="s">
        <v>13202</v>
      </c>
      <c r="D2319" t="s">
        <v>13203</v>
      </c>
      <c r="E2319" s="5" t="s">
        <v>4440</v>
      </c>
      <c r="F2319" s="6">
        <v>46125.741666666669</v>
      </c>
      <c r="G2319" s="5" t="s">
        <v>7456</v>
      </c>
      <c r="H2319" s="5" t="s">
        <v>13204</v>
      </c>
      <c r="I2319" s="5" t="s">
        <v>1564</v>
      </c>
      <c r="J2319" s="8">
        <v>196.65</v>
      </c>
      <c r="K2319" s="5" t="s">
        <v>4</v>
      </c>
      <c r="L2319">
        <f t="shared" si="36"/>
        <v>4</v>
      </c>
    </row>
    <row r="2320" spans="1:12" x14ac:dyDescent="0.25">
      <c r="A2320" s="5">
        <v>47863</v>
      </c>
      <c r="B2320" t="s">
        <v>13205</v>
      </c>
      <c r="C2320" s="5" t="s">
        <v>13206</v>
      </c>
      <c r="D2320" t="s">
        <v>13207</v>
      </c>
      <c r="E2320" s="5" t="s">
        <v>2314</v>
      </c>
      <c r="F2320" s="6">
        <v>46126.311805555553</v>
      </c>
      <c r="G2320" s="5" t="s">
        <v>7456</v>
      </c>
      <c r="H2320" s="5" t="s">
        <v>13208</v>
      </c>
      <c r="I2320" s="5" t="s">
        <v>1564</v>
      </c>
      <c r="J2320" s="8">
        <v>825</v>
      </c>
      <c r="K2320" s="5" t="s">
        <v>4</v>
      </c>
      <c r="L2320">
        <f t="shared" si="36"/>
        <v>4</v>
      </c>
    </row>
    <row r="2321" spans="1:12" x14ac:dyDescent="0.25">
      <c r="A2321" s="5">
        <v>47866</v>
      </c>
      <c r="B2321" t="s">
        <v>13209</v>
      </c>
      <c r="C2321" s="5" t="s">
        <v>209</v>
      </c>
      <c r="D2321" t="s">
        <v>13210</v>
      </c>
      <c r="E2321" s="5" t="s">
        <v>1813</v>
      </c>
      <c r="F2321" s="6">
        <v>46126.369444444441</v>
      </c>
      <c r="G2321" s="5" t="s">
        <v>7456</v>
      </c>
      <c r="H2321" s="5" t="s">
        <v>13211</v>
      </c>
      <c r="I2321" s="5" t="s">
        <v>1535</v>
      </c>
      <c r="J2321" s="8">
        <v>104.5</v>
      </c>
      <c r="K2321" s="5" t="s">
        <v>4</v>
      </c>
      <c r="L2321">
        <f t="shared" si="36"/>
        <v>4</v>
      </c>
    </row>
    <row r="2322" spans="1:12" x14ac:dyDescent="0.25">
      <c r="A2322" s="5">
        <v>47867</v>
      </c>
      <c r="B2322" t="s">
        <v>8852</v>
      </c>
      <c r="C2322" s="5" t="s">
        <v>8853</v>
      </c>
      <c r="D2322" t="s">
        <v>8854</v>
      </c>
      <c r="E2322" s="5" t="s">
        <v>1532</v>
      </c>
      <c r="F2322" s="6">
        <v>46126.372916666667</v>
      </c>
      <c r="G2322" s="5" t="s">
        <v>7456</v>
      </c>
      <c r="H2322" s="5" t="s">
        <v>13212</v>
      </c>
      <c r="I2322" s="5" t="s">
        <v>1535</v>
      </c>
      <c r="J2322" s="8">
        <v>10</v>
      </c>
      <c r="K2322" s="5" t="s">
        <v>4</v>
      </c>
      <c r="L2322">
        <f t="shared" si="36"/>
        <v>4</v>
      </c>
    </row>
    <row r="2323" spans="1:12" x14ac:dyDescent="0.25">
      <c r="A2323" s="5">
        <v>47868</v>
      </c>
      <c r="B2323" t="s">
        <v>13213</v>
      </c>
      <c r="C2323" s="5" t="s">
        <v>13214</v>
      </c>
      <c r="D2323" t="s">
        <v>13215</v>
      </c>
      <c r="E2323" s="5" t="s">
        <v>1738</v>
      </c>
      <c r="F2323" s="6">
        <v>46126.381249999999</v>
      </c>
      <c r="G2323" s="5" t="s">
        <v>7456</v>
      </c>
      <c r="H2323" s="5" t="s">
        <v>13216</v>
      </c>
      <c r="I2323" s="5" t="s">
        <v>1564</v>
      </c>
      <c r="J2323" s="8">
        <v>175</v>
      </c>
      <c r="K2323" s="5" t="s">
        <v>4</v>
      </c>
      <c r="L2323">
        <f t="shared" si="36"/>
        <v>4</v>
      </c>
    </row>
    <row r="2324" spans="1:12" x14ac:dyDescent="0.25">
      <c r="A2324" s="5">
        <v>47869</v>
      </c>
      <c r="B2324" t="s">
        <v>13217</v>
      </c>
      <c r="C2324" s="5" t="s">
        <v>13218</v>
      </c>
      <c r="D2324" t="s">
        <v>13219</v>
      </c>
      <c r="E2324" s="5" t="s">
        <v>5344</v>
      </c>
      <c r="F2324" s="6">
        <v>46126.397916666669</v>
      </c>
      <c r="G2324" s="5" t="s">
        <v>7456</v>
      </c>
      <c r="H2324" s="5" t="s">
        <v>13220</v>
      </c>
      <c r="I2324" s="5" t="s">
        <v>1564</v>
      </c>
      <c r="J2324" s="8">
        <v>133.33000000000001</v>
      </c>
      <c r="K2324" s="5" t="s">
        <v>4</v>
      </c>
      <c r="L2324">
        <f t="shared" si="36"/>
        <v>4</v>
      </c>
    </row>
    <row r="2325" spans="1:12" x14ac:dyDescent="0.25">
      <c r="A2325" s="5">
        <v>47870</v>
      </c>
      <c r="B2325" t="s">
        <v>13221</v>
      </c>
      <c r="C2325" s="5" t="s">
        <v>13222</v>
      </c>
      <c r="D2325" t="s">
        <v>13223</v>
      </c>
      <c r="E2325" s="5" t="s">
        <v>1759</v>
      </c>
      <c r="F2325" s="6">
        <v>46126.410416666666</v>
      </c>
      <c r="G2325" s="5" t="s">
        <v>7672</v>
      </c>
      <c r="H2325" t="s">
        <v>8626</v>
      </c>
      <c r="I2325" s="5" t="s">
        <v>1564</v>
      </c>
      <c r="J2325" s="8">
        <v>976</v>
      </c>
      <c r="K2325" s="5" t="s">
        <v>4</v>
      </c>
      <c r="L2325">
        <f t="shared" si="36"/>
        <v>4</v>
      </c>
    </row>
    <row r="2326" spans="1:12" x14ac:dyDescent="0.25">
      <c r="A2326" s="5">
        <v>47871</v>
      </c>
      <c r="B2326" t="s">
        <v>13224</v>
      </c>
      <c r="C2326" s="5" t="s">
        <v>13225</v>
      </c>
      <c r="D2326" t="s">
        <v>13226</v>
      </c>
      <c r="E2326" s="5" t="s">
        <v>4550</v>
      </c>
      <c r="F2326" s="6">
        <v>46126.416666666664</v>
      </c>
      <c r="G2326" s="5" t="s">
        <v>7456</v>
      </c>
      <c r="H2326" s="5" t="s">
        <v>13227</v>
      </c>
      <c r="I2326" s="5" t="s">
        <v>1564</v>
      </c>
      <c r="J2326" s="8">
        <v>189</v>
      </c>
      <c r="K2326" s="5" t="s">
        <v>4</v>
      </c>
      <c r="L2326">
        <f t="shared" si="36"/>
        <v>4</v>
      </c>
    </row>
    <row r="2327" spans="1:12" x14ac:dyDescent="0.25">
      <c r="A2327" s="5">
        <v>47872</v>
      </c>
      <c r="B2327" t="s">
        <v>13228</v>
      </c>
      <c r="C2327" s="5" t="s">
        <v>13229</v>
      </c>
      <c r="D2327" t="s">
        <v>13230</v>
      </c>
      <c r="E2327" s="5" t="s">
        <v>6078</v>
      </c>
      <c r="F2327" s="6">
        <v>46126.423611111109</v>
      </c>
      <c r="G2327" s="5" t="s">
        <v>7456</v>
      </c>
      <c r="H2327" s="5" t="s">
        <v>13231</v>
      </c>
      <c r="I2327" s="5" t="s">
        <v>1564</v>
      </c>
      <c r="J2327" s="8">
        <v>89.54</v>
      </c>
      <c r="K2327" s="5" t="s">
        <v>4</v>
      </c>
      <c r="L2327">
        <f t="shared" si="36"/>
        <v>4</v>
      </c>
    </row>
    <row r="2328" spans="1:12" x14ac:dyDescent="0.25">
      <c r="A2328" s="5">
        <v>47873</v>
      </c>
      <c r="B2328" t="s">
        <v>7770</v>
      </c>
      <c r="C2328" s="5" t="s">
        <v>13232</v>
      </c>
      <c r="D2328" t="s">
        <v>7772</v>
      </c>
      <c r="E2328" s="5" t="s">
        <v>13233</v>
      </c>
      <c r="F2328" s="6">
        <v>46126.445833333331</v>
      </c>
      <c r="G2328" s="5" t="s">
        <v>7672</v>
      </c>
      <c r="H2328" t="s">
        <v>7482</v>
      </c>
      <c r="I2328" s="5" t="s">
        <v>1564</v>
      </c>
      <c r="J2328" s="8">
        <v>2397</v>
      </c>
      <c r="K2328" s="5" t="s">
        <v>4</v>
      </c>
      <c r="L2328">
        <f t="shared" si="36"/>
        <v>4</v>
      </c>
    </row>
    <row r="2329" spans="1:12" x14ac:dyDescent="0.25">
      <c r="A2329" s="5">
        <v>47874</v>
      </c>
      <c r="B2329" t="s">
        <v>13234</v>
      </c>
      <c r="C2329" s="5" t="s">
        <v>13235</v>
      </c>
      <c r="D2329" t="s">
        <v>13236</v>
      </c>
      <c r="E2329" s="5" t="s">
        <v>1770</v>
      </c>
      <c r="F2329" s="6">
        <v>46126.468055555553</v>
      </c>
      <c r="G2329" s="5" t="s">
        <v>7672</v>
      </c>
      <c r="H2329" t="s">
        <v>8626</v>
      </c>
      <c r="I2329" s="5" t="s">
        <v>1564</v>
      </c>
      <c r="J2329" s="8">
        <v>345</v>
      </c>
      <c r="K2329" s="5" t="s">
        <v>4</v>
      </c>
      <c r="L2329">
        <f t="shared" si="36"/>
        <v>4</v>
      </c>
    </row>
    <row r="2330" spans="1:12" x14ac:dyDescent="0.25">
      <c r="A2330" s="5">
        <v>47875</v>
      </c>
      <c r="B2330" t="s">
        <v>13237</v>
      </c>
      <c r="C2330" s="5" t="s">
        <v>13238</v>
      </c>
      <c r="D2330" t="s">
        <v>13239</v>
      </c>
      <c r="E2330" s="5" t="s">
        <v>13240</v>
      </c>
      <c r="F2330" s="6">
        <v>46126.470833333333</v>
      </c>
      <c r="G2330" s="5" t="s">
        <v>7672</v>
      </c>
      <c r="H2330" t="s">
        <v>7482</v>
      </c>
      <c r="I2330" s="5" t="s">
        <v>1564</v>
      </c>
      <c r="J2330" s="8">
        <v>2334</v>
      </c>
      <c r="K2330" s="5" t="s">
        <v>4</v>
      </c>
      <c r="L2330">
        <f t="shared" si="36"/>
        <v>4</v>
      </c>
    </row>
    <row r="2331" spans="1:12" x14ac:dyDescent="0.25">
      <c r="A2331" s="5">
        <v>47876</v>
      </c>
      <c r="B2331" t="s">
        <v>13241</v>
      </c>
      <c r="C2331" s="5" t="s">
        <v>13242</v>
      </c>
      <c r="D2331" t="s">
        <v>13243</v>
      </c>
      <c r="E2331" s="5" t="s">
        <v>1986</v>
      </c>
      <c r="F2331" s="6">
        <v>46126.482638888891</v>
      </c>
      <c r="G2331" s="5" t="s">
        <v>7456</v>
      </c>
      <c r="H2331" s="5" t="s">
        <v>13244</v>
      </c>
      <c r="I2331" s="5" t="s">
        <v>1564</v>
      </c>
      <c r="J2331" s="8">
        <v>1304.5999999999999</v>
      </c>
      <c r="K2331" s="5" t="s">
        <v>4</v>
      </c>
      <c r="L2331">
        <f t="shared" si="36"/>
        <v>4</v>
      </c>
    </row>
    <row r="2332" spans="1:12" x14ac:dyDescent="0.25">
      <c r="A2332" s="5">
        <v>47877</v>
      </c>
      <c r="B2332" t="s">
        <v>11764</v>
      </c>
      <c r="C2332" s="5" t="s">
        <v>11765</v>
      </c>
      <c r="D2332" t="s">
        <v>11766</v>
      </c>
      <c r="E2332" s="5" t="s">
        <v>4006</v>
      </c>
      <c r="F2332" s="6">
        <v>46126.491666666669</v>
      </c>
      <c r="G2332" s="5" t="s">
        <v>7456</v>
      </c>
      <c r="H2332" s="5" t="s">
        <v>13245</v>
      </c>
      <c r="I2332" s="5" t="s">
        <v>1564</v>
      </c>
      <c r="J2332" s="8">
        <v>134.51</v>
      </c>
      <c r="K2332" s="5" t="s">
        <v>4</v>
      </c>
      <c r="L2332">
        <f t="shared" si="36"/>
        <v>4</v>
      </c>
    </row>
    <row r="2333" spans="1:12" x14ac:dyDescent="0.25">
      <c r="A2333" s="5">
        <v>47878</v>
      </c>
      <c r="B2333" t="s">
        <v>13246</v>
      </c>
      <c r="C2333" s="5" t="s">
        <v>13247</v>
      </c>
      <c r="D2333" t="s">
        <v>13248</v>
      </c>
      <c r="E2333" s="5" t="s">
        <v>1663</v>
      </c>
      <c r="F2333" s="6">
        <v>46126.506249999999</v>
      </c>
      <c r="G2333" s="5" t="s">
        <v>7672</v>
      </c>
      <c r="H2333" t="s">
        <v>8626</v>
      </c>
      <c r="I2333" s="5" t="s">
        <v>1564</v>
      </c>
      <c r="J2333" s="8">
        <v>1500</v>
      </c>
      <c r="K2333" s="5" t="s">
        <v>4</v>
      </c>
      <c r="L2333">
        <f t="shared" si="36"/>
        <v>4</v>
      </c>
    </row>
    <row r="2334" spans="1:12" x14ac:dyDescent="0.25">
      <c r="A2334" s="5">
        <v>47879</v>
      </c>
      <c r="B2334" t="s">
        <v>13249</v>
      </c>
      <c r="C2334" s="5" t="s">
        <v>13250</v>
      </c>
      <c r="D2334" t="s">
        <v>13251</v>
      </c>
      <c r="E2334" s="5" t="s">
        <v>7123</v>
      </c>
      <c r="F2334" s="6">
        <v>46126.523611111108</v>
      </c>
      <c r="G2334" s="5" t="s">
        <v>7456</v>
      </c>
      <c r="H2334" s="5" t="s">
        <v>13252</v>
      </c>
      <c r="I2334" s="5" t="s">
        <v>1564</v>
      </c>
      <c r="J2334" s="8">
        <v>29.34</v>
      </c>
      <c r="K2334" s="5" t="s">
        <v>4</v>
      </c>
      <c r="L2334">
        <f t="shared" si="36"/>
        <v>4</v>
      </c>
    </row>
    <row r="2335" spans="1:12" x14ac:dyDescent="0.25">
      <c r="A2335" s="5">
        <v>47880</v>
      </c>
      <c r="B2335" t="s">
        <v>9420</v>
      </c>
      <c r="C2335" s="5" t="s">
        <v>579</v>
      </c>
      <c r="D2335" t="s">
        <v>9421</v>
      </c>
      <c r="E2335" s="5" t="s">
        <v>13253</v>
      </c>
      <c r="F2335" s="6">
        <v>46126.531944444447</v>
      </c>
      <c r="G2335" s="5" t="s">
        <v>7456</v>
      </c>
      <c r="H2335" t="s">
        <v>7482</v>
      </c>
      <c r="I2335" s="5" t="s">
        <v>1564</v>
      </c>
      <c r="J2335" s="8">
        <v>144.9</v>
      </c>
      <c r="K2335" s="5" t="s">
        <v>4</v>
      </c>
      <c r="L2335">
        <f t="shared" si="36"/>
        <v>4</v>
      </c>
    </row>
    <row r="2336" spans="1:12" x14ac:dyDescent="0.25">
      <c r="A2336" s="5">
        <v>47881</v>
      </c>
      <c r="B2336" t="s">
        <v>13254</v>
      </c>
      <c r="C2336" s="5" t="s">
        <v>7516</v>
      </c>
      <c r="D2336" t="s">
        <v>13255</v>
      </c>
      <c r="E2336" s="5" t="s">
        <v>1738</v>
      </c>
      <c r="F2336" s="6">
        <v>46126.540972222225</v>
      </c>
      <c r="G2336" s="5" t="s">
        <v>7456</v>
      </c>
      <c r="H2336" s="5" t="s">
        <v>13256</v>
      </c>
      <c r="I2336" s="5" t="s">
        <v>1564</v>
      </c>
      <c r="J2336" s="8">
        <v>140</v>
      </c>
      <c r="K2336" s="5" t="s">
        <v>4</v>
      </c>
      <c r="L2336">
        <f t="shared" si="36"/>
        <v>4</v>
      </c>
    </row>
    <row r="2337" spans="1:12" x14ac:dyDescent="0.25">
      <c r="A2337" s="5">
        <v>47882</v>
      </c>
      <c r="B2337" t="s">
        <v>13257</v>
      </c>
      <c r="C2337" s="5" t="s">
        <v>7516</v>
      </c>
      <c r="D2337" t="s">
        <v>13258</v>
      </c>
      <c r="E2337" s="5" t="s">
        <v>1627</v>
      </c>
      <c r="F2337" s="6">
        <v>46127.392361111109</v>
      </c>
      <c r="G2337" s="5" t="s">
        <v>7456</v>
      </c>
      <c r="H2337" s="5" t="s">
        <v>13259</v>
      </c>
      <c r="I2337" s="5" t="s">
        <v>1535</v>
      </c>
      <c r="J2337" s="8">
        <v>4056.5</v>
      </c>
      <c r="K2337" s="5" t="s">
        <v>4</v>
      </c>
      <c r="L2337">
        <f t="shared" si="36"/>
        <v>4</v>
      </c>
    </row>
    <row r="2338" spans="1:12" x14ac:dyDescent="0.25">
      <c r="A2338" s="5">
        <v>47884</v>
      </c>
      <c r="B2338" t="s">
        <v>11702</v>
      </c>
      <c r="C2338" s="5" t="s">
        <v>11699</v>
      </c>
      <c r="D2338" t="s">
        <v>11703</v>
      </c>
      <c r="E2338" s="5" t="s">
        <v>1532</v>
      </c>
      <c r="F2338" s="6">
        <v>46126.65</v>
      </c>
      <c r="G2338" s="5" t="s">
        <v>7456</v>
      </c>
      <c r="H2338" s="5" t="s">
        <v>13260</v>
      </c>
      <c r="I2338" s="5" t="s">
        <v>1535</v>
      </c>
      <c r="J2338" s="8">
        <v>235.7</v>
      </c>
      <c r="K2338" s="5" t="s">
        <v>4</v>
      </c>
      <c r="L2338">
        <f t="shared" si="36"/>
        <v>4</v>
      </c>
    </row>
    <row r="2339" spans="1:12" x14ac:dyDescent="0.25">
      <c r="A2339" s="5">
        <v>47885</v>
      </c>
      <c r="B2339" t="s">
        <v>8947</v>
      </c>
      <c r="C2339" s="5" t="s">
        <v>8948</v>
      </c>
      <c r="D2339" t="s">
        <v>8949</v>
      </c>
      <c r="E2339" s="5" t="s">
        <v>1813</v>
      </c>
      <c r="F2339" s="6">
        <v>46126.660416666666</v>
      </c>
      <c r="G2339" s="5" t="s">
        <v>7595</v>
      </c>
      <c r="H2339" t="s">
        <v>7482</v>
      </c>
      <c r="I2339" s="5" t="s">
        <v>1535</v>
      </c>
      <c r="J2339" s="8">
        <v>2011</v>
      </c>
      <c r="K2339" s="5" t="s">
        <v>4</v>
      </c>
      <c r="L2339">
        <f t="shared" si="36"/>
        <v>4</v>
      </c>
    </row>
    <row r="2340" spans="1:12" x14ac:dyDescent="0.25">
      <c r="A2340" s="5">
        <v>47886</v>
      </c>
      <c r="B2340" t="s">
        <v>13261</v>
      </c>
      <c r="C2340" s="5" t="s">
        <v>13262</v>
      </c>
      <c r="D2340" t="s">
        <v>13263</v>
      </c>
      <c r="E2340" s="5" t="s">
        <v>1681</v>
      </c>
      <c r="F2340" s="6">
        <v>46126.664583333331</v>
      </c>
      <c r="G2340" s="5" t="s">
        <v>7456</v>
      </c>
      <c r="H2340" s="5" t="s">
        <v>13264</v>
      </c>
      <c r="I2340" s="5" t="s">
        <v>1535</v>
      </c>
      <c r="J2340" s="8">
        <v>3040</v>
      </c>
      <c r="K2340" s="5" t="s">
        <v>4</v>
      </c>
      <c r="L2340">
        <f t="shared" si="36"/>
        <v>4</v>
      </c>
    </row>
    <row r="2341" spans="1:12" x14ac:dyDescent="0.25">
      <c r="A2341" s="5">
        <v>47888</v>
      </c>
      <c r="B2341" t="s">
        <v>12632</v>
      </c>
      <c r="C2341" s="5" t="s">
        <v>12633</v>
      </c>
      <c r="D2341" t="s">
        <v>12634</v>
      </c>
      <c r="E2341" s="5" t="s">
        <v>3266</v>
      </c>
      <c r="F2341" s="6">
        <v>46126.702777777777</v>
      </c>
      <c r="G2341" s="5" t="s">
        <v>7456</v>
      </c>
      <c r="H2341" s="5" t="s">
        <v>13265</v>
      </c>
      <c r="I2341" s="5" t="s">
        <v>1564</v>
      </c>
      <c r="J2341" s="8">
        <v>378.4</v>
      </c>
      <c r="K2341" s="5" t="s">
        <v>4</v>
      </c>
      <c r="L2341">
        <f t="shared" si="36"/>
        <v>4</v>
      </c>
    </row>
    <row r="2342" spans="1:12" x14ac:dyDescent="0.25">
      <c r="A2342" s="5">
        <v>47889</v>
      </c>
      <c r="B2342" t="s">
        <v>13266</v>
      </c>
      <c r="C2342" s="5" t="s">
        <v>13267</v>
      </c>
      <c r="D2342" t="s">
        <v>13268</v>
      </c>
      <c r="E2342" s="5" t="s">
        <v>2740</v>
      </c>
      <c r="F2342" s="6">
        <v>46126.736805555556</v>
      </c>
      <c r="G2342" s="5" t="s">
        <v>7456</v>
      </c>
      <c r="H2342" s="5" t="s">
        <v>13269</v>
      </c>
      <c r="I2342" s="5" t="s">
        <v>1564</v>
      </c>
      <c r="J2342" s="8">
        <v>125</v>
      </c>
      <c r="K2342" s="5" t="s">
        <v>4</v>
      </c>
      <c r="L2342">
        <f t="shared" si="36"/>
        <v>4</v>
      </c>
    </row>
    <row r="2343" spans="1:12" x14ac:dyDescent="0.25">
      <c r="A2343" s="5">
        <v>47890</v>
      </c>
      <c r="B2343" t="s">
        <v>13270</v>
      </c>
      <c r="C2343" s="5" t="s">
        <v>336</v>
      </c>
      <c r="D2343" t="s">
        <v>13271</v>
      </c>
      <c r="E2343" s="5" t="s">
        <v>7036</v>
      </c>
      <c r="F2343" s="6">
        <v>46126.746527777781</v>
      </c>
      <c r="G2343" s="5" t="s">
        <v>7456</v>
      </c>
      <c r="H2343" s="5" t="s">
        <v>13272</v>
      </c>
      <c r="I2343" s="5" t="s">
        <v>1564</v>
      </c>
      <c r="J2343" s="8">
        <v>32.340000000000003</v>
      </c>
      <c r="K2343" s="5" t="s">
        <v>4</v>
      </c>
      <c r="L2343">
        <f t="shared" si="36"/>
        <v>4</v>
      </c>
    </row>
    <row r="2344" spans="1:12" x14ac:dyDescent="0.25">
      <c r="A2344" s="5">
        <v>47891</v>
      </c>
      <c r="B2344" t="s">
        <v>13273</v>
      </c>
      <c r="C2344" s="5" t="s">
        <v>13274</v>
      </c>
      <c r="D2344" t="s">
        <v>13275</v>
      </c>
      <c r="E2344" s="5" t="s">
        <v>4089</v>
      </c>
      <c r="F2344" s="6">
        <v>46126.752083333333</v>
      </c>
      <c r="G2344" s="5" t="s">
        <v>7456</v>
      </c>
      <c r="H2344" s="5" t="s">
        <v>13276</v>
      </c>
      <c r="I2344" s="5" t="s">
        <v>1564</v>
      </c>
      <c r="J2344" s="8">
        <v>243.16</v>
      </c>
      <c r="K2344" s="5" t="s">
        <v>4</v>
      </c>
      <c r="L2344">
        <f t="shared" si="36"/>
        <v>4</v>
      </c>
    </row>
    <row r="2345" spans="1:12" x14ac:dyDescent="0.25">
      <c r="A2345" s="5">
        <v>47892</v>
      </c>
      <c r="B2345" t="s">
        <v>13277</v>
      </c>
      <c r="C2345" s="5" t="s">
        <v>13278</v>
      </c>
      <c r="D2345" t="s">
        <v>13279</v>
      </c>
      <c r="E2345" s="5" t="s">
        <v>5881</v>
      </c>
      <c r="F2345" s="6">
        <v>46126.755555555559</v>
      </c>
      <c r="G2345" s="5" t="s">
        <v>7456</v>
      </c>
      <c r="H2345" s="5" t="s">
        <v>13280</v>
      </c>
      <c r="I2345" s="5" t="s">
        <v>1564</v>
      </c>
      <c r="J2345" s="8">
        <v>102.73</v>
      </c>
      <c r="K2345" s="5" t="s">
        <v>4</v>
      </c>
      <c r="L2345">
        <f t="shared" si="36"/>
        <v>4</v>
      </c>
    </row>
    <row r="2346" spans="1:12" x14ac:dyDescent="0.25">
      <c r="A2346" s="5">
        <v>47893</v>
      </c>
      <c r="B2346" t="s">
        <v>9612</v>
      </c>
      <c r="C2346" s="5" t="s">
        <v>9613</v>
      </c>
      <c r="D2346" t="s">
        <v>9614</v>
      </c>
      <c r="E2346" s="5" t="s">
        <v>1759</v>
      </c>
      <c r="F2346" s="6">
        <v>46126.762499999997</v>
      </c>
      <c r="G2346" s="5" t="s">
        <v>7672</v>
      </c>
      <c r="H2346" t="s">
        <v>7482</v>
      </c>
      <c r="I2346" s="5" t="s">
        <v>1564</v>
      </c>
      <c r="J2346" s="8">
        <v>1742.4</v>
      </c>
      <c r="K2346" s="5" t="s">
        <v>4</v>
      </c>
      <c r="L2346">
        <f t="shared" si="36"/>
        <v>4</v>
      </c>
    </row>
    <row r="2347" spans="1:12" x14ac:dyDescent="0.25">
      <c r="A2347" s="5">
        <v>47894</v>
      </c>
      <c r="B2347" t="s">
        <v>13281</v>
      </c>
      <c r="C2347" s="5" t="s">
        <v>838</v>
      </c>
      <c r="D2347" t="s">
        <v>13282</v>
      </c>
      <c r="E2347" s="5" t="s">
        <v>6215</v>
      </c>
      <c r="F2347" s="6">
        <v>46127.324305555558</v>
      </c>
      <c r="G2347" s="5" t="s">
        <v>7456</v>
      </c>
      <c r="H2347" s="5" t="s">
        <v>13283</v>
      </c>
      <c r="I2347" s="5" t="s">
        <v>1564</v>
      </c>
      <c r="J2347" s="8">
        <v>80</v>
      </c>
      <c r="K2347" s="5" t="s">
        <v>4</v>
      </c>
      <c r="L2347">
        <f t="shared" si="36"/>
        <v>4</v>
      </c>
    </row>
    <row r="2348" spans="1:12" x14ac:dyDescent="0.25">
      <c r="A2348" s="5">
        <v>47895</v>
      </c>
      <c r="B2348" t="s">
        <v>13284</v>
      </c>
      <c r="C2348" s="5" t="s">
        <v>13285</v>
      </c>
      <c r="D2348" t="s">
        <v>13286</v>
      </c>
      <c r="E2348" s="5" t="s">
        <v>1800</v>
      </c>
      <c r="F2348" s="6">
        <v>46127.345833333333</v>
      </c>
      <c r="G2348" s="5" t="s">
        <v>7456</v>
      </c>
      <c r="H2348" s="5" t="s">
        <v>13287</v>
      </c>
      <c r="I2348" s="5" t="s">
        <v>1564</v>
      </c>
      <c r="J2348" s="8">
        <v>751.8</v>
      </c>
      <c r="K2348" s="5" t="s">
        <v>4</v>
      </c>
      <c r="L2348">
        <f t="shared" si="36"/>
        <v>4</v>
      </c>
    </row>
    <row r="2349" spans="1:12" x14ac:dyDescent="0.25">
      <c r="A2349" s="5">
        <v>47897</v>
      </c>
      <c r="B2349" t="s">
        <v>13288</v>
      </c>
      <c r="C2349" s="5" t="s">
        <v>13289</v>
      </c>
      <c r="D2349" t="s">
        <v>13290</v>
      </c>
      <c r="E2349" s="5" t="s">
        <v>3329</v>
      </c>
      <c r="F2349" s="6">
        <v>46127.359722222223</v>
      </c>
      <c r="G2349" s="5" t="s">
        <v>7456</v>
      </c>
      <c r="H2349" s="5" t="s">
        <v>13291</v>
      </c>
      <c r="I2349" s="5" t="s">
        <v>1564</v>
      </c>
      <c r="J2349" s="8">
        <v>354.8</v>
      </c>
      <c r="K2349" s="5" t="s">
        <v>4</v>
      </c>
      <c r="L2349">
        <f t="shared" si="36"/>
        <v>4</v>
      </c>
    </row>
    <row r="2350" spans="1:12" x14ac:dyDescent="0.25">
      <c r="A2350" s="5">
        <v>47898</v>
      </c>
      <c r="B2350" t="s">
        <v>13292</v>
      </c>
      <c r="C2350" s="5" t="s">
        <v>7516</v>
      </c>
      <c r="D2350" t="s">
        <v>13293</v>
      </c>
      <c r="E2350" s="5" t="s">
        <v>1813</v>
      </c>
      <c r="F2350" s="6">
        <v>46127.36041666667</v>
      </c>
      <c r="G2350" s="5" t="s">
        <v>13021</v>
      </c>
      <c r="H2350" t="s">
        <v>7482</v>
      </c>
      <c r="I2350" s="5" t="s">
        <v>1535</v>
      </c>
      <c r="J2350" s="8">
        <v>184</v>
      </c>
      <c r="K2350" s="5" t="s">
        <v>4</v>
      </c>
      <c r="L2350">
        <f t="shared" si="36"/>
        <v>4</v>
      </c>
    </row>
    <row r="2351" spans="1:12" x14ac:dyDescent="0.25">
      <c r="A2351" s="5">
        <v>47899</v>
      </c>
      <c r="B2351" t="s">
        <v>13294</v>
      </c>
      <c r="C2351" s="5" t="s">
        <v>1348</v>
      </c>
      <c r="D2351" t="s">
        <v>13295</v>
      </c>
      <c r="E2351" s="5" t="s">
        <v>3308</v>
      </c>
      <c r="F2351" s="6">
        <v>46127.37777777778</v>
      </c>
      <c r="G2351" s="5" t="s">
        <v>7456</v>
      </c>
      <c r="H2351" s="5" t="s">
        <v>13296</v>
      </c>
      <c r="I2351" s="5" t="s">
        <v>1564</v>
      </c>
      <c r="J2351" s="8">
        <v>361.5</v>
      </c>
      <c r="K2351" s="5" t="s">
        <v>4</v>
      </c>
      <c r="L2351">
        <f t="shared" si="36"/>
        <v>4</v>
      </c>
    </row>
    <row r="2352" spans="1:12" x14ac:dyDescent="0.25">
      <c r="A2352" s="5">
        <v>47901</v>
      </c>
      <c r="B2352" t="s">
        <v>13297</v>
      </c>
      <c r="C2352" s="5" t="s">
        <v>10890</v>
      </c>
      <c r="D2352" t="s">
        <v>13298</v>
      </c>
      <c r="E2352" s="5" t="s">
        <v>4323</v>
      </c>
      <c r="F2352" s="6">
        <v>46127.393055555556</v>
      </c>
      <c r="G2352" s="5" t="s">
        <v>7456</v>
      </c>
      <c r="H2352" s="5" t="s">
        <v>13299</v>
      </c>
      <c r="I2352" s="5" t="s">
        <v>1564</v>
      </c>
      <c r="J2352" s="8">
        <v>215.8</v>
      </c>
      <c r="K2352" s="5" t="s">
        <v>4</v>
      </c>
      <c r="L2352">
        <f t="shared" si="36"/>
        <v>4</v>
      </c>
    </row>
    <row r="2353" spans="1:12" x14ac:dyDescent="0.25">
      <c r="A2353" s="5">
        <v>47902</v>
      </c>
      <c r="B2353" t="s">
        <v>13300</v>
      </c>
      <c r="C2353" s="5" t="s">
        <v>13301</v>
      </c>
      <c r="D2353" t="s">
        <v>13302</v>
      </c>
      <c r="E2353" s="5" t="s">
        <v>5341</v>
      </c>
      <c r="F2353" s="6">
        <v>46127.411111111112</v>
      </c>
      <c r="G2353" s="5" t="s">
        <v>7456</v>
      </c>
      <c r="H2353" s="5" t="s">
        <v>13303</v>
      </c>
      <c r="I2353" s="5" t="s">
        <v>1564</v>
      </c>
      <c r="J2353" s="8">
        <v>133.38999999999999</v>
      </c>
      <c r="K2353" s="5" t="s">
        <v>4</v>
      </c>
      <c r="L2353">
        <f t="shared" si="36"/>
        <v>4</v>
      </c>
    </row>
    <row r="2354" spans="1:12" x14ac:dyDescent="0.25">
      <c r="A2354" s="5">
        <v>47906</v>
      </c>
      <c r="B2354" t="s">
        <v>8371</v>
      </c>
      <c r="C2354" s="5" t="s">
        <v>8372</v>
      </c>
      <c r="D2354" t="s">
        <v>8373</v>
      </c>
      <c r="E2354" s="5" t="s">
        <v>13304</v>
      </c>
      <c r="F2354" s="6">
        <v>46127.513194444444</v>
      </c>
      <c r="G2354" s="5" t="s">
        <v>7672</v>
      </c>
      <c r="H2354" t="s">
        <v>8626</v>
      </c>
      <c r="I2354" s="5" t="s">
        <v>1564</v>
      </c>
      <c r="J2354" s="8">
        <v>439</v>
      </c>
      <c r="K2354" s="5" t="s">
        <v>4</v>
      </c>
      <c r="L2354">
        <f t="shared" si="36"/>
        <v>4</v>
      </c>
    </row>
    <row r="2355" spans="1:12" x14ac:dyDescent="0.25">
      <c r="A2355" s="5">
        <v>47907</v>
      </c>
      <c r="B2355" t="s">
        <v>13305</v>
      </c>
      <c r="C2355" s="5" t="s">
        <v>974</v>
      </c>
      <c r="D2355" t="s">
        <v>13306</v>
      </c>
      <c r="E2355" s="5" t="s">
        <v>6971</v>
      </c>
      <c r="F2355" s="6">
        <v>46127.534722222219</v>
      </c>
      <c r="G2355" s="5" t="s">
        <v>7456</v>
      </c>
      <c r="H2355" s="5" t="s">
        <v>13307</v>
      </c>
      <c r="I2355" s="5" t="s">
        <v>1564</v>
      </c>
      <c r="J2355" s="8">
        <v>36.24</v>
      </c>
      <c r="K2355" s="5" t="s">
        <v>4</v>
      </c>
      <c r="L2355">
        <f t="shared" si="36"/>
        <v>4</v>
      </c>
    </row>
    <row r="2356" spans="1:12" x14ac:dyDescent="0.25">
      <c r="A2356" s="5">
        <v>47908</v>
      </c>
      <c r="B2356" t="s">
        <v>13308</v>
      </c>
      <c r="C2356" s="5" t="s">
        <v>978</v>
      </c>
      <c r="D2356" t="s">
        <v>13309</v>
      </c>
      <c r="E2356" s="5" t="s">
        <v>7316</v>
      </c>
      <c r="F2356" s="6">
        <v>46127.540277777778</v>
      </c>
      <c r="G2356" s="5" t="s">
        <v>7456</v>
      </c>
      <c r="H2356" s="5" t="s">
        <v>13310</v>
      </c>
      <c r="I2356" s="5" t="s">
        <v>1564</v>
      </c>
      <c r="J2356" s="8">
        <v>16.5</v>
      </c>
      <c r="K2356" s="5" t="s">
        <v>4</v>
      </c>
      <c r="L2356">
        <f t="shared" si="36"/>
        <v>4</v>
      </c>
    </row>
    <row r="2357" spans="1:12" x14ac:dyDescent="0.25">
      <c r="A2357" s="5">
        <v>47909</v>
      </c>
      <c r="B2357" t="s">
        <v>13311</v>
      </c>
      <c r="C2357" s="5" t="s">
        <v>13312</v>
      </c>
      <c r="D2357" t="s">
        <v>13313</v>
      </c>
      <c r="E2357" s="5" t="s">
        <v>2040</v>
      </c>
      <c r="F2357" s="6">
        <v>46127.588194444441</v>
      </c>
      <c r="G2357" s="5" t="s">
        <v>7456</v>
      </c>
      <c r="H2357" s="5" t="s">
        <v>13314</v>
      </c>
      <c r="I2357" s="5" t="s">
        <v>1564</v>
      </c>
      <c r="J2357" s="8">
        <v>1164.9000000000001</v>
      </c>
      <c r="K2357" s="5" t="s">
        <v>4</v>
      </c>
      <c r="L2357">
        <f t="shared" si="36"/>
        <v>4</v>
      </c>
    </row>
    <row r="2358" spans="1:12" x14ac:dyDescent="0.25">
      <c r="A2358" s="5">
        <v>47910</v>
      </c>
      <c r="B2358" t="s">
        <v>10850</v>
      </c>
      <c r="C2358" s="5" t="s">
        <v>13315</v>
      </c>
      <c r="D2358" t="s">
        <v>10851</v>
      </c>
      <c r="E2358" s="5" t="s">
        <v>2558</v>
      </c>
      <c r="F2358" s="6">
        <v>46127.602777777778</v>
      </c>
      <c r="G2358" s="5" t="s">
        <v>7456</v>
      </c>
      <c r="H2358" s="5" t="s">
        <v>13316</v>
      </c>
      <c r="I2358" s="5" t="s">
        <v>1564</v>
      </c>
      <c r="J2358" s="8">
        <v>640</v>
      </c>
      <c r="K2358" s="5" t="s">
        <v>4</v>
      </c>
      <c r="L2358">
        <f t="shared" si="36"/>
        <v>4</v>
      </c>
    </row>
    <row r="2359" spans="1:12" x14ac:dyDescent="0.25">
      <c r="A2359" s="5">
        <v>47912</v>
      </c>
      <c r="B2359" t="s">
        <v>13317</v>
      </c>
      <c r="C2359" s="5" t="s">
        <v>563</v>
      </c>
      <c r="D2359" t="s">
        <v>13318</v>
      </c>
      <c r="E2359" s="5" t="s">
        <v>7291</v>
      </c>
      <c r="F2359" s="6">
        <v>46127.617361111108</v>
      </c>
      <c r="G2359" s="5" t="s">
        <v>7456</v>
      </c>
      <c r="H2359" s="5" t="s">
        <v>13319</v>
      </c>
      <c r="I2359" s="5" t="s">
        <v>1564</v>
      </c>
      <c r="J2359" s="8">
        <v>18.34</v>
      </c>
      <c r="K2359" s="5" t="s">
        <v>4</v>
      </c>
      <c r="L2359">
        <f t="shared" si="36"/>
        <v>4</v>
      </c>
    </row>
    <row r="2360" spans="1:12" x14ac:dyDescent="0.25">
      <c r="A2360" s="5">
        <v>47914</v>
      </c>
      <c r="B2360" t="s">
        <v>10715</v>
      </c>
      <c r="C2360" s="5" t="s">
        <v>13320</v>
      </c>
      <c r="D2360" t="s">
        <v>10717</v>
      </c>
      <c r="E2360" s="5" t="s">
        <v>2449</v>
      </c>
      <c r="F2360" s="6">
        <v>46127.643750000003</v>
      </c>
      <c r="G2360" s="5" t="s">
        <v>7456</v>
      </c>
      <c r="H2360" s="5" t="s">
        <v>13321</v>
      </c>
      <c r="I2360" s="5" t="s">
        <v>1535</v>
      </c>
      <c r="J2360" s="8">
        <v>710</v>
      </c>
      <c r="K2360" s="5" t="s">
        <v>4</v>
      </c>
      <c r="L2360">
        <f t="shared" si="36"/>
        <v>4</v>
      </c>
    </row>
    <row r="2361" spans="1:12" x14ac:dyDescent="0.25">
      <c r="A2361" s="5">
        <v>47915</v>
      </c>
      <c r="B2361" t="s">
        <v>10158</v>
      </c>
      <c r="C2361" s="5" t="s">
        <v>10159</v>
      </c>
      <c r="D2361" t="s">
        <v>10160</v>
      </c>
      <c r="E2361" s="5" t="s">
        <v>2875</v>
      </c>
      <c r="F2361" s="6">
        <v>46127.647222222222</v>
      </c>
      <c r="G2361" s="5" t="s">
        <v>7595</v>
      </c>
      <c r="H2361" t="s">
        <v>7482</v>
      </c>
      <c r="I2361" s="5" t="s">
        <v>1535</v>
      </c>
      <c r="J2361" s="8">
        <v>133.6</v>
      </c>
      <c r="K2361" s="5" t="s">
        <v>4</v>
      </c>
      <c r="L2361">
        <f t="shared" si="36"/>
        <v>4</v>
      </c>
    </row>
    <row r="2362" spans="1:12" x14ac:dyDescent="0.25">
      <c r="A2362" s="5">
        <v>47917</v>
      </c>
      <c r="B2362" t="s">
        <v>13322</v>
      </c>
      <c r="C2362" s="5" t="s">
        <v>13323</v>
      </c>
      <c r="D2362" t="s">
        <v>13324</v>
      </c>
      <c r="E2362" s="5" t="s">
        <v>5981</v>
      </c>
      <c r="F2362" s="6">
        <v>46127.689583333333</v>
      </c>
      <c r="G2362" s="5" t="s">
        <v>7456</v>
      </c>
      <c r="H2362" s="5" t="s">
        <v>13325</v>
      </c>
      <c r="I2362" s="5" t="s">
        <v>1564</v>
      </c>
      <c r="J2362" s="8">
        <v>95.67</v>
      </c>
      <c r="K2362" s="5" t="s">
        <v>4</v>
      </c>
      <c r="L2362">
        <f t="shared" si="36"/>
        <v>4</v>
      </c>
    </row>
    <row r="2363" spans="1:12" x14ac:dyDescent="0.25">
      <c r="A2363" s="5">
        <v>47918</v>
      </c>
      <c r="B2363" t="s">
        <v>13326</v>
      </c>
      <c r="C2363" s="5" t="s">
        <v>483</v>
      </c>
      <c r="D2363" t="s">
        <v>13327</v>
      </c>
      <c r="E2363" s="5" t="s">
        <v>7129</v>
      </c>
      <c r="F2363" s="6">
        <v>46127.695138888892</v>
      </c>
      <c r="G2363" s="5" t="s">
        <v>7456</v>
      </c>
      <c r="H2363" s="5" t="s">
        <v>13328</v>
      </c>
      <c r="I2363" s="5" t="s">
        <v>1564</v>
      </c>
      <c r="J2363" s="8">
        <v>28.9</v>
      </c>
      <c r="K2363" s="5" t="s">
        <v>4</v>
      </c>
      <c r="L2363">
        <f t="shared" si="36"/>
        <v>4</v>
      </c>
    </row>
    <row r="2364" spans="1:12" x14ac:dyDescent="0.25">
      <c r="A2364" s="5">
        <v>47919</v>
      </c>
      <c r="B2364" t="s">
        <v>13329</v>
      </c>
      <c r="C2364" s="5" t="s">
        <v>208</v>
      </c>
      <c r="D2364" t="s">
        <v>13330</v>
      </c>
      <c r="E2364" s="5" t="s">
        <v>5826</v>
      </c>
      <c r="F2364" s="6">
        <v>46127.702777777777</v>
      </c>
      <c r="G2364" s="5" t="s">
        <v>7456</v>
      </c>
      <c r="H2364" s="5" t="s">
        <v>13331</v>
      </c>
      <c r="I2364" s="5" t="s">
        <v>1564</v>
      </c>
      <c r="J2364" s="8">
        <v>105.07</v>
      </c>
      <c r="K2364" s="5" t="s">
        <v>4</v>
      </c>
      <c r="L2364">
        <f t="shared" si="36"/>
        <v>4</v>
      </c>
    </row>
    <row r="2365" spans="1:12" x14ac:dyDescent="0.25">
      <c r="A2365" s="5">
        <v>47920</v>
      </c>
      <c r="B2365" t="s">
        <v>13332</v>
      </c>
      <c r="C2365" s="5" t="s">
        <v>1102</v>
      </c>
      <c r="D2365" t="s">
        <v>13333</v>
      </c>
      <c r="E2365" s="5" t="s">
        <v>4947</v>
      </c>
      <c r="F2365" s="6">
        <v>46127.707638888889</v>
      </c>
      <c r="G2365" s="5" t="s">
        <v>7456</v>
      </c>
      <c r="H2365" s="5" t="s">
        <v>13334</v>
      </c>
      <c r="I2365" s="5" t="s">
        <v>1564</v>
      </c>
      <c r="J2365" s="8">
        <v>155.4</v>
      </c>
      <c r="K2365" s="5" t="s">
        <v>4</v>
      </c>
      <c r="L2365">
        <f t="shared" si="36"/>
        <v>4</v>
      </c>
    </row>
    <row r="2366" spans="1:12" x14ac:dyDescent="0.25">
      <c r="A2366" s="5">
        <v>47921</v>
      </c>
      <c r="B2366" t="s">
        <v>11374</v>
      </c>
      <c r="C2366" s="5" t="s">
        <v>11375</v>
      </c>
      <c r="D2366" t="s">
        <v>11376</v>
      </c>
      <c r="E2366" s="5" t="s">
        <v>3077</v>
      </c>
      <c r="F2366" s="6">
        <v>46127.743055555555</v>
      </c>
      <c r="G2366" s="5" t="s">
        <v>7456</v>
      </c>
      <c r="H2366" t="s">
        <v>8626</v>
      </c>
      <c r="I2366" s="5" t="s">
        <v>1564</v>
      </c>
      <c r="J2366" s="8">
        <v>112.58</v>
      </c>
      <c r="K2366" s="5" t="s">
        <v>4</v>
      </c>
      <c r="L2366">
        <f t="shared" si="36"/>
        <v>4</v>
      </c>
    </row>
    <row r="2367" spans="1:12" x14ac:dyDescent="0.25">
      <c r="A2367" s="5">
        <v>47922</v>
      </c>
      <c r="B2367" t="s">
        <v>13335</v>
      </c>
      <c r="C2367" s="5" t="s">
        <v>13336</v>
      </c>
      <c r="D2367" t="s">
        <v>13337</v>
      </c>
      <c r="E2367" s="5" t="s">
        <v>1790</v>
      </c>
      <c r="F2367" s="6">
        <v>46128.327777777777</v>
      </c>
      <c r="G2367" s="5" t="s">
        <v>7456</v>
      </c>
      <c r="H2367" s="5" t="s">
        <v>13338</v>
      </c>
      <c r="I2367" s="5" t="s">
        <v>1564</v>
      </c>
      <c r="J2367" s="8">
        <v>2129.46</v>
      </c>
      <c r="K2367" s="5" t="s">
        <v>4</v>
      </c>
      <c r="L2367">
        <f t="shared" si="36"/>
        <v>4</v>
      </c>
    </row>
    <row r="2368" spans="1:12" x14ac:dyDescent="0.25">
      <c r="A2368" s="5">
        <v>47923</v>
      </c>
      <c r="B2368" t="s">
        <v>13339</v>
      </c>
      <c r="C2368" s="5" t="s">
        <v>13340</v>
      </c>
      <c r="D2368" t="s">
        <v>13341</v>
      </c>
      <c r="E2368" s="5" t="s">
        <v>1702</v>
      </c>
      <c r="F2368" s="6">
        <v>46128.354166666664</v>
      </c>
      <c r="G2368" s="5" t="s">
        <v>7456</v>
      </c>
      <c r="H2368" s="5" t="s">
        <v>13342</v>
      </c>
      <c r="I2368" s="5" t="s">
        <v>1564</v>
      </c>
      <c r="J2368" s="8">
        <v>2846.54</v>
      </c>
      <c r="K2368" s="5" t="s">
        <v>4</v>
      </c>
      <c r="L2368">
        <f t="shared" si="36"/>
        <v>4</v>
      </c>
    </row>
    <row r="2369" spans="1:12" x14ac:dyDescent="0.25">
      <c r="A2369" s="5">
        <v>47927</v>
      </c>
      <c r="B2369" t="s">
        <v>10427</v>
      </c>
      <c r="C2369" s="5" t="s">
        <v>7516</v>
      </c>
      <c r="D2369" t="s">
        <v>10428</v>
      </c>
      <c r="E2369" s="5" t="s">
        <v>1759</v>
      </c>
      <c r="F2369" s="6">
        <v>46128.45208333333</v>
      </c>
      <c r="G2369" s="5" t="s">
        <v>7456</v>
      </c>
      <c r="H2369" s="5" t="s">
        <v>13343</v>
      </c>
      <c r="I2369" s="5" t="s">
        <v>1564</v>
      </c>
      <c r="J2369" s="8">
        <v>179.05</v>
      </c>
      <c r="K2369" s="5" t="s">
        <v>4</v>
      </c>
      <c r="L2369">
        <f t="shared" si="36"/>
        <v>4</v>
      </c>
    </row>
    <row r="2370" spans="1:12" x14ac:dyDescent="0.25">
      <c r="A2370" s="5">
        <v>47930</v>
      </c>
      <c r="B2370" t="s">
        <v>13344</v>
      </c>
      <c r="C2370" s="5" t="s">
        <v>13345</v>
      </c>
      <c r="D2370" t="s">
        <v>13346</v>
      </c>
      <c r="E2370" s="5" t="s">
        <v>4559</v>
      </c>
      <c r="F2370" s="6">
        <v>46128.490277777775</v>
      </c>
      <c r="G2370" s="5" t="s">
        <v>7456</v>
      </c>
      <c r="H2370" s="5" t="s">
        <v>13347</v>
      </c>
      <c r="I2370" s="5" t="s">
        <v>1564</v>
      </c>
      <c r="J2370" s="8">
        <v>188.8</v>
      </c>
      <c r="K2370" s="5" t="s">
        <v>4</v>
      </c>
      <c r="L2370">
        <f t="shared" si="36"/>
        <v>4</v>
      </c>
    </row>
    <row r="2371" spans="1:12" x14ac:dyDescent="0.25">
      <c r="A2371" s="5">
        <v>47931</v>
      </c>
      <c r="B2371" t="s">
        <v>13348</v>
      </c>
      <c r="C2371" s="5" t="s">
        <v>13349</v>
      </c>
      <c r="D2371" t="s">
        <v>13350</v>
      </c>
      <c r="E2371" s="5" t="s">
        <v>2306</v>
      </c>
      <c r="F2371" s="6">
        <v>46128.507638888892</v>
      </c>
      <c r="G2371" s="5" t="s">
        <v>7456</v>
      </c>
      <c r="H2371" s="5" t="s">
        <v>13351</v>
      </c>
      <c r="I2371" s="5" t="s">
        <v>1564</v>
      </c>
      <c r="J2371" s="8">
        <v>280</v>
      </c>
      <c r="K2371" s="5" t="s">
        <v>4</v>
      </c>
      <c r="L2371">
        <f t="shared" ref="L2371:L2434" si="37">MONTH(F2371)</f>
        <v>4</v>
      </c>
    </row>
    <row r="2372" spans="1:12" x14ac:dyDescent="0.25">
      <c r="A2372" s="5">
        <v>47932</v>
      </c>
      <c r="B2372" t="s">
        <v>13352</v>
      </c>
      <c r="C2372" s="5" t="s">
        <v>13353</v>
      </c>
      <c r="D2372" t="s">
        <v>13354</v>
      </c>
      <c r="E2372" s="5" t="s">
        <v>1759</v>
      </c>
      <c r="F2372" s="6">
        <v>46128.512499999997</v>
      </c>
      <c r="G2372" s="5" t="s">
        <v>7672</v>
      </c>
      <c r="H2372" t="s">
        <v>8626</v>
      </c>
      <c r="I2372" s="5" t="s">
        <v>1564</v>
      </c>
      <c r="J2372" s="8">
        <v>1310</v>
      </c>
      <c r="K2372" s="5" t="s">
        <v>4</v>
      </c>
      <c r="L2372">
        <f t="shared" si="37"/>
        <v>4</v>
      </c>
    </row>
    <row r="2373" spans="1:12" x14ac:dyDescent="0.25">
      <c r="A2373" s="5">
        <v>47933</v>
      </c>
      <c r="B2373" t="s">
        <v>9735</v>
      </c>
      <c r="C2373" s="5" t="s">
        <v>7516</v>
      </c>
      <c r="D2373" t="s">
        <v>9736</v>
      </c>
      <c r="E2373" s="5" t="s">
        <v>1532</v>
      </c>
      <c r="F2373" s="6">
        <v>46128.572916666664</v>
      </c>
      <c r="G2373" s="5" t="s">
        <v>7456</v>
      </c>
      <c r="H2373" s="5" t="s">
        <v>13355</v>
      </c>
      <c r="I2373" s="5" t="s">
        <v>1535</v>
      </c>
      <c r="J2373" s="8">
        <v>70</v>
      </c>
      <c r="K2373" s="5" t="s">
        <v>4</v>
      </c>
      <c r="L2373">
        <f t="shared" si="37"/>
        <v>4</v>
      </c>
    </row>
    <row r="2374" spans="1:12" x14ac:dyDescent="0.25">
      <c r="A2374" s="5">
        <v>47934</v>
      </c>
      <c r="B2374" t="s">
        <v>13356</v>
      </c>
      <c r="C2374" s="5" t="s">
        <v>8745</v>
      </c>
      <c r="D2374" t="s">
        <v>13357</v>
      </c>
      <c r="E2374" s="5" t="s">
        <v>4344</v>
      </c>
      <c r="F2374" s="6">
        <v>46128.597222222219</v>
      </c>
      <c r="G2374" s="5" t="s">
        <v>7456</v>
      </c>
      <c r="H2374" s="5" t="s">
        <v>13358</v>
      </c>
      <c r="I2374" s="5" t="s">
        <v>1564</v>
      </c>
      <c r="J2374" s="8">
        <v>211.6</v>
      </c>
      <c r="K2374" s="5" t="s">
        <v>4</v>
      </c>
      <c r="L2374">
        <f t="shared" si="37"/>
        <v>4</v>
      </c>
    </row>
    <row r="2375" spans="1:12" x14ac:dyDescent="0.25">
      <c r="A2375" s="5">
        <v>47935</v>
      </c>
      <c r="B2375" t="s">
        <v>8965</v>
      </c>
      <c r="C2375" s="5" t="s">
        <v>9154</v>
      </c>
      <c r="D2375" t="s">
        <v>8966</v>
      </c>
      <c r="E2375" s="5" t="s">
        <v>1532</v>
      </c>
      <c r="F2375" s="6">
        <v>46128.627083333333</v>
      </c>
      <c r="G2375" s="5" t="s">
        <v>7595</v>
      </c>
      <c r="H2375" t="s">
        <v>7482</v>
      </c>
      <c r="I2375" s="5" t="s">
        <v>1535</v>
      </c>
      <c r="J2375" s="8">
        <v>2750</v>
      </c>
      <c r="K2375" s="5" t="s">
        <v>4</v>
      </c>
      <c r="L2375">
        <f t="shared" si="37"/>
        <v>4</v>
      </c>
    </row>
    <row r="2376" spans="1:12" x14ac:dyDescent="0.25">
      <c r="A2376" s="5">
        <v>47937</v>
      </c>
      <c r="B2376" t="s">
        <v>13359</v>
      </c>
      <c r="C2376" s="5" t="s">
        <v>13360</v>
      </c>
      <c r="D2376" t="s">
        <v>13361</v>
      </c>
      <c r="E2376" s="5" t="s">
        <v>2118</v>
      </c>
      <c r="F2376" s="6">
        <v>46128.629166666666</v>
      </c>
      <c r="G2376" s="5" t="s">
        <v>7456</v>
      </c>
      <c r="H2376" s="5" t="s">
        <v>13362</v>
      </c>
      <c r="I2376" s="5" t="s">
        <v>1564</v>
      </c>
      <c r="J2376" s="8">
        <v>135</v>
      </c>
      <c r="K2376" s="5" t="s">
        <v>4</v>
      </c>
      <c r="L2376">
        <f t="shared" si="37"/>
        <v>4</v>
      </c>
    </row>
    <row r="2377" spans="1:12" x14ac:dyDescent="0.25">
      <c r="A2377" s="5">
        <v>47938</v>
      </c>
      <c r="B2377" t="s">
        <v>13363</v>
      </c>
      <c r="C2377" s="5" t="s">
        <v>13364</v>
      </c>
      <c r="D2377" t="s">
        <v>13365</v>
      </c>
      <c r="E2377" s="5" t="s">
        <v>6115</v>
      </c>
      <c r="F2377" s="6">
        <v>46128.633333333331</v>
      </c>
      <c r="G2377" s="5" t="s">
        <v>7456</v>
      </c>
      <c r="H2377" s="5" t="s">
        <v>13366</v>
      </c>
      <c r="I2377" s="5" t="s">
        <v>1621</v>
      </c>
      <c r="J2377" s="8">
        <v>87.49</v>
      </c>
      <c r="K2377" s="5" t="s">
        <v>4</v>
      </c>
      <c r="L2377">
        <f t="shared" si="37"/>
        <v>4</v>
      </c>
    </row>
    <row r="2378" spans="1:12" x14ac:dyDescent="0.25">
      <c r="A2378" s="5">
        <v>47939</v>
      </c>
      <c r="B2378" t="s">
        <v>13367</v>
      </c>
      <c r="C2378" s="5" t="s">
        <v>13368</v>
      </c>
      <c r="D2378" t="s">
        <v>13369</v>
      </c>
      <c r="E2378" s="5" t="s">
        <v>3629</v>
      </c>
      <c r="F2378" s="6">
        <v>46128.64166666667</v>
      </c>
      <c r="G2378" s="5" t="s">
        <v>7456</v>
      </c>
      <c r="H2378" s="5" t="s">
        <v>13370</v>
      </c>
      <c r="I2378" s="5" t="s">
        <v>1621</v>
      </c>
      <c r="J2378" s="8">
        <v>306.89999999999998</v>
      </c>
      <c r="K2378" s="5" t="s">
        <v>4</v>
      </c>
      <c r="L2378">
        <f t="shared" si="37"/>
        <v>4</v>
      </c>
    </row>
    <row r="2379" spans="1:12" x14ac:dyDescent="0.25">
      <c r="A2379" s="5">
        <v>47940</v>
      </c>
      <c r="B2379" t="s">
        <v>9035</v>
      </c>
      <c r="C2379" s="5" t="s">
        <v>13371</v>
      </c>
      <c r="D2379" t="s">
        <v>9037</v>
      </c>
      <c r="E2379" s="5" t="s">
        <v>13372</v>
      </c>
      <c r="F2379" s="6">
        <v>46128.648611111108</v>
      </c>
      <c r="G2379" s="5" t="s">
        <v>7672</v>
      </c>
      <c r="H2379" t="s">
        <v>8626</v>
      </c>
      <c r="I2379" s="5" t="s">
        <v>1564</v>
      </c>
      <c r="J2379" s="8">
        <v>858</v>
      </c>
      <c r="K2379" s="5" t="s">
        <v>4</v>
      </c>
      <c r="L2379">
        <f t="shared" si="37"/>
        <v>4</v>
      </c>
    </row>
    <row r="2380" spans="1:12" x14ac:dyDescent="0.25">
      <c r="A2380" s="5">
        <v>47941</v>
      </c>
      <c r="B2380" t="s">
        <v>13373</v>
      </c>
      <c r="C2380" s="5" t="s">
        <v>13374</v>
      </c>
      <c r="D2380" t="s">
        <v>13375</v>
      </c>
      <c r="E2380" s="5" t="s">
        <v>3519</v>
      </c>
      <c r="F2380" s="6">
        <v>46128.648611111108</v>
      </c>
      <c r="G2380" s="5" t="s">
        <v>7456</v>
      </c>
      <c r="H2380" s="5" t="s">
        <v>13376</v>
      </c>
      <c r="I2380" s="5" t="s">
        <v>1621</v>
      </c>
      <c r="J2380" s="8">
        <v>319.58</v>
      </c>
      <c r="K2380" s="5" t="s">
        <v>4</v>
      </c>
      <c r="L2380">
        <f t="shared" si="37"/>
        <v>4</v>
      </c>
    </row>
    <row r="2381" spans="1:12" x14ac:dyDescent="0.25">
      <c r="A2381" s="5">
        <v>47942</v>
      </c>
      <c r="B2381" t="s">
        <v>13377</v>
      </c>
      <c r="C2381" s="5" t="s">
        <v>13378</v>
      </c>
      <c r="D2381" t="s">
        <v>13379</v>
      </c>
      <c r="E2381" s="5" t="s">
        <v>3942</v>
      </c>
      <c r="F2381" s="6">
        <v>46128.655555555553</v>
      </c>
      <c r="G2381" s="5" t="s">
        <v>7456</v>
      </c>
      <c r="H2381" s="5" t="s">
        <v>13380</v>
      </c>
      <c r="I2381" s="5" t="s">
        <v>1621</v>
      </c>
      <c r="J2381" s="8">
        <v>265.49</v>
      </c>
      <c r="K2381" s="5" t="s">
        <v>4</v>
      </c>
      <c r="L2381">
        <f t="shared" si="37"/>
        <v>4</v>
      </c>
    </row>
    <row r="2382" spans="1:12" x14ac:dyDescent="0.25">
      <c r="A2382" s="5">
        <v>47943</v>
      </c>
      <c r="B2382" t="s">
        <v>8805</v>
      </c>
      <c r="C2382" s="5" t="s">
        <v>8806</v>
      </c>
      <c r="D2382" t="s">
        <v>13381</v>
      </c>
      <c r="E2382" s="5" t="s">
        <v>2118</v>
      </c>
      <c r="F2382" s="6">
        <v>46128.668055555558</v>
      </c>
      <c r="G2382" s="5" t="s">
        <v>7456</v>
      </c>
      <c r="H2382" s="5" t="s">
        <v>13382</v>
      </c>
      <c r="I2382" s="5" t="s">
        <v>1564</v>
      </c>
      <c r="J2382" s="8">
        <v>1043.8</v>
      </c>
      <c r="K2382" s="5" t="s">
        <v>4</v>
      </c>
      <c r="L2382">
        <f t="shared" si="37"/>
        <v>4</v>
      </c>
    </row>
    <row r="2383" spans="1:12" x14ac:dyDescent="0.25">
      <c r="A2383" s="5">
        <v>47944</v>
      </c>
      <c r="B2383" t="s">
        <v>13383</v>
      </c>
      <c r="C2383" s="5" t="s">
        <v>13384</v>
      </c>
      <c r="D2383" t="s">
        <v>13385</v>
      </c>
      <c r="E2383" s="5" t="s">
        <v>4619</v>
      </c>
      <c r="F2383" s="6">
        <v>46128.667361111111</v>
      </c>
      <c r="G2383" s="5" t="s">
        <v>7456</v>
      </c>
      <c r="H2383" s="5" t="s">
        <v>13386</v>
      </c>
      <c r="I2383" s="5" t="s">
        <v>1621</v>
      </c>
      <c r="J2383" s="8">
        <v>180.46</v>
      </c>
      <c r="K2383" s="5" t="s">
        <v>4</v>
      </c>
      <c r="L2383">
        <f t="shared" si="37"/>
        <v>4</v>
      </c>
    </row>
    <row r="2384" spans="1:12" x14ac:dyDescent="0.25">
      <c r="A2384" s="5">
        <v>47945</v>
      </c>
      <c r="B2384" t="s">
        <v>13387</v>
      </c>
      <c r="C2384" s="5" t="s">
        <v>13388</v>
      </c>
      <c r="D2384" t="s">
        <v>13389</v>
      </c>
      <c r="E2384" s="5" t="s">
        <v>3035</v>
      </c>
      <c r="F2384" s="6">
        <v>46128.676388888889</v>
      </c>
      <c r="G2384" s="5" t="s">
        <v>7456</v>
      </c>
      <c r="H2384" s="5" t="s">
        <v>13390</v>
      </c>
      <c r="I2384" s="5" t="s">
        <v>1564</v>
      </c>
      <c r="J2384" s="8">
        <v>444</v>
      </c>
      <c r="K2384" s="5" t="s">
        <v>4</v>
      </c>
      <c r="L2384">
        <f t="shared" si="37"/>
        <v>4</v>
      </c>
    </row>
    <row r="2385" spans="1:12" x14ac:dyDescent="0.25">
      <c r="A2385" s="5">
        <v>47946</v>
      </c>
      <c r="B2385" t="s">
        <v>13391</v>
      </c>
      <c r="C2385" s="5" t="s">
        <v>13392</v>
      </c>
      <c r="D2385" t="s">
        <v>13393</v>
      </c>
      <c r="E2385" s="5" t="s">
        <v>6818</v>
      </c>
      <c r="F2385" s="6">
        <v>46128.677083333336</v>
      </c>
      <c r="G2385" s="5" t="s">
        <v>7456</v>
      </c>
      <c r="H2385" s="5" t="s">
        <v>13394</v>
      </c>
      <c r="I2385" s="5" t="s">
        <v>1621</v>
      </c>
      <c r="J2385" s="8">
        <v>43.37</v>
      </c>
      <c r="K2385" s="5" t="s">
        <v>4</v>
      </c>
      <c r="L2385">
        <f t="shared" si="37"/>
        <v>4</v>
      </c>
    </row>
    <row r="2386" spans="1:12" x14ac:dyDescent="0.25">
      <c r="A2386" s="5">
        <v>47947</v>
      </c>
      <c r="B2386" t="s">
        <v>13395</v>
      </c>
      <c r="C2386" s="5" t="s">
        <v>13396</v>
      </c>
      <c r="D2386" t="s">
        <v>13397</v>
      </c>
      <c r="E2386" s="5" t="s">
        <v>13398</v>
      </c>
      <c r="F2386" s="6">
        <v>46128.682638888888</v>
      </c>
      <c r="G2386" s="5" t="s">
        <v>13021</v>
      </c>
      <c r="H2386" t="s">
        <v>7482</v>
      </c>
      <c r="I2386" s="5" t="s">
        <v>1535</v>
      </c>
      <c r="J2386" s="8">
        <v>75150.600000000006</v>
      </c>
      <c r="K2386" s="5" t="s">
        <v>4</v>
      </c>
      <c r="L2386">
        <f t="shared" si="37"/>
        <v>4</v>
      </c>
    </row>
    <row r="2387" spans="1:12" x14ac:dyDescent="0.25">
      <c r="A2387" s="5">
        <v>47948</v>
      </c>
      <c r="B2387" t="s">
        <v>13399</v>
      </c>
      <c r="C2387" s="5" t="s">
        <v>1262</v>
      </c>
      <c r="D2387" t="s">
        <v>13400</v>
      </c>
      <c r="E2387" s="5" t="s">
        <v>6517</v>
      </c>
      <c r="F2387" s="6">
        <v>46128.682638888888</v>
      </c>
      <c r="G2387" s="5" t="s">
        <v>7456</v>
      </c>
      <c r="H2387" s="5" t="s">
        <v>13401</v>
      </c>
      <c r="I2387" s="5" t="s">
        <v>1621</v>
      </c>
      <c r="J2387" s="8">
        <v>60.84</v>
      </c>
      <c r="K2387" s="5" t="s">
        <v>4</v>
      </c>
      <c r="L2387">
        <f t="shared" si="37"/>
        <v>4</v>
      </c>
    </row>
    <row r="2388" spans="1:12" x14ac:dyDescent="0.25">
      <c r="A2388" s="5">
        <v>47950</v>
      </c>
      <c r="B2388" t="s">
        <v>13402</v>
      </c>
      <c r="C2388" s="5" t="s">
        <v>201</v>
      </c>
      <c r="D2388" t="s">
        <v>13403</v>
      </c>
      <c r="E2388" s="5" t="s">
        <v>6315</v>
      </c>
      <c r="F2388" s="6">
        <v>46128.692361111112</v>
      </c>
      <c r="G2388" s="5" t="s">
        <v>7456</v>
      </c>
      <c r="H2388" s="5" t="s">
        <v>13404</v>
      </c>
      <c r="I2388" s="5" t="s">
        <v>1621</v>
      </c>
      <c r="J2388" s="8">
        <v>73.25</v>
      </c>
      <c r="K2388" s="5" t="s">
        <v>4</v>
      </c>
      <c r="L2388">
        <f t="shared" si="37"/>
        <v>4</v>
      </c>
    </row>
    <row r="2389" spans="1:12" x14ac:dyDescent="0.25">
      <c r="A2389" s="5">
        <v>47952</v>
      </c>
      <c r="B2389" t="s">
        <v>12805</v>
      </c>
      <c r="C2389" s="5" t="s">
        <v>12806</v>
      </c>
      <c r="D2389" t="s">
        <v>12807</v>
      </c>
      <c r="E2389" s="5" t="s">
        <v>13405</v>
      </c>
      <c r="F2389" s="6">
        <v>46128.70208333333</v>
      </c>
      <c r="G2389" s="5" t="s">
        <v>7456</v>
      </c>
      <c r="H2389" t="s">
        <v>8626</v>
      </c>
      <c r="I2389" s="5" t="s">
        <v>1564</v>
      </c>
      <c r="J2389" s="8">
        <v>2280</v>
      </c>
      <c r="K2389" s="5" t="s">
        <v>4</v>
      </c>
      <c r="L2389">
        <f t="shared" si="37"/>
        <v>4</v>
      </c>
    </row>
    <row r="2390" spans="1:12" x14ac:dyDescent="0.25">
      <c r="A2390" s="5">
        <v>47961</v>
      </c>
      <c r="B2390" t="s">
        <v>13406</v>
      </c>
      <c r="C2390" s="5" t="s">
        <v>340</v>
      </c>
      <c r="D2390" t="s">
        <v>13407</v>
      </c>
      <c r="E2390" s="5" t="s">
        <v>5412</v>
      </c>
      <c r="F2390" s="6">
        <v>46128.71597222222</v>
      </c>
      <c r="G2390" s="5" t="s">
        <v>7456</v>
      </c>
      <c r="H2390" s="5" t="s">
        <v>13408</v>
      </c>
      <c r="I2390" s="5" t="s">
        <v>1535</v>
      </c>
      <c r="J2390" s="8">
        <v>31.6</v>
      </c>
      <c r="K2390" s="5" t="s">
        <v>4</v>
      </c>
      <c r="L2390">
        <f t="shared" si="37"/>
        <v>4</v>
      </c>
    </row>
    <row r="2391" spans="1:12" x14ac:dyDescent="0.25">
      <c r="A2391" s="5">
        <v>47966</v>
      </c>
      <c r="B2391" t="s">
        <v>13409</v>
      </c>
      <c r="C2391" s="5" t="s">
        <v>13410</v>
      </c>
      <c r="D2391" t="s">
        <v>13411</v>
      </c>
      <c r="E2391" s="5" t="s">
        <v>1770</v>
      </c>
      <c r="F2391" s="6">
        <v>46129.320833333331</v>
      </c>
      <c r="G2391" s="5" t="s">
        <v>7456</v>
      </c>
      <c r="H2391" s="5" t="s">
        <v>13412</v>
      </c>
      <c r="I2391" s="5" t="s">
        <v>1564</v>
      </c>
      <c r="J2391" s="8">
        <v>968.91</v>
      </c>
      <c r="K2391" s="5" t="s">
        <v>4</v>
      </c>
      <c r="L2391">
        <f t="shared" si="37"/>
        <v>4</v>
      </c>
    </row>
    <row r="2392" spans="1:12" x14ac:dyDescent="0.25">
      <c r="A2392" s="5">
        <v>47967</v>
      </c>
      <c r="B2392" t="s">
        <v>13413</v>
      </c>
      <c r="C2392" s="5" t="s">
        <v>13414</v>
      </c>
      <c r="D2392" t="s">
        <v>13415</v>
      </c>
      <c r="E2392" s="5" t="s">
        <v>1584</v>
      </c>
      <c r="F2392" s="6">
        <v>46129.325694444444</v>
      </c>
      <c r="G2392" s="5" t="s">
        <v>7456</v>
      </c>
      <c r="H2392" s="5" t="s">
        <v>13416</v>
      </c>
      <c r="I2392" s="5" t="s">
        <v>1564</v>
      </c>
      <c r="J2392" s="8">
        <v>5900</v>
      </c>
      <c r="K2392" s="5" t="s">
        <v>4</v>
      </c>
      <c r="L2392">
        <f t="shared" si="37"/>
        <v>4</v>
      </c>
    </row>
    <row r="2393" spans="1:12" x14ac:dyDescent="0.25">
      <c r="A2393" s="5">
        <v>47968</v>
      </c>
      <c r="B2393" t="s">
        <v>13417</v>
      </c>
      <c r="C2393" s="5" t="s">
        <v>13418</v>
      </c>
      <c r="D2393" t="s">
        <v>10553</v>
      </c>
      <c r="E2393" s="5" t="s">
        <v>2882</v>
      </c>
      <c r="F2393" s="6">
        <v>46129.331944444442</v>
      </c>
      <c r="G2393" s="5" t="s">
        <v>7456</v>
      </c>
      <c r="H2393" s="5" t="s">
        <v>13419</v>
      </c>
      <c r="I2393" s="5" t="s">
        <v>1564</v>
      </c>
      <c r="J2393" s="8">
        <v>495</v>
      </c>
      <c r="K2393" s="5" t="s">
        <v>4</v>
      </c>
      <c r="L2393">
        <f t="shared" si="37"/>
        <v>4</v>
      </c>
    </row>
    <row r="2394" spans="1:12" x14ac:dyDescent="0.25">
      <c r="A2394" s="5">
        <v>47972</v>
      </c>
      <c r="B2394" t="s">
        <v>13420</v>
      </c>
      <c r="C2394" s="5" t="s">
        <v>13421</v>
      </c>
      <c r="D2394" t="s">
        <v>13422</v>
      </c>
      <c r="E2394" s="5" t="s">
        <v>6552</v>
      </c>
      <c r="F2394" s="6">
        <v>46129.447916666664</v>
      </c>
      <c r="G2394" s="5" t="s">
        <v>7456</v>
      </c>
      <c r="H2394" s="5" t="s">
        <v>13423</v>
      </c>
      <c r="I2394" s="5" t="s">
        <v>1564</v>
      </c>
      <c r="J2394" s="8">
        <v>60</v>
      </c>
      <c r="K2394" s="5" t="s">
        <v>4</v>
      </c>
      <c r="L2394">
        <f t="shared" si="37"/>
        <v>4</v>
      </c>
    </row>
    <row r="2395" spans="1:12" x14ac:dyDescent="0.25">
      <c r="A2395" s="5">
        <v>47973</v>
      </c>
      <c r="B2395" t="s">
        <v>8066</v>
      </c>
      <c r="C2395" s="5" t="s">
        <v>7516</v>
      </c>
      <c r="D2395" t="s">
        <v>8067</v>
      </c>
      <c r="E2395" s="5" t="s">
        <v>2269</v>
      </c>
      <c r="F2395" s="6">
        <v>46129.452777777777</v>
      </c>
      <c r="G2395" s="5" t="s">
        <v>7456</v>
      </c>
      <c r="H2395" s="5" t="s">
        <v>13424</v>
      </c>
      <c r="I2395" s="5" t="s">
        <v>1535</v>
      </c>
      <c r="J2395" s="8">
        <v>173.7</v>
      </c>
      <c r="K2395" s="5" t="s">
        <v>4</v>
      </c>
      <c r="L2395">
        <f t="shared" si="37"/>
        <v>4</v>
      </c>
    </row>
    <row r="2396" spans="1:12" x14ac:dyDescent="0.25">
      <c r="A2396" s="5">
        <v>47974</v>
      </c>
      <c r="B2396" t="s">
        <v>12333</v>
      </c>
      <c r="C2396" s="5" t="s">
        <v>7516</v>
      </c>
      <c r="D2396" t="s">
        <v>12334</v>
      </c>
      <c r="E2396" s="5" t="s">
        <v>1813</v>
      </c>
      <c r="F2396" s="6">
        <v>46129.480555555558</v>
      </c>
      <c r="G2396" s="5" t="s">
        <v>7456</v>
      </c>
      <c r="H2396" s="5" t="s">
        <v>13425</v>
      </c>
      <c r="I2396" s="5" t="s">
        <v>1535</v>
      </c>
      <c r="J2396" s="8">
        <v>891</v>
      </c>
      <c r="K2396" s="5" t="s">
        <v>4</v>
      </c>
      <c r="L2396">
        <f t="shared" si="37"/>
        <v>4</v>
      </c>
    </row>
    <row r="2397" spans="1:12" x14ac:dyDescent="0.25">
      <c r="A2397" s="5">
        <v>47975</v>
      </c>
      <c r="B2397" t="s">
        <v>13426</v>
      </c>
      <c r="C2397" s="5" t="s">
        <v>13427</v>
      </c>
      <c r="D2397" t="s">
        <v>13428</v>
      </c>
      <c r="E2397" s="5" t="s">
        <v>1813</v>
      </c>
      <c r="F2397" s="6">
        <v>46129.577777777777</v>
      </c>
      <c r="G2397" s="5" t="s">
        <v>7595</v>
      </c>
      <c r="H2397" t="s">
        <v>7482</v>
      </c>
      <c r="I2397" s="5" t="s">
        <v>1535</v>
      </c>
      <c r="J2397" s="8">
        <v>12202.15</v>
      </c>
      <c r="K2397" s="5" t="s">
        <v>4</v>
      </c>
      <c r="L2397">
        <f t="shared" si="37"/>
        <v>4</v>
      </c>
    </row>
    <row r="2398" spans="1:12" x14ac:dyDescent="0.25">
      <c r="A2398" s="5">
        <v>47976</v>
      </c>
      <c r="B2398" t="s">
        <v>13429</v>
      </c>
      <c r="C2398" s="5" t="s">
        <v>13430</v>
      </c>
      <c r="D2398" t="s">
        <v>13431</v>
      </c>
      <c r="E2398" s="5" t="s">
        <v>1759</v>
      </c>
      <c r="F2398" s="6">
        <v>46129.59375</v>
      </c>
      <c r="G2398" s="5" t="s">
        <v>7456</v>
      </c>
      <c r="H2398" s="5" t="s">
        <v>13432</v>
      </c>
      <c r="I2398" s="5" t="s">
        <v>1564</v>
      </c>
      <c r="J2398" s="8">
        <v>340</v>
      </c>
      <c r="K2398" s="5" t="s">
        <v>4</v>
      </c>
      <c r="L2398">
        <f t="shared" si="37"/>
        <v>4</v>
      </c>
    </row>
    <row r="2399" spans="1:12" x14ac:dyDescent="0.25">
      <c r="A2399" s="5">
        <v>47977</v>
      </c>
      <c r="B2399" t="s">
        <v>13433</v>
      </c>
      <c r="C2399" s="5" t="s">
        <v>7516</v>
      </c>
      <c r="D2399" t="s">
        <v>13434</v>
      </c>
      <c r="E2399" s="5" t="s">
        <v>1813</v>
      </c>
      <c r="F2399" s="6">
        <v>46129.595138888886</v>
      </c>
      <c r="G2399" s="5" t="s">
        <v>7456</v>
      </c>
      <c r="H2399" s="5" t="s">
        <v>13435</v>
      </c>
      <c r="I2399" s="5" t="s">
        <v>1535</v>
      </c>
      <c r="J2399" s="8">
        <v>469.2</v>
      </c>
      <c r="K2399" s="5" t="s">
        <v>4</v>
      </c>
      <c r="L2399">
        <f t="shared" si="37"/>
        <v>4</v>
      </c>
    </row>
    <row r="2400" spans="1:12" x14ac:dyDescent="0.25">
      <c r="A2400" s="5">
        <v>47978</v>
      </c>
      <c r="B2400" t="s">
        <v>13436</v>
      </c>
      <c r="C2400" s="5" t="s">
        <v>13247</v>
      </c>
      <c r="D2400" t="s">
        <v>13437</v>
      </c>
      <c r="E2400" s="5" t="s">
        <v>1532</v>
      </c>
      <c r="F2400" s="6">
        <v>46129.599999999999</v>
      </c>
      <c r="G2400" s="5" t="s">
        <v>7595</v>
      </c>
      <c r="H2400" t="s">
        <v>7482</v>
      </c>
      <c r="I2400" s="5" t="s">
        <v>1535</v>
      </c>
      <c r="J2400" s="8">
        <v>332.4</v>
      </c>
      <c r="K2400" s="5" t="s">
        <v>4</v>
      </c>
      <c r="L2400">
        <f t="shared" si="37"/>
        <v>4</v>
      </c>
    </row>
    <row r="2401" spans="1:12" x14ac:dyDescent="0.25">
      <c r="A2401" s="5">
        <v>47979</v>
      </c>
      <c r="B2401" t="s">
        <v>8965</v>
      </c>
      <c r="C2401" s="5" t="s">
        <v>9154</v>
      </c>
      <c r="D2401" t="s">
        <v>8966</v>
      </c>
      <c r="E2401" s="5" t="s">
        <v>1946</v>
      </c>
      <c r="F2401" s="6">
        <v>46129.602777777778</v>
      </c>
      <c r="G2401" s="5" t="s">
        <v>7456</v>
      </c>
      <c r="H2401" s="5" t="s">
        <v>13438</v>
      </c>
      <c r="I2401" s="5" t="s">
        <v>1535</v>
      </c>
      <c r="J2401" s="8">
        <v>1440</v>
      </c>
      <c r="K2401" s="5" t="s">
        <v>4</v>
      </c>
      <c r="L2401">
        <f t="shared" si="37"/>
        <v>4</v>
      </c>
    </row>
    <row r="2402" spans="1:12" x14ac:dyDescent="0.25">
      <c r="A2402" s="5">
        <v>47980</v>
      </c>
      <c r="B2402" t="s">
        <v>13439</v>
      </c>
      <c r="C2402" s="5" t="s">
        <v>13440</v>
      </c>
      <c r="D2402" t="s">
        <v>13441</v>
      </c>
      <c r="E2402" s="5" t="s">
        <v>5563</v>
      </c>
      <c r="F2402" s="6">
        <v>46129.598611111112</v>
      </c>
      <c r="G2402" s="5" t="s">
        <v>7456</v>
      </c>
      <c r="H2402" s="5" t="s">
        <v>13442</v>
      </c>
      <c r="I2402" s="5" t="s">
        <v>1621</v>
      </c>
      <c r="J2402" s="8">
        <v>117.66</v>
      </c>
      <c r="K2402" s="5" t="s">
        <v>4</v>
      </c>
      <c r="L2402">
        <f t="shared" si="37"/>
        <v>4</v>
      </c>
    </row>
    <row r="2403" spans="1:12" x14ac:dyDescent="0.25">
      <c r="A2403" s="5">
        <v>47981</v>
      </c>
      <c r="B2403" t="s">
        <v>13443</v>
      </c>
      <c r="C2403" s="5" t="s">
        <v>13444</v>
      </c>
      <c r="D2403" t="s">
        <v>13445</v>
      </c>
      <c r="E2403" s="5" t="s">
        <v>5369</v>
      </c>
      <c r="F2403" s="6">
        <v>46129.60833333333</v>
      </c>
      <c r="G2403" s="5" t="s">
        <v>7456</v>
      </c>
      <c r="H2403" s="5" t="s">
        <v>13446</v>
      </c>
      <c r="I2403" s="5" t="s">
        <v>1621</v>
      </c>
      <c r="J2403" s="8">
        <v>132.82</v>
      </c>
      <c r="K2403" s="5" t="s">
        <v>4</v>
      </c>
      <c r="L2403">
        <f t="shared" si="37"/>
        <v>4</v>
      </c>
    </row>
    <row r="2404" spans="1:12" x14ac:dyDescent="0.25">
      <c r="A2404" s="5">
        <v>47982</v>
      </c>
      <c r="B2404" t="s">
        <v>13447</v>
      </c>
      <c r="C2404" s="5" t="s">
        <v>1467</v>
      </c>
      <c r="D2404" t="s">
        <v>13448</v>
      </c>
      <c r="E2404" s="5" t="s">
        <v>6815</v>
      </c>
      <c r="F2404" s="6">
        <v>46129.614583333336</v>
      </c>
      <c r="G2404" s="5" t="s">
        <v>7456</v>
      </c>
      <c r="H2404" s="5" t="s">
        <v>13449</v>
      </c>
      <c r="I2404" s="5" t="s">
        <v>1621</v>
      </c>
      <c r="J2404" s="8">
        <v>43.59</v>
      </c>
      <c r="K2404" s="5" t="s">
        <v>4</v>
      </c>
      <c r="L2404">
        <f t="shared" si="37"/>
        <v>4</v>
      </c>
    </row>
    <row r="2405" spans="1:12" x14ac:dyDescent="0.25">
      <c r="A2405" s="5">
        <v>47984</v>
      </c>
      <c r="B2405" t="s">
        <v>13450</v>
      </c>
      <c r="C2405" s="5" t="s">
        <v>842</v>
      </c>
      <c r="D2405" t="s">
        <v>13451</v>
      </c>
      <c r="E2405" s="5" t="s">
        <v>7039</v>
      </c>
      <c r="F2405" s="6">
        <v>46129.626388888886</v>
      </c>
      <c r="G2405" s="5" t="s">
        <v>7456</v>
      </c>
      <c r="H2405" s="5" t="s">
        <v>13452</v>
      </c>
      <c r="I2405" s="5" t="s">
        <v>1621</v>
      </c>
      <c r="J2405" s="8">
        <v>32.340000000000003</v>
      </c>
      <c r="K2405" s="5" t="s">
        <v>4</v>
      </c>
      <c r="L2405">
        <f t="shared" si="37"/>
        <v>4</v>
      </c>
    </row>
    <row r="2406" spans="1:12" x14ac:dyDescent="0.25">
      <c r="A2406" s="5">
        <v>47985</v>
      </c>
      <c r="B2406" t="s">
        <v>13447</v>
      </c>
      <c r="C2406" s="5" t="s">
        <v>1467</v>
      </c>
      <c r="D2406" t="s">
        <v>13448</v>
      </c>
      <c r="E2406" s="5" t="s">
        <v>5119</v>
      </c>
      <c r="F2406" s="6">
        <v>46129.631944444445</v>
      </c>
      <c r="G2406" s="5" t="s">
        <v>7456</v>
      </c>
      <c r="H2406" s="5" t="s">
        <v>13453</v>
      </c>
      <c r="I2406" s="5" t="s">
        <v>1621</v>
      </c>
      <c r="J2406" s="8">
        <v>39.590000000000003</v>
      </c>
      <c r="K2406" s="5" t="s">
        <v>4</v>
      </c>
      <c r="L2406">
        <f t="shared" si="37"/>
        <v>4</v>
      </c>
    </row>
    <row r="2407" spans="1:12" x14ac:dyDescent="0.25">
      <c r="A2407" s="5">
        <v>47986</v>
      </c>
      <c r="B2407" t="s">
        <v>8965</v>
      </c>
      <c r="C2407" s="5" t="s">
        <v>9154</v>
      </c>
      <c r="D2407" t="s">
        <v>8966</v>
      </c>
      <c r="E2407" s="5" t="s">
        <v>1532</v>
      </c>
      <c r="F2407" s="6">
        <v>46129.65347222222</v>
      </c>
      <c r="G2407" s="5" t="s">
        <v>7595</v>
      </c>
      <c r="H2407" t="s">
        <v>7482</v>
      </c>
      <c r="I2407" s="5" t="s">
        <v>1535</v>
      </c>
      <c r="J2407" s="8">
        <v>1061.2</v>
      </c>
      <c r="K2407" s="5" t="s">
        <v>4</v>
      </c>
      <c r="L2407">
        <f t="shared" si="37"/>
        <v>4</v>
      </c>
    </row>
    <row r="2408" spans="1:12" x14ac:dyDescent="0.25">
      <c r="A2408" s="5">
        <v>47987</v>
      </c>
      <c r="B2408" t="s">
        <v>13454</v>
      </c>
      <c r="C2408" s="5" t="s">
        <v>13455</v>
      </c>
      <c r="D2408" t="s">
        <v>13456</v>
      </c>
      <c r="E2408" s="5" t="s">
        <v>7172</v>
      </c>
      <c r="F2408" s="6">
        <v>46129.658333333333</v>
      </c>
      <c r="G2408" s="5" t="s">
        <v>7456</v>
      </c>
      <c r="H2408" s="5" t="s">
        <v>13457</v>
      </c>
      <c r="I2408" s="5" t="s">
        <v>1621</v>
      </c>
      <c r="J2408" s="8">
        <v>26.44</v>
      </c>
      <c r="K2408" s="5" t="s">
        <v>4</v>
      </c>
      <c r="L2408">
        <f t="shared" si="37"/>
        <v>4</v>
      </c>
    </row>
    <row r="2409" spans="1:12" x14ac:dyDescent="0.25">
      <c r="A2409" s="5">
        <v>47990</v>
      </c>
      <c r="B2409" t="s">
        <v>13436</v>
      </c>
      <c r="C2409" s="5" t="s">
        <v>13247</v>
      </c>
      <c r="D2409" t="s">
        <v>13437</v>
      </c>
      <c r="E2409" s="5" t="s">
        <v>1532</v>
      </c>
      <c r="F2409" s="6">
        <v>46129.67083333333</v>
      </c>
      <c r="G2409" s="5" t="s">
        <v>7595</v>
      </c>
      <c r="H2409" t="s">
        <v>7482</v>
      </c>
      <c r="I2409" s="5" t="s">
        <v>1535</v>
      </c>
      <c r="J2409" s="8">
        <v>996</v>
      </c>
      <c r="K2409" s="5" t="s">
        <v>4</v>
      </c>
      <c r="L2409">
        <f t="shared" si="37"/>
        <v>4</v>
      </c>
    </row>
    <row r="2410" spans="1:12" x14ac:dyDescent="0.25">
      <c r="A2410" s="5">
        <v>47991</v>
      </c>
      <c r="B2410" t="s">
        <v>13458</v>
      </c>
      <c r="C2410" s="5" t="s">
        <v>662</v>
      </c>
      <c r="D2410" t="s">
        <v>13459</v>
      </c>
      <c r="E2410" s="5" t="s">
        <v>5173</v>
      </c>
      <c r="F2410" s="6">
        <v>46129.663194444445</v>
      </c>
      <c r="G2410" s="5" t="s">
        <v>7456</v>
      </c>
      <c r="H2410" s="5" t="s">
        <v>13460</v>
      </c>
      <c r="I2410" s="5" t="s">
        <v>1621</v>
      </c>
      <c r="J2410" s="8">
        <v>140.66999999999999</v>
      </c>
      <c r="K2410" s="5" t="s">
        <v>4</v>
      </c>
      <c r="L2410">
        <f t="shared" si="37"/>
        <v>4</v>
      </c>
    </row>
    <row r="2411" spans="1:12" x14ac:dyDescent="0.25">
      <c r="A2411" s="5">
        <v>47993</v>
      </c>
      <c r="B2411" t="s">
        <v>13461</v>
      </c>
      <c r="C2411" s="5" t="s">
        <v>872</v>
      </c>
      <c r="D2411" t="s">
        <v>13462</v>
      </c>
      <c r="E2411" s="5" t="s">
        <v>7120</v>
      </c>
      <c r="F2411" s="6">
        <v>46129.682638888888</v>
      </c>
      <c r="G2411" s="5" t="s">
        <v>7456</v>
      </c>
      <c r="H2411" s="5" t="s">
        <v>13463</v>
      </c>
      <c r="I2411" s="5" t="s">
        <v>1621</v>
      </c>
      <c r="J2411" s="8">
        <v>29.4</v>
      </c>
      <c r="K2411" s="5" t="s">
        <v>4</v>
      </c>
      <c r="L2411">
        <f t="shared" si="37"/>
        <v>4</v>
      </c>
    </row>
    <row r="2412" spans="1:12" x14ac:dyDescent="0.25">
      <c r="A2412" s="5">
        <v>47995</v>
      </c>
      <c r="B2412" t="s">
        <v>13464</v>
      </c>
      <c r="C2412" s="5" t="s">
        <v>13465</v>
      </c>
      <c r="D2412" t="s">
        <v>13466</v>
      </c>
      <c r="E2412" s="5" t="s">
        <v>4898</v>
      </c>
      <c r="F2412" s="6">
        <v>46132.438194444447</v>
      </c>
      <c r="G2412" s="5" t="s">
        <v>7456</v>
      </c>
      <c r="H2412" s="5" t="s">
        <v>13467</v>
      </c>
      <c r="I2412" s="5" t="s">
        <v>1564</v>
      </c>
      <c r="J2412" s="8">
        <v>140</v>
      </c>
      <c r="K2412" s="5" t="s">
        <v>4</v>
      </c>
      <c r="L2412">
        <f t="shared" si="37"/>
        <v>4</v>
      </c>
    </row>
    <row r="2413" spans="1:12" x14ac:dyDescent="0.25">
      <c r="A2413" s="5">
        <v>47996</v>
      </c>
      <c r="B2413" t="s">
        <v>13468</v>
      </c>
      <c r="C2413" s="5" t="s">
        <v>13469</v>
      </c>
      <c r="D2413" t="s">
        <v>13470</v>
      </c>
      <c r="E2413" s="5" t="s">
        <v>1759</v>
      </c>
      <c r="F2413" s="6">
        <v>46132.470138888886</v>
      </c>
      <c r="G2413" s="5" t="s">
        <v>7456</v>
      </c>
      <c r="H2413" s="5" t="s">
        <v>13471</v>
      </c>
      <c r="I2413" s="5" t="s">
        <v>1564</v>
      </c>
      <c r="J2413" s="8">
        <v>165</v>
      </c>
      <c r="K2413" s="5" t="s">
        <v>4</v>
      </c>
      <c r="L2413">
        <f t="shared" si="37"/>
        <v>4</v>
      </c>
    </row>
    <row r="2414" spans="1:12" x14ac:dyDescent="0.25">
      <c r="A2414" s="5">
        <v>47997</v>
      </c>
      <c r="B2414" t="s">
        <v>13472</v>
      </c>
      <c r="C2414" s="5" t="s">
        <v>13473</v>
      </c>
      <c r="D2414" t="s">
        <v>13474</v>
      </c>
      <c r="E2414" s="5" t="s">
        <v>2314</v>
      </c>
      <c r="F2414" s="6">
        <v>46132.5</v>
      </c>
      <c r="G2414" s="5" t="s">
        <v>7672</v>
      </c>
      <c r="H2414" t="s">
        <v>8626</v>
      </c>
      <c r="I2414" s="5" t="s">
        <v>1564</v>
      </c>
      <c r="J2414" s="8">
        <v>1476</v>
      </c>
      <c r="K2414" s="5" t="s">
        <v>4</v>
      </c>
      <c r="L2414">
        <f t="shared" si="37"/>
        <v>4</v>
      </c>
    </row>
    <row r="2415" spans="1:12" x14ac:dyDescent="0.25">
      <c r="A2415" s="5">
        <v>47998</v>
      </c>
      <c r="B2415" t="s">
        <v>13475</v>
      </c>
      <c r="C2415" s="5" t="s">
        <v>13476</v>
      </c>
      <c r="D2415" t="s">
        <v>13477</v>
      </c>
      <c r="E2415" s="5" t="s">
        <v>4043</v>
      </c>
      <c r="F2415" s="6">
        <v>46132.507638888892</v>
      </c>
      <c r="G2415" s="5" t="s">
        <v>7456</v>
      </c>
      <c r="H2415" s="5" t="s">
        <v>13478</v>
      </c>
      <c r="I2415" s="5" t="s">
        <v>1564</v>
      </c>
      <c r="J2415" s="8">
        <v>251.7</v>
      </c>
      <c r="K2415" s="5" t="s">
        <v>4</v>
      </c>
      <c r="L2415">
        <f t="shared" si="37"/>
        <v>4</v>
      </c>
    </row>
    <row r="2416" spans="1:12" x14ac:dyDescent="0.25">
      <c r="A2416" s="5">
        <v>48000</v>
      </c>
      <c r="B2416" t="s">
        <v>12676</v>
      </c>
      <c r="C2416" s="5" t="s">
        <v>12677</v>
      </c>
      <c r="D2416" t="s">
        <v>12678</v>
      </c>
      <c r="E2416" s="5" t="s">
        <v>2306</v>
      </c>
      <c r="F2416" s="6">
        <v>46132.59652777778</v>
      </c>
      <c r="G2416" s="5" t="s">
        <v>7456</v>
      </c>
      <c r="H2416" s="5" t="s">
        <v>13479</v>
      </c>
      <c r="I2416" s="5" t="s">
        <v>1564</v>
      </c>
      <c r="J2416" s="8">
        <v>156.44999999999999</v>
      </c>
      <c r="K2416" s="5" t="s">
        <v>4</v>
      </c>
      <c r="L2416">
        <f t="shared" si="37"/>
        <v>4</v>
      </c>
    </row>
    <row r="2417" spans="1:12" x14ac:dyDescent="0.25">
      <c r="A2417" s="5">
        <v>48001</v>
      </c>
      <c r="B2417" t="s">
        <v>13480</v>
      </c>
      <c r="C2417" s="5" t="s">
        <v>13481</v>
      </c>
      <c r="D2417" t="s">
        <v>13482</v>
      </c>
      <c r="E2417" s="5" t="s">
        <v>1532</v>
      </c>
      <c r="F2417" s="6">
        <v>46132.6</v>
      </c>
      <c r="G2417" s="5" t="s">
        <v>7595</v>
      </c>
      <c r="H2417" t="s">
        <v>7482</v>
      </c>
      <c r="I2417" s="5" t="s">
        <v>1535</v>
      </c>
      <c r="J2417" s="8">
        <v>249.8</v>
      </c>
      <c r="K2417" s="5" t="s">
        <v>4</v>
      </c>
      <c r="L2417">
        <f t="shared" si="37"/>
        <v>4</v>
      </c>
    </row>
    <row r="2418" spans="1:12" x14ac:dyDescent="0.25">
      <c r="A2418" s="5">
        <v>48002</v>
      </c>
      <c r="B2418" t="s">
        <v>13483</v>
      </c>
      <c r="C2418" s="5" t="s">
        <v>13484</v>
      </c>
      <c r="D2418" t="s">
        <v>13485</v>
      </c>
      <c r="E2418" s="5" t="s">
        <v>2001</v>
      </c>
      <c r="F2418" s="6">
        <v>46132.609027777777</v>
      </c>
      <c r="G2418" s="5" t="s">
        <v>7456</v>
      </c>
      <c r="H2418" s="5" t="s">
        <v>13486</v>
      </c>
      <c r="I2418" s="5" t="s">
        <v>1564</v>
      </c>
      <c r="J2418" s="8">
        <v>1246.5</v>
      </c>
      <c r="K2418" s="5" t="s">
        <v>4</v>
      </c>
      <c r="L2418">
        <f t="shared" si="37"/>
        <v>4</v>
      </c>
    </row>
    <row r="2419" spans="1:12" x14ac:dyDescent="0.25">
      <c r="A2419" s="5">
        <v>48004</v>
      </c>
      <c r="B2419" t="s">
        <v>13487</v>
      </c>
      <c r="C2419" s="5" t="s">
        <v>13488</v>
      </c>
      <c r="D2419" t="s">
        <v>13489</v>
      </c>
      <c r="E2419" s="5" t="s">
        <v>4526</v>
      </c>
      <c r="F2419" s="6">
        <v>46132.631944444445</v>
      </c>
      <c r="G2419" s="5" t="s">
        <v>7456</v>
      </c>
      <c r="H2419" s="5" t="s">
        <v>13490</v>
      </c>
      <c r="I2419" s="5" t="s">
        <v>1621</v>
      </c>
      <c r="J2419" s="8">
        <v>190.12</v>
      </c>
      <c r="K2419" s="5" t="s">
        <v>4</v>
      </c>
      <c r="L2419">
        <f t="shared" si="37"/>
        <v>4</v>
      </c>
    </row>
    <row r="2420" spans="1:12" x14ac:dyDescent="0.25">
      <c r="A2420" s="5">
        <v>48005</v>
      </c>
      <c r="B2420" t="s">
        <v>13491</v>
      </c>
      <c r="C2420" s="5" t="s">
        <v>1381</v>
      </c>
      <c r="D2420" t="s">
        <v>13492</v>
      </c>
      <c r="E2420" s="5" t="s">
        <v>5863</v>
      </c>
      <c r="F2420" s="6">
        <v>46132.638194444444</v>
      </c>
      <c r="G2420" s="5" t="s">
        <v>7456</v>
      </c>
      <c r="H2420" s="5" t="s">
        <v>13493</v>
      </c>
      <c r="I2420" s="5" t="s">
        <v>1621</v>
      </c>
      <c r="J2420" s="8">
        <v>104.08</v>
      </c>
      <c r="K2420" s="5" t="s">
        <v>4</v>
      </c>
      <c r="L2420">
        <f t="shared" si="37"/>
        <v>4</v>
      </c>
    </row>
    <row r="2421" spans="1:12" x14ac:dyDescent="0.25">
      <c r="A2421" s="5">
        <v>48006</v>
      </c>
      <c r="B2421" t="s">
        <v>13491</v>
      </c>
      <c r="C2421" s="5" t="s">
        <v>1381</v>
      </c>
      <c r="D2421" t="s">
        <v>13492</v>
      </c>
      <c r="E2421" s="5" t="s">
        <v>6860</v>
      </c>
      <c r="F2421" s="6">
        <v>46132.643055555556</v>
      </c>
      <c r="G2421" s="5" t="s">
        <v>7456</v>
      </c>
      <c r="H2421" s="5" t="s">
        <v>13494</v>
      </c>
      <c r="I2421" s="5" t="s">
        <v>1621</v>
      </c>
      <c r="J2421" s="8">
        <v>42.19</v>
      </c>
      <c r="K2421" s="5" t="s">
        <v>4</v>
      </c>
      <c r="L2421">
        <f t="shared" si="37"/>
        <v>4</v>
      </c>
    </row>
    <row r="2422" spans="1:12" x14ac:dyDescent="0.25">
      <c r="A2422" s="5">
        <v>48007</v>
      </c>
      <c r="B2422" t="s">
        <v>13495</v>
      </c>
      <c r="C2422" s="5" t="s">
        <v>13496</v>
      </c>
      <c r="D2422" t="s">
        <v>7644</v>
      </c>
      <c r="E2422" s="5" t="s">
        <v>6801</v>
      </c>
      <c r="F2422" s="6">
        <v>46132.647916666669</v>
      </c>
      <c r="G2422" s="5" t="s">
        <v>7456</v>
      </c>
      <c r="H2422" s="5" t="s">
        <v>13497</v>
      </c>
      <c r="I2422" s="5" t="s">
        <v>1621</v>
      </c>
      <c r="J2422" s="8">
        <v>44.18</v>
      </c>
      <c r="K2422" s="5" t="s">
        <v>4</v>
      </c>
      <c r="L2422">
        <f t="shared" si="37"/>
        <v>4</v>
      </c>
    </row>
    <row r="2423" spans="1:12" x14ac:dyDescent="0.25">
      <c r="A2423" s="5">
        <v>48008</v>
      </c>
      <c r="B2423" t="s">
        <v>13498</v>
      </c>
      <c r="C2423" s="5" t="s">
        <v>885</v>
      </c>
      <c r="D2423" t="s">
        <v>13499</v>
      </c>
      <c r="E2423" s="5" t="s">
        <v>6821</v>
      </c>
      <c r="F2423" s="6">
        <v>46132.654166666667</v>
      </c>
      <c r="G2423" s="5" t="s">
        <v>7456</v>
      </c>
      <c r="H2423" s="5" t="s">
        <v>13500</v>
      </c>
      <c r="I2423" s="5" t="s">
        <v>1621</v>
      </c>
      <c r="J2423" s="8">
        <v>43.37</v>
      </c>
      <c r="K2423" s="5" t="s">
        <v>4</v>
      </c>
      <c r="L2423">
        <f t="shared" si="37"/>
        <v>4</v>
      </c>
    </row>
    <row r="2424" spans="1:12" x14ac:dyDescent="0.25">
      <c r="A2424" s="5">
        <v>48009</v>
      </c>
      <c r="B2424" t="s">
        <v>13501</v>
      </c>
      <c r="C2424" s="5" t="s">
        <v>231</v>
      </c>
      <c r="D2424" t="s">
        <v>13502</v>
      </c>
      <c r="E2424" s="5" t="s">
        <v>4190</v>
      </c>
      <c r="F2424" s="6">
        <v>46132.661805555559</v>
      </c>
      <c r="G2424" s="5" t="s">
        <v>7456</v>
      </c>
      <c r="H2424" s="5" t="s">
        <v>13503</v>
      </c>
      <c r="I2424" s="5" t="s">
        <v>1621</v>
      </c>
      <c r="J2424" s="8">
        <v>230.77</v>
      </c>
      <c r="K2424" s="5" t="s">
        <v>4</v>
      </c>
      <c r="L2424">
        <f t="shared" si="37"/>
        <v>4</v>
      </c>
    </row>
    <row r="2425" spans="1:12" x14ac:dyDescent="0.25">
      <c r="A2425" s="5">
        <v>48010</v>
      </c>
      <c r="B2425" t="s">
        <v>13294</v>
      </c>
      <c r="C2425" s="5" t="s">
        <v>1348</v>
      </c>
      <c r="D2425" t="s">
        <v>13295</v>
      </c>
      <c r="E2425" s="5" t="s">
        <v>7062</v>
      </c>
      <c r="F2425" s="6">
        <v>46132.670138888891</v>
      </c>
      <c r="G2425" s="5" t="s">
        <v>7456</v>
      </c>
      <c r="H2425" s="5" t="s">
        <v>13504</v>
      </c>
      <c r="I2425" s="5" t="s">
        <v>1621</v>
      </c>
      <c r="J2425" s="8">
        <v>30.42</v>
      </c>
      <c r="K2425" s="5" t="s">
        <v>4</v>
      </c>
      <c r="L2425">
        <f t="shared" si="37"/>
        <v>4</v>
      </c>
    </row>
    <row r="2426" spans="1:12" x14ac:dyDescent="0.25">
      <c r="A2426" s="5">
        <v>48017</v>
      </c>
      <c r="B2426" t="s">
        <v>13505</v>
      </c>
      <c r="C2426" s="5" t="s">
        <v>7516</v>
      </c>
      <c r="D2426" t="s">
        <v>13506</v>
      </c>
      <c r="E2426" s="5" t="s">
        <v>1813</v>
      </c>
      <c r="F2426" s="6">
        <v>46132.697916666664</v>
      </c>
      <c r="G2426" s="5" t="s">
        <v>7456</v>
      </c>
      <c r="H2426" s="5" t="s">
        <v>13507</v>
      </c>
      <c r="I2426" s="5" t="s">
        <v>1535</v>
      </c>
      <c r="J2426" s="8">
        <v>212</v>
      </c>
      <c r="K2426" s="5" t="s">
        <v>4</v>
      </c>
      <c r="L2426">
        <f t="shared" si="37"/>
        <v>4</v>
      </c>
    </row>
    <row r="2427" spans="1:12" x14ac:dyDescent="0.25">
      <c r="A2427" s="5">
        <v>48019</v>
      </c>
      <c r="B2427" t="s">
        <v>8610</v>
      </c>
      <c r="C2427" s="5" t="s">
        <v>13508</v>
      </c>
      <c r="D2427" t="s">
        <v>13509</v>
      </c>
      <c r="E2427" s="5" t="s">
        <v>1738</v>
      </c>
      <c r="F2427" s="6">
        <v>46132.711111111108</v>
      </c>
      <c r="G2427" s="5" t="s">
        <v>7456</v>
      </c>
      <c r="H2427" s="5" t="s">
        <v>13510</v>
      </c>
      <c r="I2427" s="5" t="s">
        <v>1564</v>
      </c>
      <c r="J2427" s="8">
        <v>189</v>
      </c>
      <c r="K2427" s="5" t="s">
        <v>4</v>
      </c>
      <c r="L2427">
        <f t="shared" si="37"/>
        <v>4</v>
      </c>
    </row>
    <row r="2428" spans="1:12" x14ac:dyDescent="0.25">
      <c r="A2428" s="5">
        <v>48020</v>
      </c>
      <c r="B2428" t="s">
        <v>13511</v>
      </c>
      <c r="C2428" s="5" t="s">
        <v>13512</v>
      </c>
      <c r="D2428" t="s">
        <v>13513</v>
      </c>
      <c r="E2428" s="5" t="s">
        <v>1759</v>
      </c>
      <c r="F2428" s="6">
        <v>46132.734027777777</v>
      </c>
      <c r="G2428" s="5" t="s">
        <v>7456</v>
      </c>
      <c r="H2428" s="5" t="s">
        <v>13514</v>
      </c>
      <c r="I2428" s="5" t="s">
        <v>1564</v>
      </c>
      <c r="J2428" s="8">
        <v>186.8</v>
      </c>
      <c r="K2428" s="5" t="s">
        <v>4</v>
      </c>
      <c r="L2428">
        <f t="shared" si="37"/>
        <v>4</v>
      </c>
    </row>
    <row r="2429" spans="1:12" x14ac:dyDescent="0.25">
      <c r="A2429" s="5">
        <v>48021</v>
      </c>
      <c r="B2429" t="s">
        <v>13515</v>
      </c>
      <c r="C2429" s="5" t="s">
        <v>13516</v>
      </c>
      <c r="D2429" t="s">
        <v>13517</v>
      </c>
      <c r="E2429" s="5" t="s">
        <v>1738</v>
      </c>
      <c r="F2429" s="6">
        <v>46132.738194444442</v>
      </c>
      <c r="G2429" s="5" t="s">
        <v>7456</v>
      </c>
      <c r="H2429" s="5" t="s">
        <v>13518</v>
      </c>
      <c r="I2429" s="5" t="s">
        <v>1564</v>
      </c>
      <c r="J2429" s="8">
        <v>728.6</v>
      </c>
      <c r="K2429" s="5" t="s">
        <v>4</v>
      </c>
      <c r="L2429">
        <f t="shared" si="37"/>
        <v>4</v>
      </c>
    </row>
    <row r="2430" spans="1:12" x14ac:dyDescent="0.25">
      <c r="A2430" s="5">
        <v>48022</v>
      </c>
      <c r="B2430" t="s">
        <v>13519</v>
      </c>
      <c r="C2430" s="5" t="s">
        <v>13520</v>
      </c>
      <c r="D2430" t="s">
        <v>13521</v>
      </c>
      <c r="E2430" s="5" t="s">
        <v>3089</v>
      </c>
      <c r="F2430" s="6">
        <v>46134.38958333333</v>
      </c>
      <c r="G2430" s="5" t="s">
        <v>7456</v>
      </c>
      <c r="H2430" s="5" t="s">
        <v>13522</v>
      </c>
      <c r="I2430" s="5" t="s">
        <v>1564</v>
      </c>
      <c r="J2430" s="8">
        <v>424.9</v>
      </c>
      <c r="K2430" s="5" t="s">
        <v>4</v>
      </c>
      <c r="L2430">
        <f t="shared" si="37"/>
        <v>4</v>
      </c>
    </row>
    <row r="2431" spans="1:12" x14ac:dyDescent="0.25">
      <c r="A2431" s="5">
        <v>48024</v>
      </c>
      <c r="B2431" t="s">
        <v>13523</v>
      </c>
      <c r="C2431" s="5" t="s">
        <v>13524</v>
      </c>
      <c r="D2431" t="s">
        <v>13525</v>
      </c>
      <c r="E2431" s="5" t="s">
        <v>1532</v>
      </c>
      <c r="F2431" s="6">
        <v>46134.405555555553</v>
      </c>
      <c r="G2431" s="5" t="s">
        <v>13021</v>
      </c>
      <c r="H2431" t="s">
        <v>7482</v>
      </c>
      <c r="I2431" s="5" t="s">
        <v>1535</v>
      </c>
      <c r="J2431" s="8">
        <v>4491</v>
      </c>
      <c r="K2431" s="5" t="s">
        <v>4</v>
      </c>
      <c r="L2431">
        <f t="shared" si="37"/>
        <v>4</v>
      </c>
    </row>
    <row r="2432" spans="1:12" x14ac:dyDescent="0.25">
      <c r="A2432" s="5">
        <v>48025</v>
      </c>
      <c r="B2432" t="s">
        <v>13526</v>
      </c>
      <c r="C2432" s="5" t="s">
        <v>7516</v>
      </c>
      <c r="D2432" t="s">
        <v>13527</v>
      </c>
      <c r="E2432" s="5" t="s">
        <v>1759</v>
      </c>
      <c r="F2432" s="6">
        <v>46134.40625</v>
      </c>
      <c r="G2432" s="5" t="s">
        <v>7672</v>
      </c>
      <c r="H2432" t="s">
        <v>7482</v>
      </c>
      <c r="I2432" s="5" t="s">
        <v>1564</v>
      </c>
      <c r="J2432" s="8">
        <v>179</v>
      </c>
      <c r="K2432" s="5" t="s">
        <v>4</v>
      </c>
      <c r="L2432">
        <f t="shared" si="37"/>
        <v>4</v>
      </c>
    </row>
    <row r="2433" spans="1:12" x14ac:dyDescent="0.25">
      <c r="A2433" s="5">
        <v>48028</v>
      </c>
      <c r="B2433" t="s">
        <v>13528</v>
      </c>
      <c r="C2433" s="5" t="s">
        <v>13529</v>
      </c>
      <c r="D2433" t="s">
        <v>13530</v>
      </c>
      <c r="E2433" s="5" t="s">
        <v>2637</v>
      </c>
      <c r="F2433" s="6">
        <v>46134.451388888891</v>
      </c>
      <c r="G2433" s="5" t="s">
        <v>7456</v>
      </c>
      <c r="H2433" s="5" t="s">
        <v>13531</v>
      </c>
      <c r="I2433" s="5" t="s">
        <v>1564</v>
      </c>
      <c r="J2433" s="8">
        <v>589.79999999999995</v>
      </c>
      <c r="K2433" s="5" t="s">
        <v>4</v>
      </c>
      <c r="L2433">
        <f t="shared" si="37"/>
        <v>4</v>
      </c>
    </row>
    <row r="2434" spans="1:12" x14ac:dyDescent="0.25">
      <c r="A2434" s="5">
        <v>48029</v>
      </c>
      <c r="B2434" t="s">
        <v>13532</v>
      </c>
      <c r="C2434" s="5" t="s">
        <v>13533</v>
      </c>
      <c r="D2434" t="s">
        <v>13534</v>
      </c>
      <c r="E2434" s="5" t="s">
        <v>3560</v>
      </c>
      <c r="F2434" s="6">
        <v>46134.556250000001</v>
      </c>
      <c r="G2434" s="5" t="s">
        <v>7456</v>
      </c>
      <c r="H2434" s="5" t="s">
        <v>13535</v>
      </c>
      <c r="I2434" s="5" t="s">
        <v>1535</v>
      </c>
      <c r="J2434" s="8">
        <v>316</v>
      </c>
      <c r="K2434" s="5" t="s">
        <v>4</v>
      </c>
      <c r="L2434">
        <f t="shared" si="37"/>
        <v>4</v>
      </c>
    </row>
    <row r="2435" spans="1:12" x14ac:dyDescent="0.25">
      <c r="A2435" s="5">
        <v>48030</v>
      </c>
      <c r="B2435" t="s">
        <v>13536</v>
      </c>
      <c r="C2435" s="5" t="s">
        <v>7516</v>
      </c>
      <c r="D2435" t="s">
        <v>7644</v>
      </c>
      <c r="E2435" s="5" t="s">
        <v>3289</v>
      </c>
      <c r="F2435" s="6">
        <v>46134.613194444442</v>
      </c>
      <c r="G2435" s="5" t="s">
        <v>7456</v>
      </c>
      <c r="H2435" s="5" t="s">
        <v>13537</v>
      </c>
      <c r="I2435" s="5" t="s">
        <v>1535</v>
      </c>
      <c r="J2435" s="8">
        <v>365.8</v>
      </c>
      <c r="K2435" s="5" t="s">
        <v>4</v>
      </c>
      <c r="L2435">
        <f t="shared" ref="L2435:L2498" si="38">MONTH(F2435)</f>
        <v>4</v>
      </c>
    </row>
    <row r="2436" spans="1:12" x14ac:dyDescent="0.25">
      <c r="A2436" s="5">
        <v>48031</v>
      </c>
      <c r="B2436" t="s">
        <v>13538</v>
      </c>
      <c r="C2436" s="5" t="s">
        <v>13539</v>
      </c>
      <c r="D2436" t="s">
        <v>10553</v>
      </c>
      <c r="E2436" s="5" t="s">
        <v>1532</v>
      </c>
      <c r="F2436" s="6">
        <v>46134.615972222222</v>
      </c>
      <c r="G2436" s="5" t="s">
        <v>7456</v>
      </c>
      <c r="H2436" s="5" t="s">
        <v>13540</v>
      </c>
      <c r="I2436" s="5" t="s">
        <v>1535</v>
      </c>
      <c r="J2436" s="8">
        <v>1519.4</v>
      </c>
      <c r="K2436" s="5" t="s">
        <v>4</v>
      </c>
      <c r="L2436">
        <f t="shared" si="38"/>
        <v>4</v>
      </c>
    </row>
    <row r="2437" spans="1:12" x14ac:dyDescent="0.25">
      <c r="A2437" s="5">
        <v>48032</v>
      </c>
      <c r="B2437" t="s">
        <v>13541</v>
      </c>
      <c r="C2437" s="5" t="s">
        <v>903</v>
      </c>
      <c r="D2437" t="s">
        <v>7644</v>
      </c>
      <c r="E2437" s="5" t="s">
        <v>6589</v>
      </c>
      <c r="F2437" s="6">
        <v>46134.631249999999</v>
      </c>
      <c r="G2437" s="5" t="s">
        <v>7456</v>
      </c>
      <c r="H2437" s="5" t="s">
        <v>13542</v>
      </c>
      <c r="I2437" s="5" t="s">
        <v>1621</v>
      </c>
      <c r="J2437" s="8">
        <v>57.22</v>
      </c>
      <c r="K2437" s="5" t="s">
        <v>4</v>
      </c>
      <c r="L2437">
        <f t="shared" si="38"/>
        <v>4</v>
      </c>
    </row>
    <row r="2438" spans="1:12" x14ac:dyDescent="0.25">
      <c r="A2438" s="5">
        <v>48033</v>
      </c>
      <c r="B2438" t="s">
        <v>11750</v>
      </c>
      <c r="C2438" s="5" t="s">
        <v>11751</v>
      </c>
      <c r="D2438" t="s">
        <v>11752</v>
      </c>
      <c r="E2438" s="5" t="s">
        <v>4540</v>
      </c>
      <c r="F2438" s="6">
        <v>46134.649305555555</v>
      </c>
      <c r="G2438" s="5" t="s">
        <v>7456</v>
      </c>
      <c r="H2438" s="5" t="s">
        <v>13543</v>
      </c>
      <c r="I2438" s="5" t="s">
        <v>1564</v>
      </c>
      <c r="J2438" s="8">
        <v>177</v>
      </c>
      <c r="K2438" s="5" t="s">
        <v>4</v>
      </c>
      <c r="L2438">
        <f t="shared" si="38"/>
        <v>4</v>
      </c>
    </row>
    <row r="2439" spans="1:12" x14ac:dyDescent="0.25">
      <c r="A2439" s="5">
        <v>48034</v>
      </c>
      <c r="B2439" t="s">
        <v>13544</v>
      </c>
      <c r="C2439" s="5" t="s">
        <v>891</v>
      </c>
      <c r="D2439" t="s">
        <v>13545</v>
      </c>
      <c r="E2439" s="5" t="s">
        <v>6958</v>
      </c>
      <c r="F2439" s="6">
        <v>46134.657638888886</v>
      </c>
      <c r="G2439" s="5" t="s">
        <v>7456</v>
      </c>
      <c r="H2439" s="5" t="s">
        <v>13546</v>
      </c>
      <c r="I2439" s="5" t="s">
        <v>1621</v>
      </c>
      <c r="J2439" s="8">
        <v>37.25</v>
      </c>
      <c r="K2439" s="5" t="s">
        <v>4</v>
      </c>
      <c r="L2439">
        <f t="shared" si="38"/>
        <v>4</v>
      </c>
    </row>
    <row r="2440" spans="1:12" x14ac:dyDescent="0.25">
      <c r="A2440" s="5">
        <v>48035</v>
      </c>
      <c r="B2440" t="s">
        <v>13363</v>
      </c>
      <c r="C2440" s="5" t="s">
        <v>13364</v>
      </c>
      <c r="D2440" t="s">
        <v>13365</v>
      </c>
      <c r="E2440" s="5" t="s">
        <v>6771</v>
      </c>
      <c r="F2440" s="6">
        <v>46134.669444444444</v>
      </c>
      <c r="G2440" s="5" t="s">
        <v>7456</v>
      </c>
      <c r="H2440" s="5" t="s">
        <v>13547</v>
      </c>
      <c r="I2440" s="5" t="s">
        <v>1621</v>
      </c>
      <c r="J2440" s="8">
        <v>46.34</v>
      </c>
      <c r="K2440" s="5" t="s">
        <v>4</v>
      </c>
      <c r="L2440">
        <f t="shared" si="38"/>
        <v>4</v>
      </c>
    </row>
    <row r="2441" spans="1:12" x14ac:dyDescent="0.25">
      <c r="A2441" s="5">
        <v>48036</v>
      </c>
      <c r="B2441" t="s">
        <v>13548</v>
      </c>
      <c r="C2441" s="5" t="s">
        <v>865</v>
      </c>
      <c r="D2441" t="s">
        <v>13549</v>
      </c>
      <c r="E2441" s="5" t="s">
        <v>4472</v>
      </c>
      <c r="F2441" s="6">
        <v>46134.678472222222</v>
      </c>
      <c r="G2441" s="5" t="s">
        <v>7456</v>
      </c>
      <c r="H2441" s="5" t="s">
        <v>13550</v>
      </c>
      <c r="I2441" s="5" t="s">
        <v>1621</v>
      </c>
      <c r="J2441" s="8">
        <v>193.95</v>
      </c>
      <c r="K2441" s="5" t="s">
        <v>4</v>
      </c>
      <c r="L2441">
        <f t="shared" si="38"/>
        <v>4</v>
      </c>
    </row>
    <row r="2442" spans="1:12" x14ac:dyDescent="0.25">
      <c r="A2442" s="5">
        <v>48037</v>
      </c>
      <c r="B2442" t="s">
        <v>13551</v>
      </c>
      <c r="C2442" s="5" t="s">
        <v>8685</v>
      </c>
      <c r="D2442" t="s">
        <v>13552</v>
      </c>
      <c r="E2442" s="5" t="s">
        <v>2118</v>
      </c>
      <c r="F2442" s="6">
        <v>46134.686111111114</v>
      </c>
      <c r="G2442" s="5" t="s">
        <v>7456</v>
      </c>
      <c r="H2442" s="5" t="s">
        <v>13553</v>
      </c>
      <c r="I2442" s="5" t="s">
        <v>1564</v>
      </c>
      <c r="J2442" s="8">
        <v>135</v>
      </c>
      <c r="K2442" s="5" t="s">
        <v>4</v>
      </c>
      <c r="L2442">
        <f t="shared" si="38"/>
        <v>4</v>
      </c>
    </row>
    <row r="2443" spans="1:12" x14ac:dyDescent="0.25">
      <c r="A2443" s="5">
        <v>48038</v>
      </c>
      <c r="B2443" t="s">
        <v>13554</v>
      </c>
      <c r="C2443" s="5" t="s">
        <v>1326</v>
      </c>
      <c r="D2443" t="s">
        <v>13555</v>
      </c>
      <c r="E2443" s="5" t="s">
        <v>4057</v>
      </c>
      <c r="F2443" s="6">
        <v>46134.688888888886</v>
      </c>
      <c r="G2443" s="5" t="s">
        <v>7456</v>
      </c>
      <c r="H2443" s="5" t="s">
        <v>13556</v>
      </c>
      <c r="I2443" s="5" t="s">
        <v>1535</v>
      </c>
      <c r="J2443" s="8">
        <v>250</v>
      </c>
      <c r="K2443" s="5" t="s">
        <v>4</v>
      </c>
      <c r="L2443">
        <f t="shared" si="38"/>
        <v>4</v>
      </c>
    </row>
    <row r="2444" spans="1:12" x14ac:dyDescent="0.25">
      <c r="A2444" s="5">
        <v>48039</v>
      </c>
      <c r="B2444" t="s">
        <v>13557</v>
      </c>
      <c r="C2444" s="5" t="s">
        <v>316</v>
      </c>
      <c r="D2444" t="s">
        <v>13558</v>
      </c>
      <c r="E2444" s="5" t="s">
        <v>5260</v>
      </c>
      <c r="F2444" s="6">
        <v>46134.684027777781</v>
      </c>
      <c r="G2444" s="5" t="s">
        <v>7456</v>
      </c>
      <c r="H2444" s="5" t="s">
        <v>13559</v>
      </c>
      <c r="I2444" s="5" t="s">
        <v>1621</v>
      </c>
      <c r="J2444" s="8">
        <v>136.72</v>
      </c>
      <c r="K2444" s="5" t="s">
        <v>4</v>
      </c>
      <c r="L2444">
        <f t="shared" si="38"/>
        <v>4</v>
      </c>
    </row>
    <row r="2445" spans="1:12" x14ac:dyDescent="0.25">
      <c r="A2445" s="5">
        <v>48040</v>
      </c>
      <c r="B2445" t="s">
        <v>13560</v>
      </c>
      <c r="C2445" s="5" t="s">
        <v>13561</v>
      </c>
      <c r="D2445" t="s">
        <v>13562</v>
      </c>
      <c r="E2445" s="5" t="s">
        <v>2080</v>
      </c>
      <c r="F2445" s="6">
        <v>46134.695138888892</v>
      </c>
      <c r="G2445" s="5" t="s">
        <v>7456</v>
      </c>
      <c r="H2445" s="5" t="s">
        <v>13563</v>
      </c>
      <c r="I2445" s="5" t="s">
        <v>1621</v>
      </c>
      <c r="J2445" s="8">
        <v>1076.4100000000001</v>
      </c>
      <c r="K2445" s="5" t="s">
        <v>4</v>
      </c>
      <c r="L2445">
        <f t="shared" si="38"/>
        <v>4</v>
      </c>
    </row>
    <row r="2446" spans="1:12" x14ac:dyDescent="0.25">
      <c r="A2446" s="5">
        <v>48041</v>
      </c>
      <c r="B2446" t="s">
        <v>13564</v>
      </c>
      <c r="C2446" s="5" t="s">
        <v>13565</v>
      </c>
      <c r="D2446" t="s">
        <v>7644</v>
      </c>
      <c r="E2446" s="5" t="s">
        <v>6483</v>
      </c>
      <c r="F2446" s="6">
        <v>46134.710416666669</v>
      </c>
      <c r="G2446" s="5" t="s">
        <v>7456</v>
      </c>
      <c r="H2446" s="5" t="s">
        <v>13566</v>
      </c>
      <c r="I2446" s="5" t="s">
        <v>1621</v>
      </c>
      <c r="J2446" s="8">
        <v>63.51</v>
      </c>
      <c r="K2446" s="5" t="s">
        <v>4</v>
      </c>
      <c r="L2446">
        <f t="shared" si="38"/>
        <v>4</v>
      </c>
    </row>
    <row r="2447" spans="1:12" x14ac:dyDescent="0.25">
      <c r="A2447" s="5">
        <v>48042</v>
      </c>
      <c r="B2447" t="s">
        <v>13567</v>
      </c>
      <c r="C2447" s="5" t="s">
        <v>13568</v>
      </c>
      <c r="D2447" t="s">
        <v>13569</v>
      </c>
      <c r="E2447" s="5" t="s">
        <v>1759</v>
      </c>
      <c r="F2447" s="6">
        <v>46134.714583333334</v>
      </c>
      <c r="G2447" s="5" t="s">
        <v>7672</v>
      </c>
      <c r="H2447" t="s">
        <v>7482</v>
      </c>
      <c r="I2447" s="5" t="s">
        <v>1564</v>
      </c>
      <c r="J2447" s="8">
        <v>322</v>
      </c>
      <c r="K2447" s="5" t="s">
        <v>4</v>
      </c>
      <c r="L2447">
        <f t="shared" si="38"/>
        <v>4</v>
      </c>
    </row>
    <row r="2448" spans="1:12" x14ac:dyDescent="0.25">
      <c r="A2448" s="5">
        <v>48048</v>
      </c>
      <c r="B2448" t="s">
        <v>13168</v>
      </c>
      <c r="C2448" s="5" t="s">
        <v>13169</v>
      </c>
      <c r="D2448" t="s">
        <v>13170</v>
      </c>
      <c r="E2448" s="5" t="s">
        <v>1759</v>
      </c>
      <c r="F2448" s="6">
        <v>46134.729166666664</v>
      </c>
      <c r="G2448" s="5" t="s">
        <v>7456</v>
      </c>
      <c r="H2448" s="5" t="s">
        <v>13570</v>
      </c>
      <c r="I2448" s="5" t="s">
        <v>1564</v>
      </c>
      <c r="J2448" s="8">
        <v>111.72</v>
      </c>
      <c r="K2448" s="5" t="s">
        <v>4</v>
      </c>
      <c r="L2448">
        <f t="shared" si="38"/>
        <v>4</v>
      </c>
    </row>
    <row r="2449" spans="1:12" x14ac:dyDescent="0.25">
      <c r="A2449" s="5">
        <v>48053</v>
      </c>
      <c r="B2449" t="s">
        <v>13571</v>
      </c>
      <c r="C2449" s="5" t="s">
        <v>13572</v>
      </c>
      <c r="D2449" t="s">
        <v>13573</v>
      </c>
      <c r="E2449" s="5" t="s">
        <v>1759</v>
      </c>
      <c r="F2449" s="6">
        <v>46134.740972222222</v>
      </c>
      <c r="G2449" s="5" t="s">
        <v>7456</v>
      </c>
      <c r="H2449" s="5" t="s">
        <v>13574</v>
      </c>
      <c r="I2449" s="5" t="s">
        <v>1564</v>
      </c>
      <c r="J2449" s="8">
        <v>100</v>
      </c>
      <c r="K2449" s="5" t="s">
        <v>4</v>
      </c>
      <c r="L2449">
        <f t="shared" si="38"/>
        <v>4</v>
      </c>
    </row>
    <row r="2450" spans="1:12" x14ac:dyDescent="0.25">
      <c r="A2450" s="5">
        <v>48057</v>
      </c>
      <c r="B2450" t="s">
        <v>8151</v>
      </c>
      <c r="C2450" s="5" t="s">
        <v>8545</v>
      </c>
      <c r="D2450" t="s">
        <v>8546</v>
      </c>
      <c r="E2450" s="5" t="s">
        <v>5412</v>
      </c>
      <c r="F2450" s="6">
        <v>46135.390972222223</v>
      </c>
      <c r="G2450" s="5" t="s">
        <v>7456</v>
      </c>
      <c r="H2450" s="5" t="s">
        <v>13575</v>
      </c>
      <c r="I2450" s="5" t="s">
        <v>1535</v>
      </c>
      <c r="J2450" s="8">
        <v>60</v>
      </c>
      <c r="K2450" s="5" t="s">
        <v>4</v>
      </c>
      <c r="L2450">
        <f t="shared" si="38"/>
        <v>4</v>
      </c>
    </row>
    <row r="2451" spans="1:12" x14ac:dyDescent="0.25">
      <c r="A2451" s="5">
        <v>48058</v>
      </c>
      <c r="B2451" t="s">
        <v>9469</v>
      </c>
      <c r="C2451" s="5" t="s">
        <v>13576</v>
      </c>
      <c r="D2451" t="s">
        <v>9471</v>
      </c>
      <c r="E2451" s="5" t="s">
        <v>1759</v>
      </c>
      <c r="F2451" s="6">
        <v>46135.398611111108</v>
      </c>
      <c r="G2451" s="5" t="s">
        <v>7456</v>
      </c>
      <c r="H2451" s="5" t="s">
        <v>13577</v>
      </c>
      <c r="I2451" s="5" t="s">
        <v>1564</v>
      </c>
      <c r="J2451" s="8">
        <v>343</v>
      </c>
      <c r="K2451" s="5" t="s">
        <v>4</v>
      </c>
      <c r="L2451">
        <f t="shared" si="38"/>
        <v>4</v>
      </c>
    </row>
    <row r="2452" spans="1:12" x14ac:dyDescent="0.25">
      <c r="A2452" s="5">
        <v>48059</v>
      </c>
      <c r="B2452" t="s">
        <v>13578</v>
      </c>
      <c r="C2452" s="5" t="s">
        <v>13579</v>
      </c>
      <c r="D2452" t="s">
        <v>13580</v>
      </c>
      <c r="E2452" s="5" t="s">
        <v>1759</v>
      </c>
      <c r="F2452" s="6">
        <v>46135.404166666667</v>
      </c>
      <c r="G2452" s="5" t="s">
        <v>7456</v>
      </c>
      <c r="H2452" s="5" t="s">
        <v>13581</v>
      </c>
      <c r="I2452" s="5" t="s">
        <v>1564</v>
      </c>
      <c r="J2452" s="8">
        <v>135</v>
      </c>
      <c r="K2452" s="5" t="s">
        <v>4</v>
      </c>
      <c r="L2452">
        <f t="shared" si="38"/>
        <v>4</v>
      </c>
    </row>
    <row r="2453" spans="1:12" x14ac:dyDescent="0.25">
      <c r="A2453" s="5">
        <v>48060</v>
      </c>
      <c r="B2453" t="s">
        <v>13582</v>
      </c>
      <c r="C2453" s="5" t="s">
        <v>13583</v>
      </c>
      <c r="D2453" t="s">
        <v>13584</v>
      </c>
      <c r="E2453" s="5" t="s">
        <v>1738</v>
      </c>
      <c r="F2453" s="6">
        <v>46135.447222222225</v>
      </c>
      <c r="G2453" s="5" t="s">
        <v>7456</v>
      </c>
      <c r="H2453" s="5" t="s">
        <v>13585</v>
      </c>
      <c r="I2453" s="5" t="s">
        <v>1564</v>
      </c>
      <c r="J2453" s="8">
        <v>390</v>
      </c>
      <c r="K2453" s="5" t="s">
        <v>4</v>
      </c>
      <c r="L2453">
        <f t="shared" si="38"/>
        <v>4</v>
      </c>
    </row>
    <row r="2454" spans="1:12" x14ac:dyDescent="0.25">
      <c r="A2454" s="5">
        <v>48061</v>
      </c>
      <c r="B2454" t="s">
        <v>10187</v>
      </c>
      <c r="C2454" s="5" t="s">
        <v>10188</v>
      </c>
      <c r="D2454" t="s">
        <v>10189</v>
      </c>
      <c r="E2454" s="5" t="s">
        <v>1532</v>
      </c>
      <c r="F2454" s="6">
        <v>46135.453472222223</v>
      </c>
      <c r="G2454" s="5" t="s">
        <v>7456</v>
      </c>
      <c r="H2454" s="5" t="s">
        <v>13586</v>
      </c>
      <c r="I2454" s="5" t="s">
        <v>1621</v>
      </c>
      <c r="J2454" s="8">
        <v>0</v>
      </c>
      <c r="K2454" s="5" t="s">
        <v>4</v>
      </c>
      <c r="L2454">
        <f t="shared" si="38"/>
        <v>4</v>
      </c>
    </row>
    <row r="2455" spans="1:12" x14ac:dyDescent="0.25">
      <c r="A2455" s="5">
        <v>48062</v>
      </c>
      <c r="B2455" t="s">
        <v>13587</v>
      </c>
      <c r="C2455" s="5" t="s">
        <v>13588</v>
      </c>
      <c r="D2455" t="s">
        <v>13589</v>
      </c>
      <c r="E2455" s="5" t="s">
        <v>1702</v>
      </c>
      <c r="F2455" s="6">
        <v>46135.488888888889</v>
      </c>
      <c r="G2455" s="5" t="s">
        <v>7456</v>
      </c>
      <c r="H2455" s="5" t="s">
        <v>13590</v>
      </c>
      <c r="I2455" s="5" t="s">
        <v>1564</v>
      </c>
      <c r="J2455" s="8">
        <v>318.8</v>
      </c>
      <c r="K2455" s="5" t="s">
        <v>4</v>
      </c>
      <c r="L2455">
        <f t="shared" si="38"/>
        <v>4</v>
      </c>
    </row>
    <row r="2456" spans="1:12" x14ac:dyDescent="0.25">
      <c r="A2456" s="5">
        <v>48063</v>
      </c>
      <c r="B2456" t="s">
        <v>13591</v>
      </c>
      <c r="C2456" s="5" t="s">
        <v>13592</v>
      </c>
      <c r="D2456" t="s">
        <v>13593</v>
      </c>
      <c r="E2456" s="5" t="s">
        <v>2118</v>
      </c>
      <c r="F2456" s="6">
        <v>46135.507638888892</v>
      </c>
      <c r="G2456" s="5" t="s">
        <v>7456</v>
      </c>
      <c r="H2456" s="5" t="s">
        <v>13594</v>
      </c>
      <c r="I2456" s="5" t="s">
        <v>1564</v>
      </c>
      <c r="J2456" s="8">
        <v>445</v>
      </c>
      <c r="K2456" s="5" t="s">
        <v>4</v>
      </c>
      <c r="L2456">
        <f t="shared" si="38"/>
        <v>4</v>
      </c>
    </row>
    <row r="2457" spans="1:12" x14ac:dyDescent="0.25">
      <c r="A2457" s="5">
        <v>48064</v>
      </c>
      <c r="B2457" t="s">
        <v>9060</v>
      </c>
      <c r="C2457" s="5" t="s">
        <v>1482</v>
      </c>
      <c r="D2457" t="s">
        <v>9061</v>
      </c>
      <c r="E2457" s="5" t="s">
        <v>1770</v>
      </c>
      <c r="F2457" s="6">
        <v>46135.507638888892</v>
      </c>
      <c r="G2457" s="5" t="s">
        <v>7456</v>
      </c>
      <c r="H2457" s="5" t="s">
        <v>13595</v>
      </c>
      <c r="I2457" s="5" t="s">
        <v>1621</v>
      </c>
      <c r="J2457" s="8">
        <v>0</v>
      </c>
      <c r="K2457" s="5" t="s">
        <v>4</v>
      </c>
      <c r="L2457">
        <f t="shared" si="38"/>
        <v>4</v>
      </c>
    </row>
    <row r="2458" spans="1:12" x14ac:dyDescent="0.25">
      <c r="A2458" s="5">
        <v>48066</v>
      </c>
      <c r="B2458" t="s">
        <v>10841</v>
      </c>
      <c r="C2458" s="5" t="s">
        <v>1324</v>
      </c>
      <c r="D2458" t="s">
        <v>10842</v>
      </c>
      <c r="E2458" s="5" t="s">
        <v>1770</v>
      </c>
      <c r="F2458" s="6">
        <v>46135.527083333334</v>
      </c>
      <c r="G2458" s="5" t="s">
        <v>7456</v>
      </c>
      <c r="H2458" s="5" t="s">
        <v>13596</v>
      </c>
      <c r="I2458" s="5" t="s">
        <v>1564</v>
      </c>
      <c r="J2458" s="8">
        <v>127</v>
      </c>
      <c r="K2458" s="5" t="s">
        <v>4</v>
      </c>
      <c r="L2458">
        <f t="shared" si="38"/>
        <v>4</v>
      </c>
    </row>
    <row r="2459" spans="1:12" x14ac:dyDescent="0.25">
      <c r="A2459" s="5">
        <v>48067</v>
      </c>
      <c r="B2459" t="s">
        <v>13597</v>
      </c>
      <c r="C2459" s="5" t="s">
        <v>346</v>
      </c>
      <c r="D2459" t="s">
        <v>13598</v>
      </c>
      <c r="E2459" s="5" t="s">
        <v>1813</v>
      </c>
      <c r="F2459" s="6">
        <v>46135.624305555553</v>
      </c>
      <c r="G2459" s="5" t="s">
        <v>7456</v>
      </c>
      <c r="H2459" s="5" t="s">
        <v>13599</v>
      </c>
      <c r="I2459" s="5" t="s">
        <v>1535</v>
      </c>
      <c r="J2459" s="8">
        <v>138</v>
      </c>
      <c r="K2459" s="5" t="s">
        <v>4</v>
      </c>
      <c r="L2459">
        <f t="shared" si="38"/>
        <v>4</v>
      </c>
    </row>
    <row r="2460" spans="1:12" x14ac:dyDescent="0.25">
      <c r="A2460" s="5">
        <v>48068</v>
      </c>
      <c r="B2460" t="s">
        <v>13600</v>
      </c>
      <c r="C2460" s="5" t="s">
        <v>7516</v>
      </c>
      <c r="D2460" t="s">
        <v>13601</v>
      </c>
      <c r="E2460" s="5" t="s">
        <v>1532</v>
      </c>
      <c r="F2460" s="6">
        <v>46135.627083333333</v>
      </c>
      <c r="G2460" s="5" t="s">
        <v>7456</v>
      </c>
      <c r="H2460" s="5" t="s">
        <v>13602</v>
      </c>
      <c r="I2460" s="5" t="s">
        <v>1535</v>
      </c>
      <c r="J2460" s="8">
        <v>278</v>
      </c>
      <c r="K2460" s="5" t="s">
        <v>4</v>
      </c>
      <c r="L2460">
        <f t="shared" si="38"/>
        <v>4</v>
      </c>
    </row>
    <row r="2461" spans="1:12" x14ac:dyDescent="0.25">
      <c r="A2461" s="5">
        <v>48069</v>
      </c>
      <c r="B2461" t="s">
        <v>13056</v>
      </c>
      <c r="C2461" s="5" t="s">
        <v>13057</v>
      </c>
      <c r="D2461" t="s">
        <v>13058</v>
      </c>
      <c r="E2461" s="5" t="s">
        <v>2306</v>
      </c>
      <c r="F2461" s="6">
        <v>46135.63958333333</v>
      </c>
      <c r="G2461" s="5" t="s">
        <v>7456</v>
      </c>
      <c r="H2461" s="5" t="s">
        <v>13603</v>
      </c>
      <c r="I2461" s="5" t="s">
        <v>1564</v>
      </c>
      <c r="J2461" s="8">
        <v>47.6</v>
      </c>
      <c r="K2461" s="5" t="s">
        <v>4</v>
      </c>
      <c r="L2461">
        <f t="shared" si="38"/>
        <v>4</v>
      </c>
    </row>
    <row r="2462" spans="1:12" x14ac:dyDescent="0.25">
      <c r="A2462" s="5">
        <v>48070</v>
      </c>
      <c r="B2462" t="s">
        <v>13604</v>
      </c>
      <c r="C2462" s="5" t="s">
        <v>13605</v>
      </c>
      <c r="D2462" t="s">
        <v>13606</v>
      </c>
      <c r="E2462" s="5" t="s">
        <v>1759</v>
      </c>
      <c r="F2462" s="6">
        <v>46135.645138888889</v>
      </c>
      <c r="G2462" s="5" t="s">
        <v>7672</v>
      </c>
      <c r="H2462" t="s">
        <v>7482</v>
      </c>
      <c r="I2462" s="5" t="s">
        <v>1564</v>
      </c>
      <c r="J2462" s="8">
        <v>540</v>
      </c>
      <c r="K2462" s="5" t="s">
        <v>4</v>
      </c>
      <c r="L2462">
        <f t="shared" si="38"/>
        <v>4</v>
      </c>
    </row>
    <row r="2463" spans="1:12" x14ac:dyDescent="0.25">
      <c r="A2463" s="5">
        <v>48071</v>
      </c>
      <c r="B2463" t="s">
        <v>13607</v>
      </c>
      <c r="C2463" s="5" t="s">
        <v>13608</v>
      </c>
      <c r="D2463" t="s">
        <v>13609</v>
      </c>
      <c r="E2463" s="5" t="s">
        <v>3541</v>
      </c>
      <c r="F2463" s="6">
        <v>46135.638888888891</v>
      </c>
      <c r="G2463" s="5" t="s">
        <v>7456</v>
      </c>
      <c r="H2463" s="5" t="s">
        <v>13610</v>
      </c>
      <c r="I2463" s="5" t="s">
        <v>1621</v>
      </c>
      <c r="J2463" s="8">
        <v>318</v>
      </c>
      <c r="K2463" s="5" t="s">
        <v>4</v>
      </c>
      <c r="L2463">
        <f t="shared" si="38"/>
        <v>4</v>
      </c>
    </row>
    <row r="2464" spans="1:12" x14ac:dyDescent="0.25">
      <c r="A2464" s="5">
        <v>48072</v>
      </c>
      <c r="B2464" t="s">
        <v>13288</v>
      </c>
      <c r="C2464" s="5" t="s">
        <v>13289</v>
      </c>
      <c r="D2464" t="s">
        <v>13290</v>
      </c>
      <c r="E2464" s="5" t="s">
        <v>3202</v>
      </c>
      <c r="F2464" s="6">
        <v>46135.652083333334</v>
      </c>
      <c r="G2464" s="5" t="s">
        <v>7456</v>
      </c>
      <c r="H2464" s="5" t="s">
        <v>13611</v>
      </c>
      <c r="I2464" s="5" t="s">
        <v>1564</v>
      </c>
      <c r="J2464" s="8">
        <v>394.8</v>
      </c>
      <c r="K2464" s="5" t="s">
        <v>4</v>
      </c>
      <c r="L2464">
        <f t="shared" si="38"/>
        <v>4</v>
      </c>
    </row>
    <row r="2465" spans="1:12" x14ac:dyDescent="0.25">
      <c r="A2465" s="5">
        <v>48073</v>
      </c>
      <c r="B2465" t="s">
        <v>13612</v>
      </c>
      <c r="C2465" s="5" t="s">
        <v>13613</v>
      </c>
      <c r="D2465" t="s">
        <v>13614</v>
      </c>
      <c r="E2465" s="5" t="s">
        <v>2740</v>
      </c>
      <c r="F2465" s="6">
        <v>46135.662499999999</v>
      </c>
      <c r="G2465" s="5" t="s">
        <v>7672</v>
      </c>
      <c r="H2465" t="s">
        <v>8626</v>
      </c>
      <c r="I2465" s="5" t="s">
        <v>1564</v>
      </c>
      <c r="J2465" s="8">
        <v>154.4</v>
      </c>
      <c r="K2465" s="5" t="s">
        <v>4</v>
      </c>
      <c r="L2465">
        <f t="shared" si="38"/>
        <v>4</v>
      </c>
    </row>
    <row r="2466" spans="1:12" x14ac:dyDescent="0.25">
      <c r="A2466" s="5">
        <v>48074</v>
      </c>
      <c r="B2466" t="s">
        <v>13615</v>
      </c>
      <c r="C2466" s="5" t="s">
        <v>13616</v>
      </c>
      <c r="D2466" t="s">
        <v>13617</v>
      </c>
      <c r="E2466" s="5" t="s">
        <v>3854</v>
      </c>
      <c r="F2466" s="6">
        <v>46135.661805555559</v>
      </c>
      <c r="G2466" s="5" t="s">
        <v>7456</v>
      </c>
      <c r="H2466" s="5" t="s">
        <v>13618</v>
      </c>
      <c r="I2466" s="5" t="s">
        <v>1621</v>
      </c>
      <c r="J2466" s="8">
        <v>278</v>
      </c>
      <c r="K2466" s="5" t="s">
        <v>4</v>
      </c>
      <c r="L2466">
        <f t="shared" si="38"/>
        <v>4</v>
      </c>
    </row>
    <row r="2467" spans="1:12" x14ac:dyDescent="0.25">
      <c r="A2467" s="5">
        <v>48075</v>
      </c>
      <c r="B2467" t="s">
        <v>13619</v>
      </c>
      <c r="C2467" s="5" t="s">
        <v>32</v>
      </c>
      <c r="D2467" t="s">
        <v>13620</v>
      </c>
      <c r="E2467" s="5" t="s">
        <v>7286</v>
      </c>
      <c r="F2467" s="6">
        <v>46135.677083333336</v>
      </c>
      <c r="G2467" s="5" t="s">
        <v>7456</v>
      </c>
      <c r="H2467" s="5" t="s">
        <v>13621</v>
      </c>
      <c r="I2467" s="5" t="s">
        <v>1621</v>
      </c>
      <c r="J2467" s="8">
        <v>19.04</v>
      </c>
      <c r="K2467" s="5" t="s">
        <v>4</v>
      </c>
      <c r="L2467">
        <f t="shared" si="38"/>
        <v>4</v>
      </c>
    </row>
    <row r="2468" spans="1:12" x14ac:dyDescent="0.25">
      <c r="A2468" s="5">
        <v>48076</v>
      </c>
      <c r="B2468" t="s">
        <v>13622</v>
      </c>
      <c r="C2468" s="5" t="s">
        <v>13623</v>
      </c>
      <c r="D2468" t="s">
        <v>13624</v>
      </c>
      <c r="E2468" s="5" t="s">
        <v>1813</v>
      </c>
      <c r="F2468" s="6">
        <v>46135.680555555555</v>
      </c>
      <c r="G2468" s="5" t="s">
        <v>13021</v>
      </c>
      <c r="H2468" t="s">
        <v>7482</v>
      </c>
      <c r="I2468" s="5" t="s">
        <v>1535</v>
      </c>
      <c r="J2468" s="8">
        <v>4345</v>
      </c>
      <c r="K2468" s="5" t="s">
        <v>4</v>
      </c>
      <c r="L2468">
        <f t="shared" si="38"/>
        <v>4</v>
      </c>
    </row>
    <row r="2469" spans="1:12" x14ac:dyDescent="0.25">
      <c r="A2469" s="5">
        <v>48077</v>
      </c>
      <c r="B2469" t="s">
        <v>13625</v>
      </c>
      <c r="C2469" s="5" t="s">
        <v>444</v>
      </c>
      <c r="D2469" t="s">
        <v>13626</v>
      </c>
      <c r="E2469" s="5" t="s">
        <v>6760</v>
      </c>
      <c r="F2469" s="6">
        <v>46135.694444444445</v>
      </c>
      <c r="G2469" s="5" t="s">
        <v>7456</v>
      </c>
      <c r="H2469" s="5" t="s">
        <v>13627</v>
      </c>
      <c r="I2469" s="5" t="s">
        <v>1621</v>
      </c>
      <c r="J2469" s="8">
        <v>48.79</v>
      </c>
      <c r="K2469" s="5" t="s">
        <v>4</v>
      </c>
      <c r="L2469">
        <f t="shared" si="38"/>
        <v>4</v>
      </c>
    </row>
    <row r="2470" spans="1:12" x14ac:dyDescent="0.25">
      <c r="A2470" s="5">
        <v>48078</v>
      </c>
      <c r="B2470" t="s">
        <v>13628</v>
      </c>
      <c r="C2470" s="5" t="s">
        <v>13629</v>
      </c>
      <c r="D2470" t="s">
        <v>13630</v>
      </c>
      <c r="E2470" s="5" t="s">
        <v>2314</v>
      </c>
      <c r="F2470" s="6">
        <v>46135.727083333331</v>
      </c>
      <c r="G2470" s="5" t="s">
        <v>7672</v>
      </c>
      <c r="H2470" t="s">
        <v>7482</v>
      </c>
      <c r="I2470" s="5" t="s">
        <v>1564</v>
      </c>
      <c r="J2470" s="8">
        <v>1213.1500000000001</v>
      </c>
      <c r="K2470" s="5" t="s">
        <v>4</v>
      </c>
      <c r="L2470">
        <f t="shared" si="38"/>
        <v>4</v>
      </c>
    </row>
    <row r="2471" spans="1:12" x14ac:dyDescent="0.25">
      <c r="A2471" s="5">
        <v>48079</v>
      </c>
      <c r="B2471" t="s">
        <v>13631</v>
      </c>
      <c r="C2471" s="5" t="s">
        <v>9998</v>
      </c>
      <c r="D2471" t="s">
        <v>9999</v>
      </c>
      <c r="E2471" s="5" t="s">
        <v>1759</v>
      </c>
      <c r="F2471" s="6">
        <v>46135.732638888891</v>
      </c>
      <c r="G2471" s="5" t="s">
        <v>7456</v>
      </c>
      <c r="H2471" s="5" t="s">
        <v>13632</v>
      </c>
      <c r="I2471" s="5" t="s">
        <v>1564</v>
      </c>
      <c r="J2471" s="8">
        <v>104</v>
      </c>
      <c r="K2471" s="5" t="s">
        <v>4</v>
      </c>
      <c r="L2471">
        <f t="shared" si="38"/>
        <v>4</v>
      </c>
    </row>
    <row r="2472" spans="1:12" x14ac:dyDescent="0.25">
      <c r="A2472" s="5">
        <v>48080</v>
      </c>
      <c r="B2472" t="s">
        <v>10010</v>
      </c>
      <c r="C2472" s="5" t="s">
        <v>9998</v>
      </c>
      <c r="D2472" t="s">
        <v>9999</v>
      </c>
      <c r="E2472" s="5" t="s">
        <v>1759</v>
      </c>
      <c r="F2472" s="6">
        <v>46135.734722222223</v>
      </c>
      <c r="G2472" s="5" t="s">
        <v>7456</v>
      </c>
      <c r="H2472" s="5" t="s">
        <v>13633</v>
      </c>
      <c r="I2472" s="5" t="s">
        <v>1564</v>
      </c>
      <c r="J2472" s="8">
        <v>115</v>
      </c>
      <c r="K2472" s="5" t="s">
        <v>4</v>
      </c>
      <c r="L2472">
        <f t="shared" si="38"/>
        <v>4</v>
      </c>
    </row>
    <row r="2473" spans="1:12" x14ac:dyDescent="0.25">
      <c r="A2473" s="5">
        <v>48081</v>
      </c>
      <c r="B2473" t="s">
        <v>13634</v>
      </c>
      <c r="C2473" s="5" t="s">
        <v>9998</v>
      </c>
      <c r="D2473" t="s">
        <v>9999</v>
      </c>
      <c r="E2473" s="5" t="s">
        <v>1759</v>
      </c>
      <c r="F2473" s="6">
        <v>46135.736805555556</v>
      </c>
      <c r="G2473" s="5" t="s">
        <v>7456</v>
      </c>
      <c r="H2473" s="5" t="s">
        <v>13635</v>
      </c>
      <c r="I2473" s="5" t="s">
        <v>1564</v>
      </c>
      <c r="J2473" s="8">
        <v>195</v>
      </c>
      <c r="K2473" s="5" t="s">
        <v>4</v>
      </c>
      <c r="L2473">
        <f t="shared" si="38"/>
        <v>4</v>
      </c>
    </row>
    <row r="2474" spans="1:12" x14ac:dyDescent="0.25">
      <c r="A2474" s="5">
        <v>48082</v>
      </c>
      <c r="B2474" t="s">
        <v>9997</v>
      </c>
      <c r="C2474" s="5" t="s">
        <v>9998</v>
      </c>
      <c r="D2474" t="s">
        <v>9999</v>
      </c>
      <c r="E2474" s="5" t="s">
        <v>1759</v>
      </c>
      <c r="F2474" s="6">
        <v>46135.738888888889</v>
      </c>
      <c r="G2474" s="5" t="s">
        <v>7456</v>
      </c>
      <c r="H2474" s="5" t="s">
        <v>13636</v>
      </c>
      <c r="I2474" s="5" t="s">
        <v>1564</v>
      </c>
      <c r="J2474" s="8">
        <v>300</v>
      </c>
      <c r="K2474" s="5" t="s">
        <v>4</v>
      </c>
      <c r="L2474">
        <f t="shared" si="38"/>
        <v>4</v>
      </c>
    </row>
    <row r="2475" spans="1:12" x14ac:dyDescent="0.25">
      <c r="A2475" s="5">
        <v>48083</v>
      </c>
      <c r="B2475" t="s">
        <v>13637</v>
      </c>
      <c r="C2475" s="5" t="s">
        <v>13638</v>
      </c>
      <c r="D2475" t="s">
        <v>13639</v>
      </c>
      <c r="E2475" s="5" t="s">
        <v>3035</v>
      </c>
      <c r="F2475" s="6">
        <v>46136.325694444444</v>
      </c>
      <c r="G2475" s="5" t="s">
        <v>7672</v>
      </c>
      <c r="H2475" t="s">
        <v>8626</v>
      </c>
      <c r="I2475" s="5" t="s">
        <v>1564</v>
      </c>
      <c r="J2475" s="8">
        <v>164.7</v>
      </c>
      <c r="K2475" s="5" t="s">
        <v>4</v>
      </c>
      <c r="L2475">
        <f t="shared" si="38"/>
        <v>4</v>
      </c>
    </row>
    <row r="2476" spans="1:12" x14ac:dyDescent="0.25">
      <c r="A2476" s="5">
        <v>48088</v>
      </c>
      <c r="B2476" t="s">
        <v>13640</v>
      </c>
      <c r="C2476" s="5" t="s">
        <v>8574</v>
      </c>
      <c r="D2476" t="s">
        <v>13641</v>
      </c>
      <c r="E2476" s="5" t="s">
        <v>2875</v>
      </c>
      <c r="F2476" s="6">
        <v>46136.451388888891</v>
      </c>
      <c r="G2476" s="5" t="s">
        <v>7595</v>
      </c>
      <c r="H2476" t="s">
        <v>7482</v>
      </c>
      <c r="I2476" s="5" t="s">
        <v>1535</v>
      </c>
      <c r="J2476" s="8">
        <v>1741.8</v>
      </c>
      <c r="K2476" s="5" t="s">
        <v>4</v>
      </c>
      <c r="L2476">
        <f t="shared" si="38"/>
        <v>4</v>
      </c>
    </row>
    <row r="2477" spans="1:12" x14ac:dyDescent="0.25">
      <c r="A2477" s="5">
        <v>48089</v>
      </c>
      <c r="B2477" t="s">
        <v>13642</v>
      </c>
      <c r="C2477" s="5" t="s">
        <v>13643</v>
      </c>
      <c r="D2477" t="s">
        <v>13644</v>
      </c>
      <c r="E2477" s="5" t="s">
        <v>2314</v>
      </c>
      <c r="F2477" s="6">
        <v>46136.472916666666</v>
      </c>
      <c r="G2477" s="5" t="s">
        <v>7456</v>
      </c>
      <c r="H2477" s="5" t="s">
        <v>7522</v>
      </c>
      <c r="I2477" s="5" t="s">
        <v>1564</v>
      </c>
      <c r="J2477" s="8">
        <v>2545.1999999999998</v>
      </c>
      <c r="K2477" s="5" t="s">
        <v>4</v>
      </c>
      <c r="L2477">
        <f t="shared" si="38"/>
        <v>4</v>
      </c>
    </row>
    <row r="2478" spans="1:12" x14ac:dyDescent="0.25">
      <c r="A2478" s="5">
        <v>48090</v>
      </c>
      <c r="B2478" t="s">
        <v>13645</v>
      </c>
      <c r="C2478" s="5" t="s">
        <v>13031</v>
      </c>
      <c r="D2478" t="s">
        <v>13646</v>
      </c>
      <c r="E2478" s="5" t="s">
        <v>1770</v>
      </c>
      <c r="F2478" s="6">
        <v>46136.495138888888</v>
      </c>
      <c r="G2478" s="5" t="s">
        <v>7456</v>
      </c>
      <c r="H2478" s="5" t="s">
        <v>13647</v>
      </c>
      <c r="I2478" s="5" t="s">
        <v>1564</v>
      </c>
      <c r="J2478" s="8">
        <v>185</v>
      </c>
      <c r="K2478" s="5" t="s">
        <v>4</v>
      </c>
      <c r="L2478">
        <f t="shared" si="38"/>
        <v>4</v>
      </c>
    </row>
    <row r="2479" spans="1:12" x14ac:dyDescent="0.25">
      <c r="A2479" s="5">
        <v>48091</v>
      </c>
      <c r="B2479" t="s">
        <v>13648</v>
      </c>
      <c r="C2479" s="5" t="s">
        <v>11747</v>
      </c>
      <c r="D2479" t="s">
        <v>13649</v>
      </c>
      <c r="E2479" s="5" t="s">
        <v>1738</v>
      </c>
      <c r="F2479" s="6">
        <v>46136.52847222222</v>
      </c>
      <c r="G2479" s="5" t="s">
        <v>7456</v>
      </c>
      <c r="H2479" s="5" t="s">
        <v>13650</v>
      </c>
      <c r="I2479" s="5" t="s">
        <v>1564</v>
      </c>
      <c r="J2479" s="8">
        <v>671.52</v>
      </c>
      <c r="K2479" s="5" t="s">
        <v>4</v>
      </c>
      <c r="L2479">
        <f t="shared" si="38"/>
        <v>4</v>
      </c>
    </row>
    <row r="2480" spans="1:12" x14ac:dyDescent="0.25">
      <c r="A2480" s="5">
        <v>48092</v>
      </c>
      <c r="B2480" t="s">
        <v>13651</v>
      </c>
      <c r="C2480" s="5" t="s">
        <v>10019</v>
      </c>
      <c r="D2480" t="s">
        <v>13652</v>
      </c>
      <c r="E2480" s="5" t="s">
        <v>1738</v>
      </c>
      <c r="F2480" s="6">
        <v>46136.549305555556</v>
      </c>
      <c r="G2480" s="5" t="s">
        <v>7456</v>
      </c>
      <c r="H2480" s="5" t="s">
        <v>13653</v>
      </c>
      <c r="I2480" s="5" t="s">
        <v>1564</v>
      </c>
      <c r="J2480" s="8">
        <v>140</v>
      </c>
      <c r="K2480" s="5" t="s">
        <v>4</v>
      </c>
      <c r="L2480">
        <f t="shared" si="38"/>
        <v>4</v>
      </c>
    </row>
    <row r="2481" spans="1:12" x14ac:dyDescent="0.25">
      <c r="A2481" s="5">
        <v>48093</v>
      </c>
      <c r="B2481" t="s">
        <v>13654</v>
      </c>
      <c r="C2481" s="5" t="s">
        <v>13655</v>
      </c>
      <c r="D2481" t="s">
        <v>13656</v>
      </c>
      <c r="E2481" s="5" t="s">
        <v>1759</v>
      </c>
      <c r="F2481" s="6">
        <v>46136.559027777781</v>
      </c>
      <c r="G2481" s="5" t="s">
        <v>7456</v>
      </c>
      <c r="H2481" s="5" t="s">
        <v>13657</v>
      </c>
      <c r="I2481" s="5" t="s">
        <v>1564</v>
      </c>
      <c r="J2481" s="8">
        <v>157</v>
      </c>
      <c r="K2481" s="5" t="s">
        <v>4</v>
      </c>
      <c r="L2481">
        <f t="shared" si="38"/>
        <v>4</v>
      </c>
    </row>
    <row r="2482" spans="1:12" x14ac:dyDescent="0.25">
      <c r="A2482" s="5">
        <v>48095</v>
      </c>
      <c r="B2482" t="s">
        <v>13658</v>
      </c>
      <c r="C2482" s="5" t="s">
        <v>13659</v>
      </c>
      <c r="D2482" t="s">
        <v>13660</v>
      </c>
      <c r="E2482" s="5" t="s">
        <v>5334</v>
      </c>
      <c r="F2482" s="6">
        <v>46136.614583333336</v>
      </c>
      <c r="G2482" s="5" t="s">
        <v>7456</v>
      </c>
      <c r="H2482" s="5" t="s">
        <v>13661</v>
      </c>
      <c r="I2482" s="5" t="s">
        <v>1621</v>
      </c>
      <c r="J2482" s="8">
        <v>133.93</v>
      </c>
      <c r="K2482" s="5" t="s">
        <v>4</v>
      </c>
      <c r="L2482">
        <f t="shared" si="38"/>
        <v>4</v>
      </c>
    </row>
    <row r="2483" spans="1:12" x14ac:dyDescent="0.25">
      <c r="A2483" s="5">
        <v>48096</v>
      </c>
      <c r="B2483" t="s">
        <v>10707</v>
      </c>
      <c r="C2483" s="5" t="s">
        <v>10708</v>
      </c>
      <c r="D2483" t="s">
        <v>10709</v>
      </c>
      <c r="E2483" s="5" t="s">
        <v>13662</v>
      </c>
      <c r="F2483" s="6">
        <v>46136.62222222222</v>
      </c>
      <c r="G2483" s="5" t="s">
        <v>7595</v>
      </c>
      <c r="H2483" t="s">
        <v>7482</v>
      </c>
      <c r="I2483" s="5" t="s">
        <v>1535</v>
      </c>
      <c r="J2483" s="8">
        <v>5637.6</v>
      </c>
      <c r="K2483" s="5" t="s">
        <v>4</v>
      </c>
      <c r="L2483">
        <f t="shared" si="38"/>
        <v>4</v>
      </c>
    </row>
    <row r="2484" spans="1:12" x14ac:dyDescent="0.25">
      <c r="A2484" s="5">
        <v>48097</v>
      </c>
      <c r="B2484" t="s">
        <v>13447</v>
      </c>
      <c r="C2484" s="5" t="s">
        <v>1467</v>
      </c>
      <c r="D2484" t="s">
        <v>13448</v>
      </c>
      <c r="E2484" s="5" t="s">
        <v>6883</v>
      </c>
      <c r="F2484" s="6">
        <v>46136.625</v>
      </c>
      <c r="G2484" s="5" t="s">
        <v>7456</v>
      </c>
      <c r="H2484" s="5" t="s">
        <v>13663</v>
      </c>
      <c r="I2484" s="5" t="s">
        <v>1621</v>
      </c>
      <c r="J2484" s="8">
        <v>40.08</v>
      </c>
      <c r="K2484" s="5" t="s">
        <v>4</v>
      </c>
      <c r="L2484">
        <f t="shared" si="38"/>
        <v>4</v>
      </c>
    </row>
    <row r="2485" spans="1:12" x14ac:dyDescent="0.25">
      <c r="A2485" s="5">
        <v>48100</v>
      </c>
      <c r="B2485" t="s">
        <v>8965</v>
      </c>
      <c r="C2485" s="5" t="s">
        <v>9154</v>
      </c>
      <c r="D2485" t="s">
        <v>8966</v>
      </c>
      <c r="E2485" s="5" t="s">
        <v>1532</v>
      </c>
      <c r="F2485" s="6">
        <v>46136.637499999997</v>
      </c>
      <c r="G2485" s="5" t="s">
        <v>7595</v>
      </c>
      <c r="H2485" t="s">
        <v>7482</v>
      </c>
      <c r="I2485" s="5" t="s">
        <v>1535</v>
      </c>
      <c r="J2485" s="8">
        <v>864</v>
      </c>
      <c r="K2485" s="5" t="s">
        <v>4</v>
      </c>
      <c r="L2485">
        <f t="shared" si="38"/>
        <v>4</v>
      </c>
    </row>
    <row r="2486" spans="1:12" x14ac:dyDescent="0.25">
      <c r="A2486" s="5">
        <v>48101</v>
      </c>
      <c r="B2486" t="s">
        <v>13664</v>
      </c>
      <c r="C2486" s="5" t="s">
        <v>13665</v>
      </c>
      <c r="D2486" t="s">
        <v>13666</v>
      </c>
      <c r="E2486" s="5" t="s">
        <v>1738</v>
      </c>
      <c r="F2486" s="6">
        <v>46136.640972222223</v>
      </c>
      <c r="G2486" s="5" t="s">
        <v>7456</v>
      </c>
      <c r="H2486" s="5" t="s">
        <v>13667</v>
      </c>
      <c r="I2486" s="5" t="s">
        <v>1564</v>
      </c>
      <c r="J2486" s="8">
        <v>140</v>
      </c>
      <c r="K2486" s="5" t="s">
        <v>4</v>
      </c>
      <c r="L2486">
        <f t="shared" si="38"/>
        <v>4</v>
      </c>
    </row>
    <row r="2487" spans="1:12" x14ac:dyDescent="0.25">
      <c r="A2487" s="5">
        <v>48102</v>
      </c>
      <c r="B2487" t="s">
        <v>13668</v>
      </c>
      <c r="C2487" s="5" t="s">
        <v>7516</v>
      </c>
      <c r="D2487" t="s">
        <v>13669</v>
      </c>
      <c r="E2487" s="5" t="s">
        <v>1763</v>
      </c>
      <c r="F2487" s="6">
        <v>46136.634027777778</v>
      </c>
      <c r="G2487" s="5" t="s">
        <v>7456</v>
      </c>
      <c r="H2487" s="5" t="s">
        <v>13670</v>
      </c>
      <c r="I2487" s="5" t="s">
        <v>1621</v>
      </c>
      <c r="J2487" s="8">
        <v>2295.29</v>
      </c>
      <c r="K2487" s="5" t="s">
        <v>4</v>
      </c>
      <c r="L2487">
        <f t="shared" si="38"/>
        <v>4</v>
      </c>
    </row>
    <row r="2488" spans="1:12" x14ac:dyDescent="0.25">
      <c r="A2488" s="5">
        <v>48103</v>
      </c>
      <c r="B2488" t="s">
        <v>13671</v>
      </c>
      <c r="C2488" s="5" t="s">
        <v>13672</v>
      </c>
      <c r="D2488" t="s">
        <v>13673</v>
      </c>
      <c r="E2488" s="5" t="s">
        <v>2118</v>
      </c>
      <c r="F2488" s="6">
        <v>46136.669444444444</v>
      </c>
      <c r="G2488" s="5" t="s">
        <v>7456</v>
      </c>
      <c r="H2488" s="5" t="s">
        <v>13674</v>
      </c>
      <c r="I2488" s="5" t="s">
        <v>1564</v>
      </c>
      <c r="J2488" s="8">
        <v>181.25</v>
      </c>
      <c r="K2488" s="5" t="s">
        <v>4</v>
      </c>
      <c r="L2488">
        <f t="shared" si="38"/>
        <v>4</v>
      </c>
    </row>
    <row r="2489" spans="1:12" x14ac:dyDescent="0.25">
      <c r="A2489" s="5">
        <v>48104</v>
      </c>
      <c r="B2489" t="s">
        <v>13675</v>
      </c>
      <c r="C2489" s="5" t="s">
        <v>13676</v>
      </c>
      <c r="D2489" t="s">
        <v>13677</v>
      </c>
      <c r="E2489" s="5" t="s">
        <v>6609</v>
      </c>
      <c r="F2489" s="6">
        <v>46136.666666666664</v>
      </c>
      <c r="G2489" s="5" t="s">
        <v>7456</v>
      </c>
      <c r="H2489" s="5" t="s">
        <v>13678</v>
      </c>
      <c r="I2489" s="5" t="s">
        <v>1621</v>
      </c>
      <c r="J2489" s="8">
        <v>56.16</v>
      </c>
      <c r="K2489" s="5" t="s">
        <v>4</v>
      </c>
      <c r="L2489">
        <f t="shared" si="38"/>
        <v>4</v>
      </c>
    </row>
    <row r="2490" spans="1:12" x14ac:dyDescent="0.25">
      <c r="A2490" s="5">
        <v>48105</v>
      </c>
      <c r="B2490" t="s">
        <v>13679</v>
      </c>
      <c r="C2490" s="5" t="s">
        <v>13680</v>
      </c>
      <c r="D2490" t="s">
        <v>13681</v>
      </c>
      <c r="E2490" s="5" t="s">
        <v>7406</v>
      </c>
      <c r="F2490" s="6">
        <v>46136.678472222222</v>
      </c>
      <c r="G2490" s="5" t="s">
        <v>7456</v>
      </c>
      <c r="H2490" s="5" t="s">
        <v>13682</v>
      </c>
      <c r="I2490" s="5" t="s">
        <v>1621</v>
      </c>
      <c r="J2490" s="8">
        <v>3.3</v>
      </c>
      <c r="K2490" s="5" t="s">
        <v>4</v>
      </c>
      <c r="L2490">
        <f t="shared" si="38"/>
        <v>4</v>
      </c>
    </row>
    <row r="2491" spans="1:12" x14ac:dyDescent="0.25">
      <c r="A2491" s="5">
        <v>48106</v>
      </c>
      <c r="B2491" t="s">
        <v>13683</v>
      </c>
      <c r="C2491" s="5" t="s">
        <v>13684</v>
      </c>
      <c r="D2491" t="s">
        <v>7644</v>
      </c>
      <c r="E2491" s="5" t="s">
        <v>4069</v>
      </c>
      <c r="F2491" s="6">
        <v>46136.682638888888</v>
      </c>
      <c r="G2491" s="5" t="s">
        <v>7456</v>
      </c>
      <c r="H2491" s="5" t="s">
        <v>13685</v>
      </c>
      <c r="I2491" s="5" t="s">
        <v>1621</v>
      </c>
      <c r="J2491" s="8">
        <v>245.41</v>
      </c>
      <c r="K2491" s="5" t="s">
        <v>4</v>
      </c>
      <c r="L2491">
        <f t="shared" si="38"/>
        <v>4</v>
      </c>
    </row>
    <row r="2492" spans="1:12" x14ac:dyDescent="0.25">
      <c r="A2492" s="5">
        <v>48107</v>
      </c>
      <c r="B2492" t="s">
        <v>13686</v>
      </c>
      <c r="C2492" s="5" t="s">
        <v>1160</v>
      </c>
      <c r="D2492" t="s">
        <v>13687</v>
      </c>
      <c r="E2492" s="5" t="s">
        <v>1663</v>
      </c>
      <c r="F2492" s="6">
        <v>46136.702777777777</v>
      </c>
      <c r="G2492" s="5" t="s">
        <v>7456</v>
      </c>
      <c r="H2492" s="5" t="s">
        <v>13688</v>
      </c>
      <c r="I2492" s="5" t="s">
        <v>1564</v>
      </c>
      <c r="J2492" s="8">
        <v>400</v>
      </c>
      <c r="K2492" s="5" t="s">
        <v>4</v>
      </c>
      <c r="L2492">
        <f t="shared" si="38"/>
        <v>4</v>
      </c>
    </row>
    <row r="2493" spans="1:12" x14ac:dyDescent="0.25">
      <c r="A2493" s="5">
        <v>48108</v>
      </c>
      <c r="B2493" t="s">
        <v>13689</v>
      </c>
      <c r="C2493" s="5" t="s">
        <v>13690</v>
      </c>
      <c r="D2493" t="s">
        <v>13691</v>
      </c>
      <c r="E2493" s="5" t="s">
        <v>2118</v>
      </c>
      <c r="F2493" s="6">
        <v>46139.34097222222</v>
      </c>
      <c r="G2493" s="5" t="s">
        <v>7456</v>
      </c>
      <c r="H2493" s="5" t="s">
        <v>13692</v>
      </c>
      <c r="I2493" s="5" t="s">
        <v>1564</v>
      </c>
      <c r="J2493" s="8">
        <v>336.99</v>
      </c>
      <c r="K2493" s="5" t="s">
        <v>4</v>
      </c>
      <c r="L2493">
        <f t="shared" si="38"/>
        <v>4</v>
      </c>
    </row>
    <row r="2494" spans="1:12" x14ac:dyDescent="0.25">
      <c r="A2494" s="5">
        <v>48110</v>
      </c>
      <c r="B2494" t="s">
        <v>13693</v>
      </c>
      <c r="C2494" s="5" t="s">
        <v>11974</v>
      </c>
      <c r="D2494" t="s">
        <v>13694</v>
      </c>
      <c r="E2494" s="5" t="s">
        <v>3035</v>
      </c>
      <c r="F2494" s="6">
        <v>46139.418055555558</v>
      </c>
      <c r="G2494" s="5" t="s">
        <v>7456</v>
      </c>
      <c r="H2494" s="5" t="s">
        <v>13695</v>
      </c>
      <c r="I2494" s="5" t="s">
        <v>1564</v>
      </c>
      <c r="J2494" s="8">
        <v>155</v>
      </c>
      <c r="K2494" s="5" t="s">
        <v>4</v>
      </c>
      <c r="L2494">
        <f t="shared" si="38"/>
        <v>4</v>
      </c>
    </row>
    <row r="2495" spans="1:12" x14ac:dyDescent="0.25">
      <c r="A2495" s="5">
        <v>48112</v>
      </c>
      <c r="B2495" t="s">
        <v>13696</v>
      </c>
      <c r="C2495" s="5" t="s">
        <v>13697</v>
      </c>
      <c r="D2495" t="s">
        <v>13698</v>
      </c>
      <c r="E2495" s="5" t="s">
        <v>1548</v>
      </c>
      <c r="F2495" s="6">
        <v>46139.469444444447</v>
      </c>
      <c r="G2495" s="5" t="s">
        <v>7456</v>
      </c>
      <c r="H2495" s="5" t="s">
        <v>13699</v>
      </c>
      <c r="I2495" s="5" t="s">
        <v>1535</v>
      </c>
      <c r="J2495" s="8">
        <v>1079</v>
      </c>
      <c r="K2495" s="5" t="s">
        <v>4</v>
      </c>
      <c r="L2495">
        <f t="shared" si="38"/>
        <v>4</v>
      </c>
    </row>
    <row r="2496" spans="1:12" x14ac:dyDescent="0.25">
      <c r="A2496" s="5">
        <v>48115</v>
      </c>
      <c r="B2496" t="s">
        <v>13700</v>
      </c>
      <c r="C2496" s="5" t="s">
        <v>13701</v>
      </c>
      <c r="D2496" t="s">
        <v>13702</v>
      </c>
      <c r="E2496" s="5" t="s">
        <v>13703</v>
      </c>
      <c r="F2496" s="6">
        <v>46139.503472222219</v>
      </c>
      <c r="G2496" s="5" t="s">
        <v>7672</v>
      </c>
      <c r="H2496" t="s">
        <v>7482</v>
      </c>
      <c r="I2496" s="5" t="s">
        <v>1564</v>
      </c>
      <c r="J2496" s="8">
        <v>900</v>
      </c>
      <c r="K2496" s="5" t="s">
        <v>4</v>
      </c>
      <c r="L2496">
        <f t="shared" si="38"/>
        <v>4</v>
      </c>
    </row>
    <row r="2497" spans="1:12" x14ac:dyDescent="0.25">
      <c r="A2497" s="5">
        <v>48116</v>
      </c>
      <c r="B2497" t="s">
        <v>13704</v>
      </c>
      <c r="C2497" s="5" t="s">
        <v>13705</v>
      </c>
      <c r="D2497" t="s">
        <v>13706</v>
      </c>
      <c r="E2497" s="5" t="s">
        <v>2361</v>
      </c>
      <c r="F2497" s="6">
        <v>46139.522916666669</v>
      </c>
      <c r="G2497" s="5" t="s">
        <v>7456</v>
      </c>
      <c r="H2497" s="5" t="s">
        <v>13707</v>
      </c>
      <c r="I2497" s="5" t="s">
        <v>1564</v>
      </c>
      <c r="J2497" s="8">
        <v>787.5</v>
      </c>
      <c r="K2497" s="5" t="s">
        <v>4</v>
      </c>
      <c r="L2497">
        <f t="shared" si="38"/>
        <v>4</v>
      </c>
    </row>
    <row r="2498" spans="1:12" x14ac:dyDescent="0.25">
      <c r="A2498" s="5">
        <v>48117</v>
      </c>
      <c r="B2498" t="s">
        <v>13708</v>
      </c>
      <c r="C2498" s="5" t="s">
        <v>13709</v>
      </c>
      <c r="D2498" t="s">
        <v>13710</v>
      </c>
      <c r="E2498" s="5" t="s">
        <v>1738</v>
      </c>
      <c r="F2498" s="6">
        <v>46139.539583333331</v>
      </c>
      <c r="G2498" s="5" t="s">
        <v>7456</v>
      </c>
      <c r="H2498" s="5" t="s">
        <v>13711</v>
      </c>
      <c r="I2498" s="5" t="s">
        <v>1564</v>
      </c>
      <c r="J2498" s="8">
        <v>224</v>
      </c>
      <c r="K2498" s="5" t="s">
        <v>4</v>
      </c>
      <c r="L2498">
        <f t="shared" si="38"/>
        <v>4</v>
      </c>
    </row>
    <row r="2499" spans="1:12" x14ac:dyDescent="0.25">
      <c r="A2499" s="5">
        <v>48118</v>
      </c>
      <c r="B2499" t="s">
        <v>12006</v>
      </c>
      <c r="C2499" s="5" t="s">
        <v>12007</v>
      </c>
      <c r="D2499" t="s">
        <v>12008</v>
      </c>
      <c r="E2499" s="5" t="s">
        <v>5976</v>
      </c>
      <c r="F2499" s="6">
        <v>46139.604166666664</v>
      </c>
      <c r="G2499" s="5" t="s">
        <v>7456</v>
      </c>
      <c r="H2499" s="5" t="s">
        <v>13712</v>
      </c>
      <c r="I2499" s="5" t="s">
        <v>1535</v>
      </c>
      <c r="J2499" s="8">
        <v>96</v>
      </c>
      <c r="K2499" s="5" t="s">
        <v>4</v>
      </c>
      <c r="L2499">
        <f t="shared" ref="L2499:L2562" si="39">MONTH(F2499)</f>
        <v>4</v>
      </c>
    </row>
    <row r="2500" spans="1:12" x14ac:dyDescent="0.25">
      <c r="A2500" s="5">
        <v>48119</v>
      </c>
      <c r="B2500" t="s">
        <v>10158</v>
      </c>
      <c r="C2500" s="5" t="s">
        <v>10159</v>
      </c>
      <c r="D2500" t="s">
        <v>10160</v>
      </c>
      <c r="E2500" s="5" t="s">
        <v>2875</v>
      </c>
      <c r="F2500" s="6">
        <v>46139.606944444444</v>
      </c>
      <c r="G2500" s="5" t="s">
        <v>7595</v>
      </c>
      <c r="H2500" t="s">
        <v>7482</v>
      </c>
      <c r="I2500" s="5" t="s">
        <v>1535</v>
      </c>
      <c r="J2500" s="8">
        <v>430.6</v>
      </c>
      <c r="K2500" s="5" t="s">
        <v>4</v>
      </c>
      <c r="L2500">
        <f t="shared" si="39"/>
        <v>4</v>
      </c>
    </row>
    <row r="2501" spans="1:12" x14ac:dyDescent="0.25">
      <c r="A2501" s="5">
        <v>48120</v>
      </c>
      <c r="B2501" t="s">
        <v>13713</v>
      </c>
      <c r="C2501" s="5" t="s">
        <v>13714</v>
      </c>
      <c r="D2501" t="s">
        <v>13715</v>
      </c>
      <c r="E2501" s="5" t="s">
        <v>1567</v>
      </c>
      <c r="F2501" s="6">
        <v>46139.613888888889</v>
      </c>
      <c r="G2501" s="5" t="s">
        <v>7456</v>
      </c>
      <c r="H2501" s="5" t="s">
        <v>13716</v>
      </c>
      <c r="I2501" s="5" t="s">
        <v>1564</v>
      </c>
      <c r="J2501" s="8">
        <v>198</v>
      </c>
      <c r="K2501" s="5" t="s">
        <v>4</v>
      </c>
      <c r="L2501">
        <f t="shared" si="39"/>
        <v>4</v>
      </c>
    </row>
    <row r="2502" spans="1:12" x14ac:dyDescent="0.25">
      <c r="A2502" s="5">
        <v>48122</v>
      </c>
      <c r="B2502" t="s">
        <v>13717</v>
      </c>
      <c r="C2502" s="5" t="s">
        <v>13718</v>
      </c>
      <c r="D2502" t="s">
        <v>13719</v>
      </c>
      <c r="E2502" s="5" t="s">
        <v>1567</v>
      </c>
      <c r="F2502" s="6">
        <v>46139.62777777778</v>
      </c>
      <c r="G2502" s="5" t="s">
        <v>7456</v>
      </c>
      <c r="H2502" s="5" t="s">
        <v>13720</v>
      </c>
      <c r="I2502" s="5" t="s">
        <v>1564</v>
      </c>
      <c r="J2502" s="8">
        <v>521.79999999999995</v>
      </c>
      <c r="K2502" s="5" t="s">
        <v>4</v>
      </c>
      <c r="L2502">
        <f t="shared" si="39"/>
        <v>4</v>
      </c>
    </row>
    <row r="2503" spans="1:12" x14ac:dyDescent="0.25">
      <c r="A2503" s="5">
        <v>48132</v>
      </c>
      <c r="B2503" t="s">
        <v>13721</v>
      </c>
      <c r="C2503" s="5" t="s">
        <v>13722</v>
      </c>
      <c r="D2503" t="s">
        <v>13723</v>
      </c>
      <c r="E2503" s="5" t="s">
        <v>1813</v>
      </c>
      <c r="F2503" s="6">
        <v>46139.667361111111</v>
      </c>
      <c r="G2503" s="5" t="s">
        <v>7595</v>
      </c>
      <c r="H2503" t="s">
        <v>7482</v>
      </c>
      <c r="I2503" s="5" t="s">
        <v>1535</v>
      </c>
      <c r="J2503" s="8">
        <v>1596</v>
      </c>
      <c r="K2503" s="5" t="s">
        <v>4</v>
      </c>
      <c r="L2503">
        <f t="shared" si="39"/>
        <v>4</v>
      </c>
    </row>
    <row r="2504" spans="1:12" x14ac:dyDescent="0.25">
      <c r="A2504" s="5">
        <v>48133</v>
      </c>
      <c r="B2504" t="s">
        <v>13724</v>
      </c>
      <c r="C2504" s="5" t="s">
        <v>611</v>
      </c>
      <c r="D2504" t="s">
        <v>13725</v>
      </c>
      <c r="E2504" s="5" t="s">
        <v>4366</v>
      </c>
      <c r="F2504" s="6">
        <v>46139.649305555555</v>
      </c>
      <c r="G2504" s="5" t="s">
        <v>7456</v>
      </c>
      <c r="H2504" s="5" t="s">
        <v>13726</v>
      </c>
      <c r="I2504" s="5" t="s">
        <v>1621</v>
      </c>
      <c r="J2504" s="8">
        <v>209.15</v>
      </c>
      <c r="K2504" s="5" t="s">
        <v>4</v>
      </c>
      <c r="L2504">
        <f t="shared" si="39"/>
        <v>4</v>
      </c>
    </row>
    <row r="2505" spans="1:12" x14ac:dyDescent="0.25">
      <c r="A2505" s="5">
        <v>48134</v>
      </c>
      <c r="B2505" t="s">
        <v>13727</v>
      </c>
      <c r="C2505" s="5" t="s">
        <v>54</v>
      </c>
      <c r="D2505" t="s">
        <v>13728</v>
      </c>
      <c r="E2505" s="5" t="s">
        <v>7268</v>
      </c>
      <c r="F2505" s="6">
        <v>46139.671527777777</v>
      </c>
      <c r="G2505" s="5" t="s">
        <v>7456</v>
      </c>
      <c r="H2505" s="5" t="s">
        <v>13729</v>
      </c>
      <c r="I2505" s="5" t="s">
        <v>1621</v>
      </c>
      <c r="J2505" s="8">
        <v>19.899999999999999</v>
      </c>
      <c r="K2505" s="5" t="s">
        <v>4</v>
      </c>
      <c r="L2505">
        <f t="shared" si="39"/>
        <v>4</v>
      </c>
    </row>
    <row r="2506" spans="1:12" x14ac:dyDescent="0.25">
      <c r="A2506" s="5">
        <v>48135</v>
      </c>
      <c r="B2506" t="s">
        <v>13730</v>
      </c>
      <c r="C2506" s="5" t="s">
        <v>13731</v>
      </c>
      <c r="D2506" t="s">
        <v>13732</v>
      </c>
      <c r="E2506" s="5" t="s">
        <v>1813</v>
      </c>
      <c r="F2506" s="6">
        <v>46139.680555555555</v>
      </c>
      <c r="G2506" s="5" t="s">
        <v>7456</v>
      </c>
      <c r="H2506" s="5" t="s">
        <v>13733</v>
      </c>
      <c r="I2506" s="5" t="s">
        <v>1535</v>
      </c>
      <c r="J2506" s="8">
        <v>636</v>
      </c>
      <c r="K2506" s="5" t="s">
        <v>4</v>
      </c>
      <c r="L2506">
        <f t="shared" si="39"/>
        <v>4</v>
      </c>
    </row>
    <row r="2507" spans="1:12" x14ac:dyDescent="0.25">
      <c r="A2507" s="5">
        <v>48136</v>
      </c>
      <c r="B2507" t="s">
        <v>13734</v>
      </c>
      <c r="C2507" s="5" t="s">
        <v>1100</v>
      </c>
      <c r="D2507" t="s">
        <v>13735</v>
      </c>
      <c r="E2507" s="5" t="s">
        <v>6381</v>
      </c>
      <c r="F2507" s="6">
        <v>46139.679861111108</v>
      </c>
      <c r="G2507" s="5" t="s">
        <v>7456</v>
      </c>
      <c r="H2507" s="5" t="s">
        <v>13736</v>
      </c>
      <c r="I2507" s="5" t="s">
        <v>1621</v>
      </c>
      <c r="J2507" s="8">
        <v>69.95</v>
      </c>
      <c r="K2507" s="5" t="s">
        <v>4</v>
      </c>
      <c r="L2507">
        <f t="shared" si="39"/>
        <v>4</v>
      </c>
    </row>
    <row r="2508" spans="1:12" x14ac:dyDescent="0.25">
      <c r="A2508" s="5">
        <v>48138</v>
      </c>
      <c r="B2508" t="s">
        <v>12591</v>
      </c>
      <c r="C2508" s="5" t="s">
        <v>12592</v>
      </c>
      <c r="D2508" t="s">
        <v>12593</v>
      </c>
      <c r="E2508" s="5" t="s">
        <v>6433</v>
      </c>
      <c r="F2508" s="6">
        <v>46139.683333333334</v>
      </c>
      <c r="G2508" s="5" t="s">
        <v>7456</v>
      </c>
      <c r="H2508" s="5" t="s">
        <v>13737</v>
      </c>
      <c r="I2508" s="5" t="s">
        <v>1621</v>
      </c>
      <c r="J2508" s="8">
        <v>66.02</v>
      </c>
      <c r="K2508" s="5" t="s">
        <v>4</v>
      </c>
      <c r="L2508">
        <f t="shared" si="39"/>
        <v>4</v>
      </c>
    </row>
    <row r="2509" spans="1:12" x14ac:dyDescent="0.25">
      <c r="A2509" s="5">
        <v>48140</v>
      </c>
      <c r="B2509" t="s">
        <v>8965</v>
      </c>
      <c r="C2509" s="5" t="s">
        <v>10280</v>
      </c>
      <c r="D2509" t="s">
        <v>8966</v>
      </c>
      <c r="E2509" s="5" t="s">
        <v>1532</v>
      </c>
      <c r="F2509" s="6">
        <v>46139.698611111111</v>
      </c>
      <c r="G2509" s="5" t="s">
        <v>7595</v>
      </c>
      <c r="H2509" t="s">
        <v>7482</v>
      </c>
      <c r="I2509" s="5" t="s">
        <v>1535</v>
      </c>
      <c r="J2509" s="8">
        <v>281.39999999999998</v>
      </c>
      <c r="K2509" s="5" t="s">
        <v>4</v>
      </c>
      <c r="L2509">
        <f t="shared" si="39"/>
        <v>4</v>
      </c>
    </row>
    <row r="2510" spans="1:12" x14ac:dyDescent="0.25">
      <c r="A2510" s="5">
        <v>48141</v>
      </c>
      <c r="B2510" t="s">
        <v>13738</v>
      </c>
      <c r="C2510" s="5" t="s">
        <v>199</v>
      </c>
      <c r="D2510" t="s">
        <v>13739</v>
      </c>
      <c r="E2510" s="5" t="s">
        <v>4906</v>
      </c>
      <c r="F2510" s="6">
        <v>46139.69027777778</v>
      </c>
      <c r="G2510" s="5" t="s">
        <v>7456</v>
      </c>
      <c r="H2510" s="5" t="s">
        <v>13740</v>
      </c>
      <c r="I2510" s="5" t="s">
        <v>1621</v>
      </c>
      <c r="J2510" s="8">
        <v>159.52000000000001</v>
      </c>
      <c r="K2510" s="5" t="s">
        <v>4</v>
      </c>
      <c r="L2510">
        <f t="shared" si="39"/>
        <v>4</v>
      </c>
    </row>
    <row r="2511" spans="1:12" x14ac:dyDescent="0.25">
      <c r="A2511" s="5">
        <v>48142</v>
      </c>
      <c r="B2511" t="s">
        <v>11171</v>
      </c>
      <c r="C2511" s="5" t="s">
        <v>11172</v>
      </c>
      <c r="D2511" t="s">
        <v>11173</v>
      </c>
      <c r="E2511" s="5" t="s">
        <v>1738</v>
      </c>
      <c r="F2511" s="6">
        <v>46139.706250000003</v>
      </c>
      <c r="G2511" s="5" t="s">
        <v>7672</v>
      </c>
      <c r="H2511" t="s">
        <v>7482</v>
      </c>
      <c r="I2511" s="5" t="s">
        <v>1564</v>
      </c>
      <c r="J2511" s="8">
        <v>1475.95</v>
      </c>
      <c r="K2511" s="5" t="s">
        <v>4</v>
      </c>
      <c r="L2511">
        <f t="shared" si="39"/>
        <v>4</v>
      </c>
    </row>
    <row r="2512" spans="1:12" x14ac:dyDescent="0.25">
      <c r="A2512" s="5">
        <v>48143</v>
      </c>
      <c r="B2512" t="s">
        <v>11321</v>
      </c>
      <c r="C2512" s="5" t="s">
        <v>11322</v>
      </c>
      <c r="D2512" t="s">
        <v>11323</v>
      </c>
      <c r="E2512" s="5" t="s">
        <v>4397</v>
      </c>
      <c r="F2512" s="6">
        <v>46139.712500000001</v>
      </c>
      <c r="G2512" s="5" t="s">
        <v>7456</v>
      </c>
      <c r="H2512" s="5" t="s">
        <v>13741</v>
      </c>
      <c r="I2512" s="5" t="s">
        <v>1621</v>
      </c>
      <c r="J2512" s="8">
        <v>200.52</v>
      </c>
      <c r="K2512" s="5" t="s">
        <v>4</v>
      </c>
      <c r="L2512">
        <f t="shared" si="39"/>
        <v>4</v>
      </c>
    </row>
    <row r="2513" spans="1:12" x14ac:dyDescent="0.25">
      <c r="A2513" s="5">
        <v>48144</v>
      </c>
      <c r="B2513" t="s">
        <v>11321</v>
      </c>
      <c r="C2513" s="5" t="s">
        <v>11322</v>
      </c>
      <c r="D2513" t="s">
        <v>11323</v>
      </c>
      <c r="E2513" s="5" t="s">
        <v>4125</v>
      </c>
      <c r="F2513" s="6">
        <v>46139.720833333333</v>
      </c>
      <c r="G2513" s="5" t="s">
        <v>7456</v>
      </c>
      <c r="H2513" s="5" t="s">
        <v>13742</v>
      </c>
      <c r="I2513" s="5" t="s">
        <v>1621</v>
      </c>
      <c r="J2513" s="8">
        <v>239.52</v>
      </c>
      <c r="K2513" s="5" t="s">
        <v>4</v>
      </c>
      <c r="L2513">
        <f t="shared" si="39"/>
        <v>4</v>
      </c>
    </row>
    <row r="2514" spans="1:12" x14ac:dyDescent="0.25">
      <c r="A2514" s="5">
        <v>48145</v>
      </c>
      <c r="B2514" t="s">
        <v>13743</v>
      </c>
      <c r="C2514" s="5" t="s">
        <v>13247</v>
      </c>
      <c r="D2514" t="s">
        <v>13744</v>
      </c>
      <c r="E2514" s="5" t="s">
        <v>5454</v>
      </c>
      <c r="F2514" s="6">
        <v>46139.724999999999</v>
      </c>
      <c r="G2514" s="5" t="s">
        <v>7456</v>
      </c>
      <c r="H2514" s="5" t="s">
        <v>13745</v>
      </c>
      <c r="I2514" s="5" t="s">
        <v>1621</v>
      </c>
      <c r="J2514" s="8">
        <v>126.8</v>
      </c>
      <c r="K2514" s="5" t="s">
        <v>4</v>
      </c>
      <c r="L2514">
        <f t="shared" si="39"/>
        <v>4</v>
      </c>
    </row>
    <row r="2515" spans="1:12" x14ac:dyDescent="0.25">
      <c r="A2515" s="5">
        <v>48146</v>
      </c>
      <c r="B2515" t="s">
        <v>13746</v>
      </c>
      <c r="C2515" s="5" t="s">
        <v>13747</v>
      </c>
      <c r="D2515" t="s">
        <v>13748</v>
      </c>
      <c r="E2515" s="5" t="s">
        <v>1770</v>
      </c>
      <c r="F2515" s="6">
        <v>46139.729861111111</v>
      </c>
      <c r="G2515" s="5" t="s">
        <v>7672</v>
      </c>
      <c r="H2515" t="s">
        <v>7482</v>
      </c>
      <c r="I2515" s="5" t="s">
        <v>1564</v>
      </c>
      <c r="J2515" s="8">
        <v>453.75</v>
      </c>
      <c r="K2515" s="5" t="s">
        <v>4</v>
      </c>
      <c r="L2515">
        <f t="shared" si="39"/>
        <v>4</v>
      </c>
    </row>
    <row r="2516" spans="1:12" x14ac:dyDescent="0.25">
      <c r="A2516" s="5">
        <v>48147</v>
      </c>
      <c r="B2516" t="s">
        <v>13749</v>
      </c>
      <c r="C2516" s="5" t="s">
        <v>194</v>
      </c>
      <c r="D2516" t="s">
        <v>13750</v>
      </c>
      <c r="E2516" s="5" t="s">
        <v>5119</v>
      </c>
      <c r="F2516" s="6">
        <v>46139.729861111111</v>
      </c>
      <c r="G2516" s="5" t="s">
        <v>7456</v>
      </c>
      <c r="H2516" s="5" t="s">
        <v>13751</v>
      </c>
      <c r="I2516" s="5" t="s">
        <v>1621</v>
      </c>
      <c r="J2516" s="8">
        <v>145.1</v>
      </c>
      <c r="K2516" s="5" t="s">
        <v>4</v>
      </c>
      <c r="L2516">
        <f t="shared" si="39"/>
        <v>4</v>
      </c>
    </row>
    <row r="2517" spans="1:12" x14ac:dyDescent="0.25">
      <c r="A2517" s="5">
        <v>48148</v>
      </c>
      <c r="B2517" t="s">
        <v>13752</v>
      </c>
      <c r="C2517" s="5" t="s">
        <v>426</v>
      </c>
      <c r="D2517" t="s">
        <v>13753</v>
      </c>
      <c r="E2517" s="5" t="s">
        <v>6940</v>
      </c>
      <c r="F2517" s="6">
        <v>46139.734722222223</v>
      </c>
      <c r="G2517" s="5" t="s">
        <v>7456</v>
      </c>
      <c r="H2517" s="5" t="s">
        <v>13754</v>
      </c>
      <c r="I2517" s="5" t="s">
        <v>1621</v>
      </c>
      <c r="J2517" s="8">
        <v>38.479999999999997</v>
      </c>
      <c r="K2517" s="5" t="s">
        <v>4</v>
      </c>
      <c r="L2517">
        <f t="shared" si="39"/>
        <v>4</v>
      </c>
    </row>
    <row r="2518" spans="1:12" x14ac:dyDescent="0.25">
      <c r="A2518" s="5">
        <v>48157</v>
      </c>
      <c r="B2518" t="s">
        <v>13755</v>
      </c>
      <c r="C2518" s="5" t="s">
        <v>13756</v>
      </c>
      <c r="D2518" t="s">
        <v>13757</v>
      </c>
      <c r="E2518" s="5" t="s">
        <v>1770</v>
      </c>
      <c r="F2518" s="6">
        <v>46140.327777777777</v>
      </c>
      <c r="G2518" s="5" t="s">
        <v>7672</v>
      </c>
      <c r="H2518" t="s">
        <v>8626</v>
      </c>
      <c r="I2518" s="5" t="s">
        <v>1564</v>
      </c>
      <c r="J2518" s="8">
        <v>205</v>
      </c>
      <c r="K2518" s="5" t="s">
        <v>4</v>
      </c>
      <c r="L2518">
        <f t="shared" si="39"/>
        <v>4</v>
      </c>
    </row>
    <row r="2519" spans="1:12" x14ac:dyDescent="0.25">
      <c r="A2519" s="5">
        <v>48161</v>
      </c>
      <c r="B2519" t="s">
        <v>13758</v>
      </c>
      <c r="C2519" s="5" t="s">
        <v>13759</v>
      </c>
      <c r="D2519" t="s">
        <v>13760</v>
      </c>
      <c r="E2519" s="5" t="s">
        <v>1738</v>
      </c>
      <c r="F2519" s="6">
        <v>46140.425000000003</v>
      </c>
      <c r="G2519" s="5" t="s">
        <v>7456</v>
      </c>
      <c r="H2519" s="5" t="s">
        <v>13761</v>
      </c>
      <c r="I2519" s="5" t="s">
        <v>1564</v>
      </c>
      <c r="J2519" s="8">
        <v>228</v>
      </c>
      <c r="K2519" s="5" t="s">
        <v>4</v>
      </c>
      <c r="L2519">
        <f t="shared" si="39"/>
        <v>4</v>
      </c>
    </row>
    <row r="2520" spans="1:12" x14ac:dyDescent="0.25">
      <c r="A2520" s="5">
        <v>48164</v>
      </c>
      <c r="B2520" t="s">
        <v>13417</v>
      </c>
      <c r="C2520" s="5" t="s">
        <v>13418</v>
      </c>
      <c r="D2520" t="s">
        <v>10553</v>
      </c>
      <c r="E2520" s="5" t="s">
        <v>5298</v>
      </c>
      <c r="F2520" s="6">
        <v>46140.481944444444</v>
      </c>
      <c r="G2520" s="5" t="s">
        <v>7456</v>
      </c>
      <c r="H2520" t="s">
        <v>8626</v>
      </c>
      <c r="I2520" s="5" t="s">
        <v>1564</v>
      </c>
      <c r="J2520" s="8">
        <v>495</v>
      </c>
      <c r="K2520" s="5" t="s">
        <v>4</v>
      </c>
      <c r="L2520">
        <f t="shared" si="39"/>
        <v>4</v>
      </c>
    </row>
    <row r="2521" spans="1:12" x14ac:dyDescent="0.25">
      <c r="A2521" s="5">
        <v>48165</v>
      </c>
      <c r="B2521" t="s">
        <v>13762</v>
      </c>
      <c r="C2521" s="5" t="s">
        <v>13763</v>
      </c>
      <c r="D2521" t="s">
        <v>13764</v>
      </c>
      <c r="E2521" s="5" t="s">
        <v>4163</v>
      </c>
      <c r="F2521" s="6">
        <v>46140.48541666667</v>
      </c>
      <c r="G2521" s="5" t="s">
        <v>7456</v>
      </c>
      <c r="H2521" s="5" t="s">
        <v>13765</v>
      </c>
      <c r="I2521" s="5" t="s">
        <v>1535</v>
      </c>
      <c r="J2521" s="8">
        <v>234</v>
      </c>
      <c r="K2521" s="5" t="s">
        <v>4</v>
      </c>
      <c r="L2521">
        <f t="shared" si="39"/>
        <v>4</v>
      </c>
    </row>
    <row r="2522" spans="1:12" x14ac:dyDescent="0.25">
      <c r="A2522" s="5">
        <v>48166</v>
      </c>
      <c r="B2522" t="s">
        <v>13766</v>
      </c>
      <c r="C2522" s="5" t="s">
        <v>13767</v>
      </c>
      <c r="D2522" t="s">
        <v>13768</v>
      </c>
      <c r="E2522" s="5" t="s">
        <v>2396</v>
      </c>
      <c r="F2522" s="6">
        <v>46140.515277777777</v>
      </c>
      <c r="G2522" s="5" t="s">
        <v>7456</v>
      </c>
      <c r="H2522" s="5" t="s">
        <v>13769</v>
      </c>
      <c r="I2522" s="5" t="s">
        <v>1564</v>
      </c>
      <c r="J2522" s="8">
        <v>743</v>
      </c>
      <c r="K2522" s="5" t="s">
        <v>4</v>
      </c>
      <c r="L2522">
        <f t="shared" si="39"/>
        <v>4</v>
      </c>
    </row>
    <row r="2523" spans="1:12" x14ac:dyDescent="0.25">
      <c r="A2523" s="5">
        <v>48167</v>
      </c>
      <c r="B2523" t="s">
        <v>12322</v>
      </c>
      <c r="C2523" s="5" t="s">
        <v>7516</v>
      </c>
      <c r="D2523" t="s">
        <v>12323</v>
      </c>
      <c r="E2523" s="5" t="s">
        <v>1532</v>
      </c>
      <c r="F2523" s="6">
        <v>46140.560416666667</v>
      </c>
      <c r="G2523" s="5" t="s">
        <v>7456</v>
      </c>
      <c r="H2523" s="5" t="s">
        <v>13770</v>
      </c>
      <c r="I2523" s="5" t="s">
        <v>1535</v>
      </c>
      <c r="J2523" s="8">
        <v>244.65</v>
      </c>
      <c r="K2523" s="5" t="s">
        <v>4</v>
      </c>
      <c r="L2523">
        <f t="shared" si="39"/>
        <v>4</v>
      </c>
    </row>
    <row r="2524" spans="1:12" x14ac:dyDescent="0.25">
      <c r="A2524" s="5">
        <v>48168</v>
      </c>
      <c r="B2524" t="s">
        <v>13771</v>
      </c>
      <c r="C2524" s="5" t="s">
        <v>13772</v>
      </c>
      <c r="D2524" t="s">
        <v>13773</v>
      </c>
      <c r="E2524" s="5" t="s">
        <v>2651</v>
      </c>
      <c r="F2524" s="6">
        <v>46140.597222222219</v>
      </c>
      <c r="G2524" s="5" t="s">
        <v>7456</v>
      </c>
      <c r="H2524" s="5" t="s">
        <v>13774</v>
      </c>
      <c r="I2524" s="5" t="s">
        <v>1564</v>
      </c>
      <c r="J2524" s="8">
        <v>585</v>
      </c>
      <c r="K2524" s="5" t="s">
        <v>4</v>
      </c>
      <c r="L2524">
        <f t="shared" si="39"/>
        <v>4</v>
      </c>
    </row>
    <row r="2525" spans="1:12" x14ac:dyDescent="0.25">
      <c r="A2525" s="5">
        <v>48169</v>
      </c>
      <c r="B2525" t="s">
        <v>13775</v>
      </c>
      <c r="C2525" s="5" t="s">
        <v>13776</v>
      </c>
      <c r="D2525" t="s">
        <v>13777</v>
      </c>
      <c r="E2525" s="5" t="s">
        <v>2118</v>
      </c>
      <c r="F2525" s="6">
        <v>46140.624305555553</v>
      </c>
      <c r="G2525" s="5" t="s">
        <v>7672</v>
      </c>
      <c r="H2525" t="s">
        <v>8626</v>
      </c>
      <c r="I2525" s="5" t="s">
        <v>1564</v>
      </c>
      <c r="J2525" s="8">
        <v>768.8</v>
      </c>
      <c r="K2525" s="5" t="s">
        <v>4</v>
      </c>
      <c r="L2525">
        <f t="shared" si="39"/>
        <v>4</v>
      </c>
    </row>
    <row r="2526" spans="1:12" x14ac:dyDescent="0.25">
      <c r="A2526" s="5">
        <v>48170</v>
      </c>
      <c r="B2526" t="s">
        <v>13778</v>
      </c>
      <c r="C2526" s="5" t="s">
        <v>1164</v>
      </c>
      <c r="D2526" t="s">
        <v>13779</v>
      </c>
      <c r="E2526" s="5" t="s">
        <v>1604</v>
      </c>
      <c r="F2526" s="6">
        <v>46140.659722222219</v>
      </c>
      <c r="G2526" s="5" t="s">
        <v>7456</v>
      </c>
      <c r="H2526" s="5" t="s">
        <v>13780</v>
      </c>
      <c r="I2526" s="5" t="s">
        <v>1564</v>
      </c>
      <c r="J2526" s="8">
        <v>675</v>
      </c>
      <c r="K2526" s="5" t="s">
        <v>4</v>
      </c>
      <c r="L2526">
        <f t="shared" si="39"/>
        <v>4</v>
      </c>
    </row>
    <row r="2527" spans="1:12" x14ac:dyDescent="0.25">
      <c r="A2527" s="5">
        <v>48171</v>
      </c>
      <c r="B2527" t="s">
        <v>10219</v>
      </c>
      <c r="C2527" s="5" t="s">
        <v>10220</v>
      </c>
      <c r="D2527" t="s">
        <v>10221</v>
      </c>
      <c r="E2527" s="5" t="s">
        <v>1954</v>
      </c>
      <c r="F2527" s="6">
        <v>46140.685416666667</v>
      </c>
      <c r="G2527" s="5" t="s">
        <v>7456</v>
      </c>
      <c r="H2527" s="5" t="s">
        <v>13781</v>
      </c>
      <c r="I2527" s="5" t="s">
        <v>1535</v>
      </c>
      <c r="J2527" s="8">
        <v>1415</v>
      </c>
      <c r="K2527" s="5" t="s">
        <v>4</v>
      </c>
      <c r="L2527">
        <f t="shared" si="39"/>
        <v>4</v>
      </c>
    </row>
    <row r="2528" spans="1:12" x14ac:dyDescent="0.25">
      <c r="A2528" s="5">
        <v>48172</v>
      </c>
      <c r="B2528" t="s">
        <v>13782</v>
      </c>
      <c r="C2528" s="5" t="s">
        <v>13783</v>
      </c>
      <c r="D2528" t="s">
        <v>13784</v>
      </c>
      <c r="E2528" s="5" t="s">
        <v>13785</v>
      </c>
      <c r="F2528" s="6">
        <v>46140.729861111111</v>
      </c>
      <c r="G2528" s="5" t="s">
        <v>7672</v>
      </c>
      <c r="H2528" t="s">
        <v>7482</v>
      </c>
      <c r="I2528" s="5" t="s">
        <v>1564</v>
      </c>
      <c r="J2528" s="8">
        <v>1790</v>
      </c>
      <c r="K2528" s="5" t="s">
        <v>4</v>
      </c>
      <c r="L2528">
        <f t="shared" si="39"/>
        <v>4</v>
      </c>
    </row>
    <row r="2529" spans="1:12" x14ac:dyDescent="0.25">
      <c r="A2529" s="5">
        <v>48173</v>
      </c>
      <c r="B2529" t="s">
        <v>11297</v>
      </c>
      <c r="C2529" s="5" t="s">
        <v>11298</v>
      </c>
      <c r="D2529" t="s">
        <v>11299</v>
      </c>
      <c r="E2529" s="5" t="s">
        <v>13786</v>
      </c>
      <c r="F2529" s="6">
        <v>46140.734027777777</v>
      </c>
      <c r="G2529" s="5" t="s">
        <v>7456</v>
      </c>
      <c r="H2529" t="s">
        <v>7482</v>
      </c>
      <c r="I2529" s="5" t="s">
        <v>1564</v>
      </c>
      <c r="J2529" s="8">
        <v>135</v>
      </c>
      <c r="K2529" s="5" t="s">
        <v>4</v>
      </c>
      <c r="L2529">
        <f t="shared" si="39"/>
        <v>4</v>
      </c>
    </row>
    <row r="2530" spans="1:12" x14ac:dyDescent="0.25">
      <c r="A2530" s="5">
        <v>48174</v>
      </c>
      <c r="B2530" t="s">
        <v>8965</v>
      </c>
      <c r="C2530" s="5" t="s">
        <v>9291</v>
      </c>
      <c r="D2530" t="s">
        <v>8966</v>
      </c>
      <c r="E2530" s="5" t="s">
        <v>2784</v>
      </c>
      <c r="F2530" s="6">
        <v>46141.355555555558</v>
      </c>
      <c r="G2530" s="5" t="s">
        <v>7456</v>
      </c>
      <c r="H2530" s="5" t="s">
        <v>13787</v>
      </c>
      <c r="I2530" s="5" t="s">
        <v>1535</v>
      </c>
      <c r="J2530" s="8">
        <v>528</v>
      </c>
      <c r="K2530" s="5" t="s">
        <v>4</v>
      </c>
      <c r="L2530">
        <f t="shared" si="39"/>
        <v>4</v>
      </c>
    </row>
    <row r="2531" spans="1:12" x14ac:dyDescent="0.25">
      <c r="A2531" s="5">
        <v>48175</v>
      </c>
      <c r="B2531" t="s">
        <v>13788</v>
      </c>
      <c r="C2531" s="5" t="s">
        <v>13789</v>
      </c>
      <c r="D2531" t="s">
        <v>13790</v>
      </c>
      <c r="E2531" s="5" t="s">
        <v>1532</v>
      </c>
      <c r="F2531" s="6">
        <v>46141.37222222222</v>
      </c>
      <c r="G2531" s="5" t="s">
        <v>7456</v>
      </c>
      <c r="H2531" s="5" t="s">
        <v>13791</v>
      </c>
      <c r="I2531" s="5" t="s">
        <v>1535</v>
      </c>
      <c r="J2531" s="8">
        <v>145.80000000000001</v>
      </c>
      <c r="K2531" s="5" t="s">
        <v>4</v>
      </c>
      <c r="L2531">
        <f t="shared" si="39"/>
        <v>4</v>
      </c>
    </row>
    <row r="2532" spans="1:12" x14ac:dyDescent="0.25">
      <c r="A2532" s="5">
        <v>48179</v>
      </c>
      <c r="B2532" t="s">
        <v>13792</v>
      </c>
      <c r="C2532" s="5" t="s">
        <v>13793</v>
      </c>
      <c r="D2532" t="s">
        <v>13794</v>
      </c>
      <c r="E2532" s="5" t="s">
        <v>2300</v>
      </c>
      <c r="F2532" s="6">
        <v>46141.447222222225</v>
      </c>
      <c r="G2532" s="5" t="s">
        <v>7456</v>
      </c>
      <c r="H2532" s="5" t="s">
        <v>13795</v>
      </c>
      <c r="I2532" s="5" t="s">
        <v>1564</v>
      </c>
      <c r="J2532" s="8">
        <v>832.6</v>
      </c>
      <c r="K2532" s="5" t="s">
        <v>4</v>
      </c>
      <c r="L2532">
        <f t="shared" si="39"/>
        <v>4</v>
      </c>
    </row>
    <row r="2533" spans="1:12" x14ac:dyDescent="0.25">
      <c r="A2533" s="5">
        <v>48180</v>
      </c>
      <c r="B2533" t="s">
        <v>13796</v>
      </c>
      <c r="C2533" s="5" t="s">
        <v>13797</v>
      </c>
      <c r="D2533" t="s">
        <v>13798</v>
      </c>
      <c r="E2533" s="5" t="s">
        <v>2740</v>
      </c>
      <c r="F2533" s="6">
        <v>46141.45208333333</v>
      </c>
      <c r="G2533" s="5" t="s">
        <v>7456</v>
      </c>
      <c r="H2533" s="5" t="s">
        <v>13799</v>
      </c>
      <c r="I2533" s="5" t="s">
        <v>1564</v>
      </c>
      <c r="J2533" s="8">
        <v>210</v>
      </c>
      <c r="K2533" s="5" t="s">
        <v>4</v>
      </c>
      <c r="L2533">
        <f t="shared" si="39"/>
        <v>4</v>
      </c>
    </row>
    <row r="2534" spans="1:12" x14ac:dyDescent="0.25">
      <c r="A2534" s="5">
        <v>48181</v>
      </c>
      <c r="B2534" t="s">
        <v>13800</v>
      </c>
      <c r="C2534" s="5" t="s">
        <v>13801</v>
      </c>
      <c r="D2534" t="s">
        <v>13802</v>
      </c>
      <c r="E2534" s="5" t="s">
        <v>13803</v>
      </c>
      <c r="F2534" s="6">
        <v>46141.456944444442</v>
      </c>
      <c r="G2534" s="5" t="s">
        <v>7672</v>
      </c>
      <c r="H2534" t="s">
        <v>7482</v>
      </c>
      <c r="I2534" s="5" t="s">
        <v>1564</v>
      </c>
      <c r="J2534" s="8">
        <v>480</v>
      </c>
      <c r="K2534" s="5" t="s">
        <v>4</v>
      </c>
      <c r="L2534">
        <f t="shared" si="39"/>
        <v>4</v>
      </c>
    </row>
    <row r="2535" spans="1:12" x14ac:dyDescent="0.25">
      <c r="A2535" s="5">
        <v>48183</v>
      </c>
      <c r="B2535" t="s">
        <v>13804</v>
      </c>
      <c r="C2535" s="5" t="s">
        <v>13805</v>
      </c>
      <c r="D2535" t="s">
        <v>13806</v>
      </c>
      <c r="E2535" s="5" t="s">
        <v>13807</v>
      </c>
      <c r="F2535" s="6">
        <v>46141.482638888891</v>
      </c>
      <c r="G2535" s="5" t="s">
        <v>7456</v>
      </c>
      <c r="H2535" s="5" t="s">
        <v>7522</v>
      </c>
      <c r="I2535" s="5" t="s">
        <v>1564</v>
      </c>
      <c r="J2535" s="8">
        <v>1648.9</v>
      </c>
      <c r="K2535" s="5" t="s">
        <v>4</v>
      </c>
      <c r="L2535">
        <f t="shared" si="39"/>
        <v>4</v>
      </c>
    </row>
    <row r="2536" spans="1:12" x14ac:dyDescent="0.25">
      <c r="A2536" s="5">
        <v>48185</v>
      </c>
      <c r="B2536" t="s">
        <v>13808</v>
      </c>
      <c r="C2536" s="5" t="s">
        <v>13809</v>
      </c>
      <c r="D2536" t="s">
        <v>13810</v>
      </c>
      <c r="E2536" s="5" t="s">
        <v>3878</v>
      </c>
      <c r="F2536" s="6">
        <v>46141.527777777781</v>
      </c>
      <c r="G2536" s="5" t="s">
        <v>7456</v>
      </c>
      <c r="H2536" s="5" t="s">
        <v>13811</v>
      </c>
      <c r="I2536" s="5" t="s">
        <v>1564</v>
      </c>
      <c r="J2536" s="8">
        <v>275</v>
      </c>
      <c r="K2536" s="5" t="s">
        <v>4</v>
      </c>
      <c r="L2536">
        <f t="shared" si="39"/>
        <v>4</v>
      </c>
    </row>
    <row r="2537" spans="1:12" x14ac:dyDescent="0.25">
      <c r="A2537" s="5">
        <v>48186</v>
      </c>
      <c r="B2537" t="s">
        <v>13812</v>
      </c>
      <c r="C2537" s="5" t="s">
        <v>8029</v>
      </c>
      <c r="D2537" t="s">
        <v>13813</v>
      </c>
      <c r="E2537" s="5" t="s">
        <v>3035</v>
      </c>
      <c r="F2537" s="6">
        <v>46141.533333333333</v>
      </c>
      <c r="G2537" s="5" t="s">
        <v>7456</v>
      </c>
      <c r="H2537" s="5" t="s">
        <v>13814</v>
      </c>
      <c r="I2537" s="5" t="s">
        <v>1564</v>
      </c>
      <c r="J2537" s="8">
        <v>179.7</v>
      </c>
      <c r="K2537" s="5" t="s">
        <v>4</v>
      </c>
      <c r="L2537">
        <f t="shared" si="39"/>
        <v>4</v>
      </c>
    </row>
    <row r="2538" spans="1:12" x14ac:dyDescent="0.25">
      <c r="A2538" s="5">
        <v>48187</v>
      </c>
      <c r="B2538" t="s">
        <v>9939</v>
      </c>
      <c r="C2538" s="5" t="s">
        <v>9940</v>
      </c>
      <c r="D2538" t="s">
        <v>9941</v>
      </c>
      <c r="E2538" s="5" t="s">
        <v>13815</v>
      </c>
      <c r="F2538" s="6">
        <v>46141.634027777778</v>
      </c>
      <c r="G2538" s="5" t="s">
        <v>13816</v>
      </c>
      <c r="H2538" t="s">
        <v>7482</v>
      </c>
      <c r="I2538" s="5" t="s">
        <v>1564</v>
      </c>
      <c r="J2538" s="8">
        <v>185</v>
      </c>
      <c r="K2538" s="5" t="s">
        <v>4</v>
      </c>
      <c r="L2538">
        <f t="shared" si="39"/>
        <v>4</v>
      </c>
    </row>
    <row r="2539" spans="1:12" x14ac:dyDescent="0.25">
      <c r="A2539" s="5">
        <v>48190</v>
      </c>
      <c r="B2539" t="s">
        <v>10018</v>
      </c>
      <c r="C2539" s="5" t="s">
        <v>10019</v>
      </c>
      <c r="D2539" t="s">
        <v>10020</v>
      </c>
      <c r="E2539" s="5" t="s">
        <v>6427</v>
      </c>
      <c r="F2539" s="6">
        <v>46141.654861111114</v>
      </c>
      <c r="G2539" s="5" t="s">
        <v>7456</v>
      </c>
      <c r="H2539" s="5" t="s">
        <v>13817</v>
      </c>
      <c r="I2539" s="5" t="s">
        <v>1621</v>
      </c>
      <c r="J2539" s="8">
        <v>66.41</v>
      </c>
      <c r="K2539" s="5" t="s">
        <v>4</v>
      </c>
      <c r="L2539">
        <f t="shared" si="39"/>
        <v>4</v>
      </c>
    </row>
    <row r="2540" spans="1:12" x14ac:dyDescent="0.25">
      <c r="A2540" s="5">
        <v>48191</v>
      </c>
      <c r="B2540" t="s">
        <v>12006</v>
      </c>
      <c r="C2540" s="5" t="s">
        <v>12007</v>
      </c>
      <c r="D2540" t="s">
        <v>12008</v>
      </c>
      <c r="E2540" s="5" t="s">
        <v>1933</v>
      </c>
      <c r="F2540" s="6">
        <v>46141.681944444441</v>
      </c>
      <c r="G2540" s="5" t="s">
        <v>7456</v>
      </c>
      <c r="H2540" s="5" t="s">
        <v>13818</v>
      </c>
      <c r="I2540" s="5" t="s">
        <v>1535</v>
      </c>
      <c r="J2540" s="8">
        <v>1484.75</v>
      </c>
      <c r="K2540" s="5" t="s">
        <v>4</v>
      </c>
      <c r="L2540">
        <f t="shared" si="39"/>
        <v>4</v>
      </c>
    </row>
    <row r="2541" spans="1:12" x14ac:dyDescent="0.25">
      <c r="A2541" s="5">
        <v>48192</v>
      </c>
      <c r="B2541" t="s">
        <v>13819</v>
      </c>
      <c r="C2541" s="5" t="s">
        <v>1167</v>
      </c>
      <c r="D2541" t="s">
        <v>7644</v>
      </c>
      <c r="E2541" s="5" t="s">
        <v>5007</v>
      </c>
      <c r="F2541" s="6">
        <v>46141.661111111112</v>
      </c>
      <c r="G2541" s="5" t="s">
        <v>7456</v>
      </c>
      <c r="H2541" s="5" t="s">
        <v>13820</v>
      </c>
      <c r="I2541" s="5" t="s">
        <v>1621</v>
      </c>
      <c r="J2541" s="8">
        <v>152.62</v>
      </c>
      <c r="K2541" s="5" t="s">
        <v>4</v>
      </c>
      <c r="L2541">
        <f t="shared" si="39"/>
        <v>4</v>
      </c>
    </row>
    <row r="2542" spans="1:12" x14ac:dyDescent="0.25">
      <c r="A2542" s="5">
        <v>48194</v>
      </c>
      <c r="B2542" t="s">
        <v>13821</v>
      </c>
      <c r="C2542" s="5" t="s">
        <v>557</v>
      </c>
      <c r="D2542" t="s">
        <v>13822</v>
      </c>
      <c r="E2542" s="5" t="s">
        <v>6138</v>
      </c>
      <c r="F2542" s="6">
        <v>46141.688888888886</v>
      </c>
      <c r="G2542" s="5" t="s">
        <v>7456</v>
      </c>
      <c r="H2542" s="5" t="s">
        <v>13823</v>
      </c>
      <c r="I2542" s="5" t="s">
        <v>1621</v>
      </c>
      <c r="J2542" s="8">
        <v>85.25</v>
      </c>
      <c r="K2542" s="5" t="s">
        <v>4</v>
      </c>
      <c r="L2542">
        <f t="shared" si="39"/>
        <v>4</v>
      </c>
    </row>
    <row r="2543" spans="1:12" x14ac:dyDescent="0.25">
      <c r="A2543" s="5">
        <v>48195</v>
      </c>
      <c r="B2543" t="s">
        <v>13824</v>
      </c>
      <c r="C2543" s="5" t="s">
        <v>185</v>
      </c>
      <c r="D2543" t="s">
        <v>13825</v>
      </c>
      <c r="E2543" s="5" t="s">
        <v>6002</v>
      </c>
      <c r="F2543" s="6">
        <v>46141.695138888892</v>
      </c>
      <c r="G2543" s="5" t="s">
        <v>7456</v>
      </c>
      <c r="H2543" s="5" t="s">
        <v>13826</v>
      </c>
      <c r="I2543" s="5" t="s">
        <v>1621</v>
      </c>
      <c r="J2543" s="8">
        <v>94.56</v>
      </c>
      <c r="K2543" s="5" t="s">
        <v>4</v>
      </c>
      <c r="L2543">
        <f t="shared" si="39"/>
        <v>4</v>
      </c>
    </row>
    <row r="2544" spans="1:12" x14ac:dyDescent="0.25">
      <c r="A2544" s="5">
        <v>48206</v>
      </c>
      <c r="B2544" t="s">
        <v>13827</v>
      </c>
      <c r="C2544" s="5" t="s">
        <v>13828</v>
      </c>
      <c r="D2544" t="s">
        <v>13829</v>
      </c>
      <c r="E2544" s="5" t="s">
        <v>1738</v>
      </c>
      <c r="F2544" s="6">
        <v>46141.719444444447</v>
      </c>
      <c r="G2544" s="5" t="s">
        <v>7456</v>
      </c>
      <c r="H2544" s="5" t="s">
        <v>13830</v>
      </c>
      <c r="I2544" s="5" t="s">
        <v>1564</v>
      </c>
      <c r="J2544" s="8">
        <v>105</v>
      </c>
      <c r="K2544" s="5" t="s">
        <v>4</v>
      </c>
      <c r="L2544">
        <f t="shared" si="39"/>
        <v>4</v>
      </c>
    </row>
    <row r="2545" spans="1:12" x14ac:dyDescent="0.25">
      <c r="A2545" s="5">
        <v>48207</v>
      </c>
      <c r="B2545" t="s">
        <v>13831</v>
      </c>
      <c r="C2545" s="5" t="s">
        <v>13832</v>
      </c>
      <c r="D2545" t="s">
        <v>13833</v>
      </c>
      <c r="E2545" s="5" t="s">
        <v>2306</v>
      </c>
      <c r="F2545" s="6">
        <v>46142.40347222222</v>
      </c>
      <c r="G2545" s="5" t="s">
        <v>13816</v>
      </c>
      <c r="H2545" t="s">
        <v>7482</v>
      </c>
      <c r="I2545" s="5" t="s">
        <v>1564</v>
      </c>
      <c r="J2545" s="8">
        <v>4116.42</v>
      </c>
      <c r="K2545" s="5" t="s">
        <v>4</v>
      </c>
      <c r="L2545">
        <f t="shared" si="39"/>
        <v>4</v>
      </c>
    </row>
    <row r="2546" spans="1:12" x14ac:dyDescent="0.25">
      <c r="A2546" s="5">
        <v>48209</v>
      </c>
      <c r="B2546" t="s">
        <v>13834</v>
      </c>
      <c r="C2546" s="5" t="s">
        <v>13835</v>
      </c>
      <c r="D2546" t="s">
        <v>13836</v>
      </c>
      <c r="E2546" s="5" t="s">
        <v>1813</v>
      </c>
      <c r="F2546" s="6">
        <v>46142.420138888891</v>
      </c>
      <c r="G2546" s="5" t="s">
        <v>7456</v>
      </c>
      <c r="H2546" s="5" t="s">
        <v>13837</v>
      </c>
      <c r="I2546" s="5" t="s">
        <v>1535</v>
      </c>
      <c r="J2546" s="8">
        <v>735.6</v>
      </c>
      <c r="K2546" s="5" t="s">
        <v>4</v>
      </c>
      <c r="L2546">
        <f t="shared" si="39"/>
        <v>4</v>
      </c>
    </row>
    <row r="2547" spans="1:12" x14ac:dyDescent="0.25">
      <c r="A2547" s="5">
        <v>48211</v>
      </c>
      <c r="B2547" t="s">
        <v>8965</v>
      </c>
      <c r="C2547" s="5" t="s">
        <v>13838</v>
      </c>
      <c r="D2547" t="s">
        <v>8966</v>
      </c>
      <c r="E2547" s="5" t="s">
        <v>1532</v>
      </c>
      <c r="F2547" s="6">
        <v>46142.481249999997</v>
      </c>
      <c r="G2547" s="5" t="s">
        <v>7595</v>
      </c>
      <c r="H2547" t="s">
        <v>7482</v>
      </c>
      <c r="I2547" s="5" t="s">
        <v>1535</v>
      </c>
      <c r="J2547" s="8">
        <v>1690</v>
      </c>
      <c r="K2547" s="5" t="s">
        <v>4</v>
      </c>
      <c r="L2547">
        <f t="shared" si="39"/>
        <v>4</v>
      </c>
    </row>
    <row r="2548" spans="1:12" x14ac:dyDescent="0.25">
      <c r="A2548" s="5">
        <v>48212</v>
      </c>
      <c r="B2548" t="s">
        <v>12725</v>
      </c>
      <c r="C2548" s="5" t="s">
        <v>13839</v>
      </c>
      <c r="D2548" t="s">
        <v>12727</v>
      </c>
      <c r="E2548" s="5" t="s">
        <v>1770</v>
      </c>
      <c r="F2548" s="6">
        <v>46142.493750000001</v>
      </c>
      <c r="G2548" s="5" t="s">
        <v>7456</v>
      </c>
      <c r="H2548" s="5" t="s">
        <v>13840</v>
      </c>
      <c r="I2548" s="5" t="s">
        <v>1564</v>
      </c>
      <c r="J2548" s="8">
        <v>142.9</v>
      </c>
      <c r="K2548" s="5" t="s">
        <v>4</v>
      </c>
      <c r="L2548">
        <f t="shared" si="39"/>
        <v>4</v>
      </c>
    </row>
    <row r="2549" spans="1:12" x14ac:dyDescent="0.25">
      <c r="A2549" s="5">
        <v>48213</v>
      </c>
      <c r="B2549" t="s">
        <v>13841</v>
      </c>
      <c r="C2549" s="5" t="s">
        <v>13842</v>
      </c>
      <c r="D2549" t="s">
        <v>13843</v>
      </c>
      <c r="E2549" s="5" t="s">
        <v>5021</v>
      </c>
      <c r="F2549" s="6">
        <v>46142.536111111112</v>
      </c>
      <c r="G2549" s="5" t="s">
        <v>7456</v>
      </c>
      <c r="H2549" s="5" t="s">
        <v>13844</v>
      </c>
      <c r="I2549" s="5" t="s">
        <v>1564</v>
      </c>
      <c r="J2549" s="8">
        <v>152</v>
      </c>
      <c r="K2549" s="5" t="s">
        <v>4</v>
      </c>
      <c r="L2549">
        <f t="shared" si="39"/>
        <v>4</v>
      </c>
    </row>
    <row r="2550" spans="1:12" x14ac:dyDescent="0.25">
      <c r="A2550" s="5">
        <v>48214</v>
      </c>
      <c r="B2550" t="s">
        <v>13845</v>
      </c>
      <c r="C2550" s="5" t="s">
        <v>13846</v>
      </c>
      <c r="D2550" t="s">
        <v>13847</v>
      </c>
      <c r="E2550" s="5" t="s">
        <v>13848</v>
      </c>
      <c r="F2550" s="6">
        <v>46142.603472222225</v>
      </c>
      <c r="G2550" s="5" t="s">
        <v>13816</v>
      </c>
      <c r="H2550" t="s">
        <v>7482</v>
      </c>
      <c r="I2550" s="5" t="s">
        <v>1564</v>
      </c>
      <c r="J2550" s="8">
        <v>470.01</v>
      </c>
      <c r="K2550" s="5" t="s">
        <v>4</v>
      </c>
      <c r="L2550">
        <f t="shared" si="39"/>
        <v>4</v>
      </c>
    </row>
    <row r="2551" spans="1:12" x14ac:dyDescent="0.25">
      <c r="A2551" s="5">
        <v>48215</v>
      </c>
      <c r="B2551" t="s">
        <v>13849</v>
      </c>
      <c r="C2551" s="5" t="s">
        <v>13850</v>
      </c>
      <c r="D2551" t="s">
        <v>13851</v>
      </c>
      <c r="E2551" s="5" t="s">
        <v>1813</v>
      </c>
      <c r="F2551" s="6">
        <v>46142.605555555558</v>
      </c>
      <c r="G2551" s="5" t="s">
        <v>7595</v>
      </c>
      <c r="H2551" t="s">
        <v>7482</v>
      </c>
      <c r="I2551" s="5" t="s">
        <v>1535</v>
      </c>
      <c r="J2551" s="8">
        <v>3802.4</v>
      </c>
      <c r="K2551" s="5" t="s">
        <v>4</v>
      </c>
      <c r="L2551">
        <f t="shared" si="39"/>
        <v>4</v>
      </c>
    </row>
    <row r="2552" spans="1:12" x14ac:dyDescent="0.25">
      <c r="A2552" s="5">
        <v>48216</v>
      </c>
      <c r="B2552" t="s">
        <v>13852</v>
      </c>
      <c r="C2552" s="5" t="s">
        <v>13853</v>
      </c>
      <c r="D2552" t="s">
        <v>13854</v>
      </c>
      <c r="E2552" s="5" t="s">
        <v>1759</v>
      </c>
      <c r="F2552" s="6">
        <v>46142.627083333333</v>
      </c>
      <c r="G2552" s="5" t="s">
        <v>13816</v>
      </c>
      <c r="H2552" t="s">
        <v>7482</v>
      </c>
      <c r="I2552" s="5" t="s">
        <v>1564</v>
      </c>
      <c r="J2552" s="8">
        <v>244</v>
      </c>
      <c r="K2552" s="5" t="s">
        <v>4</v>
      </c>
      <c r="L2552">
        <f t="shared" si="39"/>
        <v>4</v>
      </c>
    </row>
    <row r="2553" spans="1:12" x14ac:dyDescent="0.25">
      <c r="A2553" s="5">
        <v>48217</v>
      </c>
      <c r="B2553" t="s">
        <v>13855</v>
      </c>
      <c r="C2553" s="5" t="s">
        <v>13856</v>
      </c>
      <c r="D2553" t="s">
        <v>13857</v>
      </c>
      <c r="E2553" s="5" t="s">
        <v>1813</v>
      </c>
      <c r="F2553" s="6">
        <v>46142.62777777778</v>
      </c>
      <c r="G2553" s="5" t="s">
        <v>7595</v>
      </c>
      <c r="H2553" t="s">
        <v>7482</v>
      </c>
      <c r="I2553" s="5" t="s">
        <v>1535</v>
      </c>
      <c r="J2553" s="8">
        <v>369.5</v>
      </c>
      <c r="K2553" s="5" t="s">
        <v>4</v>
      </c>
      <c r="L2553">
        <f t="shared" si="39"/>
        <v>4</v>
      </c>
    </row>
    <row r="2554" spans="1:12" x14ac:dyDescent="0.25">
      <c r="A2554" s="5">
        <v>48218</v>
      </c>
      <c r="B2554" t="s">
        <v>12844</v>
      </c>
      <c r="C2554" s="5" t="s">
        <v>12845</v>
      </c>
      <c r="D2554" t="s">
        <v>12846</v>
      </c>
      <c r="E2554" s="5" t="s">
        <v>5248</v>
      </c>
      <c r="F2554" s="6">
        <v>46142.651388888888</v>
      </c>
      <c r="G2554" s="5" t="s">
        <v>7456</v>
      </c>
      <c r="H2554" s="5" t="s">
        <v>13858</v>
      </c>
      <c r="I2554" s="5" t="s">
        <v>1621</v>
      </c>
      <c r="J2554" s="8">
        <v>137.13999999999999</v>
      </c>
      <c r="K2554" s="5" t="s">
        <v>4</v>
      </c>
      <c r="L2554">
        <f t="shared" si="39"/>
        <v>4</v>
      </c>
    </row>
    <row r="2555" spans="1:12" x14ac:dyDescent="0.25">
      <c r="A2555" s="5">
        <v>48219</v>
      </c>
      <c r="B2555" t="s">
        <v>13859</v>
      </c>
      <c r="C2555" s="5" t="s">
        <v>13860</v>
      </c>
      <c r="D2555" t="s">
        <v>13861</v>
      </c>
      <c r="E2555" s="5" t="s">
        <v>3252</v>
      </c>
      <c r="F2555" s="6">
        <v>46142.659722222219</v>
      </c>
      <c r="G2555" s="5" t="s">
        <v>7456</v>
      </c>
      <c r="H2555" s="5" t="s">
        <v>13862</v>
      </c>
      <c r="I2555" s="5" t="s">
        <v>1621</v>
      </c>
      <c r="J2555" s="8">
        <v>380.57</v>
      </c>
      <c r="K2555" s="5" t="s">
        <v>4</v>
      </c>
      <c r="L2555">
        <f t="shared" si="39"/>
        <v>4</v>
      </c>
    </row>
    <row r="2556" spans="1:12" x14ac:dyDescent="0.25">
      <c r="A2556" s="5">
        <v>48220</v>
      </c>
      <c r="B2556" t="s">
        <v>13863</v>
      </c>
      <c r="C2556" s="5" t="s">
        <v>248</v>
      </c>
      <c r="D2556" t="s">
        <v>13864</v>
      </c>
      <c r="E2556" s="5" t="s">
        <v>5572</v>
      </c>
      <c r="F2556" s="6">
        <v>46142.67083333333</v>
      </c>
      <c r="G2556" s="5" t="s">
        <v>7456</v>
      </c>
      <c r="H2556" s="5" t="s">
        <v>13865</v>
      </c>
      <c r="I2556" s="5" t="s">
        <v>1621</v>
      </c>
      <c r="J2556" s="8">
        <v>116.59</v>
      </c>
      <c r="K2556" s="5" t="s">
        <v>4</v>
      </c>
      <c r="L2556">
        <f t="shared" si="39"/>
        <v>4</v>
      </c>
    </row>
    <row r="2557" spans="1:12" x14ac:dyDescent="0.25">
      <c r="A2557" s="5">
        <v>48222</v>
      </c>
      <c r="B2557" t="s">
        <v>13866</v>
      </c>
      <c r="C2557" s="5" t="s">
        <v>1026</v>
      </c>
      <c r="D2557" t="s">
        <v>13867</v>
      </c>
      <c r="E2557" s="5" t="s">
        <v>4510</v>
      </c>
      <c r="F2557" s="6">
        <v>46142.679861111108</v>
      </c>
      <c r="G2557" s="5" t="s">
        <v>7456</v>
      </c>
      <c r="H2557" s="5" t="s">
        <v>13868</v>
      </c>
      <c r="I2557" s="5" t="s">
        <v>1621</v>
      </c>
      <c r="J2557" s="8">
        <v>190.98</v>
      </c>
      <c r="K2557" s="5" t="s">
        <v>4</v>
      </c>
      <c r="L2557">
        <f t="shared" si="39"/>
        <v>4</v>
      </c>
    </row>
    <row r="2558" spans="1:12" x14ac:dyDescent="0.25">
      <c r="A2558" s="5">
        <v>48223</v>
      </c>
      <c r="B2558" t="s">
        <v>13869</v>
      </c>
      <c r="C2558" s="5" t="s">
        <v>1287</v>
      </c>
      <c r="D2558" t="s">
        <v>13870</v>
      </c>
      <c r="E2558" s="5" t="s">
        <v>6269</v>
      </c>
      <c r="F2558" s="6">
        <v>46142.686111111114</v>
      </c>
      <c r="G2558" s="5" t="s">
        <v>7456</v>
      </c>
      <c r="H2558" s="5" t="s">
        <v>13871</v>
      </c>
      <c r="I2558" s="5" t="s">
        <v>1621</v>
      </c>
      <c r="J2558" s="8">
        <v>76.72</v>
      </c>
      <c r="K2558" s="5" t="s">
        <v>4</v>
      </c>
      <c r="L2558">
        <f t="shared" si="39"/>
        <v>4</v>
      </c>
    </row>
    <row r="2559" spans="1:12" x14ac:dyDescent="0.25">
      <c r="A2559" s="5">
        <v>48224</v>
      </c>
      <c r="B2559" t="s">
        <v>8986</v>
      </c>
      <c r="C2559" s="5" t="s">
        <v>8987</v>
      </c>
      <c r="D2559" t="s">
        <v>8988</v>
      </c>
      <c r="E2559" s="5" t="s">
        <v>6332</v>
      </c>
      <c r="F2559" s="6">
        <v>46142.690972222219</v>
      </c>
      <c r="G2559" s="5" t="s">
        <v>7456</v>
      </c>
      <c r="H2559" s="5" t="s">
        <v>13872</v>
      </c>
      <c r="I2559" s="5" t="s">
        <v>1621</v>
      </c>
      <c r="J2559" s="8">
        <v>72.400000000000006</v>
      </c>
      <c r="K2559" s="5" t="s">
        <v>4</v>
      </c>
      <c r="L2559">
        <f t="shared" si="39"/>
        <v>4</v>
      </c>
    </row>
    <row r="2560" spans="1:12" x14ac:dyDescent="0.25">
      <c r="A2560" s="5">
        <v>48225</v>
      </c>
      <c r="B2560" t="s">
        <v>13873</v>
      </c>
      <c r="C2560" s="5" t="s">
        <v>13874</v>
      </c>
      <c r="D2560" t="s">
        <v>7644</v>
      </c>
      <c r="E2560" s="5" t="s">
        <v>5634</v>
      </c>
      <c r="F2560" s="6">
        <v>46142.695138888892</v>
      </c>
      <c r="G2560" s="5" t="s">
        <v>7456</v>
      </c>
      <c r="H2560" s="5" t="s">
        <v>13875</v>
      </c>
      <c r="I2560" s="5" t="s">
        <v>1621</v>
      </c>
      <c r="J2560" s="8">
        <v>114.17</v>
      </c>
      <c r="K2560" s="5" t="s">
        <v>4</v>
      </c>
      <c r="L2560">
        <f t="shared" si="39"/>
        <v>4</v>
      </c>
    </row>
    <row r="2561" spans="1:12" x14ac:dyDescent="0.25">
      <c r="A2561" s="5">
        <v>48229</v>
      </c>
      <c r="B2561" t="s">
        <v>8965</v>
      </c>
      <c r="C2561" s="5" t="s">
        <v>9297</v>
      </c>
      <c r="D2561" t="s">
        <v>8966</v>
      </c>
      <c r="E2561" s="5" t="s">
        <v>1532</v>
      </c>
      <c r="F2561" s="6">
        <v>46146.623611111114</v>
      </c>
      <c r="G2561" s="5" t="s">
        <v>7595</v>
      </c>
      <c r="H2561" t="s">
        <v>7482</v>
      </c>
      <c r="I2561" s="5" t="s">
        <v>1535</v>
      </c>
      <c r="J2561" s="8">
        <v>310</v>
      </c>
      <c r="K2561" s="5" t="s">
        <v>4</v>
      </c>
      <c r="L2561">
        <f t="shared" si="39"/>
        <v>5</v>
      </c>
    </row>
    <row r="2562" spans="1:12" x14ac:dyDescent="0.25">
      <c r="A2562" s="5">
        <v>48239</v>
      </c>
      <c r="B2562" t="s">
        <v>13876</v>
      </c>
      <c r="C2562" s="5" t="s">
        <v>7708</v>
      </c>
      <c r="D2562" t="s">
        <v>13877</v>
      </c>
      <c r="E2562" s="5" t="s">
        <v>1532</v>
      </c>
      <c r="F2562" s="6">
        <v>46146.652083333334</v>
      </c>
      <c r="G2562" s="5" t="s">
        <v>7595</v>
      </c>
      <c r="H2562" t="s">
        <v>7482</v>
      </c>
      <c r="I2562" s="5" t="s">
        <v>1535</v>
      </c>
      <c r="J2562" s="8">
        <v>609.9</v>
      </c>
      <c r="K2562" s="5" t="s">
        <v>4</v>
      </c>
      <c r="L2562">
        <f t="shared" si="39"/>
        <v>5</v>
      </c>
    </row>
    <row r="2563" spans="1:12" x14ac:dyDescent="0.25">
      <c r="A2563" s="5">
        <v>48240</v>
      </c>
      <c r="B2563" t="s">
        <v>13878</v>
      </c>
      <c r="C2563" s="5" t="s">
        <v>584</v>
      </c>
      <c r="D2563" t="s">
        <v>13879</v>
      </c>
      <c r="E2563" s="5" t="s">
        <v>6824</v>
      </c>
      <c r="F2563" s="6">
        <v>46146.664583333331</v>
      </c>
      <c r="G2563" s="5" t="s">
        <v>7456</v>
      </c>
      <c r="H2563" s="5" t="s">
        <v>13880</v>
      </c>
      <c r="I2563" s="5" t="s">
        <v>1621</v>
      </c>
      <c r="J2563" s="8">
        <v>43.37</v>
      </c>
      <c r="K2563" s="5" t="s">
        <v>4</v>
      </c>
      <c r="L2563">
        <f t="shared" ref="L2563:L2626" si="40">MONTH(F2563)</f>
        <v>5</v>
      </c>
    </row>
    <row r="2564" spans="1:12" x14ac:dyDescent="0.25">
      <c r="A2564" s="5">
        <v>48241</v>
      </c>
      <c r="B2564" t="s">
        <v>13881</v>
      </c>
      <c r="C2564" s="5" t="s">
        <v>7649</v>
      </c>
      <c r="D2564" t="s">
        <v>13882</v>
      </c>
      <c r="E2564" s="5" t="s">
        <v>3022</v>
      </c>
      <c r="F2564" s="6">
        <v>46146.668749999997</v>
      </c>
      <c r="G2564" s="5" t="s">
        <v>7456</v>
      </c>
      <c r="H2564" s="5" t="s">
        <v>13883</v>
      </c>
      <c r="I2564" s="5" t="s">
        <v>1535</v>
      </c>
      <c r="J2564" s="8">
        <v>294.8</v>
      </c>
      <c r="K2564" s="5" t="s">
        <v>4</v>
      </c>
      <c r="L2564">
        <f t="shared" si="40"/>
        <v>5</v>
      </c>
    </row>
    <row r="2565" spans="1:12" x14ac:dyDescent="0.25">
      <c r="A2565" s="5">
        <v>48242</v>
      </c>
      <c r="B2565" t="s">
        <v>13884</v>
      </c>
      <c r="C2565" s="5" t="s">
        <v>216</v>
      </c>
      <c r="D2565" t="s">
        <v>13885</v>
      </c>
      <c r="E2565" s="5" t="s">
        <v>7019</v>
      </c>
      <c r="F2565" s="6">
        <v>46146.669444444444</v>
      </c>
      <c r="G2565" s="5" t="s">
        <v>7456</v>
      </c>
      <c r="H2565" s="5" t="s">
        <v>13886</v>
      </c>
      <c r="I2565" s="5" t="s">
        <v>1621</v>
      </c>
      <c r="J2565" s="8">
        <v>32.9</v>
      </c>
      <c r="K2565" s="5" t="s">
        <v>4</v>
      </c>
      <c r="L2565">
        <f t="shared" si="40"/>
        <v>5</v>
      </c>
    </row>
    <row r="2566" spans="1:12" x14ac:dyDescent="0.25">
      <c r="A2566" s="5">
        <v>48243</v>
      </c>
      <c r="B2566" t="s">
        <v>13887</v>
      </c>
      <c r="C2566" s="5" t="s">
        <v>670</v>
      </c>
      <c r="D2566" t="s">
        <v>13888</v>
      </c>
      <c r="E2566" s="5" t="s">
        <v>4708</v>
      </c>
      <c r="F2566" s="6">
        <v>46146.673611111109</v>
      </c>
      <c r="G2566" s="5" t="s">
        <v>7456</v>
      </c>
      <c r="H2566" s="5" t="s">
        <v>13889</v>
      </c>
      <c r="I2566" s="5" t="s">
        <v>1621</v>
      </c>
      <c r="J2566" s="8">
        <v>174.5</v>
      </c>
      <c r="K2566" s="5" t="s">
        <v>4</v>
      </c>
      <c r="L2566">
        <f t="shared" si="40"/>
        <v>5</v>
      </c>
    </row>
    <row r="2567" spans="1:12" x14ac:dyDescent="0.25">
      <c r="A2567" s="5">
        <v>48244</v>
      </c>
      <c r="B2567" t="s">
        <v>13890</v>
      </c>
      <c r="C2567" s="5" t="s">
        <v>13891</v>
      </c>
      <c r="D2567" t="s">
        <v>13892</v>
      </c>
      <c r="E2567" s="5" t="s">
        <v>1532</v>
      </c>
      <c r="F2567" s="6">
        <v>46146.677777777775</v>
      </c>
      <c r="G2567" s="5" t="s">
        <v>7595</v>
      </c>
      <c r="H2567" t="s">
        <v>7482</v>
      </c>
      <c r="I2567" s="5" t="s">
        <v>1535</v>
      </c>
      <c r="J2567" s="8">
        <v>168.4</v>
      </c>
      <c r="K2567" s="5" t="s">
        <v>4</v>
      </c>
      <c r="L2567">
        <f t="shared" si="40"/>
        <v>5</v>
      </c>
    </row>
    <row r="2568" spans="1:12" x14ac:dyDescent="0.25">
      <c r="A2568" s="5">
        <v>48245</v>
      </c>
      <c r="B2568" t="s">
        <v>13893</v>
      </c>
      <c r="C2568" s="5" t="s">
        <v>559</v>
      </c>
      <c r="D2568" t="s">
        <v>13894</v>
      </c>
      <c r="E2568" s="5" t="s">
        <v>6612</v>
      </c>
      <c r="F2568" s="6">
        <v>46146.678472222222</v>
      </c>
      <c r="G2568" s="5" t="s">
        <v>7456</v>
      </c>
      <c r="H2568" s="5" t="s">
        <v>13895</v>
      </c>
      <c r="I2568" s="5" t="s">
        <v>1621</v>
      </c>
      <c r="J2568" s="8">
        <v>55.41</v>
      </c>
      <c r="K2568" s="5" t="s">
        <v>4</v>
      </c>
      <c r="L2568">
        <f t="shared" si="40"/>
        <v>5</v>
      </c>
    </row>
    <row r="2569" spans="1:12" x14ac:dyDescent="0.25">
      <c r="A2569" s="5">
        <v>48246</v>
      </c>
      <c r="B2569" t="s">
        <v>13896</v>
      </c>
      <c r="C2569" s="5" t="s">
        <v>7516</v>
      </c>
      <c r="D2569" t="s">
        <v>13897</v>
      </c>
      <c r="E2569" s="5" t="s">
        <v>4711</v>
      </c>
      <c r="F2569" s="6">
        <v>46146.680555555555</v>
      </c>
      <c r="G2569" s="5" t="s">
        <v>7456</v>
      </c>
      <c r="H2569" s="5" t="s">
        <v>13898</v>
      </c>
      <c r="I2569" s="5" t="s">
        <v>1621</v>
      </c>
      <c r="J2569" s="8">
        <v>174.5</v>
      </c>
      <c r="K2569" s="5" t="s">
        <v>4</v>
      </c>
      <c r="L2569">
        <f t="shared" si="40"/>
        <v>5</v>
      </c>
    </row>
    <row r="2570" spans="1:12" x14ac:dyDescent="0.25">
      <c r="A2570" s="5">
        <v>48247</v>
      </c>
      <c r="B2570" t="s">
        <v>13899</v>
      </c>
      <c r="C2570" s="5" t="s">
        <v>13900</v>
      </c>
      <c r="D2570" t="s">
        <v>13901</v>
      </c>
      <c r="E2570" s="5" t="s">
        <v>1813</v>
      </c>
      <c r="F2570" s="6">
        <v>46146.68472222222</v>
      </c>
      <c r="G2570" s="5" t="s">
        <v>7595</v>
      </c>
      <c r="H2570" t="s">
        <v>7482</v>
      </c>
      <c r="I2570" s="5" t="s">
        <v>1535</v>
      </c>
      <c r="J2570" s="8">
        <v>4490</v>
      </c>
      <c r="K2570" s="5" t="s">
        <v>4</v>
      </c>
      <c r="L2570">
        <f t="shared" si="40"/>
        <v>5</v>
      </c>
    </row>
    <row r="2571" spans="1:12" x14ac:dyDescent="0.25">
      <c r="A2571" s="5">
        <v>48248</v>
      </c>
      <c r="B2571" t="s">
        <v>11795</v>
      </c>
      <c r="C2571" s="5" t="s">
        <v>11796</v>
      </c>
      <c r="D2571" t="s">
        <v>11797</v>
      </c>
      <c r="E2571" s="5" t="s">
        <v>3605</v>
      </c>
      <c r="F2571" s="6">
        <v>46146.665277777778</v>
      </c>
      <c r="G2571" s="5" t="s">
        <v>7456</v>
      </c>
      <c r="H2571" s="5" t="s">
        <v>13902</v>
      </c>
      <c r="I2571" s="5" t="s">
        <v>1621</v>
      </c>
      <c r="J2571" s="8">
        <v>310.17</v>
      </c>
      <c r="K2571" s="5" t="s">
        <v>4</v>
      </c>
      <c r="L2571">
        <f t="shared" si="40"/>
        <v>5</v>
      </c>
    </row>
    <row r="2572" spans="1:12" x14ac:dyDescent="0.25">
      <c r="A2572" s="5">
        <v>48249</v>
      </c>
      <c r="B2572" t="s">
        <v>13903</v>
      </c>
      <c r="C2572" s="5" t="s">
        <v>7516</v>
      </c>
      <c r="D2572" t="s">
        <v>13904</v>
      </c>
      <c r="E2572" s="5" t="s">
        <v>1532</v>
      </c>
      <c r="F2572" s="6">
        <v>46146.689583333333</v>
      </c>
      <c r="G2572" s="5" t="s">
        <v>7595</v>
      </c>
      <c r="H2572" t="s">
        <v>7482</v>
      </c>
      <c r="I2572" s="5" t="s">
        <v>1535</v>
      </c>
      <c r="J2572" s="8">
        <v>378</v>
      </c>
      <c r="K2572" s="5" t="s">
        <v>4</v>
      </c>
      <c r="L2572">
        <f t="shared" si="40"/>
        <v>5</v>
      </c>
    </row>
    <row r="2573" spans="1:12" x14ac:dyDescent="0.25">
      <c r="A2573" s="5">
        <v>48250</v>
      </c>
      <c r="B2573" t="s">
        <v>13905</v>
      </c>
      <c r="C2573" s="5" t="s">
        <v>1127</v>
      </c>
      <c r="D2573" t="s">
        <v>13906</v>
      </c>
      <c r="E2573" s="5" t="s">
        <v>6238</v>
      </c>
      <c r="F2573" s="6">
        <v>46146.692361111112</v>
      </c>
      <c r="G2573" s="5" t="s">
        <v>7456</v>
      </c>
      <c r="H2573" s="5" t="s">
        <v>13907</v>
      </c>
      <c r="I2573" s="5" t="s">
        <v>1621</v>
      </c>
      <c r="J2573" s="8">
        <v>79.040000000000006</v>
      </c>
      <c r="K2573" s="5" t="s">
        <v>4</v>
      </c>
      <c r="L2573">
        <f t="shared" si="40"/>
        <v>5</v>
      </c>
    </row>
    <row r="2574" spans="1:12" x14ac:dyDescent="0.25">
      <c r="A2574" s="5">
        <v>48251</v>
      </c>
      <c r="B2574" t="s">
        <v>13908</v>
      </c>
      <c r="C2574" s="5" t="s">
        <v>13909</v>
      </c>
      <c r="D2574" t="s">
        <v>13910</v>
      </c>
      <c r="E2574" s="5" t="s">
        <v>4877</v>
      </c>
      <c r="F2574" s="6">
        <v>46146.694444444445</v>
      </c>
      <c r="G2574" s="5" t="s">
        <v>7456</v>
      </c>
      <c r="H2574" s="5" t="s">
        <v>13911</v>
      </c>
      <c r="I2574" s="5" t="s">
        <v>1621</v>
      </c>
      <c r="J2574" s="8">
        <v>160.26</v>
      </c>
      <c r="K2574" s="5" t="s">
        <v>4</v>
      </c>
      <c r="L2574">
        <f t="shared" si="40"/>
        <v>5</v>
      </c>
    </row>
    <row r="2575" spans="1:12" x14ac:dyDescent="0.25">
      <c r="A2575" s="5">
        <v>48252</v>
      </c>
      <c r="B2575" t="s">
        <v>13912</v>
      </c>
      <c r="C2575" s="5" t="s">
        <v>214</v>
      </c>
      <c r="D2575" t="s">
        <v>13913</v>
      </c>
      <c r="E2575" s="5" t="s">
        <v>4714</v>
      </c>
      <c r="F2575" s="6">
        <v>46146.70416666667</v>
      </c>
      <c r="G2575" s="5" t="s">
        <v>7456</v>
      </c>
      <c r="H2575" s="5" t="s">
        <v>13914</v>
      </c>
      <c r="I2575" s="5" t="s">
        <v>1621</v>
      </c>
      <c r="J2575" s="8">
        <v>174.5</v>
      </c>
      <c r="K2575" s="5" t="s">
        <v>4</v>
      </c>
      <c r="L2575">
        <f t="shared" si="40"/>
        <v>5</v>
      </c>
    </row>
    <row r="2576" spans="1:12" x14ac:dyDescent="0.25">
      <c r="A2576" s="5">
        <v>48253</v>
      </c>
      <c r="B2576" t="s">
        <v>13915</v>
      </c>
      <c r="C2576" s="5" t="s">
        <v>13916</v>
      </c>
      <c r="D2576" t="s">
        <v>13917</v>
      </c>
      <c r="E2576" s="5" t="s">
        <v>3476</v>
      </c>
      <c r="F2576" s="6">
        <v>46146.70416666667</v>
      </c>
      <c r="G2576" s="5" t="s">
        <v>7456</v>
      </c>
      <c r="H2576" s="5" t="s">
        <v>13918</v>
      </c>
      <c r="I2576" s="5" t="s">
        <v>1621</v>
      </c>
      <c r="J2576" s="8">
        <v>324.29000000000002</v>
      </c>
      <c r="K2576" s="5" t="s">
        <v>4</v>
      </c>
      <c r="L2576">
        <f t="shared" si="40"/>
        <v>5</v>
      </c>
    </row>
    <row r="2577" spans="1:12" x14ac:dyDescent="0.25">
      <c r="A2577" s="5">
        <v>48254</v>
      </c>
      <c r="B2577" t="s">
        <v>13919</v>
      </c>
      <c r="C2577" s="5" t="s">
        <v>446</v>
      </c>
      <c r="D2577" t="s">
        <v>13920</v>
      </c>
      <c r="E2577" s="5" t="s">
        <v>1813</v>
      </c>
      <c r="F2577" s="6">
        <v>46146.717361111114</v>
      </c>
      <c r="G2577" s="5" t="s">
        <v>7456</v>
      </c>
      <c r="H2577" s="5" t="s">
        <v>13921</v>
      </c>
      <c r="I2577" s="5" t="s">
        <v>1535</v>
      </c>
      <c r="J2577" s="8">
        <v>450</v>
      </c>
      <c r="K2577" s="5" t="s">
        <v>4</v>
      </c>
      <c r="L2577">
        <f t="shared" si="40"/>
        <v>5</v>
      </c>
    </row>
    <row r="2578" spans="1:12" x14ac:dyDescent="0.25">
      <c r="A2578" s="5">
        <v>48256</v>
      </c>
      <c r="B2578" t="s">
        <v>13922</v>
      </c>
      <c r="C2578" s="5" t="s">
        <v>892</v>
      </c>
      <c r="D2578" t="s">
        <v>13923</v>
      </c>
      <c r="E2578" s="5" t="s">
        <v>7132</v>
      </c>
      <c r="F2578" s="6">
        <v>46146.727083333331</v>
      </c>
      <c r="G2578" s="5" t="s">
        <v>7456</v>
      </c>
      <c r="H2578" s="5" t="s">
        <v>13924</v>
      </c>
      <c r="I2578" s="5" t="s">
        <v>1621</v>
      </c>
      <c r="J2578" s="8">
        <v>28.9</v>
      </c>
      <c r="K2578" s="5" t="s">
        <v>4</v>
      </c>
      <c r="L2578">
        <f t="shared" si="40"/>
        <v>5</v>
      </c>
    </row>
    <row r="2579" spans="1:12" x14ac:dyDescent="0.25">
      <c r="A2579" s="5">
        <v>48257</v>
      </c>
      <c r="B2579" t="s">
        <v>12645</v>
      </c>
      <c r="C2579" s="5" t="s">
        <v>12646</v>
      </c>
      <c r="D2579" t="s">
        <v>12647</v>
      </c>
      <c r="E2579" s="5" t="s">
        <v>1899</v>
      </c>
      <c r="F2579" s="6">
        <v>46147.365277777775</v>
      </c>
      <c r="G2579" s="5" t="s">
        <v>7456</v>
      </c>
      <c r="H2579" s="5" t="s">
        <v>13925</v>
      </c>
      <c r="I2579" s="5" t="s">
        <v>1535</v>
      </c>
      <c r="J2579" s="8">
        <v>104</v>
      </c>
      <c r="K2579" s="5" t="s">
        <v>4</v>
      </c>
      <c r="L2579">
        <f t="shared" si="40"/>
        <v>5</v>
      </c>
    </row>
    <row r="2580" spans="1:12" x14ac:dyDescent="0.25">
      <c r="A2580" s="5">
        <v>48258</v>
      </c>
      <c r="B2580" t="s">
        <v>10863</v>
      </c>
      <c r="C2580" s="5" t="s">
        <v>1407</v>
      </c>
      <c r="D2580" t="s">
        <v>10864</v>
      </c>
      <c r="E2580" s="5" t="s">
        <v>1759</v>
      </c>
      <c r="F2580" s="6">
        <v>46147.433333333334</v>
      </c>
      <c r="G2580" s="5" t="s">
        <v>7456</v>
      </c>
      <c r="H2580" s="5" t="s">
        <v>13926</v>
      </c>
      <c r="I2580" s="5" t="s">
        <v>1535</v>
      </c>
      <c r="J2580" s="8">
        <v>60</v>
      </c>
      <c r="K2580" s="5" t="s">
        <v>4</v>
      </c>
      <c r="L2580">
        <f t="shared" si="40"/>
        <v>5</v>
      </c>
    </row>
    <row r="2581" spans="1:12" x14ac:dyDescent="0.25">
      <c r="A2581" s="5">
        <v>48260</v>
      </c>
      <c r="B2581" t="s">
        <v>13927</v>
      </c>
      <c r="C2581" s="5" t="s">
        <v>7516</v>
      </c>
      <c r="D2581" t="s">
        <v>9237</v>
      </c>
      <c r="E2581" s="5" t="s">
        <v>1532</v>
      </c>
      <c r="F2581" s="6">
        <v>46147.584722222222</v>
      </c>
      <c r="G2581" s="5" t="s">
        <v>7456</v>
      </c>
      <c r="H2581" s="5" t="s">
        <v>13928</v>
      </c>
      <c r="I2581" s="5" t="s">
        <v>1535</v>
      </c>
      <c r="J2581" s="8">
        <v>224.6</v>
      </c>
      <c r="K2581" s="5" t="s">
        <v>4</v>
      </c>
      <c r="L2581">
        <f t="shared" si="40"/>
        <v>5</v>
      </c>
    </row>
    <row r="2582" spans="1:12" x14ac:dyDescent="0.25">
      <c r="A2582" s="5">
        <v>48261</v>
      </c>
      <c r="B2582" t="s">
        <v>13929</v>
      </c>
      <c r="C2582" s="5" t="s">
        <v>410</v>
      </c>
      <c r="D2582" t="s">
        <v>13930</v>
      </c>
      <c r="E2582" s="5" t="s">
        <v>7050</v>
      </c>
      <c r="F2582" s="6">
        <v>46147.59652777778</v>
      </c>
      <c r="G2582" s="5" t="s">
        <v>7456</v>
      </c>
      <c r="H2582" s="5" t="s">
        <v>13931</v>
      </c>
      <c r="I2582" s="5" t="s">
        <v>1621</v>
      </c>
      <c r="J2582" s="8">
        <v>31.86</v>
      </c>
      <c r="K2582" s="5" t="s">
        <v>4</v>
      </c>
      <c r="L2582">
        <f t="shared" si="40"/>
        <v>5</v>
      </c>
    </row>
    <row r="2583" spans="1:12" x14ac:dyDescent="0.25">
      <c r="A2583" s="5">
        <v>48262</v>
      </c>
      <c r="B2583" t="s">
        <v>13932</v>
      </c>
      <c r="C2583" s="5" t="s">
        <v>13933</v>
      </c>
      <c r="D2583" t="s">
        <v>13934</v>
      </c>
      <c r="E2583" s="5" t="s">
        <v>6306</v>
      </c>
      <c r="F2583" s="6">
        <v>46147.602777777778</v>
      </c>
      <c r="G2583" s="5" t="s">
        <v>7456</v>
      </c>
      <c r="H2583" s="5" t="s">
        <v>13935</v>
      </c>
      <c r="I2583" s="5" t="s">
        <v>1621</v>
      </c>
      <c r="J2583" s="8">
        <v>74.66</v>
      </c>
      <c r="K2583" s="5" t="s">
        <v>4</v>
      </c>
      <c r="L2583">
        <f t="shared" si="40"/>
        <v>5</v>
      </c>
    </row>
    <row r="2584" spans="1:12" x14ac:dyDescent="0.25">
      <c r="A2584" s="5">
        <v>48263</v>
      </c>
      <c r="B2584" t="s">
        <v>13936</v>
      </c>
      <c r="C2584" s="5" t="s">
        <v>13937</v>
      </c>
      <c r="D2584" t="s">
        <v>13938</v>
      </c>
      <c r="E2584" s="5" t="s">
        <v>1813</v>
      </c>
      <c r="F2584" s="6">
        <v>46147.620138888888</v>
      </c>
      <c r="G2584" s="5" t="s">
        <v>7456</v>
      </c>
      <c r="H2584" s="5" t="s">
        <v>13939</v>
      </c>
      <c r="I2584" s="5" t="s">
        <v>1535</v>
      </c>
      <c r="J2584" s="8">
        <v>291</v>
      </c>
      <c r="K2584" s="5" t="s">
        <v>4</v>
      </c>
      <c r="L2584">
        <f t="shared" si="40"/>
        <v>5</v>
      </c>
    </row>
    <row r="2585" spans="1:12" x14ac:dyDescent="0.25">
      <c r="A2585" s="5">
        <v>48264</v>
      </c>
      <c r="B2585" t="s">
        <v>13940</v>
      </c>
      <c r="C2585" s="5" t="s">
        <v>7516</v>
      </c>
      <c r="D2585" t="s">
        <v>13941</v>
      </c>
      <c r="E2585" s="5" t="s">
        <v>1813</v>
      </c>
      <c r="F2585" s="6">
        <v>46147.626388888886</v>
      </c>
      <c r="G2585" s="5" t="s">
        <v>7456</v>
      </c>
      <c r="H2585" s="5" t="s">
        <v>13942</v>
      </c>
      <c r="I2585" s="5" t="s">
        <v>1535</v>
      </c>
      <c r="J2585" s="8">
        <v>1350</v>
      </c>
      <c r="K2585" s="5" t="s">
        <v>4</v>
      </c>
      <c r="L2585">
        <f t="shared" si="40"/>
        <v>5</v>
      </c>
    </row>
    <row r="2586" spans="1:12" x14ac:dyDescent="0.25">
      <c r="A2586" s="5">
        <v>48265</v>
      </c>
      <c r="B2586" t="s">
        <v>13943</v>
      </c>
      <c r="C2586" s="5" t="s">
        <v>7516</v>
      </c>
      <c r="D2586" t="s">
        <v>13944</v>
      </c>
      <c r="E2586" s="5" t="s">
        <v>1813</v>
      </c>
      <c r="F2586" s="6">
        <v>46147.632638888892</v>
      </c>
      <c r="G2586" s="5" t="s">
        <v>7456</v>
      </c>
      <c r="H2586" s="5" t="s">
        <v>13945</v>
      </c>
      <c r="I2586" s="5" t="s">
        <v>1535</v>
      </c>
      <c r="J2586" s="8">
        <v>787.5</v>
      </c>
      <c r="K2586" s="5" t="s">
        <v>4</v>
      </c>
      <c r="L2586">
        <f t="shared" si="40"/>
        <v>5</v>
      </c>
    </row>
    <row r="2587" spans="1:12" x14ac:dyDescent="0.25">
      <c r="A2587" s="5">
        <v>48266</v>
      </c>
      <c r="B2587" t="s">
        <v>13946</v>
      </c>
      <c r="C2587" s="5" t="s">
        <v>222</v>
      </c>
      <c r="D2587" t="s">
        <v>13947</v>
      </c>
      <c r="E2587" s="5" t="s">
        <v>5733</v>
      </c>
      <c r="F2587" s="6">
        <v>46147.635416666664</v>
      </c>
      <c r="G2587" s="5" t="s">
        <v>7456</v>
      </c>
      <c r="H2587" s="5" t="s">
        <v>13948</v>
      </c>
      <c r="I2587" s="5" t="s">
        <v>1621</v>
      </c>
      <c r="J2587" s="8">
        <v>113.08</v>
      </c>
      <c r="K2587" s="5" t="s">
        <v>4</v>
      </c>
      <c r="L2587">
        <f t="shared" si="40"/>
        <v>5</v>
      </c>
    </row>
    <row r="2588" spans="1:12" x14ac:dyDescent="0.25">
      <c r="A2588" s="5">
        <v>48268</v>
      </c>
      <c r="B2588" t="s">
        <v>13949</v>
      </c>
      <c r="C2588" s="5" t="s">
        <v>1163</v>
      </c>
      <c r="D2588" t="s">
        <v>13950</v>
      </c>
      <c r="E2588" s="5" t="s">
        <v>4102</v>
      </c>
      <c r="F2588" s="6">
        <v>46147.644444444442</v>
      </c>
      <c r="G2588" s="5" t="s">
        <v>7456</v>
      </c>
      <c r="H2588" s="5" t="s">
        <v>13951</v>
      </c>
      <c r="I2588" s="5" t="s">
        <v>1621</v>
      </c>
      <c r="J2588" s="8">
        <v>241.2</v>
      </c>
      <c r="K2588" s="5" t="s">
        <v>4</v>
      </c>
      <c r="L2588">
        <f t="shared" si="40"/>
        <v>5</v>
      </c>
    </row>
    <row r="2589" spans="1:12" x14ac:dyDescent="0.25">
      <c r="A2589" s="5">
        <v>48269</v>
      </c>
      <c r="B2589" t="s">
        <v>13952</v>
      </c>
      <c r="C2589" s="5" t="s">
        <v>13953</v>
      </c>
      <c r="D2589" t="s">
        <v>13954</v>
      </c>
      <c r="E2589" s="5" t="s">
        <v>7603</v>
      </c>
      <c r="F2589" s="6">
        <v>46147.65347222222</v>
      </c>
      <c r="G2589" s="5" t="s">
        <v>7595</v>
      </c>
      <c r="H2589" t="s">
        <v>7482</v>
      </c>
      <c r="I2589" s="5" t="s">
        <v>1554</v>
      </c>
      <c r="J2589" s="8">
        <v>1402.5</v>
      </c>
      <c r="K2589" s="5" t="s">
        <v>4</v>
      </c>
      <c r="L2589">
        <f t="shared" si="40"/>
        <v>5</v>
      </c>
    </row>
    <row r="2590" spans="1:12" x14ac:dyDescent="0.25">
      <c r="A2590" s="5">
        <v>48270</v>
      </c>
      <c r="B2590" t="s">
        <v>13436</v>
      </c>
      <c r="C2590" s="5" t="s">
        <v>13247</v>
      </c>
      <c r="D2590" t="s">
        <v>13437</v>
      </c>
      <c r="E2590" s="5" t="s">
        <v>1532</v>
      </c>
      <c r="F2590" s="6">
        <v>46147.65347222222</v>
      </c>
      <c r="G2590" s="5" t="s">
        <v>7595</v>
      </c>
      <c r="H2590" t="s">
        <v>7482</v>
      </c>
      <c r="I2590" s="5" t="s">
        <v>1535</v>
      </c>
      <c r="J2590" s="8">
        <v>906</v>
      </c>
      <c r="K2590" s="5" t="s">
        <v>4</v>
      </c>
      <c r="L2590">
        <f t="shared" si="40"/>
        <v>5</v>
      </c>
    </row>
    <row r="2591" spans="1:12" x14ac:dyDescent="0.25">
      <c r="A2591" s="5">
        <v>48273</v>
      </c>
      <c r="B2591" t="s">
        <v>13955</v>
      </c>
      <c r="C2591" s="5" t="s">
        <v>739</v>
      </c>
      <c r="D2591" t="s">
        <v>13956</v>
      </c>
      <c r="E2591" s="5" t="s">
        <v>1532</v>
      </c>
      <c r="F2591" s="6">
        <v>46147.67083333333</v>
      </c>
      <c r="G2591" s="5" t="s">
        <v>7456</v>
      </c>
      <c r="H2591" s="5" t="s">
        <v>7522</v>
      </c>
      <c r="I2591" s="5" t="s">
        <v>1554</v>
      </c>
      <c r="J2591" s="8">
        <v>187</v>
      </c>
      <c r="K2591" s="5" t="s">
        <v>4</v>
      </c>
      <c r="L2591">
        <f t="shared" si="40"/>
        <v>5</v>
      </c>
    </row>
    <row r="2592" spans="1:12" x14ac:dyDescent="0.25">
      <c r="A2592" s="5">
        <v>48274</v>
      </c>
      <c r="B2592" t="s">
        <v>10609</v>
      </c>
      <c r="C2592" s="5" t="s">
        <v>10610</v>
      </c>
      <c r="D2592" t="s">
        <v>10611</v>
      </c>
      <c r="E2592" s="5" t="s">
        <v>1899</v>
      </c>
      <c r="F2592" s="6">
        <v>46147.697222222225</v>
      </c>
      <c r="G2592" s="5" t="s">
        <v>7456</v>
      </c>
      <c r="H2592" s="5" t="s">
        <v>13957</v>
      </c>
      <c r="I2592" s="5" t="s">
        <v>1535</v>
      </c>
      <c r="J2592" s="8">
        <v>1612</v>
      </c>
      <c r="K2592" s="5" t="s">
        <v>4</v>
      </c>
      <c r="L2592">
        <f t="shared" si="40"/>
        <v>5</v>
      </c>
    </row>
    <row r="2593" spans="1:12" x14ac:dyDescent="0.25">
      <c r="A2593" s="5">
        <v>48275</v>
      </c>
      <c r="B2593" t="s">
        <v>13955</v>
      </c>
      <c r="C2593" s="5" t="s">
        <v>739</v>
      </c>
      <c r="D2593" t="s">
        <v>13956</v>
      </c>
      <c r="E2593" s="5" t="s">
        <v>1532</v>
      </c>
      <c r="F2593" s="6">
        <v>46147.709027777775</v>
      </c>
      <c r="G2593" s="5" t="s">
        <v>7456</v>
      </c>
      <c r="H2593" s="5" t="s">
        <v>13958</v>
      </c>
      <c r="I2593" s="5" t="s">
        <v>1554</v>
      </c>
      <c r="J2593" s="8">
        <v>662</v>
      </c>
      <c r="K2593" s="5" t="s">
        <v>4</v>
      </c>
      <c r="L2593">
        <f t="shared" si="40"/>
        <v>5</v>
      </c>
    </row>
    <row r="2594" spans="1:12" x14ac:dyDescent="0.25">
      <c r="A2594" s="5">
        <v>48276</v>
      </c>
      <c r="B2594" t="s">
        <v>8965</v>
      </c>
      <c r="C2594" s="5" t="s">
        <v>9291</v>
      </c>
      <c r="D2594" t="s">
        <v>8966</v>
      </c>
      <c r="E2594" s="5" t="s">
        <v>1532</v>
      </c>
      <c r="F2594" s="6">
        <v>46147.712500000001</v>
      </c>
      <c r="G2594" s="5" t="s">
        <v>7595</v>
      </c>
      <c r="H2594" t="s">
        <v>7482</v>
      </c>
      <c r="I2594" s="5" t="s">
        <v>1535</v>
      </c>
      <c r="J2594" s="8">
        <v>1600</v>
      </c>
      <c r="K2594" s="5" t="s">
        <v>4</v>
      </c>
      <c r="L2594">
        <f t="shared" si="40"/>
        <v>5</v>
      </c>
    </row>
    <row r="2595" spans="1:12" x14ac:dyDescent="0.25">
      <c r="A2595" s="5">
        <v>48277</v>
      </c>
      <c r="B2595" t="s">
        <v>13959</v>
      </c>
      <c r="C2595" s="5" t="s">
        <v>348</v>
      </c>
      <c r="D2595" t="s">
        <v>13960</v>
      </c>
      <c r="E2595" s="5" t="s">
        <v>5217</v>
      </c>
      <c r="F2595" s="6">
        <v>46147.713194444441</v>
      </c>
      <c r="G2595" s="5" t="s">
        <v>7456</v>
      </c>
      <c r="H2595" s="5" t="s">
        <v>13961</v>
      </c>
      <c r="I2595" s="5" t="s">
        <v>1564</v>
      </c>
      <c r="J2595" s="8">
        <v>139.9</v>
      </c>
      <c r="K2595" s="5" t="s">
        <v>4</v>
      </c>
      <c r="L2595">
        <f t="shared" si="40"/>
        <v>5</v>
      </c>
    </row>
    <row r="2596" spans="1:12" x14ac:dyDescent="0.25">
      <c r="A2596" s="5">
        <v>48278</v>
      </c>
      <c r="B2596" t="s">
        <v>13962</v>
      </c>
      <c r="C2596" s="5" t="s">
        <v>13963</v>
      </c>
      <c r="D2596" t="s">
        <v>7644</v>
      </c>
      <c r="E2596" s="5" t="s">
        <v>2582</v>
      </c>
      <c r="F2596" s="6">
        <v>46148.35</v>
      </c>
      <c r="G2596" s="5" t="s">
        <v>7456</v>
      </c>
      <c r="H2596" s="5" t="s">
        <v>13964</v>
      </c>
      <c r="I2596" s="5" t="s">
        <v>1535</v>
      </c>
      <c r="J2596" s="8">
        <v>617.6</v>
      </c>
      <c r="K2596" s="5" t="s">
        <v>4</v>
      </c>
      <c r="L2596">
        <f t="shared" si="40"/>
        <v>5</v>
      </c>
    </row>
    <row r="2597" spans="1:12" x14ac:dyDescent="0.25">
      <c r="A2597" s="5">
        <v>48279</v>
      </c>
      <c r="B2597" t="s">
        <v>13962</v>
      </c>
      <c r="C2597" s="5" t="s">
        <v>13963</v>
      </c>
      <c r="D2597" t="s">
        <v>13965</v>
      </c>
      <c r="E2597" s="5" t="s">
        <v>2579</v>
      </c>
      <c r="F2597" s="6">
        <v>46148.350694444445</v>
      </c>
      <c r="G2597" s="5" t="s">
        <v>7456</v>
      </c>
      <c r="H2597" s="5" t="s">
        <v>13966</v>
      </c>
      <c r="I2597" s="5" t="s">
        <v>1535</v>
      </c>
      <c r="J2597" s="8">
        <v>617.6</v>
      </c>
      <c r="K2597" s="5" t="s">
        <v>4</v>
      </c>
      <c r="L2597">
        <f t="shared" si="40"/>
        <v>5</v>
      </c>
    </row>
    <row r="2598" spans="1:12" x14ac:dyDescent="0.25">
      <c r="A2598" s="5">
        <v>48280</v>
      </c>
      <c r="B2598" t="s">
        <v>8125</v>
      </c>
      <c r="C2598" s="5" t="s">
        <v>8126</v>
      </c>
      <c r="D2598" t="s">
        <v>8127</v>
      </c>
      <c r="E2598" s="5" t="s">
        <v>1532</v>
      </c>
      <c r="F2598" s="6">
        <v>46148.361111111109</v>
      </c>
      <c r="G2598" s="5" t="s">
        <v>7595</v>
      </c>
      <c r="H2598" t="s">
        <v>7482</v>
      </c>
      <c r="I2598" s="5" t="s">
        <v>1535</v>
      </c>
      <c r="J2598" s="8">
        <v>940</v>
      </c>
      <c r="K2598" s="5" t="s">
        <v>4</v>
      </c>
      <c r="L2598">
        <f t="shared" si="40"/>
        <v>5</v>
      </c>
    </row>
    <row r="2599" spans="1:12" x14ac:dyDescent="0.25">
      <c r="A2599" s="5">
        <v>48281</v>
      </c>
      <c r="B2599" t="s">
        <v>13967</v>
      </c>
      <c r="C2599" s="5" t="s">
        <v>13968</v>
      </c>
      <c r="D2599" t="s">
        <v>13969</v>
      </c>
      <c r="E2599" s="5" t="s">
        <v>2875</v>
      </c>
      <c r="F2599" s="6">
        <v>46148.370833333334</v>
      </c>
      <c r="G2599" s="5" t="s">
        <v>7456</v>
      </c>
      <c r="H2599" s="5" t="s">
        <v>13970</v>
      </c>
      <c r="I2599" s="5" t="s">
        <v>1535</v>
      </c>
      <c r="J2599" s="8">
        <v>496</v>
      </c>
      <c r="K2599" s="5" t="s">
        <v>4</v>
      </c>
      <c r="L2599">
        <f t="shared" si="40"/>
        <v>5</v>
      </c>
    </row>
    <row r="2600" spans="1:12" x14ac:dyDescent="0.25">
      <c r="A2600" s="5">
        <v>48282</v>
      </c>
      <c r="B2600" t="s">
        <v>13971</v>
      </c>
      <c r="C2600" s="5" t="s">
        <v>13972</v>
      </c>
      <c r="D2600" t="s">
        <v>13973</v>
      </c>
      <c r="E2600" s="5" t="s">
        <v>1532</v>
      </c>
      <c r="F2600" s="6">
        <v>46148.374305555553</v>
      </c>
      <c r="G2600" s="5" t="s">
        <v>7595</v>
      </c>
      <c r="H2600" t="s">
        <v>7482</v>
      </c>
      <c r="I2600" s="5" t="s">
        <v>1535</v>
      </c>
      <c r="J2600" s="8">
        <v>2227.1999999999998</v>
      </c>
      <c r="K2600" s="5" t="s">
        <v>4</v>
      </c>
      <c r="L2600">
        <f t="shared" si="40"/>
        <v>5</v>
      </c>
    </row>
    <row r="2601" spans="1:12" x14ac:dyDescent="0.25">
      <c r="A2601" s="5">
        <v>48283</v>
      </c>
      <c r="B2601" t="s">
        <v>13974</v>
      </c>
      <c r="C2601" s="5" t="s">
        <v>7516</v>
      </c>
      <c r="D2601" t="s">
        <v>13975</v>
      </c>
      <c r="E2601" s="5" t="s">
        <v>1759</v>
      </c>
      <c r="F2601" s="6">
        <v>46148.381944444445</v>
      </c>
      <c r="G2601" s="5" t="s">
        <v>7456</v>
      </c>
      <c r="H2601" s="5" t="s">
        <v>13976</v>
      </c>
      <c r="I2601" s="5" t="s">
        <v>1564</v>
      </c>
      <c r="J2601" s="8">
        <v>490.8</v>
      </c>
      <c r="K2601" s="5" t="s">
        <v>4</v>
      </c>
      <c r="L2601">
        <f t="shared" si="40"/>
        <v>5</v>
      </c>
    </row>
    <row r="2602" spans="1:12" x14ac:dyDescent="0.25">
      <c r="A2602" s="5">
        <v>48284</v>
      </c>
      <c r="B2602" t="s">
        <v>8335</v>
      </c>
      <c r="C2602" s="5" t="s">
        <v>8336</v>
      </c>
      <c r="D2602" t="s">
        <v>8337</v>
      </c>
      <c r="E2602" s="5" t="s">
        <v>2875</v>
      </c>
      <c r="F2602" s="6">
        <v>46148.393055555556</v>
      </c>
      <c r="G2602" s="5" t="s">
        <v>7595</v>
      </c>
      <c r="H2602" t="s">
        <v>7482</v>
      </c>
      <c r="I2602" s="5" t="s">
        <v>1535</v>
      </c>
      <c r="J2602" s="8">
        <v>5006.6499999999996</v>
      </c>
      <c r="K2602" s="5" t="s">
        <v>4</v>
      </c>
      <c r="L2602">
        <f t="shared" si="40"/>
        <v>5</v>
      </c>
    </row>
    <row r="2603" spans="1:12" x14ac:dyDescent="0.25">
      <c r="A2603" s="5">
        <v>48285</v>
      </c>
      <c r="B2603" t="s">
        <v>9525</v>
      </c>
      <c r="C2603" s="5" t="s">
        <v>7516</v>
      </c>
      <c r="D2603" t="s">
        <v>9526</v>
      </c>
      <c r="E2603" s="5" t="s">
        <v>6069</v>
      </c>
      <c r="F2603" s="6">
        <v>46148.438888888886</v>
      </c>
      <c r="G2603" s="5" t="s">
        <v>7456</v>
      </c>
      <c r="H2603" s="5" t="s">
        <v>13977</v>
      </c>
      <c r="I2603" s="5" t="s">
        <v>1535</v>
      </c>
      <c r="J2603" s="8">
        <v>90</v>
      </c>
      <c r="K2603" s="5" t="s">
        <v>4</v>
      </c>
      <c r="L2603">
        <f t="shared" si="40"/>
        <v>5</v>
      </c>
    </row>
    <row r="2604" spans="1:12" x14ac:dyDescent="0.25">
      <c r="A2604" s="5">
        <v>48286</v>
      </c>
      <c r="B2604" t="s">
        <v>13978</v>
      </c>
      <c r="C2604" s="5" t="s">
        <v>13979</v>
      </c>
      <c r="D2604" t="s">
        <v>13980</v>
      </c>
      <c r="E2604" s="5" t="s">
        <v>1813</v>
      </c>
      <c r="F2604" s="6">
        <v>46148.449305555558</v>
      </c>
      <c r="G2604" s="5" t="s">
        <v>7595</v>
      </c>
      <c r="H2604" t="s">
        <v>7482</v>
      </c>
      <c r="I2604" s="5" t="s">
        <v>1535</v>
      </c>
      <c r="J2604" s="8">
        <v>11010</v>
      </c>
      <c r="K2604" s="5" t="s">
        <v>4</v>
      </c>
      <c r="L2604">
        <f t="shared" si="40"/>
        <v>5</v>
      </c>
    </row>
    <row r="2605" spans="1:12" x14ac:dyDescent="0.25">
      <c r="A2605" s="5">
        <v>48287</v>
      </c>
      <c r="B2605" t="s">
        <v>13775</v>
      </c>
      <c r="C2605" s="5" t="s">
        <v>13776</v>
      </c>
      <c r="D2605" t="s">
        <v>13777</v>
      </c>
      <c r="E2605" s="5" t="s">
        <v>2118</v>
      </c>
      <c r="F2605" s="6">
        <v>46148.456250000003</v>
      </c>
      <c r="G2605" s="5" t="s">
        <v>7456</v>
      </c>
      <c r="H2605" s="5" t="s">
        <v>13981</v>
      </c>
      <c r="I2605" s="5" t="s">
        <v>1535</v>
      </c>
      <c r="J2605" s="8">
        <v>768.8</v>
      </c>
      <c r="K2605" s="5" t="s">
        <v>4</v>
      </c>
      <c r="L2605">
        <f t="shared" si="40"/>
        <v>5</v>
      </c>
    </row>
    <row r="2606" spans="1:12" x14ac:dyDescent="0.25">
      <c r="A2606" s="5">
        <v>48288</v>
      </c>
      <c r="B2606" t="s">
        <v>8965</v>
      </c>
      <c r="C2606" s="5" t="s">
        <v>8082</v>
      </c>
      <c r="D2606" t="s">
        <v>8966</v>
      </c>
      <c r="E2606" s="5" t="s">
        <v>3085</v>
      </c>
      <c r="F2606" s="6">
        <v>46148.480555555558</v>
      </c>
      <c r="G2606" s="5" t="s">
        <v>7456</v>
      </c>
      <c r="H2606" s="5" t="s">
        <v>13982</v>
      </c>
      <c r="I2606" s="5" t="s">
        <v>1535</v>
      </c>
      <c r="J2606" s="8">
        <v>425</v>
      </c>
      <c r="K2606" s="5" t="s">
        <v>4</v>
      </c>
      <c r="L2606">
        <f t="shared" si="40"/>
        <v>5</v>
      </c>
    </row>
    <row r="2607" spans="1:12" x14ac:dyDescent="0.25">
      <c r="A2607" s="5">
        <v>48289</v>
      </c>
      <c r="B2607" t="s">
        <v>13983</v>
      </c>
      <c r="C2607" s="5" t="s">
        <v>999</v>
      </c>
      <c r="D2607" t="s">
        <v>13984</v>
      </c>
      <c r="E2607" s="5" t="s">
        <v>3222</v>
      </c>
      <c r="F2607" s="6">
        <v>46148.482638888891</v>
      </c>
      <c r="G2607" s="5" t="s">
        <v>7456</v>
      </c>
      <c r="H2607" s="5" t="s">
        <v>13985</v>
      </c>
      <c r="I2607" s="5" t="s">
        <v>1535</v>
      </c>
      <c r="J2607" s="8">
        <v>392</v>
      </c>
      <c r="K2607" s="5" t="s">
        <v>4</v>
      </c>
      <c r="L2607">
        <f t="shared" si="40"/>
        <v>5</v>
      </c>
    </row>
    <row r="2608" spans="1:12" x14ac:dyDescent="0.25">
      <c r="A2608" s="5">
        <v>48291</v>
      </c>
      <c r="B2608" t="s">
        <v>11171</v>
      </c>
      <c r="C2608" s="5" t="s">
        <v>11172</v>
      </c>
      <c r="D2608" t="s">
        <v>11173</v>
      </c>
      <c r="E2608" s="5" t="s">
        <v>1738</v>
      </c>
      <c r="F2608" s="6">
        <v>46148.582638888889</v>
      </c>
      <c r="G2608" s="5" t="s">
        <v>7672</v>
      </c>
      <c r="H2608" t="s">
        <v>7482</v>
      </c>
      <c r="I2608" s="5" t="s">
        <v>1535</v>
      </c>
      <c r="J2608" s="8">
        <v>2081.1999999999998</v>
      </c>
      <c r="K2608" s="5" t="s">
        <v>4</v>
      </c>
      <c r="L2608">
        <f t="shared" si="40"/>
        <v>5</v>
      </c>
    </row>
    <row r="2609" spans="1:12" x14ac:dyDescent="0.25">
      <c r="A2609" s="5">
        <v>48292</v>
      </c>
      <c r="B2609" t="s">
        <v>13986</v>
      </c>
      <c r="C2609" s="5" t="s">
        <v>13987</v>
      </c>
      <c r="D2609" t="s">
        <v>13988</v>
      </c>
      <c r="E2609" s="5" t="s">
        <v>2875</v>
      </c>
      <c r="F2609" s="6">
        <v>46148.586805555555</v>
      </c>
      <c r="G2609" s="5" t="s">
        <v>7456</v>
      </c>
      <c r="H2609" s="5" t="s">
        <v>13989</v>
      </c>
      <c r="I2609" s="5" t="s">
        <v>1535</v>
      </c>
      <c r="J2609" s="8">
        <v>223</v>
      </c>
      <c r="K2609" s="5" t="s">
        <v>4</v>
      </c>
      <c r="L2609">
        <f t="shared" si="40"/>
        <v>5</v>
      </c>
    </row>
    <row r="2610" spans="1:12" x14ac:dyDescent="0.25">
      <c r="A2610" s="5">
        <v>48293</v>
      </c>
      <c r="B2610" t="s">
        <v>13990</v>
      </c>
      <c r="C2610" s="5" t="s">
        <v>7516</v>
      </c>
      <c r="D2610" t="s">
        <v>9051</v>
      </c>
      <c r="E2610" s="5" t="s">
        <v>1532</v>
      </c>
      <c r="F2610" s="6">
        <v>46148.602083333331</v>
      </c>
      <c r="G2610" s="5" t="s">
        <v>7595</v>
      </c>
      <c r="H2610" t="s">
        <v>7482</v>
      </c>
      <c r="I2610" s="5" t="s">
        <v>1535</v>
      </c>
      <c r="J2610" s="8">
        <v>186</v>
      </c>
      <c r="K2610" s="5" t="s">
        <v>4</v>
      </c>
      <c r="L2610">
        <f t="shared" si="40"/>
        <v>5</v>
      </c>
    </row>
    <row r="2611" spans="1:12" x14ac:dyDescent="0.25">
      <c r="A2611" s="5">
        <v>48294</v>
      </c>
      <c r="B2611" t="s">
        <v>13991</v>
      </c>
      <c r="C2611" s="5" t="s">
        <v>7516</v>
      </c>
      <c r="D2611" t="s">
        <v>13992</v>
      </c>
      <c r="E2611" s="5" t="s">
        <v>1532</v>
      </c>
      <c r="F2611" s="6">
        <v>46148.602777777778</v>
      </c>
      <c r="G2611" s="5" t="s">
        <v>7595</v>
      </c>
      <c r="H2611" t="s">
        <v>7482</v>
      </c>
      <c r="I2611" s="5" t="s">
        <v>1535</v>
      </c>
      <c r="J2611" s="8">
        <v>186</v>
      </c>
      <c r="K2611" s="5" t="s">
        <v>4</v>
      </c>
      <c r="L2611">
        <f t="shared" si="40"/>
        <v>5</v>
      </c>
    </row>
    <row r="2612" spans="1:12" x14ac:dyDescent="0.25">
      <c r="A2612" s="5">
        <v>48299</v>
      </c>
      <c r="B2612" t="s">
        <v>13993</v>
      </c>
      <c r="C2612" s="5" t="s">
        <v>7516</v>
      </c>
      <c r="D2612" t="s">
        <v>13994</v>
      </c>
      <c r="E2612" s="5" t="s">
        <v>1532</v>
      </c>
      <c r="F2612" s="6">
        <v>46148.624305555553</v>
      </c>
      <c r="G2612" s="5" t="s">
        <v>7456</v>
      </c>
      <c r="H2612" s="5" t="s">
        <v>13995</v>
      </c>
      <c r="I2612" s="5" t="s">
        <v>1535</v>
      </c>
      <c r="J2612" s="8">
        <v>990</v>
      </c>
      <c r="K2612" s="5" t="s">
        <v>4</v>
      </c>
      <c r="L2612">
        <f t="shared" si="40"/>
        <v>5</v>
      </c>
    </row>
    <row r="2613" spans="1:12" x14ac:dyDescent="0.25">
      <c r="A2613" s="5">
        <v>48300</v>
      </c>
      <c r="B2613" t="s">
        <v>13996</v>
      </c>
      <c r="C2613" s="5" t="s">
        <v>1244</v>
      </c>
      <c r="D2613" t="s">
        <v>13997</v>
      </c>
      <c r="E2613" s="5" t="s">
        <v>7024</v>
      </c>
      <c r="F2613" s="6">
        <v>46148.634722222225</v>
      </c>
      <c r="G2613" s="5" t="s">
        <v>7456</v>
      </c>
      <c r="H2613" s="5" t="s">
        <v>13998</v>
      </c>
      <c r="I2613" s="5" t="s">
        <v>1621</v>
      </c>
      <c r="J2613" s="8">
        <v>32.799999999999997</v>
      </c>
      <c r="K2613" s="5" t="s">
        <v>4</v>
      </c>
      <c r="L2613">
        <f t="shared" si="40"/>
        <v>5</v>
      </c>
    </row>
    <row r="2614" spans="1:12" x14ac:dyDescent="0.25">
      <c r="A2614" s="5">
        <v>48301</v>
      </c>
      <c r="B2614" t="s">
        <v>13999</v>
      </c>
      <c r="C2614" s="5" t="s">
        <v>14000</v>
      </c>
      <c r="D2614" t="s">
        <v>14001</v>
      </c>
      <c r="E2614" s="5" t="s">
        <v>1532</v>
      </c>
      <c r="F2614" s="6">
        <v>46148.643750000003</v>
      </c>
      <c r="G2614" s="5" t="s">
        <v>7595</v>
      </c>
      <c r="H2614" t="s">
        <v>7482</v>
      </c>
      <c r="I2614" s="5" t="s">
        <v>1535</v>
      </c>
      <c r="J2614" s="8">
        <v>279.8</v>
      </c>
      <c r="K2614" s="5" t="s">
        <v>4</v>
      </c>
      <c r="L2614">
        <f t="shared" si="40"/>
        <v>5</v>
      </c>
    </row>
    <row r="2615" spans="1:12" x14ac:dyDescent="0.25">
      <c r="A2615" s="5">
        <v>48302</v>
      </c>
      <c r="B2615" t="s">
        <v>13640</v>
      </c>
      <c r="C2615" s="5" t="s">
        <v>8574</v>
      </c>
      <c r="D2615" t="s">
        <v>13641</v>
      </c>
      <c r="E2615" s="5" t="s">
        <v>2875</v>
      </c>
      <c r="F2615" s="6">
        <v>46148.65347222222</v>
      </c>
      <c r="G2615" s="5" t="s">
        <v>7595</v>
      </c>
      <c r="H2615" t="s">
        <v>7482</v>
      </c>
      <c r="I2615" s="5" t="s">
        <v>1535</v>
      </c>
      <c r="J2615" s="8">
        <v>2932.8</v>
      </c>
      <c r="K2615" s="5" t="s">
        <v>4</v>
      </c>
      <c r="L2615">
        <f t="shared" si="40"/>
        <v>5</v>
      </c>
    </row>
    <row r="2616" spans="1:12" x14ac:dyDescent="0.25">
      <c r="A2616" s="5">
        <v>48303</v>
      </c>
      <c r="B2616" t="s">
        <v>14002</v>
      </c>
      <c r="C2616" s="5" t="s">
        <v>14003</v>
      </c>
      <c r="D2616" t="s">
        <v>14004</v>
      </c>
      <c r="E2616" s="5" t="s">
        <v>1813</v>
      </c>
      <c r="F2616" s="6">
        <v>46148.655555555553</v>
      </c>
      <c r="G2616" s="5" t="s">
        <v>7456</v>
      </c>
      <c r="H2616" s="5" t="s">
        <v>14005</v>
      </c>
      <c r="I2616" s="5" t="s">
        <v>1535</v>
      </c>
      <c r="J2616" s="8">
        <v>491</v>
      </c>
      <c r="K2616" s="5" t="s">
        <v>4</v>
      </c>
      <c r="L2616">
        <f t="shared" si="40"/>
        <v>5</v>
      </c>
    </row>
    <row r="2617" spans="1:12" x14ac:dyDescent="0.25">
      <c r="A2617" s="5">
        <v>48304</v>
      </c>
      <c r="B2617" t="s">
        <v>9731</v>
      </c>
      <c r="C2617" s="5" t="s">
        <v>9732</v>
      </c>
      <c r="D2617" t="s">
        <v>9733</v>
      </c>
      <c r="E2617" s="5" t="s">
        <v>2062</v>
      </c>
      <c r="F2617" s="6">
        <v>46148.661805555559</v>
      </c>
      <c r="G2617" s="5" t="s">
        <v>7456</v>
      </c>
      <c r="H2617" s="5" t="s">
        <v>14006</v>
      </c>
      <c r="I2617" s="5" t="s">
        <v>1535</v>
      </c>
      <c r="J2617" s="8">
        <v>1118</v>
      </c>
      <c r="K2617" s="5" t="s">
        <v>4</v>
      </c>
      <c r="L2617">
        <f t="shared" si="40"/>
        <v>5</v>
      </c>
    </row>
    <row r="2618" spans="1:12" x14ac:dyDescent="0.25">
      <c r="A2618" s="5">
        <v>48305</v>
      </c>
      <c r="B2618" t="s">
        <v>8802</v>
      </c>
      <c r="C2618" s="5" t="s">
        <v>1408</v>
      </c>
      <c r="D2618" t="s">
        <v>8803</v>
      </c>
      <c r="E2618" s="5" t="s">
        <v>1548</v>
      </c>
      <c r="F2618" s="6">
        <v>46148.678472222222</v>
      </c>
      <c r="G2618" s="5" t="s">
        <v>7456</v>
      </c>
      <c r="H2618" s="5" t="s">
        <v>14007</v>
      </c>
      <c r="I2618" s="5" t="s">
        <v>1564</v>
      </c>
      <c r="J2618" s="8">
        <v>139.80000000000001</v>
      </c>
      <c r="K2618" s="5" t="s">
        <v>4</v>
      </c>
      <c r="L2618">
        <f t="shared" si="40"/>
        <v>5</v>
      </c>
    </row>
    <row r="2619" spans="1:12" x14ac:dyDescent="0.25">
      <c r="A2619" s="5">
        <v>48306</v>
      </c>
      <c r="B2619" t="s">
        <v>14008</v>
      </c>
      <c r="C2619" s="5" t="s">
        <v>14009</v>
      </c>
      <c r="D2619" t="s">
        <v>14010</v>
      </c>
      <c r="E2619" s="5" t="s">
        <v>2087</v>
      </c>
      <c r="F2619" s="6">
        <v>46148.707638888889</v>
      </c>
      <c r="G2619" s="5" t="s">
        <v>7456</v>
      </c>
      <c r="H2619" s="5" t="s">
        <v>14011</v>
      </c>
      <c r="I2619" s="5" t="s">
        <v>1621</v>
      </c>
      <c r="J2619" s="8">
        <v>1065.5999999999999</v>
      </c>
      <c r="K2619" s="5" t="s">
        <v>4</v>
      </c>
      <c r="L2619">
        <f t="shared" si="40"/>
        <v>5</v>
      </c>
    </row>
    <row r="2620" spans="1:12" x14ac:dyDescent="0.25">
      <c r="A2620" s="5">
        <v>48307</v>
      </c>
      <c r="B2620" t="s">
        <v>8881</v>
      </c>
      <c r="C2620" s="5" t="s">
        <v>8882</v>
      </c>
      <c r="D2620" t="s">
        <v>8883</v>
      </c>
      <c r="E2620" s="5" t="s">
        <v>1532</v>
      </c>
      <c r="F2620" s="6">
        <v>46149.347916666666</v>
      </c>
      <c r="G2620" s="5" t="s">
        <v>7456</v>
      </c>
      <c r="H2620" s="5" t="s">
        <v>14012</v>
      </c>
      <c r="I2620" s="5" t="s">
        <v>1535</v>
      </c>
      <c r="J2620" s="8">
        <v>142</v>
      </c>
      <c r="K2620" s="5" t="s">
        <v>4</v>
      </c>
      <c r="L2620">
        <f t="shared" si="40"/>
        <v>5</v>
      </c>
    </row>
    <row r="2621" spans="1:12" x14ac:dyDescent="0.25">
      <c r="A2621" s="5">
        <v>48308</v>
      </c>
      <c r="B2621" t="s">
        <v>14013</v>
      </c>
      <c r="C2621" s="5" t="s">
        <v>14014</v>
      </c>
      <c r="D2621" t="s">
        <v>14015</v>
      </c>
      <c r="E2621" s="5" t="s">
        <v>1813</v>
      </c>
      <c r="F2621" s="6">
        <v>46149.364583333336</v>
      </c>
      <c r="G2621" s="5" t="s">
        <v>7456</v>
      </c>
      <c r="H2621" s="5" t="s">
        <v>14016</v>
      </c>
      <c r="I2621" s="5" t="s">
        <v>1535</v>
      </c>
      <c r="J2621" s="8">
        <v>118</v>
      </c>
      <c r="K2621" s="5" t="s">
        <v>4</v>
      </c>
      <c r="L2621">
        <f t="shared" si="40"/>
        <v>5</v>
      </c>
    </row>
    <row r="2622" spans="1:12" x14ac:dyDescent="0.25">
      <c r="A2622" s="5">
        <v>48309</v>
      </c>
      <c r="B2622" t="s">
        <v>14017</v>
      </c>
      <c r="C2622" s="5" t="s">
        <v>947</v>
      </c>
      <c r="D2622" t="s">
        <v>14018</v>
      </c>
      <c r="E2622" s="5" t="s">
        <v>1548</v>
      </c>
      <c r="F2622" s="6">
        <v>46149.369444444441</v>
      </c>
      <c r="G2622" s="5" t="s">
        <v>7456</v>
      </c>
      <c r="H2622" s="5" t="s">
        <v>14019</v>
      </c>
      <c r="I2622" s="5" t="s">
        <v>1564</v>
      </c>
      <c r="J2622" s="8">
        <v>180</v>
      </c>
      <c r="K2622" s="5" t="s">
        <v>4</v>
      </c>
      <c r="L2622">
        <f t="shared" si="40"/>
        <v>5</v>
      </c>
    </row>
    <row r="2623" spans="1:12" x14ac:dyDescent="0.25">
      <c r="A2623" s="5">
        <v>48310</v>
      </c>
      <c r="B2623" t="s">
        <v>14020</v>
      </c>
      <c r="C2623" s="5" t="s">
        <v>7516</v>
      </c>
      <c r="D2623" t="s">
        <v>14021</v>
      </c>
      <c r="E2623" s="5" t="s">
        <v>1813</v>
      </c>
      <c r="F2623" s="6">
        <v>46149.376388888886</v>
      </c>
      <c r="G2623" s="5" t="s">
        <v>7595</v>
      </c>
      <c r="H2623" t="s">
        <v>7482</v>
      </c>
      <c r="I2623" s="5" t="s">
        <v>1535</v>
      </c>
      <c r="J2623" s="8">
        <v>398</v>
      </c>
      <c r="K2623" s="5" t="s">
        <v>4</v>
      </c>
      <c r="L2623">
        <f t="shared" si="40"/>
        <v>5</v>
      </c>
    </row>
    <row r="2624" spans="1:12" x14ac:dyDescent="0.25">
      <c r="A2624" s="5">
        <v>48311</v>
      </c>
      <c r="B2624" t="s">
        <v>11367</v>
      </c>
      <c r="C2624" s="5" t="s">
        <v>11368</v>
      </c>
      <c r="D2624" t="s">
        <v>11369</v>
      </c>
      <c r="E2624" s="5" t="s">
        <v>1770</v>
      </c>
      <c r="F2624" s="6">
        <v>46149.393750000003</v>
      </c>
      <c r="G2624" s="5" t="s">
        <v>7456</v>
      </c>
      <c r="H2624" s="5" t="s">
        <v>14022</v>
      </c>
      <c r="I2624" s="5" t="s">
        <v>1564</v>
      </c>
      <c r="J2624" s="8">
        <v>98</v>
      </c>
      <c r="K2624" s="5" t="s">
        <v>4</v>
      </c>
      <c r="L2624">
        <f t="shared" si="40"/>
        <v>5</v>
      </c>
    </row>
    <row r="2625" spans="1:12" x14ac:dyDescent="0.25">
      <c r="A2625" s="5">
        <v>48312</v>
      </c>
      <c r="B2625" t="s">
        <v>11465</v>
      </c>
      <c r="C2625" s="5" t="s">
        <v>13109</v>
      </c>
      <c r="D2625" t="s">
        <v>11466</v>
      </c>
      <c r="E2625" s="5" t="s">
        <v>1532</v>
      </c>
      <c r="F2625" s="6">
        <v>46149.425694444442</v>
      </c>
      <c r="G2625" s="5" t="s">
        <v>7456</v>
      </c>
      <c r="H2625" s="5" t="s">
        <v>14023</v>
      </c>
      <c r="I2625" s="5" t="s">
        <v>1535</v>
      </c>
      <c r="J2625" s="8">
        <v>281.60000000000002</v>
      </c>
      <c r="K2625" s="5" t="s">
        <v>4</v>
      </c>
      <c r="L2625">
        <f t="shared" si="40"/>
        <v>5</v>
      </c>
    </row>
    <row r="2626" spans="1:12" x14ac:dyDescent="0.25">
      <c r="A2626" s="5">
        <v>48313</v>
      </c>
      <c r="B2626" t="s">
        <v>11367</v>
      </c>
      <c r="C2626" s="5" t="s">
        <v>11368</v>
      </c>
      <c r="D2626" t="s">
        <v>11369</v>
      </c>
      <c r="E2626" s="5" t="s">
        <v>1548</v>
      </c>
      <c r="F2626" s="6">
        <v>46149.438194444447</v>
      </c>
      <c r="G2626" s="5" t="s">
        <v>7672</v>
      </c>
      <c r="H2626" t="s">
        <v>8626</v>
      </c>
      <c r="I2626" s="5" t="s">
        <v>1564</v>
      </c>
      <c r="J2626" s="8">
        <v>4944.2</v>
      </c>
      <c r="K2626" s="5" t="s">
        <v>4</v>
      </c>
      <c r="L2626">
        <f t="shared" si="40"/>
        <v>5</v>
      </c>
    </row>
    <row r="2627" spans="1:12" x14ac:dyDescent="0.25">
      <c r="A2627" s="5">
        <v>48318</v>
      </c>
      <c r="B2627" t="s">
        <v>14024</v>
      </c>
      <c r="C2627" s="5" t="s">
        <v>1299</v>
      </c>
      <c r="D2627" t="s">
        <v>14025</v>
      </c>
      <c r="E2627" s="5" t="s">
        <v>7041</v>
      </c>
      <c r="F2627" s="6">
        <v>46149.581250000003</v>
      </c>
      <c r="G2627" s="5" t="s">
        <v>7456</v>
      </c>
      <c r="H2627" s="5" t="s">
        <v>14026</v>
      </c>
      <c r="I2627" s="5" t="s">
        <v>1621</v>
      </c>
      <c r="J2627" s="8">
        <v>32.340000000000003</v>
      </c>
      <c r="K2627" s="5" t="s">
        <v>4</v>
      </c>
      <c r="L2627">
        <f t="shared" ref="L2627:L2690" si="41">MONTH(F2627)</f>
        <v>5</v>
      </c>
    </row>
    <row r="2628" spans="1:12" x14ac:dyDescent="0.25">
      <c r="A2628" s="5">
        <v>48319</v>
      </c>
      <c r="B2628" t="s">
        <v>13164</v>
      </c>
      <c r="C2628" s="5" t="s">
        <v>13165</v>
      </c>
      <c r="D2628" t="s">
        <v>13166</v>
      </c>
      <c r="E2628" s="5" t="s">
        <v>1548</v>
      </c>
      <c r="F2628" s="6">
        <v>46149.59097222222</v>
      </c>
      <c r="G2628" s="5" t="s">
        <v>7595</v>
      </c>
      <c r="H2628" t="s">
        <v>7482</v>
      </c>
      <c r="I2628" s="5" t="s">
        <v>1535</v>
      </c>
      <c r="J2628" s="8">
        <v>200</v>
      </c>
      <c r="K2628" s="5" t="s">
        <v>4</v>
      </c>
      <c r="L2628">
        <f t="shared" si="41"/>
        <v>5</v>
      </c>
    </row>
    <row r="2629" spans="1:12" x14ac:dyDescent="0.25">
      <c r="A2629" s="5">
        <v>48320</v>
      </c>
      <c r="B2629" t="s">
        <v>12358</v>
      </c>
      <c r="C2629" s="5" t="s">
        <v>7516</v>
      </c>
      <c r="D2629" t="s">
        <v>12359</v>
      </c>
      <c r="E2629" s="5" t="s">
        <v>1532</v>
      </c>
      <c r="F2629" s="6">
        <v>46149.592361111114</v>
      </c>
      <c r="G2629" s="5" t="s">
        <v>7456</v>
      </c>
      <c r="H2629" s="5" t="s">
        <v>14027</v>
      </c>
      <c r="I2629" s="5" t="s">
        <v>1535</v>
      </c>
      <c r="J2629" s="8">
        <v>474</v>
      </c>
      <c r="K2629" s="5" t="s">
        <v>4</v>
      </c>
      <c r="L2629">
        <f t="shared" si="41"/>
        <v>5</v>
      </c>
    </row>
    <row r="2630" spans="1:12" x14ac:dyDescent="0.25">
      <c r="A2630" s="5">
        <v>48321</v>
      </c>
      <c r="B2630" t="s">
        <v>14028</v>
      </c>
      <c r="C2630" s="5" t="s">
        <v>20</v>
      </c>
      <c r="D2630" t="s">
        <v>14029</v>
      </c>
      <c r="E2630" s="5" t="s">
        <v>7337</v>
      </c>
      <c r="F2630" s="6">
        <v>46149.59097222222</v>
      </c>
      <c r="G2630" s="5" t="s">
        <v>7456</v>
      </c>
      <c r="H2630" s="5" t="s">
        <v>14030</v>
      </c>
      <c r="I2630" s="5" t="s">
        <v>1621</v>
      </c>
      <c r="J2630" s="8">
        <v>14.99</v>
      </c>
      <c r="K2630" s="5" t="s">
        <v>4</v>
      </c>
      <c r="L2630">
        <f t="shared" si="41"/>
        <v>5</v>
      </c>
    </row>
    <row r="2631" spans="1:12" x14ac:dyDescent="0.25">
      <c r="A2631" s="5">
        <v>48322</v>
      </c>
      <c r="B2631" t="s">
        <v>14031</v>
      </c>
      <c r="C2631" s="5" t="s">
        <v>7516</v>
      </c>
      <c r="D2631" t="s">
        <v>14032</v>
      </c>
      <c r="E2631" s="5" t="s">
        <v>1813</v>
      </c>
      <c r="F2631" s="6">
        <v>46149.600694444445</v>
      </c>
      <c r="G2631" s="5" t="s">
        <v>7595</v>
      </c>
      <c r="H2631" t="s">
        <v>7482</v>
      </c>
      <c r="I2631" s="5" t="s">
        <v>1535</v>
      </c>
      <c r="J2631" s="8">
        <v>326</v>
      </c>
      <c r="K2631" s="5" t="s">
        <v>4</v>
      </c>
      <c r="L2631">
        <f t="shared" si="41"/>
        <v>5</v>
      </c>
    </row>
    <row r="2632" spans="1:12" x14ac:dyDescent="0.25">
      <c r="A2632" s="5">
        <v>48323</v>
      </c>
      <c r="B2632" t="s">
        <v>9794</v>
      </c>
      <c r="C2632" s="5" t="s">
        <v>14033</v>
      </c>
      <c r="D2632" t="s">
        <v>9796</v>
      </c>
      <c r="E2632" s="5" t="s">
        <v>1731</v>
      </c>
      <c r="F2632" s="6">
        <v>46149.601388888892</v>
      </c>
      <c r="G2632" s="5" t="s">
        <v>7456</v>
      </c>
      <c r="H2632" s="5" t="s">
        <v>14034</v>
      </c>
      <c r="I2632" s="5" t="s">
        <v>1621</v>
      </c>
      <c r="J2632" s="8">
        <v>2560</v>
      </c>
      <c r="K2632" s="5" t="s">
        <v>4</v>
      </c>
      <c r="L2632">
        <f t="shared" si="41"/>
        <v>5</v>
      </c>
    </row>
    <row r="2633" spans="1:12" x14ac:dyDescent="0.25">
      <c r="A2633" s="5">
        <v>48326</v>
      </c>
      <c r="B2633" t="s">
        <v>14035</v>
      </c>
      <c r="C2633" s="5" t="s">
        <v>14036</v>
      </c>
      <c r="D2633" t="s">
        <v>14037</v>
      </c>
      <c r="E2633" s="5" t="s">
        <v>1770</v>
      </c>
      <c r="F2633" s="6">
        <v>46149.644444444442</v>
      </c>
      <c r="G2633" s="5" t="s">
        <v>7672</v>
      </c>
      <c r="H2633" t="s">
        <v>7482</v>
      </c>
      <c r="I2633" s="5" t="s">
        <v>1564</v>
      </c>
      <c r="J2633" s="8">
        <v>212</v>
      </c>
      <c r="K2633" s="5" t="s">
        <v>4</v>
      </c>
      <c r="L2633">
        <f t="shared" si="41"/>
        <v>5</v>
      </c>
    </row>
    <row r="2634" spans="1:12" x14ac:dyDescent="0.25">
      <c r="A2634" s="5">
        <v>48327</v>
      </c>
      <c r="B2634" t="s">
        <v>14038</v>
      </c>
      <c r="C2634" s="5" t="s">
        <v>14039</v>
      </c>
      <c r="D2634" t="s">
        <v>14040</v>
      </c>
      <c r="E2634" s="5" t="s">
        <v>2800</v>
      </c>
      <c r="F2634" s="6">
        <v>46149.614583333336</v>
      </c>
      <c r="G2634" s="5" t="s">
        <v>7456</v>
      </c>
      <c r="H2634" s="5" t="s">
        <v>14041</v>
      </c>
      <c r="I2634" s="5" t="s">
        <v>1621</v>
      </c>
      <c r="J2634" s="8">
        <v>520.04</v>
      </c>
      <c r="K2634" s="5" t="s">
        <v>4</v>
      </c>
      <c r="L2634">
        <f t="shared" si="41"/>
        <v>5</v>
      </c>
    </row>
    <row r="2635" spans="1:12" x14ac:dyDescent="0.25">
      <c r="A2635" s="5">
        <v>48328</v>
      </c>
      <c r="B2635" t="s">
        <v>14042</v>
      </c>
      <c r="C2635" s="5" t="s">
        <v>14043</v>
      </c>
      <c r="D2635" t="s">
        <v>14044</v>
      </c>
      <c r="E2635" s="5" t="s">
        <v>1532</v>
      </c>
      <c r="F2635" s="6">
        <v>46149.657638888886</v>
      </c>
      <c r="G2635" s="5" t="s">
        <v>7456</v>
      </c>
      <c r="H2635" s="5" t="s">
        <v>14045</v>
      </c>
      <c r="I2635" s="5" t="s">
        <v>1535</v>
      </c>
      <c r="J2635" s="8">
        <v>224.9</v>
      </c>
      <c r="K2635" s="5" t="s">
        <v>4</v>
      </c>
      <c r="L2635">
        <f t="shared" si="41"/>
        <v>5</v>
      </c>
    </row>
    <row r="2636" spans="1:12" x14ac:dyDescent="0.25">
      <c r="A2636" s="5">
        <v>48329</v>
      </c>
      <c r="B2636" t="s">
        <v>14046</v>
      </c>
      <c r="C2636" s="5" t="s">
        <v>14047</v>
      </c>
      <c r="D2636" t="s">
        <v>14048</v>
      </c>
      <c r="E2636" s="5" t="s">
        <v>6949</v>
      </c>
      <c r="F2636" s="6">
        <v>46149.656944444447</v>
      </c>
      <c r="G2636" s="5" t="s">
        <v>7456</v>
      </c>
      <c r="H2636" s="5" t="s">
        <v>14049</v>
      </c>
      <c r="I2636" s="5" t="s">
        <v>1621</v>
      </c>
      <c r="J2636" s="8">
        <v>38.24</v>
      </c>
      <c r="K2636" s="5" t="s">
        <v>4</v>
      </c>
      <c r="L2636">
        <f t="shared" si="41"/>
        <v>5</v>
      </c>
    </row>
    <row r="2637" spans="1:12" x14ac:dyDescent="0.25">
      <c r="A2637" s="5">
        <v>48330</v>
      </c>
      <c r="B2637" t="s">
        <v>14050</v>
      </c>
      <c r="C2637" s="5" t="s">
        <v>434</v>
      </c>
      <c r="D2637" t="s">
        <v>14051</v>
      </c>
      <c r="E2637" s="5" t="s">
        <v>5133</v>
      </c>
      <c r="F2637" s="6">
        <v>46149.664583333331</v>
      </c>
      <c r="G2637" s="5" t="s">
        <v>7456</v>
      </c>
      <c r="H2637" s="5" t="s">
        <v>14052</v>
      </c>
      <c r="I2637" s="5" t="s">
        <v>1621</v>
      </c>
      <c r="J2637" s="8">
        <v>143.81</v>
      </c>
      <c r="K2637" s="5" t="s">
        <v>4</v>
      </c>
      <c r="L2637">
        <f t="shared" si="41"/>
        <v>5</v>
      </c>
    </row>
    <row r="2638" spans="1:12" x14ac:dyDescent="0.25">
      <c r="A2638" s="5">
        <v>48331</v>
      </c>
      <c r="B2638" t="s">
        <v>14053</v>
      </c>
      <c r="C2638" s="5" t="s">
        <v>14054</v>
      </c>
      <c r="D2638" t="s">
        <v>14055</v>
      </c>
      <c r="E2638" s="5" t="s">
        <v>7214</v>
      </c>
      <c r="F2638" s="6">
        <v>46149.672222222223</v>
      </c>
      <c r="G2638" s="5" t="s">
        <v>7456</v>
      </c>
      <c r="H2638" s="5" t="s">
        <v>14056</v>
      </c>
      <c r="I2638" s="5" t="s">
        <v>1621</v>
      </c>
      <c r="J2638" s="8">
        <v>24.34</v>
      </c>
      <c r="K2638" s="5" t="s">
        <v>4</v>
      </c>
      <c r="L2638">
        <f t="shared" si="41"/>
        <v>5</v>
      </c>
    </row>
    <row r="2639" spans="1:12" x14ac:dyDescent="0.25">
      <c r="A2639" s="5">
        <v>48332</v>
      </c>
      <c r="B2639" t="s">
        <v>14057</v>
      </c>
      <c r="C2639" s="5" t="s">
        <v>14058</v>
      </c>
      <c r="D2639" t="s">
        <v>14059</v>
      </c>
      <c r="E2639" s="5" t="s">
        <v>7276</v>
      </c>
      <c r="F2639" s="6">
        <v>46149.679861111108</v>
      </c>
      <c r="G2639" s="5" t="s">
        <v>7456</v>
      </c>
      <c r="H2639" s="5" t="s">
        <v>14060</v>
      </c>
      <c r="I2639" s="5" t="s">
        <v>1621</v>
      </c>
      <c r="J2639" s="8">
        <v>19.8</v>
      </c>
      <c r="K2639" s="5" t="s">
        <v>4</v>
      </c>
      <c r="L2639">
        <f t="shared" si="41"/>
        <v>5</v>
      </c>
    </row>
    <row r="2640" spans="1:12" x14ac:dyDescent="0.25">
      <c r="A2640" s="5">
        <v>48333</v>
      </c>
      <c r="B2640" t="s">
        <v>14061</v>
      </c>
      <c r="C2640" s="5" t="s">
        <v>782</v>
      </c>
      <c r="D2640" t="s">
        <v>14062</v>
      </c>
      <c r="E2640" s="5" t="s">
        <v>6074</v>
      </c>
      <c r="F2640" s="6">
        <v>46149.686805555553</v>
      </c>
      <c r="G2640" s="5" t="s">
        <v>7456</v>
      </c>
      <c r="H2640" s="5" t="s">
        <v>14063</v>
      </c>
      <c r="I2640" s="5" t="s">
        <v>1621</v>
      </c>
      <c r="J2640" s="8">
        <v>89.99</v>
      </c>
      <c r="K2640" s="5" t="s">
        <v>4</v>
      </c>
      <c r="L2640">
        <f t="shared" si="41"/>
        <v>5</v>
      </c>
    </row>
    <row r="2641" spans="1:12" x14ac:dyDescent="0.25">
      <c r="A2641" s="5">
        <v>48334</v>
      </c>
      <c r="B2641" t="s">
        <v>14064</v>
      </c>
      <c r="C2641" s="5" t="s">
        <v>14065</v>
      </c>
      <c r="D2641" t="s">
        <v>14066</v>
      </c>
      <c r="E2641" s="5" t="s">
        <v>1548</v>
      </c>
      <c r="F2641" s="6">
        <v>46149.697916666664</v>
      </c>
      <c r="G2641" s="5" t="s">
        <v>7456</v>
      </c>
      <c r="H2641" s="5" t="s">
        <v>14067</v>
      </c>
      <c r="I2641" s="5" t="s">
        <v>1535</v>
      </c>
      <c r="J2641" s="8">
        <v>293</v>
      </c>
      <c r="K2641" s="5" t="s">
        <v>4</v>
      </c>
      <c r="L2641">
        <f t="shared" si="41"/>
        <v>5</v>
      </c>
    </row>
    <row r="2642" spans="1:12" x14ac:dyDescent="0.25">
      <c r="A2642" s="5">
        <v>48335</v>
      </c>
      <c r="B2642" t="s">
        <v>14068</v>
      </c>
      <c r="C2642" s="5" t="s">
        <v>868</v>
      </c>
      <c r="D2642" t="s">
        <v>14069</v>
      </c>
      <c r="E2642" s="5" t="s">
        <v>1548</v>
      </c>
      <c r="F2642" s="6">
        <v>46149.703472222223</v>
      </c>
      <c r="G2642" s="5" t="s">
        <v>7456</v>
      </c>
      <c r="H2642" s="5" t="s">
        <v>14070</v>
      </c>
      <c r="I2642" s="5" t="s">
        <v>1564</v>
      </c>
      <c r="J2642" s="8">
        <v>129.93</v>
      </c>
      <c r="K2642" s="5" t="s">
        <v>4</v>
      </c>
      <c r="L2642">
        <f t="shared" si="41"/>
        <v>5</v>
      </c>
    </row>
    <row r="2643" spans="1:12" x14ac:dyDescent="0.25">
      <c r="A2643" s="5">
        <v>48336</v>
      </c>
      <c r="B2643" t="s">
        <v>14071</v>
      </c>
      <c r="C2643" s="5" t="s">
        <v>14072</v>
      </c>
      <c r="D2643" t="s">
        <v>14073</v>
      </c>
      <c r="E2643" s="5" t="s">
        <v>6023</v>
      </c>
      <c r="F2643" s="6">
        <v>46149.697916666664</v>
      </c>
      <c r="G2643" s="5" t="s">
        <v>7456</v>
      </c>
      <c r="H2643" s="5" t="s">
        <v>14074</v>
      </c>
      <c r="I2643" s="5" t="s">
        <v>1621</v>
      </c>
      <c r="J2643" s="8">
        <v>93.99</v>
      </c>
      <c r="K2643" s="5" t="s">
        <v>4</v>
      </c>
      <c r="L2643">
        <f t="shared" si="41"/>
        <v>5</v>
      </c>
    </row>
    <row r="2644" spans="1:12" x14ac:dyDescent="0.25">
      <c r="A2644" s="5">
        <v>48337</v>
      </c>
      <c r="B2644" t="s">
        <v>14075</v>
      </c>
      <c r="C2644" s="5" t="s">
        <v>79</v>
      </c>
      <c r="D2644" t="s">
        <v>14076</v>
      </c>
      <c r="E2644" s="5" t="s">
        <v>1548</v>
      </c>
      <c r="F2644" s="6">
        <v>46149.713194444441</v>
      </c>
      <c r="G2644" s="5" t="s">
        <v>7456</v>
      </c>
      <c r="H2644" s="5" t="s">
        <v>14077</v>
      </c>
      <c r="I2644" s="5" t="s">
        <v>1535</v>
      </c>
      <c r="J2644" s="8">
        <v>159</v>
      </c>
      <c r="K2644" s="5" t="s">
        <v>4</v>
      </c>
      <c r="L2644">
        <f t="shared" si="41"/>
        <v>5</v>
      </c>
    </row>
    <row r="2645" spans="1:12" x14ac:dyDescent="0.25">
      <c r="A2645" s="5">
        <v>48338</v>
      </c>
      <c r="B2645" t="s">
        <v>14078</v>
      </c>
      <c r="C2645" s="5" t="s">
        <v>14079</v>
      </c>
      <c r="D2645" t="s">
        <v>14080</v>
      </c>
      <c r="E2645" s="5" t="s">
        <v>1532</v>
      </c>
      <c r="F2645" s="6">
        <v>46150.351388888892</v>
      </c>
      <c r="G2645" s="5" t="s">
        <v>7595</v>
      </c>
      <c r="H2645" t="s">
        <v>7482</v>
      </c>
      <c r="I2645" s="5" t="s">
        <v>1535</v>
      </c>
      <c r="J2645" s="8">
        <v>1580</v>
      </c>
      <c r="K2645" s="5" t="s">
        <v>4</v>
      </c>
      <c r="L2645">
        <f t="shared" si="41"/>
        <v>5</v>
      </c>
    </row>
    <row r="2646" spans="1:12" x14ac:dyDescent="0.25">
      <c r="A2646" s="5">
        <v>48340</v>
      </c>
      <c r="B2646" t="s">
        <v>10001</v>
      </c>
      <c r="C2646" s="5" t="s">
        <v>10002</v>
      </c>
      <c r="D2646" t="s">
        <v>10003</v>
      </c>
      <c r="E2646" s="5" t="s">
        <v>1548</v>
      </c>
      <c r="F2646" s="6">
        <v>46150.363888888889</v>
      </c>
      <c r="G2646" s="5" t="s">
        <v>7456</v>
      </c>
      <c r="H2646" s="5" t="s">
        <v>14081</v>
      </c>
      <c r="I2646" s="5" t="s">
        <v>1535</v>
      </c>
      <c r="J2646" s="8">
        <v>708</v>
      </c>
      <c r="K2646" s="5" t="s">
        <v>4</v>
      </c>
      <c r="L2646">
        <f t="shared" si="41"/>
        <v>5</v>
      </c>
    </row>
    <row r="2647" spans="1:12" x14ac:dyDescent="0.25">
      <c r="A2647" s="5">
        <v>48343</v>
      </c>
      <c r="B2647" t="s">
        <v>12256</v>
      </c>
      <c r="C2647" s="5" t="s">
        <v>12257</v>
      </c>
      <c r="D2647" t="s">
        <v>12258</v>
      </c>
      <c r="E2647" s="5" t="s">
        <v>1532</v>
      </c>
      <c r="F2647" s="6">
        <v>46150.461111111108</v>
      </c>
      <c r="G2647" s="5" t="s">
        <v>7595</v>
      </c>
      <c r="H2647" t="s">
        <v>7482</v>
      </c>
      <c r="I2647" s="5" t="s">
        <v>1535</v>
      </c>
      <c r="J2647" s="8">
        <v>806</v>
      </c>
      <c r="K2647" s="5" t="s">
        <v>4</v>
      </c>
      <c r="L2647">
        <f t="shared" si="41"/>
        <v>5</v>
      </c>
    </row>
    <row r="2648" spans="1:12" x14ac:dyDescent="0.25">
      <c r="A2648" s="5">
        <v>48345</v>
      </c>
      <c r="B2648" t="s">
        <v>10242</v>
      </c>
      <c r="C2648" s="5" t="s">
        <v>10243</v>
      </c>
      <c r="D2648" t="s">
        <v>10244</v>
      </c>
      <c r="E2648" s="5" t="s">
        <v>1742</v>
      </c>
      <c r="F2648" s="6">
        <v>46150.552777777775</v>
      </c>
      <c r="G2648" s="5" t="s">
        <v>7456</v>
      </c>
      <c r="H2648" s="5" t="s">
        <v>14082</v>
      </c>
      <c r="I2648" s="5" t="s">
        <v>1535</v>
      </c>
      <c r="J2648" s="8">
        <v>509.75</v>
      </c>
      <c r="K2648" s="5" t="s">
        <v>4</v>
      </c>
      <c r="L2648">
        <f t="shared" si="41"/>
        <v>5</v>
      </c>
    </row>
    <row r="2649" spans="1:12" x14ac:dyDescent="0.25">
      <c r="A2649" s="5">
        <v>48346</v>
      </c>
      <c r="B2649" t="s">
        <v>10242</v>
      </c>
      <c r="C2649" s="5" t="s">
        <v>10243</v>
      </c>
      <c r="D2649" t="s">
        <v>10244</v>
      </c>
      <c r="E2649" s="5" t="s">
        <v>1742</v>
      </c>
      <c r="F2649" s="6">
        <v>46150.594444444447</v>
      </c>
      <c r="G2649" s="5" t="s">
        <v>7456</v>
      </c>
      <c r="H2649" s="5" t="s">
        <v>14083</v>
      </c>
      <c r="I2649" s="5" t="s">
        <v>1535</v>
      </c>
      <c r="J2649" s="8">
        <v>387.2</v>
      </c>
      <c r="K2649" s="5" t="s">
        <v>4</v>
      </c>
      <c r="L2649">
        <f t="shared" si="41"/>
        <v>5</v>
      </c>
    </row>
    <row r="2650" spans="1:12" x14ac:dyDescent="0.25">
      <c r="A2650" s="5">
        <v>48348</v>
      </c>
      <c r="B2650" t="s">
        <v>14084</v>
      </c>
      <c r="C2650" s="5" t="s">
        <v>158</v>
      </c>
      <c r="D2650" t="s">
        <v>14085</v>
      </c>
      <c r="E2650" s="5" t="s">
        <v>6592</v>
      </c>
      <c r="F2650" s="6">
        <v>46150.620138888888</v>
      </c>
      <c r="G2650" s="5" t="s">
        <v>7456</v>
      </c>
      <c r="H2650" s="5" t="s">
        <v>14086</v>
      </c>
      <c r="I2650" s="5" t="s">
        <v>1621</v>
      </c>
      <c r="J2650" s="8">
        <v>57.13</v>
      </c>
      <c r="K2650" s="5" t="s">
        <v>4</v>
      </c>
      <c r="L2650">
        <f t="shared" si="41"/>
        <v>5</v>
      </c>
    </row>
    <row r="2651" spans="1:12" x14ac:dyDescent="0.25">
      <c r="A2651" s="5">
        <v>48350</v>
      </c>
      <c r="B2651" t="s">
        <v>8965</v>
      </c>
      <c r="C2651" s="5" t="s">
        <v>8360</v>
      </c>
      <c r="D2651" t="s">
        <v>8966</v>
      </c>
      <c r="E2651" s="5" t="s">
        <v>14087</v>
      </c>
      <c r="F2651" s="6">
        <v>46150.635416666664</v>
      </c>
      <c r="G2651" s="5" t="s">
        <v>7595</v>
      </c>
      <c r="H2651" t="s">
        <v>7482</v>
      </c>
      <c r="I2651" s="5" t="s">
        <v>1535</v>
      </c>
      <c r="J2651" s="8">
        <v>1695</v>
      </c>
      <c r="K2651" s="5" t="s">
        <v>4</v>
      </c>
      <c r="L2651">
        <f t="shared" si="41"/>
        <v>5</v>
      </c>
    </row>
    <row r="2652" spans="1:12" x14ac:dyDescent="0.25">
      <c r="A2652" s="5">
        <v>48351</v>
      </c>
      <c r="B2652" t="s">
        <v>8965</v>
      </c>
      <c r="C2652" s="5" t="s">
        <v>9154</v>
      </c>
      <c r="D2652" t="s">
        <v>8966</v>
      </c>
      <c r="E2652" s="5" t="s">
        <v>1539</v>
      </c>
      <c r="F2652" s="6">
        <v>46150.638194444444</v>
      </c>
      <c r="G2652" s="5" t="s">
        <v>7456</v>
      </c>
      <c r="H2652" s="5" t="s">
        <v>14088</v>
      </c>
      <c r="I2652" s="5" t="s">
        <v>1535</v>
      </c>
      <c r="J2652" s="8">
        <v>14260</v>
      </c>
      <c r="K2652" s="5" t="s">
        <v>4</v>
      </c>
      <c r="L2652">
        <f t="shared" si="41"/>
        <v>5</v>
      </c>
    </row>
    <row r="2653" spans="1:12" x14ac:dyDescent="0.25">
      <c r="A2653" s="5">
        <v>48352</v>
      </c>
      <c r="B2653" t="s">
        <v>14089</v>
      </c>
      <c r="C2653" s="5" t="s">
        <v>672</v>
      </c>
      <c r="D2653" t="s">
        <v>14090</v>
      </c>
      <c r="E2653" s="5" t="s">
        <v>5533</v>
      </c>
      <c r="F2653" s="6">
        <v>46150.634722222225</v>
      </c>
      <c r="G2653" s="5" t="s">
        <v>7456</v>
      </c>
      <c r="H2653" s="5" t="s">
        <v>14091</v>
      </c>
      <c r="I2653" s="5" t="s">
        <v>1621</v>
      </c>
      <c r="J2653" s="8">
        <v>119.88</v>
      </c>
      <c r="K2653" s="5" t="s">
        <v>4</v>
      </c>
      <c r="L2653">
        <f t="shared" si="41"/>
        <v>5</v>
      </c>
    </row>
    <row r="2654" spans="1:12" x14ac:dyDescent="0.25">
      <c r="A2654" s="5">
        <v>48353</v>
      </c>
      <c r="B2654" t="s">
        <v>14092</v>
      </c>
      <c r="C2654" s="5" t="s">
        <v>14093</v>
      </c>
      <c r="D2654" t="s">
        <v>14094</v>
      </c>
      <c r="E2654" s="5" t="s">
        <v>2998</v>
      </c>
      <c r="F2654" s="6">
        <v>46150.652777777781</v>
      </c>
      <c r="G2654" s="5" t="s">
        <v>7456</v>
      </c>
      <c r="H2654" s="5" t="s">
        <v>14095</v>
      </c>
      <c r="I2654" s="5" t="s">
        <v>1621</v>
      </c>
      <c r="J2654" s="8">
        <v>456</v>
      </c>
      <c r="K2654" s="5" t="s">
        <v>4</v>
      </c>
      <c r="L2654">
        <f t="shared" si="41"/>
        <v>5</v>
      </c>
    </row>
    <row r="2655" spans="1:12" x14ac:dyDescent="0.25">
      <c r="A2655" s="5">
        <v>48354</v>
      </c>
      <c r="B2655" t="s">
        <v>11367</v>
      </c>
      <c r="C2655" s="5" t="s">
        <v>11368</v>
      </c>
      <c r="D2655" t="s">
        <v>11369</v>
      </c>
      <c r="E2655" s="5" t="s">
        <v>1548</v>
      </c>
      <c r="F2655" s="6">
        <v>46150.685416666667</v>
      </c>
      <c r="G2655" s="5" t="s">
        <v>7672</v>
      </c>
      <c r="H2655" t="s">
        <v>8626</v>
      </c>
      <c r="I2655" s="5" t="s">
        <v>1564</v>
      </c>
      <c r="J2655" s="8">
        <v>506</v>
      </c>
      <c r="K2655" s="5" t="s">
        <v>4</v>
      </c>
      <c r="L2655">
        <f t="shared" si="41"/>
        <v>5</v>
      </c>
    </row>
    <row r="2656" spans="1:12" x14ac:dyDescent="0.25">
      <c r="A2656" s="5">
        <v>48355</v>
      </c>
      <c r="B2656" t="s">
        <v>14096</v>
      </c>
      <c r="C2656" s="5" t="s">
        <v>7516</v>
      </c>
      <c r="D2656" t="s">
        <v>14097</v>
      </c>
      <c r="E2656" s="5" t="s">
        <v>1532</v>
      </c>
      <c r="F2656" s="6">
        <v>46153.377083333333</v>
      </c>
      <c r="G2656" s="5" t="s">
        <v>7595</v>
      </c>
      <c r="H2656" t="s">
        <v>7482</v>
      </c>
      <c r="I2656" s="5" t="s">
        <v>1535</v>
      </c>
      <c r="J2656" s="8">
        <v>891.2</v>
      </c>
      <c r="K2656" s="5" t="s">
        <v>4</v>
      </c>
      <c r="L2656">
        <f t="shared" si="41"/>
        <v>5</v>
      </c>
    </row>
    <row r="2657" spans="1:12" x14ac:dyDescent="0.25">
      <c r="A2657" s="5">
        <v>48356</v>
      </c>
      <c r="B2657" t="s">
        <v>14098</v>
      </c>
      <c r="C2657" s="5" t="s">
        <v>7516</v>
      </c>
      <c r="D2657" t="s">
        <v>14099</v>
      </c>
      <c r="E2657" s="5" t="s">
        <v>1813</v>
      </c>
      <c r="F2657" s="6">
        <v>46153.387499999997</v>
      </c>
      <c r="G2657" s="5" t="s">
        <v>7595</v>
      </c>
      <c r="H2657" t="s">
        <v>7482</v>
      </c>
      <c r="I2657" s="5" t="s">
        <v>1535</v>
      </c>
      <c r="J2657" s="8">
        <v>355.5</v>
      </c>
      <c r="K2657" s="5" t="s">
        <v>4</v>
      </c>
      <c r="L2657">
        <f t="shared" si="41"/>
        <v>5</v>
      </c>
    </row>
    <row r="2658" spans="1:12" x14ac:dyDescent="0.25">
      <c r="A2658" s="5">
        <v>48357</v>
      </c>
      <c r="B2658" t="s">
        <v>14100</v>
      </c>
      <c r="C2658" s="5" t="s">
        <v>14101</v>
      </c>
      <c r="D2658" t="s">
        <v>14102</v>
      </c>
      <c r="E2658" s="5" t="s">
        <v>1532</v>
      </c>
      <c r="F2658" s="6">
        <v>46153.413888888892</v>
      </c>
      <c r="G2658" s="5" t="s">
        <v>7456</v>
      </c>
      <c r="H2658" s="5" t="s">
        <v>14103</v>
      </c>
      <c r="I2658" s="5" t="s">
        <v>1535</v>
      </c>
      <c r="J2658" s="8">
        <v>281.2</v>
      </c>
      <c r="K2658" s="5" t="s">
        <v>4</v>
      </c>
      <c r="L2658">
        <f t="shared" si="41"/>
        <v>5</v>
      </c>
    </row>
    <row r="2659" spans="1:12" x14ac:dyDescent="0.25">
      <c r="A2659" s="5">
        <v>48358</v>
      </c>
      <c r="B2659" t="s">
        <v>14104</v>
      </c>
      <c r="C2659" s="5" t="s">
        <v>7516</v>
      </c>
      <c r="D2659" t="s">
        <v>14105</v>
      </c>
      <c r="E2659" s="5" t="s">
        <v>1813</v>
      </c>
      <c r="F2659" s="6">
        <v>46153.424305555556</v>
      </c>
      <c r="G2659" s="5" t="s">
        <v>7456</v>
      </c>
      <c r="H2659" s="5" t="s">
        <v>14106</v>
      </c>
      <c r="I2659" s="5" t="s">
        <v>1535</v>
      </c>
      <c r="J2659" s="8">
        <v>549</v>
      </c>
      <c r="K2659" s="5" t="s">
        <v>4</v>
      </c>
      <c r="L2659">
        <f t="shared" si="41"/>
        <v>5</v>
      </c>
    </row>
    <row r="2660" spans="1:12" x14ac:dyDescent="0.25">
      <c r="A2660" s="5">
        <v>48359</v>
      </c>
      <c r="B2660" t="s">
        <v>14107</v>
      </c>
      <c r="C2660" s="5" t="s">
        <v>14108</v>
      </c>
      <c r="D2660" t="s">
        <v>14109</v>
      </c>
      <c r="E2660" s="5" t="s">
        <v>1532</v>
      </c>
      <c r="F2660" s="6">
        <v>46153.44027777778</v>
      </c>
      <c r="G2660" s="5" t="s">
        <v>7456</v>
      </c>
      <c r="H2660" s="5" t="s">
        <v>14110</v>
      </c>
      <c r="I2660" s="5" t="s">
        <v>1535</v>
      </c>
      <c r="J2660" s="8">
        <v>252.7</v>
      </c>
      <c r="K2660" s="5" t="s">
        <v>4</v>
      </c>
      <c r="L2660">
        <f t="shared" si="41"/>
        <v>5</v>
      </c>
    </row>
    <row r="2661" spans="1:12" x14ac:dyDescent="0.25">
      <c r="A2661" s="5">
        <v>48360</v>
      </c>
      <c r="B2661" t="s">
        <v>9716</v>
      </c>
      <c r="C2661" s="5" t="s">
        <v>9717</v>
      </c>
      <c r="D2661" t="s">
        <v>9718</v>
      </c>
      <c r="E2661" s="5" t="s">
        <v>1548</v>
      </c>
      <c r="F2661" s="6">
        <v>46153.455555555556</v>
      </c>
      <c r="G2661" s="5" t="s">
        <v>7456</v>
      </c>
      <c r="H2661" s="5" t="s">
        <v>14111</v>
      </c>
      <c r="I2661" s="5" t="s">
        <v>1535</v>
      </c>
      <c r="J2661" s="8">
        <v>309</v>
      </c>
      <c r="K2661" s="5" t="s">
        <v>4</v>
      </c>
      <c r="L2661">
        <f t="shared" si="41"/>
        <v>5</v>
      </c>
    </row>
    <row r="2662" spans="1:12" x14ac:dyDescent="0.25">
      <c r="A2662" s="5">
        <v>48361</v>
      </c>
      <c r="B2662" t="s">
        <v>10894</v>
      </c>
      <c r="C2662" s="5" t="s">
        <v>10895</v>
      </c>
      <c r="D2662" t="s">
        <v>10896</v>
      </c>
      <c r="E2662" s="5" t="s">
        <v>1532</v>
      </c>
      <c r="F2662" s="6">
        <v>46153.548611111109</v>
      </c>
      <c r="G2662" s="5" t="s">
        <v>7456</v>
      </c>
      <c r="H2662" s="5" t="s">
        <v>14112</v>
      </c>
      <c r="I2662" s="5" t="s">
        <v>1535</v>
      </c>
      <c r="J2662" s="8">
        <v>690</v>
      </c>
      <c r="K2662" s="5" t="s">
        <v>4</v>
      </c>
      <c r="L2662">
        <f t="shared" si="41"/>
        <v>5</v>
      </c>
    </row>
    <row r="2663" spans="1:12" x14ac:dyDescent="0.25">
      <c r="A2663" s="5">
        <v>48362</v>
      </c>
      <c r="B2663" t="s">
        <v>14113</v>
      </c>
      <c r="C2663" s="5" t="s">
        <v>7516</v>
      </c>
      <c r="D2663" t="s">
        <v>14114</v>
      </c>
      <c r="E2663" s="5" t="s">
        <v>3187</v>
      </c>
      <c r="F2663" s="6">
        <v>46153.556250000001</v>
      </c>
      <c r="G2663" s="5" t="s">
        <v>7456</v>
      </c>
      <c r="H2663" s="5" t="s">
        <v>14115</v>
      </c>
      <c r="I2663" s="5" t="s">
        <v>1535</v>
      </c>
      <c r="J2663" s="8">
        <v>397.8</v>
      </c>
      <c r="K2663" s="5" t="s">
        <v>4</v>
      </c>
      <c r="L2663">
        <f t="shared" si="41"/>
        <v>5</v>
      </c>
    </row>
    <row r="2664" spans="1:12" x14ac:dyDescent="0.25">
      <c r="A2664" s="5">
        <v>48363</v>
      </c>
      <c r="B2664" t="s">
        <v>13671</v>
      </c>
      <c r="C2664" s="5" t="s">
        <v>13672</v>
      </c>
      <c r="D2664" t="s">
        <v>13673</v>
      </c>
      <c r="E2664" s="5" t="s">
        <v>1532</v>
      </c>
      <c r="F2664" s="6">
        <v>46153.558333333334</v>
      </c>
      <c r="G2664" s="5" t="s">
        <v>7456</v>
      </c>
      <c r="H2664" s="5" t="s">
        <v>14116</v>
      </c>
      <c r="I2664" s="5" t="s">
        <v>1535</v>
      </c>
      <c r="J2664" s="8">
        <v>774.25</v>
      </c>
      <c r="K2664" s="5" t="s">
        <v>4</v>
      </c>
      <c r="L2664">
        <f t="shared" si="41"/>
        <v>5</v>
      </c>
    </row>
    <row r="2665" spans="1:12" x14ac:dyDescent="0.25">
      <c r="A2665" s="5">
        <v>48364</v>
      </c>
      <c r="B2665" t="s">
        <v>14117</v>
      </c>
      <c r="C2665" s="5" t="s">
        <v>14118</v>
      </c>
      <c r="D2665" t="s">
        <v>14119</v>
      </c>
      <c r="E2665" s="5" t="s">
        <v>3387</v>
      </c>
      <c r="F2665" s="6">
        <v>46153.583333333336</v>
      </c>
      <c r="G2665" s="5" t="s">
        <v>7456</v>
      </c>
      <c r="H2665" s="5" t="s">
        <v>14120</v>
      </c>
      <c r="I2665" s="5" t="s">
        <v>1535</v>
      </c>
      <c r="J2665" s="8">
        <v>346.5</v>
      </c>
      <c r="K2665" s="5" t="s">
        <v>4</v>
      </c>
      <c r="L2665">
        <f t="shared" si="41"/>
        <v>5</v>
      </c>
    </row>
    <row r="2666" spans="1:12" x14ac:dyDescent="0.25">
      <c r="A2666" s="5">
        <v>48365</v>
      </c>
      <c r="B2666" t="s">
        <v>14121</v>
      </c>
      <c r="C2666" s="5" t="s">
        <v>14122</v>
      </c>
      <c r="D2666" t="s">
        <v>14123</v>
      </c>
      <c r="E2666" s="5" t="s">
        <v>1532</v>
      </c>
      <c r="F2666" s="6">
        <v>46153.584722222222</v>
      </c>
      <c r="G2666" s="5" t="s">
        <v>7672</v>
      </c>
      <c r="H2666" t="s">
        <v>7482</v>
      </c>
      <c r="I2666" s="5" t="s">
        <v>1535</v>
      </c>
      <c r="J2666" s="8">
        <v>314</v>
      </c>
      <c r="K2666" s="5" t="s">
        <v>4</v>
      </c>
      <c r="L2666">
        <f t="shared" si="41"/>
        <v>5</v>
      </c>
    </row>
    <row r="2667" spans="1:12" x14ac:dyDescent="0.25">
      <c r="A2667" s="5">
        <v>48366</v>
      </c>
      <c r="B2667" t="s">
        <v>12609</v>
      </c>
      <c r="C2667" s="5" t="s">
        <v>12610</v>
      </c>
      <c r="D2667" t="s">
        <v>12611</v>
      </c>
      <c r="E2667" s="5" t="s">
        <v>1532</v>
      </c>
      <c r="F2667" s="6">
        <v>46153.592361111114</v>
      </c>
      <c r="G2667" s="5" t="s">
        <v>7456</v>
      </c>
      <c r="H2667" s="5" t="s">
        <v>14124</v>
      </c>
      <c r="I2667" s="5" t="s">
        <v>1535</v>
      </c>
      <c r="J2667" s="8">
        <v>801</v>
      </c>
      <c r="K2667" s="5" t="s">
        <v>4</v>
      </c>
      <c r="L2667">
        <f t="shared" si="41"/>
        <v>5</v>
      </c>
    </row>
    <row r="2668" spans="1:12" x14ac:dyDescent="0.25">
      <c r="A2668" s="5">
        <v>48367</v>
      </c>
      <c r="B2668" t="s">
        <v>14125</v>
      </c>
      <c r="C2668" s="5" t="s">
        <v>14126</v>
      </c>
      <c r="D2668" t="s">
        <v>7644</v>
      </c>
      <c r="E2668" s="5" t="s">
        <v>2258</v>
      </c>
      <c r="F2668" s="6">
        <v>46153.602083333331</v>
      </c>
      <c r="G2668" s="5" t="s">
        <v>7456</v>
      </c>
      <c r="H2668" s="5" t="s">
        <v>14127</v>
      </c>
      <c r="I2668" s="5" t="s">
        <v>1621</v>
      </c>
      <c r="J2668" s="8">
        <v>869.6</v>
      </c>
      <c r="K2668" s="5" t="s">
        <v>4</v>
      </c>
      <c r="L2668">
        <f t="shared" si="41"/>
        <v>5</v>
      </c>
    </row>
    <row r="2669" spans="1:12" x14ac:dyDescent="0.25">
      <c r="A2669" s="5">
        <v>48368</v>
      </c>
      <c r="B2669" t="s">
        <v>14128</v>
      </c>
      <c r="C2669" s="5" t="s">
        <v>14129</v>
      </c>
      <c r="D2669" t="s">
        <v>14130</v>
      </c>
      <c r="E2669" s="5" t="s">
        <v>3480</v>
      </c>
      <c r="F2669" s="6">
        <v>46153.614583333336</v>
      </c>
      <c r="G2669" s="5" t="s">
        <v>7456</v>
      </c>
      <c r="H2669" s="5" t="s">
        <v>14131</v>
      </c>
      <c r="I2669" s="5" t="s">
        <v>1621</v>
      </c>
      <c r="J2669" s="8">
        <v>321.66000000000003</v>
      </c>
      <c r="K2669" s="5" t="s">
        <v>4</v>
      </c>
      <c r="L2669">
        <f t="shared" si="41"/>
        <v>5</v>
      </c>
    </row>
    <row r="2670" spans="1:12" x14ac:dyDescent="0.25">
      <c r="A2670" s="5">
        <v>48369</v>
      </c>
      <c r="B2670" t="s">
        <v>14132</v>
      </c>
      <c r="C2670" s="5" t="s">
        <v>14133</v>
      </c>
      <c r="D2670" t="s">
        <v>14134</v>
      </c>
      <c r="E2670" s="5" t="s">
        <v>1548</v>
      </c>
      <c r="F2670" s="6">
        <v>46153.622916666667</v>
      </c>
      <c r="G2670" s="5" t="s">
        <v>7456</v>
      </c>
      <c r="H2670" s="5" t="s">
        <v>14135</v>
      </c>
      <c r="I2670" s="5" t="s">
        <v>1535</v>
      </c>
      <c r="J2670" s="8">
        <v>130</v>
      </c>
      <c r="K2670" s="5" t="s">
        <v>4</v>
      </c>
      <c r="L2670">
        <f t="shared" si="41"/>
        <v>5</v>
      </c>
    </row>
    <row r="2671" spans="1:12" x14ac:dyDescent="0.25">
      <c r="A2671" s="5">
        <v>48371</v>
      </c>
      <c r="B2671" t="s">
        <v>14136</v>
      </c>
      <c r="C2671" s="5" t="s">
        <v>1208</v>
      </c>
      <c r="D2671" t="s">
        <v>14137</v>
      </c>
      <c r="E2671" s="5" t="s">
        <v>6684</v>
      </c>
      <c r="F2671" s="6">
        <v>46153.623611111114</v>
      </c>
      <c r="G2671" s="5" t="s">
        <v>7456</v>
      </c>
      <c r="H2671" s="5" t="s">
        <v>14138</v>
      </c>
      <c r="I2671" s="5" t="s">
        <v>1621</v>
      </c>
      <c r="J2671" s="8">
        <v>52.38</v>
      </c>
      <c r="K2671" s="5" t="s">
        <v>4</v>
      </c>
      <c r="L2671">
        <f t="shared" si="41"/>
        <v>5</v>
      </c>
    </row>
    <row r="2672" spans="1:12" x14ac:dyDescent="0.25">
      <c r="A2672" s="5">
        <v>48372</v>
      </c>
      <c r="B2672" t="s">
        <v>14139</v>
      </c>
      <c r="C2672" s="5" t="s">
        <v>14140</v>
      </c>
      <c r="D2672" t="s">
        <v>14141</v>
      </c>
      <c r="E2672" s="5" t="s">
        <v>6855</v>
      </c>
      <c r="F2672" s="6">
        <v>46153.631249999999</v>
      </c>
      <c r="G2672" s="5" t="s">
        <v>7456</v>
      </c>
      <c r="H2672" s="5" t="s">
        <v>14142</v>
      </c>
      <c r="I2672" s="5" t="s">
        <v>1621</v>
      </c>
      <c r="J2672" s="8">
        <v>42.46</v>
      </c>
      <c r="K2672" s="5" t="s">
        <v>4</v>
      </c>
      <c r="L2672">
        <f t="shared" si="41"/>
        <v>5</v>
      </c>
    </row>
    <row r="2673" spans="1:12" x14ac:dyDescent="0.25">
      <c r="A2673" s="5">
        <v>48373</v>
      </c>
      <c r="B2673" t="s">
        <v>14143</v>
      </c>
      <c r="C2673" s="5" t="s">
        <v>418</v>
      </c>
      <c r="D2673" t="s">
        <v>14144</v>
      </c>
      <c r="E2673" s="5" t="s">
        <v>6392</v>
      </c>
      <c r="F2673" s="6">
        <v>46153.636805555558</v>
      </c>
      <c r="G2673" s="5" t="s">
        <v>7456</v>
      </c>
      <c r="H2673" s="5" t="s">
        <v>14145</v>
      </c>
      <c r="I2673" s="5" t="s">
        <v>1621</v>
      </c>
      <c r="J2673" s="8">
        <v>69.900000000000006</v>
      </c>
      <c r="K2673" s="5" t="s">
        <v>4</v>
      </c>
      <c r="L2673">
        <f t="shared" si="41"/>
        <v>5</v>
      </c>
    </row>
    <row r="2674" spans="1:12" x14ac:dyDescent="0.25">
      <c r="A2674" s="5">
        <v>48374</v>
      </c>
      <c r="B2674" t="s">
        <v>14146</v>
      </c>
      <c r="C2674" s="5" t="s">
        <v>14147</v>
      </c>
      <c r="D2674" t="s">
        <v>14148</v>
      </c>
      <c r="E2674" s="5" t="s">
        <v>2129</v>
      </c>
      <c r="F2674" s="6">
        <v>46153.631249999999</v>
      </c>
      <c r="G2674" s="5" t="s">
        <v>7456</v>
      </c>
      <c r="H2674" s="5" t="s">
        <v>14149</v>
      </c>
      <c r="I2674" s="5" t="s">
        <v>1621</v>
      </c>
      <c r="J2674" s="8">
        <v>1016.15</v>
      </c>
      <c r="K2674" s="5" t="s">
        <v>4</v>
      </c>
      <c r="L2674">
        <f t="shared" si="41"/>
        <v>5</v>
      </c>
    </row>
    <row r="2675" spans="1:12" x14ac:dyDescent="0.25">
      <c r="A2675" s="5">
        <v>48375</v>
      </c>
      <c r="B2675" t="s">
        <v>14150</v>
      </c>
      <c r="C2675" s="5" t="s">
        <v>14151</v>
      </c>
      <c r="D2675" t="s">
        <v>7644</v>
      </c>
      <c r="E2675" s="5" t="s">
        <v>6725</v>
      </c>
      <c r="F2675" s="6">
        <v>46153.650694444441</v>
      </c>
      <c r="G2675" s="5" t="s">
        <v>7456</v>
      </c>
      <c r="H2675" s="5" t="s">
        <v>14152</v>
      </c>
      <c r="I2675" s="5" t="s">
        <v>1621</v>
      </c>
      <c r="J2675" s="8">
        <v>50.34</v>
      </c>
      <c r="K2675" s="5" t="s">
        <v>4</v>
      </c>
      <c r="L2675">
        <f t="shared" si="41"/>
        <v>5</v>
      </c>
    </row>
    <row r="2676" spans="1:12" x14ac:dyDescent="0.25">
      <c r="A2676" s="5">
        <v>48376</v>
      </c>
      <c r="B2676" t="s">
        <v>14153</v>
      </c>
      <c r="C2676" s="5" t="s">
        <v>14154</v>
      </c>
      <c r="D2676" t="s">
        <v>14155</v>
      </c>
      <c r="E2676" s="5" t="s">
        <v>1532</v>
      </c>
      <c r="F2676" s="6">
        <v>46153.65625</v>
      </c>
      <c r="G2676" s="5" t="s">
        <v>7456</v>
      </c>
      <c r="H2676" s="5" t="s">
        <v>14156</v>
      </c>
      <c r="I2676" s="5" t="s">
        <v>1535</v>
      </c>
      <c r="J2676" s="8">
        <v>342</v>
      </c>
      <c r="K2676" s="5" t="s">
        <v>4</v>
      </c>
      <c r="L2676">
        <f t="shared" si="41"/>
        <v>5</v>
      </c>
    </row>
    <row r="2677" spans="1:12" x14ac:dyDescent="0.25">
      <c r="A2677" s="5">
        <v>48377</v>
      </c>
      <c r="B2677" t="s">
        <v>10092</v>
      </c>
      <c r="C2677" s="5" t="s">
        <v>10093</v>
      </c>
      <c r="D2677" t="s">
        <v>10094</v>
      </c>
      <c r="E2677" s="5" t="s">
        <v>1548</v>
      </c>
      <c r="F2677" s="6">
        <v>46153.68472222222</v>
      </c>
      <c r="G2677" s="5" t="s">
        <v>7456</v>
      </c>
      <c r="H2677" s="5" t="s">
        <v>14157</v>
      </c>
      <c r="I2677" s="5" t="s">
        <v>1535</v>
      </c>
      <c r="J2677" s="8">
        <v>267</v>
      </c>
      <c r="K2677" s="5" t="s">
        <v>4</v>
      </c>
      <c r="L2677">
        <f t="shared" si="41"/>
        <v>5</v>
      </c>
    </row>
    <row r="2678" spans="1:12" x14ac:dyDescent="0.25">
      <c r="A2678" s="5">
        <v>48378</v>
      </c>
      <c r="B2678" t="s">
        <v>11465</v>
      </c>
      <c r="C2678" s="5" t="s">
        <v>13109</v>
      </c>
      <c r="D2678" t="s">
        <v>11466</v>
      </c>
      <c r="E2678" s="5" t="s">
        <v>1532</v>
      </c>
      <c r="F2678" s="6">
        <v>46153.704861111109</v>
      </c>
      <c r="G2678" s="5" t="s">
        <v>7595</v>
      </c>
      <c r="H2678" t="s">
        <v>7482</v>
      </c>
      <c r="I2678" s="5" t="s">
        <v>1535</v>
      </c>
      <c r="J2678" s="8">
        <v>700.65</v>
      </c>
      <c r="K2678" s="5" t="s">
        <v>4</v>
      </c>
      <c r="L2678">
        <f t="shared" si="41"/>
        <v>5</v>
      </c>
    </row>
    <row r="2679" spans="1:12" x14ac:dyDescent="0.25">
      <c r="A2679" s="5">
        <v>48379</v>
      </c>
      <c r="B2679" t="s">
        <v>10171</v>
      </c>
      <c r="C2679" s="5" t="s">
        <v>10172</v>
      </c>
      <c r="D2679" t="s">
        <v>10173</v>
      </c>
      <c r="E2679" s="5" t="s">
        <v>1677</v>
      </c>
      <c r="F2679" s="6">
        <v>46154.34652777778</v>
      </c>
      <c r="G2679" s="5" t="s">
        <v>7456</v>
      </c>
      <c r="H2679" s="5" t="s">
        <v>14158</v>
      </c>
      <c r="I2679" s="5" t="s">
        <v>1535</v>
      </c>
      <c r="J2679" s="8">
        <v>3042</v>
      </c>
      <c r="K2679" s="5" t="s">
        <v>4</v>
      </c>
      <c r="L2679">
        <f t="shared" si="41"/>
        <v>5</v>
      </c>
    </row>
    <row r="2680" spans="1:12" x14ac:dyDescent="0.25">
      <c r="A2680" s="5">
        <v>48380</v>
      </c>
      <c r="B2680" t="s">
        <v>14159</v>
      </c>
      <c r="C2680" s="5" t="s">
        <v>14160</v>
      </c>
      <c r="D2680" t="s">
        <v>14161</v>
      </c>
      <c r="E2680" s="5" t="s">
        <v>1532</v>
      </c>
      <c r="F2680" s="6">
        <v>46154.350694444445</v>
      </c>
      <c r="G2680" s="5" t="s">
        <v>7595</v>
      </c>
      <c r="H2680" t="s">
        <v>7482</v>
      </c>
      <c r="I2680" s="5" t="s">
        <v>1535</v>
      </c>
      <c r="J2680" s="8">
        <v>686.1</v>
      </c>
      <c r="K2680" s="5" t="s">
        <v>4</v>
      </c>
      <c r="L2680">
        <f t="shared" si="41"/>
        <v>5</v>
      </c>
    </row>
    <row r="2681" spans="1:12" x14ac:dyDescent="0.25">
      <c r="A2681" s="5">
        <v>48381</v>
      </c>
      <c r="B2681" t="s">
        <v>14162</v>
      </c>
      <c r="C2681" s="5" t="s">
        <v>8569</v>
      </c>
      <c r="D2681" t="s">
        <v>14163</v>
      </c>
      <c r="E2681" s="5" t="s">
        <v>1532</v>
      </c>
      <c r="F2681" s="6">
        <v>46154.363888888889</v>
      </c>
      <c r="G2681" s="5" t="s">
        <v>7595</v>
      </c>
      <c r="H2681" t="s">
        <v>7482</v>
      </c>
      <c r="I2681" s="5" t="s">
        <v>1535</v>
      </c>
      <c r="J2681" s="8">
        <v>1267</v>
      </c>
      <c r="K2681" s="5" t="s">
        <v>4</v>
      </c>
      <c r="L2681">
        <f t="shared" si="41"/>
        <v>5</v>
      </c>
    </row>
    <row r="2682" spans="1:12" x14ac:dyDescent="0.25">
      <c r="A2682" s="5">
        <v>48383</v>
      </c>
      <c r="B2682" t="s">
        <v>14164</v>
      </c>
      <c r="C2682" s="5" t="s">
        <v>13340</v>
      </c>
      <c r="D2682" t="s">
        <v>14165</v>
      </c>
      <c r="E2682" s="5" t="s">
        <v>1532</v>
      </c>
      <c r="F2682" s="6">
        <v>46154.37777777778</v>
      </c>
      <c r="G2682" s="5" t="s">
        <v>7595</v>
      </c>
      <c r="H2682" t="s">
        <v>7482</v>
      </c>
      <c r="I2682" s="5" t="s">
        <v>1535</v>
      </c>
      <c r="J2682" s="8">
        <v>242.5</v>
      </c>
      <c r="K2682" s="5" t="s">
        <v>4</v>
      </c>
      <c r="L2682">
        <f t="shared" si="41"/>
        <v>5</v>
      </c>
    </row>
    <row r="2683" spans="1:12" x14ac:dyDescent="0.25">
      <c r="A2683" s="5">
        <v>48384</v>
      </c>
      <c r="B2683" t="s">
        <v>8965</v>
      </c>
      <c r="C2683" s="5" t="s">
        <v>9854</v>
      </c>
      <c r="D2683" t="s">
        <v>8966</v>
      </c>
      <c r="E2683" s="5" t="s">
        <v>1615</v>
      </c>
      <c r="F2683" s="6">
        <v>46154.381944444445</v>
      </c>
      <c r="G2683" s="5" t="s">
        <v>7456</v>
      </c>
      <c r="H2683" s="5" t="s">
        <v>14166</v>
      </c>
      <c r="I2683" s="5" t="s">
        <v>1535</v>
      </c>
      <c r="J2683" s="8">
        <v>4500</v>
      </c>
      <c r="K2683" s="5" t="s">
        <v>4</v>
      </c>
      <c r="L2683">
        <f t="shared" si="41"/>
        <v>5</v>
      </c>
    </row>
    <row r="2684" spans="1:12" x14ac:dyDescent="0.25">
      <c r="A2684" s="5">
        <v>48386</v>
      </c>
      <c r="B2684" t="s">
        <v>14167</v>
      </c>
      <c r="C2684" s="5" t="s">
        <v>7746</v>
      </c>
      <c r="D2684" t="s">
        <v>14168</v>
      </c>
      <c r="E2684" s="5" t="s">
        <v>1532</v>
      </c>
      <c r="F2684" s="6">
        <v>46154.421527777777</v>
      </c>
      <c r="G2684" s="5" t="s">
        <v>7456</v>
      </c>
      <c r="H2684" s="5" t="s">
        <v>14169</v>
      </c>
      <c r="I2684" s="5" t="s">
        <v>1535</v>
      </c>
      <c r="J2684" s="8">
        <v>360</v>
      </c>
      <c r="K2684" s="5" t="s">
        <v>4</v>
      </c>
      <c r="L2684">
        <f t="shared" si="41"/>
        <v>5</v>
      </c>
    </row>
    <row r="2685" spans="1:12" x14ac:dyDescent="0.25">
      <c r="A2685" s="5">
        <v>48387</v>
      </c>
      <c r="B2685" t="s">
        <v>14170</v>
      </c>
      <c r="C2685" s="5" t="s">
        <v>14171</v>
      </c>
      <c r="D2685" t="s">
        <v>14172</v>
      </c>
      <c r="E2685" s="5" t="s">
        <v>1532</v>
      </c>
      <c r="F2685" s="6">
        <v>46154.444444444445</v>
      </c>
      <c r="G2685" s="5" t="s">
        <v>7595</v>
      </c>
      <c r="H2685" t="s">
        <v>7482</v>
      </c>
      <c r="I2685" s="5" t="s">
        <v>1535</v>
      </c>
      <c r="J2685" s="8">
        <v>915</v>
      </c>
      <c r="K2685" s="5" t="s">
        <v>4</v>
      </c>
      <c r="L2685">
        <f t="shared" si="41"/>
        <v>5</v>
      </c>
    </row>
    <row r="2686" spans="1:12" x14ac:dyDescent="0.25">
      <c r="A2686" s="5">
        <v>48388</v>
      </c>
      <c r="B2686" t="s">
        <v>14173</v>
      </c>
      <c r="C2686" s="5" t="s">
        <v>14174</v>
      </c>
      <c r="D2686" t="s">
        <v>14175</v>
      </c>
      <c r="E2686" s="5" t="s">
        <v>2740</v>
      </c>
      <c r="F2686" s="6">
        <v>46154.445138888892</v>
      </c>
      <c r="G2686" s="5" t="s">
        <v>13816</v>
      </c>
      <c r="H2686" t="s">
        <v>8626</v>
      </c>
      <c r="I2686" s="5" t="s">
        <v>1564</v>
      </c>
      <c r="J2686" s="8">
        <v>135</v>
      </c>
      <c r="K2686" s="5" t="s">
        <v>4</v>
      </c>
      <c r="L2686">
        <f t="shared" si="41"/>
        <v>5</v>
      </c>
    </row>
    <row r="2687" spans="1:12" x14ac:dyDescent="0.25">
      <c r="A2687" s="5">
        <v>48390</v>
      </c>
      <c r="B2687" t="s">
        <v>14176</v>
      </c>
      <c r="C2687" s="5" t="s">
        <v>14177</v>
      </c>
      <c r="D2687" t="s">
        <v>14178</v>
      </c>
      <c r="E2687" s="5" t="s">
        <v>14179</v>
      </c>
      <c r="F2687" s="6">
        <v>46154.459722222222</v>
      </c>
      <c r="G2687" s="5" t="s">
        <v>13816</v>
      </c>
      <c r="H2687" t="s">
        <v>8626</v>
      </c>
      <c r="I2687" s="5" t="s">
        <v>1564</v>
      </c>
      <c r="J2687" s="8">
        <v>290</v>
      </c>
      <c r="K2687" s="5" t="s">
        <v>4</v>
      </c>
      <c r="L2687">
        <f t="shared" si="41"/>
        <v>5</v>
      </c>
    </row>
    <row r="2688" spans="1:12" x14ac:dyDescent="0.25">
      <c r="A2688" s="5">
        <v>48392</v>
      </c>
      <c r="B2688" t="s">
        <v>14180</v>
      </c>
      <c r="C2688" s="5" t="s">
        <v>14181</v>
      </c>
      <c r="D2688" t="s">
        <v>14182</v>
      </c>
      <c r="E2688" s="5" t="s">
        <v>1759</v>
      </c>
      <c r="F2688" s="6">
        <v>46154.486111111109</v>
      </c>
      <c r="G2688" s="5" t="s">
        <v>7456</v>
      </c>
      <c r="H2688" s="5" t="s">
        <v>14183</v>
      </c>
      <c r="I2688" s="5" t="s">
        <v>1564</v>
      </c>
      <c r="J2688" s="8">
        <v>273</v>
      </c>
      <c r="K2688" s="5" t="s">
        <v>4</v>
      </c>
      <c r="L2688">
        <f t="shared" si="41"/>
        <v>5</v>
      </c>
    </row>
    <row r="2689" spans="1:12" x14ac:dyDescent="0.25">
      <c r="A2689" s="5">
        <v>48393</v>
      </c>
      <c r="B2689" t="s">
        <v>9731</v>
      </c>
      <c r="C2689" s="5" t="s">
        <v>9732</v>
      </c>
      <c r="D2689" t="s">
        <v>9733</v>
      </c>
      <c r="E2689" s="5" t="s">
        <v>1548</v>
      </c>
      <c r="F2689" s="6">
        <v>46154.556944444441</v>
      </c>
      <c r="G2689" s="5" t="s">
        <v>7595</v>
      </c>
      <c r="H2689" t="s">
        <v>7482</v>
      </c>
      <c r="I2689" s="5" t="s">
        <v>1535</v>
      </c>
      <c r="J2689" s="8">
        <v>850</v>
      </c>
      <c r="K2689" s="5" t="s">
        <v>4</v>
      </c>
      <c r="L2689">
        <f t="shared" si="41"/>
        <v>5</v>
      </c>
    </row>
    <row r="2690" spans="1:12" x14ac:dyDescent="0.25">
      <c r="A2690" s="5">
        <v>48394</v>
      </c>
      <c r="B2690" t="s">
        <v>13869</v>
      </c>
      <c r="C2690" s="5" t="s">
        <v>1287</v>
      </c>
      <c r="D2690" t="s">
        <v>13870</v>
      </c>
      <c r="E2690" s="5" t="s">
        <v>1532</v>
      </c>
      <c r="F2690" s="6">
        <v>46154.568749999999</v>
      </c>
      <c r="G2690" s="5" t="s">
        <v>7456</v>
      </c>
      <c r="H2690" s="5" t="s">
        <v>14184</v>
      </c>
      <c r="I2690" s="5" t="s">
        <v>1535</v>
      </c>
      <c r="J2690" s="8">
        <v>216</v>
      </c>
      <c r="K2690" s="5" t="s">
        <v>4</v>
      </c>
      <c r="L2690">
        <f t="shared" si="41"/>
        <v>5</v>
      </c>
    </row>
    <row r="2691" spans="1:12" x14ac:dyDescent="0.25">
      <c r="A2691" s="5">
        <v>48395</v>
      </c>
      <c r="B2691" t="s">
        <v>12645</v>
      </c>
      <c r="C2691" s="5" t="s">
        <v>12646</v>
      </c>
      <c r="D2691" t="s">
        <v>12647</v>
      </c>
      <c r="E2691" s="5" t="s">
        <v>1899</v>
      </c>
      <c r="F2691" s="6">
        <v>46154.573611111111</v>
      </c>
      <c r="G2691" s="5" t="s">
        <v>7456</v>
      </c>
      <c r="H2691" s="5" t="s">
        <v>14185</v>
      </c>
      <c r="I2691" s="5" t="s">
        <v>1535</v>
      </c>
      <c r="J2691" s="8">
        <v>208</v>
      </c>
      <c r="K2691" s="5" t="s">
        <v>4</v>
      </c>
      <c r="L2691">
        <f t="shared" ref="L2691:L2754" si="42">MONTH(F2691)</f>
        <v>5</v>
      </c>
    </row>
    <row r="2692" spans="1:12" x14ac:dyDescent="0.25">
      <c r="A2692" s="5">
        <v>48396</v>
      </c>
      <c r="B2692" t="s">
        <v>14186</v>
      </c>
      <c r="C2692" s="5" t="s">
        <v>14187</v>
      </c>
      <c r="D2692" t="s">
        <v>14188</v>
      </c>
      <c r="E2692" s="5" t="s">
        <v>2619</v>
      </c>
      <c r="F2692" s="6">
        <v>46154.594444444447</v>
      </c>
      <c r="G2692" s="5" t="s">
        <v>7456</v>
      </c>
      <c r="H2692" s="5" t="s">
        <v>14189</v>
      </c>
      <c r="I2692" s="5" t="s">
        <v>1621</v>
      </c>
      <c r="J2692" s="8">
        <v>599</v>
      </c>
      <c r="K2692" s="5" t="s">
        <v>4</v>
      </c>
      <c r="L2692">
        <f t="shared" si="42"/>
        <v>5</v>
      </c>
    </row>
    <row r="2693" spans="1:12" x14ac:dyDescent="0.25">
      <c r="A2693" s="5">
        <v>48397</v>
      </c>
      <c r="B2693" t="s">
        <v>14190</v>
      </c>
      <c r="C2693" s="5" t="s">
        <v>905</v>
      </c>
      <c r="D2693" t="s">
        <v>14191</v>
      </c>
      <c r="E2693" s="5" t="s">
        <v>7217</v>
      </c>
      <c r="F2693" s="6">
        <v>46154.603472222225</v>
      </c>
      <c r="G2693" s="5" t="s">
        <v>7456</v>
      </c>
      <c r="H2693" s="5" t="s">
        <v>14192</v>
      </c>
      <c r="I2693" s="5" t="s">
        <v>1621</v>
      </c>
      <c r="J2693" s="8">
        <v>24.34</v>
      </c>
      <c r="K2693" s="5" t="s">
        <v>4</v>
      </c>
      <c r="L2693">
        <f t="shared" si="42"/>
        <v>5</v>
      </c>
    </row>
    <row r="2694" spans="1:12" x14ac:dyDescent="0.25">
      <c r="A2694" s="5">
        <v>48398</v>
      </c>
      <c r="B2694" t="s">
        <v>14193</v>
      </c>
      <c r="C2694" s="5" t="s">
        <v>14194</v>
      </c>
      <c r="D2694" t="s">
        <v>14195</v>
      </c>
      <c r="E2694" s="5" t="s">
        <v>1532</v>
      </c>
      <c r="F2694" s="6">
        <v>46154.628472222219</v>
      </c>
      <c r="G2694" s="5" t="s">
        <v>7456</v>
      </c>
      <c r="H2694" s="5" t="s">
        <v>14196</v>
      </c>
      <c r="I2694" s="5" t="s">
        <v>1535</v>
      </c>
      <c r="J2694" s="8">
        <v>114.5</v>
      </c>
      <c r="K2694" s="5" t="s">
        <v>4</v>
      </c>
      <c r="L2694">
        <f t="shared" si="42"/>
        <v>5</v>
      </c>
    </row>
    <row r="2695" spans="1:12" x14ac:dyDescent="0.25">
      <c r="A2695" s="5">
        <v>48399</v>
      </c>
      <c r="B2695" t="s">
        <v>14197</v>
      </c>
      <c r="C2695" s="5" t="s">
        <v>14198</v>
      </c>
      <c r="D2695" t="s">
        <v>14199</v>
      </c>
      <c r="E2695" s="5" t="s">
        <v>2863</v>
      </c>
      <c r="F2695" s="6">
        <v>46154.611111111109</v>
      </c>
      <c r="G2695" s="5" t="s">
        <v>7456</v>
      </c>
      <c r="H2695" s="5" t="s">
        <v>14200</v>
      </c>
      <c r="I2695" s="5" t="s">
        <v>1621</v>
      </c>
      <c r="J2695" s="8">
        <v>499.8</v>
      </c>
      <c r="K2695" s="5" t="s">
        <v>4</v>
      </c>
      <c r="L2695">
        <f t="shared" si="42"/>
        <v>5</v>
      </c>
    </row>
    <row r="2696" spans="1:12" x14ac:dyDescent="0.25">
      <c r="A2696" s="5">
        <v>48401</v>
      </c>
      <c r="B2696" t="s">
        <v>13999</v>
      </c>
      <c r="C2696" s="5" t="s">
        <v>14201</v>
      </c>
      <c r="D2696" t="s">
        <v>14001</v>
      </c>
      <c r="E2696" s="5" t="s">
        <v>3551</v>
      </c>
      <c r="F2696" s="6">
        <v>46154.647916666669</v>
      </c>
      <c r="G2696" s="5" t="s">
        <v>7456</v>
      </c>
      <c r="H2696" s="5" t="s">
        <v>14202</v>
      </c>
      <c r="I2696" s="5" t="s">
        <v>1535</v>
      </c>
      <c r="J2696" s="8">
        <v>317.8</v>
      </c>
      <c r="K2696" s="5" t="s">
        <v>4</v>
      </c>
      <c r="L2696">
        <f t="shared" si="42"/>
        <v>5</v>
      </c>
    </row>
    <row r="2697" spans="1:12" x14ac:dyDescent="0.25">
      <c r="A2697" s="5">
        <v>48402</v>
      </c>
      <c r="B2697" t="s">
        <v>9989</v>
      </c>
      <c r="C2697" s="5" t="s">
        <v>9990</v>
      </c>
      <c r="D2697" t="s">
        <v>9991</v>
      </c>
      <c r="E2697" s="5" t="s">
        <v>1548</v>
      </c>
      <c r="F2697" s="6">
        <v>46154.645833333336</v>
      </c>
      <c r="G2697" s="5" t="s">
        <v>7456</v>
      </c>
      <c r="H2697" s="5" t="s">
        <v>14203</v>
      </c>
      <c r="I2697" s="5" t="s">
        <v>1535</v>
      </c>
      <c r="J2697" s="8">
        <v>0</v>
      </c>
      <c r="K2697" s="5" t="s">
        <v>4</v>
      </c>
      <c r="L2697">
        <f t="shared" si="42"/>
        <v>5</v>
      </c>
    </row>
    <row r="2698" spans="1:12" x14ac:dyDescent="0.25">
      <c r="A2698" s="5">
        <v>48404</v>
      </c>
      <c r="B2698" t="s">
        <v>10449</v>
      </c>
      <c r="C2698" s="5" t="s">
        <v>12217</v>
      </c>
      <c r="D2698" t="s">
        <v>10451</v>
      </c>
      <c r="E2698" s="5" t="s">
        <v>1759</v>
      </c>
      <c r="F2698" s="6">
        <v>46154.654861111114</v>
      </c>
      <c r="G2698" s="5" t="s">
        <v>7456</v>
      </c>
      <c r="H2698" s="5" t="s">
        <v>14204</v>
      </c>
      <c r="I2698" s="5" t="s">
        <v>1564</v>
      </c>
      <c r="J2698" s="8">
        <v>351</v>
      </c>
      <c r="K2698" s="5" t="s">
        <v>4</v>
      </c>
      <c r="L2698">
        <f t="shared" si="42"/>
        <v>5</v>
      </c>
    </row>
    <row r="2699" spans="1:12" x14ac:dyDescent="0.25">
      <c r="A2699" s="5">
        <v>48405</v>
      </c>
      <c r="B2699" t="s">
        <v>13461</v>
      </c>
      <c r="C2699" s="5" t="s">
        <v>872</v>
      </c>
      <c r="D2699" t="s">
        <v>13462</v>
      </c>
      <c r="E2699" s="5" t="s">
        <v>7120</v>
      </c>
      <c r="F2699" s="6">
        <v>46154.65347222222</v>
      </c>
      <c r="G2699" s="5" t="s">
        <v>7456</v>
      </c>
      <c r="H2699" s="5" t="s">
        <v>14205</v>
      </c>
      <c r="I2699" s="5" t="s">
        <v>1621</v>
      </c>
      <c r="J2699" s="8">
        <v>0</v>
      </c>
      <c r="K2699" s="5" t="s">
        <v>4</v>
      </c>
      <c r="L2699">
        <f t="shared" si="42"/>
        <v>5</v>
      </c>
    </row>
    <row r="2700" spans="1:12" x14ac:dyDescent="0.25">
      <c r="A2700" s="5">
        <v>48406</v>
      </c>
      <c r="B2700" t="s">
        <v>14206</v>
      </c>
      <c r="C2700" s="5" t="s">
        <v>14207</v>
      </c>
      <c r="D2700" t="s">
        <v>14208</v>
      </c>
      <c r="E2700" s="5" t="s">
        <v>1738</v>
      </c>
      <c r="F2700" s="6">
        <v>46154.684027777781</v>
      </c>
      <c r="G2700" s="5" t="s">
        <v>7456</v>
      </c>
      <c r="H2700" s="5" t="s">
        <v>14209</v>
      </c>
      <c r="I2700" s="5" t="s">
        <v>1564</v>
      </c>
      <c r="J2700" s="8">
        <v>160</v>
      </c>
      <c r="K2700" s="5" t="s">
        <v>4</v>
      </c>
      <c r="L2700">
        <f t="shared" si="42"/>
        <v>5</v>
      </c>
    </row>
    <row r="2701" spans="1:12" x14ac:dyDescent="0.25">
      <c r="A2701" s="5">
        <v>48407</v>
      </c>
      <c r="B2701" t="s">
        <v>14210</v>
      </c>
      <c r="C2701" s="5" t="s">
        <v>583</v>
      </c>
      <c r="D2701" t="s">
        <v>14211</v>
      </c>
      <c r="E2701" s="5" t="s">
        <v>1663</v>
      </c>
      <c r="F2701" s="6">
        <v>46154.700694444444</v>
      </c>
      <c r="G2701" s="5" t="s">
        <v>7456</v>
      </c>
      <c r="H2701" s="5" t="s">
        <v>14212</v>
      </c>
      <c r="I2701" s="5" t="s">
        <v>1564</v>
      </c>
      <c r="J2701" s="8">
        <v>164.8</v>
      </c>
      <c r="K2701" s="5" t="s">
        <v>4</v>
      </c>
      <c r="L2701">
        <f t="shared" si="42"/>
        <v>5</v>
      </c>
    </row>
    <row r="2702" spans="1:12" x14ac:dyDescent="0.25">
      <c r="A2702" s="5">
        <v>48408</v>
      </c>
      <c r="B2702" t="s">
        <v>14213</v>
      </c>
      <c r="C2702" s="5" t="s">
        <v>90</v>
      </c>
      <c r="D2702" t="s">
        <v>14214</v>
      </c>
      <c r="E2702" s="5" t="s">
        <v>2840</v>
      </c>
      <c r="F2702" s="6">
        <v>46154.672222222223</v>
      </c>
      <c r="G2702" s="5" t="s">
        <v>7456</v>
      </c>
      <c r="H2702" s="5" t="s">
        <v>14215</v>
      </c>
      <c r="I2702" s="5" t="s">
        <v>1621</v>
      </c>
      <c r="J2702" s="8">
        <v>505.66</v>
      </c>
      <c r="K2702" s="5" t="s">
        <v>4</v>
      </c>
      <c r="L2702">
        <f t="shared" si="42"/>
        <v>5</v>
      </c>
    </row>
    <row r="2703" spans="1:12" x14ac:dyDescent="0.25">
      <c r="A2703" s="5">
        <v>48409</v>
      </c>
      <c r="B2703" t="s">
        <v>14216</v>
      </c>
      <c r="C2703" s="5" t="s">
        <v>146</v>
      </c>
      <c r="D2703" t="s">
        <v>14217</v>
      </c>
      <c r="E2703" s="5" t="s">
        <v>1759</v>
      </c>
      <c r="F2703" s="6">
        <v>46154.72152777778</v>
      </c>
      <c r="G2703" s="5" t="s">
        <v>7456</v>
      </c>
      <c r="H2703" s="5" t="s">
        <v>14218</v>
      </c>
      <c r="I2703" s="5" t="s">
        <v>1564</v>
      </c>
      <c r="J2703" s="8">
        <v>145</v>
      </c>
      <c r="K2703" s="5" t="s">
        <v>4</v>
      </c>
      <c r="L2703">
        <f t="shared" si="42"/>
        <v>5</v>
      </c>
    </row>
    <row r="2704" spans="1:12" x14ac:dyDescent="0.25">
      <c r="A2704" s="5">
        <v>48410</v>
      </c>
      <c r="B2704" t="s">
        <v>14219</v>
      </c>
      <c r="C2704" s="5" t="s">
        <v>931</v>
      </c>
      <c r="D2704" t="s">
        <v>14220</v>
      </c>
      <c r="E2704" s="5" t="s">
        <v>7151</v>
      </c>
      <c r="F2704" s="6">
        <v>46154.720833333333</v>
      </c>
      <c r="G2704" s="5" t="s">
        <v>7456</v>
      </c>
      <c r="H2704" s="5" t="s">
        <v>14221</v>
      </c>
      <c r="I2704" s="5" t="s">
        <v>1621</v>
      </c>
      <c r="J2704" s="8">
        <v>27.65</v>
      </c>
      <c r="K2704" s="5" t="s">
        <v>4</v>
      </c>
      <c r="L2704">
        <f t="shared" si="42"/>
        <v>5</v>
      </c>
    </row>
    <row r="2705" spans="1:12" x14ac:dyDescent="0.25">
      <c r="A2705" s="5">
        <v>48411</v>
      </c>
      <c r="B2705" t="s">
        <v>14222</v>
      </c>
      <c r="C2705" s="5" t="s">
        <v>1384</v>
      </c>
      <c r="D2705" t="s">
        <v>14223</v>
      </c>
      <c r="E2705" s="5" t="s">
        <v>7298</v>
      </c>
      <c r="F2705" s="6">
        <v>46154.727777777778</v>
      </c>
      <c r="G2705" s="5" t="s">
        <v>7456</v>
      </c>
      <c r="H2705" s="5" t="s">
        <v>14224</v>
      </c>
      <c r="I2705" s="5" t="s">
        <v>1621</v>
      </c>
      <c r="J2705" s="8">
        <v>17.940000000000001</v>
      </c>
      <c r="K2705" s="5" t="s">
        <v>4</v>
      </c>
      <c r="L2705">
        <f t="shared" si="42"/>
        <v>5</v>
      </c>
    </row>
    <row r="2706" spans="1:12" x14ac:dyDescent="0.25">
      <c r="A2706" s="5">
        <v>48413</v>
      </c>
      <c r="B2706" t="s">
        <v>14225</v>
      </c>
      <c r="C2706" s="5" t="s">
        <v>7516</v>
      </c>
      <c r="D2706" t="s">
        <v>14226</v>
      </c>
      <c r="E2706" s="5" t="s">
        <v>1532</v>
      </c>
      <c r="F2706" s="6">
        <v>46155.365277777775</v>
      </c>
      <c r="G2706" s="5" t="s">
        <v>7595</v>
      </c>
      <c r="H2706" t="s">
        <v>7482</v>
      </c>
      <c r="I2706" s="5" t="s">
        <v>1535</v>
      </c>
      <c r="J2706" s="8">
        <v>16742.8</v>
      </c>
      <c r="K2706" s="5" t="s">
        <v>4</v>
      </c>
      <c r="L2706">
        <f t="shared" si="42"/>
        <v>5</v>
      </c>
    </row>
    <row r="2707" spans="1:12" x14ac:dyDescent="0.25">
      <c r="A2707" s="5">
        <v>48414</v>
      </c>
      <c r="B2707" t="s">
        <v>13138</v>
      </c>
      <c r="C2707" s="5" t="s">
        <v>11355</v>
      </c>
      <c r="D2707" t="s">
        <v>11356</v>
      </c>
      <c r="E2707" s="5" t="s">
        <v>1813</v>
      </c>
      <c r="F2707" s="6">
        <v>46155.381249999999</v>
      </c>
      <c r="G2707" s="5" t="s">
        <v>7456</v>
      </c>
      <c r="H2707" s="5" t="s">
        <v>14227</v>
      </c>
      <c r="I2707" s="5" t="s">
        <v>1535</v>
      </c>
      <c r="J2707" s="8">
        <v>534.9</v>
      </c>
      <c r="K2707" s="5" t="s">
        <v>4</v>
      </c>
      <c r="L2707">
        <f t="shared" si="42"/>
        <v>5</v>
      </c>
    </row>
    <row r="2708" spans="1:12" x14ac:dyDescent="0.25">
      <c r="A2708" s="5">
        <v>48415</v>
      </c>
      <c r="B2708" t="s">
        <v>11358</v>
      </c>
      <c r="C2708" s="5" t="s">
        <v>11082</v>
      </c>
      <c r="D2708" t="s">
        <v>11356</v>
      </c>
      <c r="E2708" s="5" t="s">
        <v>1532</v>
      </c>
      <c r="F2708" s="6">
        <v>46155.383333333331</v>
      </c>
      <c r="G2708" s="5" t="s">
        <v>7456</v>
      </c>
      <c r="H2708" s="5" t="s">
        <v>14228</v>
      </c>
      <c r="I2708" s="5" t="s">
        <v>1535</v>
      </c>
      <c r="J2708" s="8">
        <v>283.8</v>
      </c>
      <c r="K2708" s="5" t="s">
        <v>4</v>
      </c>
      <c r="L2708">
        <f t="shared" si="42"/>
        <v>5</v>
      </c>
    </row>
    <row r="2709" spans="1:12" x14ac:dyDescent="0.25">
      <c r="A2709" s="5">
        <v>48416</v>
      </c>
      <c r="B2709" t="s">
        <v>14229</v>
      </c>
      <c r="C2709" s="5" t="s">
        <v>14230</v>
      </c>
      <c r="D2709" t="s">
        <v>14231</v>
      </c>
      <c r="E2709" s="5" t="s">
        <v>1759</v>
      </c>
      <c r="F2709" s="6">
        <v>46155.395833333336</v>
      </c>
      <c r="G2709" s="5" t="s">
        <v>13816</v>
      </c>
      <c r="H2709" t="s">
        <v>8626</v>
      </c>
      <c r="I2709" s="5" t="s">
        <v>1564</v>
      </c>
      <c r="J2709" s="8">
        <v>145</v>
      </c>
      <c r="K2709" s="5" t="s">
        <v>4</v>
      </c>
      <c r="L2709">
        <f t="shared" si="42"/>
        <v>5</v>
      </c>
    </row>
    <row r="2710" spans="1:12" x14ac:dyDescent="0.25">
      <c r="A2710" s="5">
        <v>48418</v>
      </c>
      <c r="B2710" t="s">
        <v>14232</v>
      </c>
      <c r="C2710" s="5" t="s">
        <v>14233</v>
      </c>
      <c r="D2710" t="s">
        <v>14234</v>
      </c>
      <c r="E2710" s="5" t="s">
        <v>1532</v>
      </c>
      <c r="F2710" s="6">
        <v>46155.424305555556</v>
      </c>
      <c r="G2710" s="5" t="s">
        <v>7595</v>
      </c>
      <c r="H2710" t="s">
        <v>7482</v>
      </c>
      <c r="I2710" s="5" t="s">
        <v>1535</v>
      </c>
      <c r="J2710" s="8">
        <v>181.2</v>
      </c>
      <c r="K2710" s="5" t="s">
        <v>4</v>
      </c>
      <c r="L2710">
        <f t="shared" si="42"/>
        <v>5</v>
      </c>
    </row>
    <row r="2711" spans="1:12" x14ac:dyDescent="0.25">
      <c r="A2711" s="5">
        <v>48420</v>
      </c>
      <c r="B2711" t="s">
        <v>14235</v>
      </c>
      <c r="C2711" s="5" t="s">
        <v>14236</v>
      </c>
      <c r="D2711" t="s">
        <v>14237</v>
      </c>
      <c r="E2711" s="5" t="s">
        <v>1532</v>
      </c>
      <c r="F2711" s="6">
        <v>46155.43472222222</v>
      </c>
      <c r="G2711" s="5" t="s">
        <v>7456</v>
      </c>
      <c r="H2711" s="5" t="s">
        <v>14238</v>
      </c>
      <c r="I2711" s="5" t="s">
        <v>1535</v>
      </c>
      <c r="J2711" s="8">
        <v>186.6</v>
      </c>
      <c r="K2711" s="5" t="s">
        <v>4</v>
      </c>
      <c r="L2711">
        <f t="shared" si="42"/>
        <v>5</v>
      </c>
    </row>
    <row r="2712" spans="1:12" x14ac:dyDescent="0.25">
      <c r="A2712" s="5">
        <v>48421</v>
      </c>
      <c r="B2712" t="s">
        <v>14239</v>
      </c>
      <c r="C2712" s="5" t="s">
        <v>7516</v>
      </c>
      <c r="D2712" t="s">
        <v>14240</v>
      </c>
      <c r="E2712" s="5" t="s">
        <v>1532</v>
      </c>
      <c r="F2712" s="6">
        <v>46155.447222222225</v>
      </c>
      <c r="G2712" s="5" t="s">
        <v>7456</v>
      </c>
      <c r="H2712" s="5" t="s">
        <v>14241</v>
      </c>
      <c r="I2712" s="5" t="s">
        <v>1535</v>
      </c>
      <c r="J2712" s="8">
        <v>172</v>
      </c>
      <c r="K2712" s="5" t="s">
        <v>4</v>
      </c>
      <c r="L2712">
        <f t="shared" si="42"/>
        <v>5</v>
      </c>
    </row>
    <row r="2713" spans="1:12" x14ac:dyDescent="0.25">
      <c r="A2713" s="5">
        <v>48422</v>
      </c>
      <c r="B2713" t="s">
        <v>14242</v>
      </c>
      <c r="C2713" s="5" t="s">
        <v>14243</v>
      </c>
      <c r="D2713" t="s">
        <v>14244</v>
      </c>
      <c r="E2713" s="5" t="s">
        <v>1532</v>
      </c>
      <c r="F2713" s="6">
        <v>46155.45</v>
      </c>
      <c r="G2713" s="5" t="s">
        <v>7595</v>
      </c>
      <c r="H2713" t="s">
        <v>7482</v>
      </c>
      <c r="I2713" s="5" t="s">
        <v>1535</v>
      </c>
      <c r="J2713" s="8">
        <v>2150</v>
      </c>
      <c r="K2713" s="5" t="s">
        <v>4</v>
      </c>
      <c r="L2713">
        <f t="shared" si="42"/>
        <v>5</v>
      </c>
    </row>
    <row r="2714" spans="1:12" x14ac:dyDescent="0.25">
      <c r="A2714" s="5">
        <v>48423</v>
      </c>
      <c r="B2714" t="s">
        <v>14245</v>
      </c>
      <c r="C2714" s="5" t="s">
        <v>7870</v>
      </c>
      <c r="D2714" t="s">
        <v>14246</v>
      </c>
      <c r="E2714" s="5" t="s">
        <v>1759</v>
      </c>
      <c r="F2714" s="6">
        <v>46155.451388888891</v>
      </c>
      <c r="G2714" s="5" t="s">
        <v>7456</v>
      </c>
      <c r="H2714" s="5" t="s">
        <v>14247</v>
      </c>
      <c r="I2714" s="5" t="s">
        <v>1564</v>
      </c>
      <c r="J2714" s="8">
        <v>240</v>
      </c>
      <c r="K2714" s="5" t="s">
        <v>4</v>
      </c>
      <c r="L2714">
        <f t="shared" si="42"/>
        <v>5</v>
      </c>
    </row>
    <row r="2715" spans="1:12" x14ac:dyDescent="0.25">
      <c r="A2715" s="5">
        <v>48425</v>
      </c>
      <c r="B2715" t="s">
        <v>14248</v>
      </c>
      <c r="C2715" s="5" t="s">
        <v>14249</v>
      </c>
      <c r="D2715" t="s">
        <v>14250</v>
      </c>
      <c r="E2715" s="5" t="s">
        <v>5995</v>
      </c>
      <c r="F2715" s="6">
        <v>46155.462500000001</v>
      </c>
      <c r="G2715" s="5" t="s">
        <v>7456</v>
      </c>
      <c r="H2715" s="5" t="s">
        <v>14251</v>
      </c>
      <c r="I2715" s="5" t="s">
        <v>1621</v>
      </c>
      <c r="J2715" s="8">
        <v>94.99</v>
      </c>
      <c r="K2715" s="5" t="s">
        <v>4</v>
      </c>
      <c r="L2715">
        <f t="shared" si="42"/>
        <v>5</v>
      </c>
    </row>
    <row r="2716" spans="1:12" x14ac:dyDescent="0.25">
      <c r="A2716" s="5">
        <v>48426</v>
      </c>
      <c r="B2716" t="s">
        <v>14252</v>
      </c>
      <c r="C2716" s="5" t="s">
        <v>701</v>
      </c>
      <c r="D2716" t="s">
        <v>14253</v>
      </c>
      <c r="E2716" s="5" t="s">
        <v>5136</v>
      </c>
      <c r="F2716" s="6">
        <v>46155.472916666666</v>
      </c>
      <c r="G2716" s="5" t="s">
        <v>7456</v>
      </c>
      <c r="H2716" s="5" t="s">
        <v>14254</v>
      </c>
      <c r="I2716" s="5" t="s">
        <v>1621</v>
      </c>
      <c r="J2716" s="8">
        <v>143.78</v>
      </c>
      <c r="K2716" s="5" t="s">
        <v>4</v>
      </c>
      <c r="L2716">
        <f t="shared" si="42"/>
        <v>5</v>
      </c>
    </row>
    <row r="2717" spans="1:12" x14ac:dyDescent="0.25">
      <c r="A2717" s="5">
        <v>48427</v>
      </c>
      <c r="B2717" t="s">
        <v>14255</v>
      </c>
      <c r="C2717" s="5" t="s">
        <v>14256</v>
      </c>
      <c r="D2717" t="s">
        <v>14257</v>
      </c>
      <c r="E2717" s="5" t="s">
        <v>5900</v>
      </c>
      <c r="F2717" s="6">
        <v>46155.486805555556</v>
      </c>
      <c r="G2717" s="5" t="s">
        <v>13816</v>
      </c>
      <c r="H2717" t="s">
        <v>8626</v>
      </c>
      <c r="I2717" s="5" t="s">
        <v>1564</v>
      </c>
      <c r="J2717" s="8">
        <v>1022</v>
      </c>
      <c r="K2717" s="5" t="s">
        <v>4</v>
      </c>
      <c r="L2717">
        <f t="shared" si="42"/>
        <v>5</v>
      </c>
    </row>
    <row r="2718" spans="1:12" x14ac:dyDescent="0.25">
      <c r="A2718" s="5">
        <v>48428</v>
      </c>
      <c r="B2718" t="s">
        <v>14258</v>
      </c>
      <c r="C2718" s="5" t="s">
        <v>14259</v>
      </c>
      <c r="D2718" t="s">
        <v>9051</v>
      </c>
      <c r="E2718" s="5" t="s">
        <v>6926</v>
      </c>
      <c r="F2718" s="6">
        <v>46155.484027777777</v>
      </c>
      <c r="G2718" s="5" t="s">
        <v>7456</v>
      </c>
      <c r="H2718" s="5" t="s">
        <v>14260</v>
      </c>
      <c r="I2718" s="5" t="s">
        <v>1621</v>
      </c>
      <c r="J2718" s="8">
        <v>38.9</v>
      </c>
      <c r="K2718" s="5" t="s">
        <v>4</v>
      </c>
      <c r="L2718">
        <f t="shared" si="42"/>
        <v>5</v>
      </c>
    </row>
    <row r="2719" spans="1:12" x14ac:dyDescent="0.25">
      <c r="A2719" s="5">
        <v>48429</v>
      </c>
      <c r="B2719" t="s">
        <v>14261</v>
      </c>
      <c r="C2719" s="5" t="s">
        <v>14262</v>
      </c>
      <c r="D2719" t="s">
        <v>14263</v>
      </c>
      <c r="E2719" s="5" t="s">
        <v>3901</v>
      </c>
      <c r="F2719" s="6">
        <v>46155.492361111108</v>
      </c>
      <c r="G2719" s="5" t="s">
        <v>7456</v>
      </c>
      <c r="H2719" s="5" t="s">
        <v>14264</v>
      </c>
      <c r="I2719" s="5" t="s">
        <v>1564</v>
      </c>
      <c r="J2719" s="8">
        <v>270</v>
      </c>
      <c r="K2719" s="5" t="s">
        <v>4</v>
      </c>
      <c r="L2719">
        <f t="shared" si="42"/>
        <v>5</v>
      </c>
    </row>
    <row r="2720" spans="1:12" x14ac:dyDescent="0.25">
      <c r="A2720" s="5">
        <v>48430</v>
      </c>
      <c r="B2720" t="s">
        <v>14265</v>
      </c>
      <c r="C2720" s="5" t="s">
        <v>14266</v>
      </c>
      <c r="D2720" t="s">
        <v>14267</v>
      </c>
      <c r="E2720" s="5" t="s">
        <v>1663</v>
      </c>
      <c r="F2720" s="6">
        <v>46155.496527777781</v>
      </c>
      <c r="G2720" s="5" t="s">
        <v>13816</v>
      </c>
      <c r="H2720" t="s">
        <v>8626</v>
      </c>
      <c r="I2720" s="5" t="s">
        <v>1564</v>
      </c>
      <c r="J2720" s="8">
        <v>232.2</v>
      </c>
      <c r="K2720" s="5" t="s">
        <v>4</v>
      </c>
      <c r="L2720">
        <f t="shared" si="42"/>
        <v>5</v>
      </c>
    </row>
    <row r="2721" spans="1:12" x14ac:dyDescent="0.25">
      <c r="A2721" s="5">
        <v>48431</v>
      </c>
      <c r="B2721" t="s">
        <v>14268</v>
      </c>
      <c r="C2721" s="5" t="s">
        <v>14269</v>
      </c>
      <c r="D2721" t="s">
        <v>14270</v>
      </c>
      <c r="E2721" s="5" t="s">
        <v>2314</v>
      </c>
      <c r="F2721" s="6">
        <v>46155.536111111112</v>
      </c>
      <c r="G2721" s="5" t="s">
        <v>7456</v>
      </c>
      <c r="H2721" s="5" t="s">
        <v>14271</v>
      </c>
      <c r="I2721" s="5" t="s">
        <v>1564</v>
      </c>
      <c r="J2721" s="8">
        <v>110.9</v>
      </c>
      <c r="K2721" s="5" t="s">
        <v>4</v>
      </c>
      <c r="L2721">
        <f t="shared" si="42"/>
        <v>5</v>
      </c>
    </row>
    <row r="2722" spans="1:12" x14ac:dyDescent="0.25">
      <c r="A2722" s="5">
        <v>48432</v>
      </c>
      <c r="B2722" t="s">
        <v>14272</v>
      </c>
      <c r="C2722" s="5" t="s">
        <v>14273</v>
      </c>
      <c r="D2722" t="s">
        <v>14274</v>
      </c>
      <c r="E2722" s="5" t="s">
        <v>1532</v>
      </c>
      <c r="F2722" s="6">
        <v>46155.557638888888</v>
      </c>
      <c r="G2722" s="5" t="s">
        <v>7456</v>
      </c>
      <c r="H2722" s="5" t="s">
        <v>14275</v>
      </c>
      <c r="I2722" s="5" t="s">
        <v>1535</v>
      </c>
      <c r="J2722" s="8">
        <v>314</v>
      </c>
      <c r="K2722" s="5" t="s">
        <v>4</v>
      </c>
      <c r="L2722">
        <f t="shared" si="42"/>
        <v>5</v>
      </c>
    </row>
    <row r="2723" spans="1:12" x14ac:dyDescent="0.25">
      <c r="A2723" s="5">
        <v>48433</v>
      </c>
      <c r="B2723" t="s">
        <v>14276</v>
      </c>
      <c r="C2723" s="5" t="s">
        <v>14277</v>
      </c>
      <c r="D2723" t="s">
        <v>14278</v>
      </c>
      <c r="E2723" s="5" t="s">
        <v>1532</v>
      </c>
      <c r="F2723" s="6">
        <v>46155.568749999999</v>
      </c>
      <c r="G2723" s="5" t="s">
        <v>7456</v>
      </c>
      <c r="H2723" s="5" t="s">
        <v>14279</v>
      </c>
      <c r="I2723" s="5" t="s">
        <v>1535</v>
      </c>
      <c r="J2723" s="8">
        <v>714</v>
      </c>
      <c r="K2723" s="5" t="s">
        <v>4</v>
      </c>
      <c r="L2723">
        <f t="shared" si="42"/>
        <v>5</v>
      </c>
    </row>
    <row r="2724" spans="1:12" x14ac:dyDescent="0.25">
      <c r="A2724" s="5">
        <v>48434</v>
      </c>
      <c r="B2724" t="s">
        <v>14280</v>
      </c>
      <c r="C2724" s="5" t="s">
        <v>252</v>
      </c>
      <c r="D2724" t="s">
        <v>14281</v>
      </c>
      <c r="E2724" s="5" t="s">
        <v>6142</v>
      </c>
      <c r="F2724" s="6">
        <v>46155.571527777778</v>
      </c>
      <c r="G2724" s="5" t="s">
        <v>7456</v>
      </c>
      <c r="H2724" s="5" t="s">
        <v>14282</v>
      </c>
      <c r="I2724" s="5" t="s">
        <v>1621</v>
      </c>
      <c r="J2724" s="8">
        <v>85.24</v>
      </c>
      <c r="K2724" s="5" t="s">
        <v>4</v>
      </c>
      <c r="L2724">
        <f t="shared" si="42"/>
        <v>5</v>
      </c>
    </row>
    <row r="2725" spans="1:12" x14ac:dyDescent="0.25">
      <c r="A2725" s="5">
        <v>48435</v>
      </c>
      <c r="B2725" t="s">
        <v>12322</v>
      </c>
      <c r="C2725" s="5" t="s">
        <v>7516</v>
      </c>
      <c r="D2725" t="s">
        <v>12323</v>
      </c>
      <c r="E2725" s="5" t="s">
        <v>1532</v>
      </c>
      <c r="F2725" s="6">
        <v>46155.582638888889</v>
      </c>
      <c r="G2725" s="5" t="s">
        <v>7456</v>
      </c>
      <c r="H2725" s="5" t="s">
        <v>7522</v>
      </c>
      <c r="I2725" s="5" t="s">
        <v>1535</v>
      </c>
      <c r="J2725" s="8">
        <v>18</v>
      </c>
      <c r="K2725" s="5" t="s">
        <v>4</v>
      </c>
      <c r="L2725">
        <f t="shared" si="42"/>
        <v>5</v>
      </c>
    </row>
    <row r="2726" spans="1:12" x14ac:dyDescent="0.25">
      <c r="A2726" s="5">
        <v>48436</v>
      </c>
      <c r="B2726" t="s">
        <v>14283</v>
      </c>
      <c r="C2726" s="5" t="s">
        <v>1115</v>
      </c>
      <c r="D2726" t="s">
        <v>14284</v>
      </c>
      <c r="E2726" s="5" t="s">
        <v>5493</v>
      </c>
      <c r="F2726" s="6">
        <v>46155.583333333336</v>
      </c>
      <c r="G2726" s="5" t="s">
        <v>7456</v>
      </c>
      <c r="H2726" s="5" t="s">
        <v>14285</v>
      </c>
      <c r="I2726" s="5" t="s">
        <v>1621</v>
      </c>
      <c r="J2726" s="8">
        <v>123.56</v>
      </c>
      <c r="K2726" s="5" t="s">
        <v>4</v>
      </c>
      <c r="L2726">
        <f t="shared" si="42"/>
        <v>5</v>
      </c>
    </row>
    <row r="2727" spans="1:12" x14ac:dyDescent="0.25">
      <c r="A2727" s="5">
        <v>48437</v>
      </c>
      <c r="B2727" t="s">
        <v>14286</v>
      </c>
      <c r="C2727" s="5" t="s">
        <v>965</v>
      </c>
      <c r="D2727" t="s">
        <v>14287</v>
      </c>
      <c r="E2727" s="5" t="s">
        <v>7294</v>
      </c>
      <c r="F2727" s="6">
        <v>46155.59375</v>
      </c>
      <c r="G2727" s="5" t="s">
        <v>7456</v>
      </c>
      <c r="H2727" s="5" t="s">
        <v>14288</v>
      </c>
      <c r="I2727" s="5" t="s">
        <v>1621</v>
      </c>
      <c r="J2727" s="8">
        <v>18.34</v>
      </c>
      <c r="K2727" s="5" t="s">
        <v>4</v>
      </c>
      <c r="L2727">
        <f t="shared" si="42"/>
        <v>5</v>
      </c>
    </row>
    <row r="2728" spans="1:12" x14ac:dyDescent="0.25">
      <c r="A2728" s="5">
        <v>48439</v>
      </c>
      <c r="B2728" t="s">
        <v>8965</v>
      </c>
      <c r="C2728" s="5" t="s">
        <v>9154</v>
      </c>
      <c r="D2728" t="s">
        <v>8966</v>
      </c>
      <c r="E2728" s="5" t="s">
        <v>1532</v>
      </c>
      <c r="F2728" s="6">
        <v>46155.609722222223</v>
      </c>
      <c r="G2728" s="5" t="s">
        <v>7595</v>
      </c>
      <c r="H2728" t="s">
        <v>7482</v>
      </c>
      <c r="I2728" s="5" t="s">
        <v>1535</v>
      </c>
      <c r="J2728" s="8">
        <v>2313.6</v>
      </c>
      <c r="K2728" s="5" t="s">
        <v>4</v>
      </c>
      <c r="L2728">
        <f t="shared" si="42"/>
        <v>5</v>
      </c>
    </row>
    <row r="2729" spans="1:12" x14ac:dyDescent="0.25">
      <c r="A2729" s="5">
        <v>48440</v>
      </c>
      <c r="B2729" t="s">
        <v>14289</v>
      </c>
      <c r="C2729" s="5" t="s">
        <v>476</v>
      </c>
      <c r="D2729" t="s">
        <v>14290</v>
      </c>
      <c r="E2729" s="5" t="s">
        <v>3458</v>
      </c>
      <c r="F2729" s="6">
        <v>46155.612500000003</v>
      </c>
      <c r="G2729" s="5" t="s">
        <v>7456</v>
      </c>
      <c r="H2729" s="5" t="s">
        <v>14291</v>
      </c>
      <c r="I2729" s="5" t="s">
        <v>1564</v>
      </c>
      <c r="J2729" s="8">
        <v>245</v>
      </c>
      <c r="K2729" s="5" t="s">
        <v>4</v>
      </c>
      <c r="L2729">
        <f t="shared" si="42"/>
        <v>5</v>
      </c>
    </row>
    <row r="2730" spans="1:12" x14ac:dyDescent="0.25">
      <c r="A2730" s="5">
        <v>48441</v>
      </c>
      <c r="B2730" t="s">
        <v>11638</v>
      </c>
      <c r="C2730" s="5" t="s">
        <v>11639</v>
      </c>
      <c r="D2730" t="s">
        <v>11640</v>
      </c>
      <c r="E2730" s="5" t="s">
        <v>1770</v>
      </c>
      <c r="F2730" s="6">
        <v>46155.631944444445</v>
      </c>
      <c r="G2730" s="5" t="s">
        <v>7456</v>
      </c>
      <c r="H2730" s="5" t="s">
        <v>14292</v>
      </c>
      <c r="I2730" s="5" t="s">
        <v>1564</v>
      </c>
      <c r="J2730" s="8">
        <v>2105</v>
      </c>
      <c r="K2730" s="5" t="s">
        <v>4</v>
      </c>
      <c r="L2730">
        <f t="shared" si="42"/>
        <v>5</v>
      </c>
    </row>
    <row r="2731" spans="1:12" x14ac:dyDescent="0.25">
      <c r="A2731" s="5">
        <v>48442</v>
      </c>
      <c r="B2731" t="s">
        <v>14293</v>
      </c>
      <c r="C2731" s="5" t="s">
        <v>10372</v>
      </c>
      <c r="D2731" t="s">
        <v>14294</v>
      </c>
      <c r="E2731" s="5" t="s">
        <v>2118</v>
      </c>
      <c r="F2731" s="6">
        <v>46155.652083333334</v>
      </c>
      <c r="G2731" s="5" t="s">
        <v>7456</v>
      </c>
      <c r="H2731" s="5" t="s">
        <v>14295</v>
      </c>
      <c r="I2731" s="5" t="s">
        <v>1564</v>
      </c>
      <c r="J2731" s="8">
        <v>135</v>
      </c>
      <c r="K2731" s="5" t="s">
        <v>4</v>
      </c>
      <c r="L2731">
        <f t="shared" si="42"/>
        <v>5</v>
      </c>
    </row>
    <row r="2732" spans="1:12" x14ac:dyDescent="0.25">
      <c r="A2732" s="5">
        <v>48443</v>
      </c>
      <c r="B2732" t="s">
        <v>14296</v>
      </c>
      <c r="C2732" s="5" t="s">
        <v>14297</v>
      </c>
      <c r="D2732" t="s">
        <v>14298</v>
      </c>
      <c r="E2732" s="5" t="s">
        <v>1770</v>
      </c>
      <c r="F2732" s="6">
        <v>46155.65625</v>
      </c>
      <c r="G2732" s="5" t="s">
        <v>7456</v>
      </c>
      <c r="H2732" s="5" t="s">
        <v>14299</v>
      </c>
      <c r="I2732" s="5" t="s">
        <v>1564</v>
      </c>
      <c r="J2732" s="8">
        <v>1049.5999999999999</v>
      </c>
      <c r="K2732" s="5" t="s">
        <v>4</v>
      </c>
      <c r="L2732">
        <f t="shared" si="42"/>
        <v>5</v>
      </c>
    </row>
    <row r="2733" spans="1:12" x14ac:dyDescent="0.25">
      <c r="A2733" s="5">
        <v>48444</v>
      </c>
      <c r="B2733" t="s">
        <v>14300</v>
      </c>
      <c r="C2733" s="5" t="s">
        <v>14301</v>
      </c>
      <c r="D2733" t="s">
        <v>14302</v>
      </c>
      <c r="E2733" s="5" t="s">
        <v>2306</v>
      </c>
      <c r="F2733" s="6">
        <v>46155.67083333333</v>
      </c>
      <c r="G2733" s="5" t="s">
        <v>7456</v>
      </c>
      <c r="H2733" s="5" t="s">
        <v>14303</v>
      </c>
      <c r="I2733" s="5" t="s">
        <v>1564</v>
      </c>
      <c r="J2733" s="8">
        <v>368.6</v>
      </c>
      <c r="K2733" s="5" t="s">
        <v>4</v>
      </c>
      <c r="L2733">
        <f t="shared" si="42"/>
        <v>5</v>
      </c>
    </row>
    <row r="2734" spans="1:12" x14ac:dyDescent="0.25">
      <c r="A2734" s="5">
        <v>48445</v>
      </c>
      <c r="B2734" t="s">
        <v>14304</v>
      </c>
      <c r="C2734" s="5" t="s">
        <v>961</v>
      </c>
      <c r="D2734" t="s">
        <v>14305</v>
      </c>
      <c r="E2734" s="5" t="s">
        <v>7033</v>
      </c>
      <c r="F2734" s="6">
        <v>46155.682638888888</v>
      </c>
      <c r="G2734" s="5" t="s">
        <v>7456</v>
      </c>
      <c r="H2734" s="5" t="s">
        <v>14306</v>
      </c>
      <c r="I2734" s="5" t="s">
        <v>1621</v>
      </c>
      <c r="J2734" s="8">
        <v>32.43</v>
      </c>
      <c r="K2734" s="5" t="s">
        <v>4</v>
      </c>
      <c r="L2734">
        <f t="shared" si="42"/>
        <v>5</v>
      </c>
    </row>
    <row r="2735" spans="1:12" x14ac:dyDescent="0.25">
      <c r="A2735" s="5">
        <v>48446</v>
      </c>
      <c r="B2735" t="s">
        <v>14307</v>
      </c>
      <c r="C2735" s="5" t="s">
        <v>9639</v>
      </c>
      <c r="D2735" t="s">
        <v>9293</v>
      </c>
      <c r="E2735" s="5" t="s">
        <v>2118</v>
      </c>
      <c r="F2735" s="6">
        <v>46155.688194444447</v>
      </c>
      <c r="G2735" s="5" t="s">
        <v>7456</v>
      </c>
      <c r="H2735" s="5" t="s">
        <v>14308</v>
      </c>
      <c r="I2735" s="5" t="s">
        <v>1564</v>
      </c>
      <c r="J2735" s="8">
        <v>151</v>
      </c>
      <c r="K2735" s="5" t="s">
        <v>4</v>
      </c>
      <c r="L2735">
        <f t="shared" si="42"/>
        <v>5</v>
      </c>
    </row>
    <row r="2736" spans="1:12" x14ac:dyDescent="0.25">
      <c r="A2736" s="5">
        <v>48447</v>
      </c>
      <c r="B2736" t="s">
        <v>14309</v>
      </c>
      <c r="C2736" s="5" t="s">
        <v>14310</v>
      </c>
      <c r="D2736" t="s">
        <v>14311</v>
      </c>
      <c r="E2736" s="5" t="s">
        <v>1759</v>
      </c>
      <c r="F2736" s="6">
        <v>46155.705555555556</v>
      </c>
      <c r="G2736" s="5" t="s">
        <v>7456</v>
      </c>
      <c r="H2736" s="5" t="s">
        <v>14312</v>
      </c>
      <c r="I2736" s="5" t="s">
        <v>1564</v>
      </c>
      <c r="J2736" s="8">
        <v>140.6</v>
      </c>
      <c r="K2736" s="5" t="s">
        <v>4</v>
      </c>
      <c r="L2736">
        <f t="shared" si="42"/>
        <v>5</v>
      </c>
    </row>
    <row r="2737" spans="1:12" x14ac:dyDescent="0.25">
      <c r="A2737" s="5">
        <v>48448</v>
      </c>
      <c r="B2737" t="s">
        <v>14313</v>
      </c>
      <c r="C2737" s="5" t="s">
        <v>14310</v>
      </c>
      <c r="D2737" t="s">
        <v>14311</v>
      </c>
      <c r="E2737" s="5" t="s">
        <v>1759</v>
      </c>
      <c r="F2737" s="6">
        <v>46155.706944444442</v>
      </c>
      <c r="G2737" s="5" t="s">
        <v>7456</v>
      </c>
      <c r="H2737" s="5" t="s">
        <v>14314</v>
      </c>
      <c r="I2737" s="5" t="s">
        <v>1564</v>
      </c>
      <c r="J2737" s="8">
        <v>196.4</v>
      </c>
      <c r="K2737" s="5" t="s">
        <v>4</v>
      </c>
      <c r="L2737">
        <f t="shared" si="42"/>
        <v>5</v>
      </c>
    </row>
    <row r="2738" spans="1:12" x14ac:dyDescent="0.25">
      <c r="A2738" s="5">
        <v>48449</v>
      </c>
      <c r="B2738" t="s">
        <v>14315</v>
      </c>
      <c r="C2738" s="5" t="s">
        <v>9032</v>
      </c>
      <c r="D2738" t="s">
        <v>14316</v>
      </c>
      <c r="E2738" s="5" t="s">
        <v>1673</v>
      </c>
      <c r="F2738" s="6">
        <v>46155.720138888886</v>
      </c>
      <c r="G2738" s="5" t="s">
        <v>7456</v>
      </c>
      <c r="H2738" s="5" t="s">
        <v>14317</v>
      </c>
      <c r="I2738" s="5" t="s">
        <v>1564</v>
      </c>
      <c r="J2738" s="8">
        <v>179</v>
      </c>
      <c r="K2738" s="5" t="s">
        <v>4</v>
      </c>
      <c r="L2738">
        <f t="shared" si="42"/>
        <v>5</v>
      </c>
    </row>
    <row r="2739" spans="1:12" x14ac:dyDescent="0.25">
      <c r="A2739" s="5">
        <v>48450</v>
      </c>
      <c r="B2739" t="s">
        <v>14261</v>
      </c>
      <c r="C2739" s="5" t="s">
        <v>14262</v>
      </c>
      <c r="D2739" t="s">
        <v>14263</v>
      </c>
      <c r="E2739" s="5" t="s">
        <v>3767</v>
      </c>
      <c r="F2739" s="6">
        <v>46155.731944444444</v>
      </c>
      <c r="G2739" s="5" t="s">
        <v>7456</v>
      </c>
      <c r="H2739" s="5" t="s">
        <v>14318</v>
      </c>
      <c r="I2739" s="5" t="s">
        <v>1564</v>
      </c>
      <c r="J2739" s="8">
        <v>292</v>
      </c>
      <c r="K2739" s="5" t="s">
        <v>4</v>
      </c>
      <c r="L2739">
        <f t="shared" si="42"/>
        <v>5</v>
      </c>
    </row>
    <row r="2740" spans="1:12" x14ac:dyDescent="0.25">
      <c r="A2740" s="5">
        <v>48454</v>
      </c>
      <c r="B2740" t="s">
        <v>14319</v>
      </c>
      <c r="C2740" s="5" t="s">
        <v>7516</v>
      </c>
      <c r="D2740" t="s">
        <v>14320</v>
      </c>
      <c r="E2740" s="5" t="s">
        <v>1532</v>
      </c>
      <c r="F2740" s="6">
        <v>46156.408333333333</v>
      </c>
      <c r="G2740" s="5" t="s">
        <v>7595</v>
      </c>
      <c r="H2740" t="s">
        <v>7482</v>
      </c>
      <c r="I2740" s="5" t="s">
        <v>1535</v>
      </c>
      <c r="J2740" s="8">
        <v>398</v>
      </c>
      <c r="K2740" s="5" t="s">
        <v>4</v>
      </c>
      <c r="L2740">
        <f t="shared" si="42"/>
        <v>5</v>
      </c>
    </row>
    <row r="2741" spans="1:12" x14ac:dyDescent="0.25">
      <c r="A2741" s="5">
        <v>48455</v>
      </c>
      <c r="B2741" t="s">
        <v>14321</v>
      </c>
      <c r="C2741" s="5" t="s">
        <v>14322</v>
      </c>
      <c r="D2741" t="s">
        <v>14323</v>
      </c>
      <c r="E2741" s="5" t="s">
        <v>1532</v>
      </c>
      <c r="F2741" s="6">
        <v>46156.415277777778</v>
      </c>
      <c r="G2741" s="5" t="s">
        <v>7456</v>
      </c>
      <c r="H2741" s="5" t="s">
        <v>14324</v>
      </c>
      <c r="I2741" s="5" t="s">
        <v>1535</v>
      </c>
      <c r="J2741" s="8">
        <v>228</v>
      </c>
      <c r="K2741" s="5" t="s">
        <v>4</v>
      </c>
      <c r="L2741">
        <f t="shared" si="42"/>
        <v>5</v>
      </c>
    </row>
    <row r="2742" spans="1:12" x14ac:dyDescent="0.25">
      <c r="A2742" s="5">
        <v>48456</v>
      </c>
      <c r="B2742" t="s">
        <v>8151</v>
      </c>
      <c r="C2742" s="5" t="s">
        <v>8545</v>
      </c>
      <c r="D2742" t="s">
        <v>8546</v>
      </c>
      <c r="E2742" s="5" t="s">
        <v>5412</v>
      </c>
      <c r="F2742" s="6">
        <v>46156.425694444442</v>
      </c>
      <c r="G2742" s="5" t="s">
        <v>7456</v>
      </c>
      <c r="H2742" s="5" t="s">
        <v>14325</v>
      </c>
      <c r="I2742" s="5" t="s">
        <v>1535</v>
      </c>
      <c r="J2742" s="8">
        <v>59.5</v>
      </c>
      <c r="K2742" s="5" t="s">
        <v>4</v>
      </c>
      <c r="L2742">
        <f t="shared" si="42"/>
        <v>5</v>
      </c>
    </row>
    <row r="2743" spans="1:12" x14ac:dyDescent="0.25">
      <c r="A2743" s="5">
        <v>48457</v>
      </c>
      <c r="B2743" t="s">
        <v>14326</v>
      </c>
      <c r="C2743" s="5" t="s">
        <v>14327</v>
      </c>
      <c r="D2743" t="s">
        <v>14328</v>
      </c>
      <c r="E2743" s="5" t="s">
        <v>1532</v>
      </c>
      <c r="F2743" s="6">
        <v>46156.446527777778</v>
      </c>
      <c r="G2743" s="5" t="s">
        <v>7595</v>
      </c>
      <c r="H2743" t="s">
        <v>7482</v>
      </c>
      <c r="I2743" s="5" t="s">
        <v>1535</v>
      </c>
      <c r="J2743" s="8">
        <v>397</v>
      </c>
      <c r="K2743" s="5" t="s">
        <v>4</v>
      </c>
      <c r="L2743">
        <f t="shared" si="42"/>
        <v>5</v>
      </c>
    </row>
    <row r="2744" spans="1:12" x14ac:dyDescent="0.25">
      <c r="A2744" s="5">
        <v>48458</v>
      </c>
      <c r="B2744" t="s">
        <v>14329</v>
      </c>
      <c r="C2744" s="5" t="s">
        <v>14330</v>
      </c>
      <c r="D2744" t="s">
        <v>14331</v>
      </c>
      <c r="E2744" s="5" t="s">
        <v>4122</v>
      </c>
      <c r="F2744" s="6">
        <v>46156.469444444447</v>
      </c>
      <c r="G2744" s="5" t="s">
        <v>7456</v>
      </c>
      <c r="H2744" s="5" t="s">
        <v>14332</v>
      </c>
      <c r="I2744" s="5" t="s">
        <v>1535</v>
      </c>
      <c r="J2744" s="8">
        <v>239.7</v>
      </c>
      <c r="K2744" s="5" t="s">
        <v>4</v>
      </c>
      <c r="L2744">
        <f t="shared" si="42"/>
        <v>5</v>
      </c>
    </row>
    <row r="2745" spans="1:12" x14ac:dyDescent="0.25">
      <c r="A2745" s="5">
        <v>48459</v>
      </c>
      <c r="B2745" t="s">
        <v>14333</v>
      </c>
      <c r="C2745" s="5" t="s">
        <v>14334</v>
      </c>
      <c r="D2745" t="s">
        <v>14335</v>
      </c>
      <c r="E2745" s="5" t="s">
        <v>5736</v>
      </c>
      <c r="F2745" s="6">
        <v>46156.589583333334</v>
      </c>
      <c r="G2745" s="5" t="s">
        <v>7456</v>
      </c>
      <c r="H2745" s="5" t="s">
        <v>14336</v>
      </c>
      <c r="I2745" s="5" t="s">
        <v>1621</v>
      </c>
      <c r="J2745" s="8">
        <v>112.89</v>
      </c>
      <c r="K2745" s="5" t="s">
        <v>4</v>
      </c>
      <c r="L2745">
        <f t="shared" si="42"/>
        <v>5</v>
      </c>
    </row>
    <row r="2746" spans="1:12" x14ac:dyDescent="0.25">
      <c r="A2746" s="5">
        <v>48460</v>
      </c>
      <c r="B2746" t="s">
        <v>14337</v>
      </c>
      <c r="C2746" s="5" t="s">
        <v>14338</v>
      </c>
      <c r="D2746" t="s">
        <v>14339</v>
      </c>
      <c r="E2746" s="5" t="s">
        <v>1532</v>
      </c>
      <c r="F2746" s="6">
        <v>46156.604861111111</v>
      </c>
      <c r="G2746" s="5" t="s">
        <v>7456</v>
      </c>
      <c r="H2746" s="5" t="s">
        <v>14340</v>
      </c>
      <c r="I2746" s="5" t="s">
        <v>1535</v>
      </c>
      <c r="J2746" s="8">
        <v>318</v>
      </c>
      <c r="K2746" s="5" t="s">
        <v>4</v>
      </c>
      <c r="L2746">
        <f t="shared" si="42"/>
        <v>5</v>
      </c>
    </row>
    <row r="2747" spans="1:12" x14ac:dyDescent="0.25">
      <c r="A2747" s="5">
        <v>48461</v>
      </c>
      <c r="B2747" t="s">
        <v>14341</v>
      </c>
      <c r="C2747" s="5" t="s">
        <v>14342</v>
      </c>
      <c r="D2747" t="s">
        <v>7644</v>
      </c>
      <c r="E2747" s="5" t="s">
        <v>1532</v>
      </c>
      <c r="F2747" s="6">
        <v>46156.611805555556</v>
      </c>
      <c r="G2747" s="5" t="s">
        <v>7456</v>
      </c>
      <c r="H2747" s="5" t="s">
        <v>14343</v>
      </c>
      <c r="I2747" s="5" t="s">
        <v>1535</v>
      </c>
      <c r="J2747" s="8">
        <v>57.9</v>
      </c>
      <c r="K2747" s="5" t="s">
        <v>4</v>
      </c>
      <c r="L2747">
        <f t="shared" si="42"/>
        <v>5</v>
      </c>
    </row>
    <row r="2748" spans="1:12" x14ac:dyDescent="0.25">
      <c r="A2748" s="5">
        <v>48464</v>
      </c>
      <c r="B2748" t="s">
        <v>14344</v>
      </c>
      <c r="C2748" s="5" t="s">
        <v>14345</v>
      </c>
      <c r="D2748" t="s">
        <v>14346</v>
      </c>
      <c r="E2748" s="5" t="s">
        <v>4334</v>
      </c>
      <c r="F2748" s="6">
        <v>46156.609027777777</v>
      </c>
      <c r="G2748" s="5" t="s">
        <v>7456</v>
      </c>
      <c r="H2748" s="5" t="s">
        <v>14347</v>
      </c>
      <c r="I2748" s="5" t="s">
        <v>1621</v>
      </c>
      <c r="J2748" s="8">
        <v>213.29</v>
      </c>
      <c r="K2748" s="5" t="s">
        <v>4</v>
      </c>
      <c r="L2748">
        <f t="shared" si="42"/>
        <v>5</v>
      </c>
    </row>
    <row r="2749" spans="1:12" x14ac:dyDescent="0.25">
      <c r="A2749" s="5">
        <v>48465</v>
      </c>
      <c r="B2749" t="s">
        <v>14348</v>
      </c>
      <c r="C2749" s="5" t="s">
        <v>14349</v>
      </c>
      <c r="D2749" t="s">
        <v>14350</v>
      </c>
      <c r="E2749" s="5" t="s">
        <v>14351</v>
      </c>
      <c r="F2749" s="6">
        <v>46156.636111111111</v>
      </c>
      <c r="G2749" s="5" t="s">
        <v>7456</v>
      </c>
      <c r="H2749" s="5" t="s">
        <v>14352</v>
      </c>
      <c r="I2749" s="5" t="s">
        <v>1535</v>
      </c>
      <c r="J2749" s="8">
        <v>461</v>
      </c>
      <c r="K2749" s="5" t="s">
        <v>4</v>
      </c>
      <c r="L2749">
        <f t="shared" si="42"/>
        <v>5</v>
      </c>
    </row>
    <row r="2750" spans="1:12" x14ac:dyDescent="0.25">
      <c r="A2750" s="5">
        <v>48466</v>
      </c>
      <c r="B2750" t="s">
        <v>14353</v>
      </c>
      <c r="C2750" s="5" t="s">
        <v>224</v>
      </c>
      <c r="D2750" t="s">
        <v>14354</v>
      </c>
      <c r="E2750" s="5" t="s">
        <v>6146</v>
      </c>
      <c r="F2750" s="6">
        <v>46156.635416666664</v>
      </c>
      <c r="G2750" s="5" t="s">
        <v>7456</v>
      </c>
      <c r="H2750" s="5" t="s">
        <v>14355</v>
      </c>
      <c r="I2750" s="5" t="s">
        <v>1621</v>
      </c>
      <c r="J2750" s="8">
        <v>84.69</v>
      </c>
      <c r="K2750" s="5" t="s">
        <v>4</v>
      </c>
      <c r="L2750">
        <f t="shared" si="42"/>
        <v>5</v>
      </c>
    </row>
    <row r="2751" spans="1:12" x14ac:dyDescent="0.25">
      <c r="A2751" s="5">
        <v>48468</v>
      </c>
      <c r="B2751" t="s">
        <v>14356</v>
      </c>
      <c r="C2751" s="5" t="s">
        <v>14357</v>
      </c>
      <c r="D2751" t="s">
        <v>14358</v>
      </c>
      <c r="E2751" s="5" t="s">
        <v>6946</v>
      </c>
      <c r="F2751" s="6">
        <v>46156.645833333336</v>
      </c>
      <c r="G2751" s="5" t="s">
        <v>7456</v>
      </c>
      <c r="H2751" s="5" t="s">
        <v>14359</v>
      </c>
      <c r="I2751" s="5" t="s">
        <v>1621</v>
      </c>
      <c r="J2751" s="8">
        <v>38.299999999999997</v>
      </c>
      <c r="K2751" s="5" t="s">
        <v>4</v>
      </c>
      <c r="L2751">
        <f t="shared" si="42"/>
        <v>5</v>
      </c>
    </row>
    <row r="2752" spans="1:12" x14ac:dyDescent="0.25">
      <c r="A2752" s="5">
        <v>48470</v>
      </c>
      <c r="B2752" t="s">
        <v>14360</v>
      </c>
      <c r="C2752" s="5" t="s">
        <v>669</v>
      </c>
      <c r="D2752" t="s">
        <v>14361</v>
      </c>
      <c r="E2752" s="5" t="s">
        <v>7271</v>
      </c>
      <c r="F2752" s="6">
        <v>46156.65625</v>
      </c>
      <c r="G2752" s="5" t="s">
        <v>7456</v>
      </c>
      <c r="H2752" s="5" t="s">
        <v>14362</v>
      </c>
      <c r="I2752" s="5" t="s">
        <v>1621</v>
      </c>
      <c r="J2752" s="8">
        <v>19.899999999999999</v>
      </c>
      <c r="K2752" s="5" t="s">
        <v>4</v>
      </c>
      <c r="L2752">
        <f t="shared" si="42"/>
        <v>5</v>
      </c>
    </row>
    <row r="2753" spans="1:12" x14ac:dyDescent="0.25">
      <c r="A2753" s="5">
        <v>48471</v>
      </c>
      <c r="B2753" t="s">
        <v>14363</v>
      </c>
      <c r="C2753" s="5" t="s">
        <v>7516</v>
      </c>
      <c r="D2753" t="s">
        <v>14364</v>
      </c>
      <c r="E2753" s="5" t="s">
        <v>1532</v>
      </c>
      <c r="F2753" s="6">
        <v>46157.361111111109</v>
      </c>
      <c r="G2753" s="5" t="s">
        <v>7456</v>
      </c>
      <c r="H2753" s="5" t="s">
        <v>14365</v>
      </c>
      <c r="I2753" s="5" t="s">
        <v>1535</v>
      </c>
      <c r="J2753" s="8">
        <v>429</v>
      </c>
      <c r="K2753" s="5" t="s">
        <v>4</v>
      </c>
      <c r="L2753">
        <f t="shared" si="42"/>
        <v>5</v>
      </c>
    </row>
    <row r="2754" spans="1:12" x14ac:dyDescent="0.25">
      <c r="A2754" s="5">
        <v>48473</v>
      </c>
      <c r="B2754" t="s">
        <v>9551</v>
      </c>
      <c r="C2754" s="5" t="s">
        <v>9552</v>
      </c>
      <c r="D2754" t="s">
        <v>9553</v>
      </c>
      <c r="E2754" s="5" t="s">
        <v>1770</v>
      </c>
      <c r="F2754" s="6">
        <v>46157.402777777781</v>
      </c>
      <c r="G2754" s="5" t="s">
        <v>7456</v>
      </c>
      <c r="H2754" s="5" t="s">
        <v>14366</v>
      </c>
      <c r="I2754" s="5" t="s">
        <v>1535</v>
      </c>
      <c r="J2754" s="8">
        <v>245</v>
      </c>
      <c r="K2754" s="5" t="s">
        <v>4</v>
      </c>
      <c r="L2754">
        <f t="shared" si="42"/>
        <v>5</v>
      </c>
    </row>
    <row r="2755" spans="1:12" x14ac:dyDescent="0.25">
      <c r="A2755" s="5">
        <v>48474</v>
      </c>
      <c r="B2755" t="s">
        <v>8940</v>
      </c>
      <c r="C2755" s="5" t="s">
        <v>8941</v>
      </c>
      <c r="D2755" t="s">
        <v>8942</v>
      </c>
      <c r="E2755" s="5" t="s">
        <v>1663</v>
      </c>
      <c r="F2755" s="6">
        <v>46157.40347222222</v>
      </c>
      <c r="G2755" s="5" t="s">
        <v>7456</v>
      </c>
      <c r="H2755" s="5" t="s">
        <v>14367</v>
      </c>
      <c r="I2755" s="5" t="s">
        <v>1564</v>
      </c>
      <c r="J2755" s="8">
        <v>3123.62</v>
      </c>
      <c r="K2755" s="5" t="s">
        <v>4</v>
      </c>
      <c r="L2755">
        <f t="shared" ref="L2755:L2818" si="43">MONTH(F2755)</f>
        <v>5</v>
      </c>
    </row>
    <row r="2756" spans="1:12" x14ac:dyDescent="0.25">
      <c r="A2756" s="5">
        <v>48475</v>
      </c>
      <c r="B2756" t="s">
        <v>14368</v>
      </c>
      <c r="C2756" s="5" t="s">
        <v>14369</v>
      </c>
      <c r="D2756" t="s">
        <v>14370</v>
      </c>
      <c r="E2756" s="5" t="s">
        <v>3726</v>
      </c>
      <c r="F2756" s="6">
        <v>46157.411111111112</v>
      </c>
      <c r="G2756" s="5" t="s">
        <v>7456</v>
      </c>
      <c r="H2756" s="5" t="s">
        <v>14371</v>
      </c>
      <c r="I2756" s="5" t="s">
        <v>1564</v>
      </c>
      <c r="J2756" s="8">
        <v>296.8</v>
      </c>
      <c r="K2756" s="5" t="s">
        <v>4</v>
      </c>
      <c r="L2756">
        <f t="shared" si="43"/>
        <v>5</v>
      </c>
    </row>
    <row r="2757" spans="1:12" x14ac:dyDescent="0.25">
      <c r="A2757" s="5">
        <v>48478</v>
      </c>
      <c r="B2757" t="s">
        <v>14372</v>
      </c>
      <c r="C2757" s="5" t="s">
        <v>14373</v>
      </c>
      <c r="D2757" t="s">
        <v>14374</v>
      </c>
      <c r="E2757" s="5" t="s">
        <v>1738</v>
      </c>
      <c r="F2757" s="6">
        <v>46157.435416666667</v>
      </c>
      <c r="G2757" s="5" t="s">
        <v>7456</v>
      </c>
      <c r="H2757" s="5" t="s">
        <v>14375</v>
      </c>
      <c r="I2757" s="5" t="s">
        <v>1564</v>
      </c>
      <c r="J2757" s="8">
        <v>240</v>
      </c>
      <c r="K2757" s="5" t="s">
        <v>4</v>
      </c>
      <c r="L2757">
        <f t="shared" si="43"/>
        <v>5</v>
      </c>
    </row>
    <row r="2758" spans="1:12" x14ac:dyDescent="0.25">
      <c r="A2758" s="5">
        <v>48479</v>
      </c>
      <c r="B2758" t="s">
        <v>14376</v>
      </c>
      <c r="C2758" s="5" t="s">
        <v>14377</v>
      </c>
      <c r="D2758" t="s">
        <v>14378</v>
      </c>
      <c r="E2758" s="5" t="s">
        <v>1532</v>
      </c>
      <c r="F2758" s="6">
        <v>46157.439583333333</v>
      </c>
      <c r="G2758" s="5" t="s">
        <v>7456</v>
      </c>
      <c r="H2758" s="5" t="s">
        <v>14379</v>
      </c>
      <c r="I2758" s="5" t="s">
        <v>1535</v>
      </c>
      <c r="J2758" s="8">
        <v>1890</v>
      </c>
      <c r="K2758" s="5" t="s">
        <v>4</v>
      </c>
      <c r="L2758">
        <f t="shared" si="43"/>
        <v>5</v>
      </c>
    </row>
    <row r="2759" spans="1:12" x14ac:dyDescent="0.25">
      <c r="A2759" s="5">
        <v>48480</v>
      </c>
      <c r="B2759" t="s">
        <v>14380</v>
      </c>
      <c r="C2759" s="5" t="s">
        <v>14381</v>
      </c>
      <c r="D2759" t="s">
        <v>14382</v>
      </c>
      <c r="E2759" s="5" t="s">
        <v>14383</v>
      </c>
      <c r="F2759" s="6">
        <v>46157.443749999999</v>
      </c>
      <c r="G2759" s="5" t="s">
        <v>13816</v>
      </c>
      <c r="H2759" t="s">
        <v>7482</v>
      </c>
      <c r="I2759" s="5" t="s">
        <v>1564</v>
      </c>
      <c r="J2759" s="8">
        <v>808</v>
      </c>
      <c r="K2759" s="5" t="s">
        <v>4</v>
      </c>
      <c r="L2759">
        <f t="shared" si="43"/>
        <v>5</v>
      </c>
    </row>
    <row r="2760" spans="1:12" x14ac:dyDescent="0.25">
      <c r="A2760" s="5">
        <v>48481</v>
      </c>
      <c r="B2760" t="s">
        <v>14384</v>
      </c>
      <c r="C2760" s="5" t="s">
        <v>14385</v>
      </c>
      <c r="D2760" t="s">
        <v>14386</v>
      </c>
      <c r="E2760" s="5" t="s">
        <v>3566</v>
      </c>
      <c r="F2760" s="6">
        <v>46157.466666666667</v>
      </c>
      <c r="G2760" s="5" t="s">
        <v>7456</v>
      </c>
      <c r="H2760" s="5" t="s">
        <v>14387</v>
      </c>
      <c r="I2760" s="5" t="s">
        <v>1564</v>
      </c>
      <c r="J2760" s="8">
        <v>315</v>
      </c>
      <c r="K2760" s="5" t="s">
        <v>4</v>
      </c>
      <c r="L2760">
        <f t="shared" si="43"/>
        <v>5</v>
      </c>
    </row>
    <row r="2761" spans="1:12" x14ac:dyDescent="0.25">
      <c r="A2761" s="5">
        <v>48482</v>
      </c>
      <c r="B2761" t="s">
        <v>10161</v>
      </c>
      <c r="C2761" s="5" t="s">
        <v>7827</v>
      </c>
      <c r="D2761" t="s">
        <v>10162</v>
      </c>
      <c r="E2761" s="5" t="s">
        <v>1759</v>
      </c>
      <c r="F2761" s="6">
        <v>46157.527777777781</v>
      </c>
      <c r="G2761" s="5" t="s">
        <v>7456</v>
      </c>
      <c r="H2761" s="5" t="s">
        <v>14388</v>
      </c>
      <c r="I2761" s="5" t="s">
        <v>1564</v>
      </c>
      <c r="J2761" s="8">
        <v>346.5</v>
      </c>
      <c r="K2761" s="5" t="s">
        <v>4</v>
      </c>
      <c r="L2761">
        <f t="shared" si="43"/>
        <v>5</v>
      </c>
    </row>
    <row r="2762" spans="1:12" x14ac:dyDescent="0.25">
      <c r="A2762" s="5">
        <v>48483</v>
      </c>
      <c r="B2762" t="s">
        <v>14389</v>
      </c>
      <c r="C2762" s="5" t="s">
        <v>14390</v>
      </c>
      <c r="D2762" t="s">
        <v>14391</v>
      </c>
      <c r="E2762" s="5" t="s">
        <v>3230</v>
      </c>
      <c r="F2762" s="6">
        <v>46157.536111111112</v>
      </c>
      <c r="G2762" s="5" t="s">
        <v>7456</v>
      </c>
      <c r="H2762" s="5" t="s">
        <v>14392</v>
      </c>
      <c r="I2762" s="5" t="s">
        <v>1564</v>
      </c>
      <c r="J2762" s="8">
        <v>390</v>
      </c>
      <c r="K2762" s="5" t="s">
        <v>4</v>
      </c>
      <c r="L2762">
        <f t="shared" si="43"/>
        <v>5</v>
      </c>
    </row>
    <row r="2763" spans="1:12" x14ac:dyDescent="0.25">
      <c r="A2763" s="5">
        <v>48484</v>
      </c>
      <c r="B2763" t="s">
        <v>14393</v>
      </c>
      <c r="C2763" s="5" t="s">
        <v>7516</v>
      </c>
      <c r="D2763" t="s">
        <v>14394</v>
      </c>
      <c r="E2763" s="5" t="s">
        <v>1532</v>
      </c>
      <c r="F2763" s="6">
        <v>46157.558333333334</v>
      </c>
      <c r="G2763" s="5" t="s">
        <v>7456</v>
      </c>
      <c r="H2763" s="5" t="s">
        <v>14395</v>
      </c>
      <c r="I2763" s="5" t="s">
        <v>1535</v>
      </c>
      <c r="J2763" s="8">
        <v>310.39999999999998</v>
      </c>
      <c r="K2763" s="5" t="s">
        <v>4</v>
      </c>
      <c r="L2763">
        <f t="shared" si="43"/>
        <v>5</v>
      </c>
    </row>
    <row r="2764" spans="1:12" x14ac:dyDescent="0.25">
      <c r="A2764" s="5">
        <v>48485</v>
      </c>
      <c r="B2764" t="s">
        <v>14396</v>
      </c>
      <c r="C2764" s="5" t="s">
        <v>250</v>
      </c>
      <c r="D2764" t="s">
        <v>14397</v>
      </c>
      <c r="E2764" s="5" t="s">
        <v>1532</v>
      </c>
      <c r="F2764" s="6">
        <v>46157.569444444445</v>
      </c>
      <c r="G2764" s="5" t="s">
        <v>7456</v>
      </c>
      <c r="H2764" s="5" t="s">
        <v>14398</v>
      </c>
      <c r="I2764" s="5" t="s">
        <v>1535</v>
      </c>
      <c r="J2764" s="8">
        <v>1245</v>
      </c>
      <c r="K2764" s="5" t="s">
        <v>4</v>
      </c>
      <c r="L2764">
        <f t="shared" si="43"/>
        <v>5</v>
      </c>
    </row>
    <row r="2765" spans="1:12" x14ac:dyDescent="0.25">
      <c r="A2765" s="5">
        <v>48486</v>
      </c>
      <c r="B2765" t="s">
        <v>14399</v>
      </c>
      <c r="C2765" s="5" t="s">
        <v>220</v>
      </c>
      <c r="D2765" t="s">
        <v>14400</v>
      </c>
      <c r="E2765" s="5" t="s">
        <v>1532</v>
      </c>
      <c r="F2765" s="6">
        <v>46157.587500000001</v>
      </c>
      <c r="G2765" s="5" t="s">
        <v>7456</v>
      </c>
      <c r="H2765" s="5" t="s">
        <v>14401</v>
      </c>
      <c r="I2765" s="5" t="s">
        <v>1535</v>
      </c>
      <c r="J2765" s="8">
        <v>460.9</v>
      </c>
      <c r="K2765" s="5" t="s">
        <v>4</v>
      </c>
      <c r="L2765">
        <f t="shared" si="43"/>
        <v>5</v>
      </c>
    </row>
    <row r="2766" spans="1:12" x14ac:dyDescent="0.25">
      <c r="A2766" s="5">
        <v>48487</v>
      </c>
      <c r="B2766" t="s">
        <v>14402</v>
      </c>
      <c r="C2766" s="5" t="s">
        <v>881</v>
      </c>
      <c r="D2766" t="s">
        <v>14403</v>
      </c>
      <c r="E2766" s="5" t="s">
        <v>4475</v>
      </c>
      <c r="F2766" s="6">
        <v>46157.593055555553</v>
      </c>
      <c r="G2766" s="5" t="s">
        <v>7456</v>
      </c>
      <c r="H2766" s="5" t="s">
        <v>14404</v>
      </c>
      <c r="I2766" s="5" t="s">
        <v>1621</v>
      </c>
      <c r="J2766" s="8">
        <v>193.95</v>
      </c>
      <c r="K2766" s="5" t="s">
        <v>4</v>
      </c>
      <c r="L2766">
        <f t="shared" si="43"/>
        <v>5</v>
      </c>
    </row>
    <row r="2767" spans="1:12" x14ac:dyDescent="0.25">
      <c r="A2767" s="5">
        <v>48488</v>
      </c>
      <c r="B2767" t="s">
        <v>14405</v>
      </c>
      <c r="C2767" s="5" t="s">
        <v>14406</v>
      </c>
      <c r="D2767" t="s">
        <v>14407</v>
      </c>
      <c r="E2767" s="5" t="s">
        <v>1532</v>
      </c>
      <c r="F2767" s="6">
        <v>46157.604861111111</v>
      </c>
      <c r="G2767" s="5" t="s">
        <v>7595</v>
      </c>
      <c r="H2767" t="s">
        <v>7482</v>
      </c>
      <c r="I2767" s="5" t="s">
        <v>1535</v>
      </c>
      <c r="J2767" s="8">
        <v>392</v>
      </c>
      <c r="K2767" s="5" t="s">
        <v>4</v>
      </c>
      <c r="L2767">
        <f t="shared" si="43"/>
        <v>5</v>
      </c>
    </row>
    <row r="2768" spans="1:12" x14ac:dyDescent="0.25">
      <c r="A2768" s="5">
        <v>48489</v>
      </c>
      <c r="B2768" t="s">
        <v>14408</v>
      </c>
      <c r="C2768" s="5" t="s">
        <v>472</v>
      </c>
      <c r="D2768" t="s">
        <v>14409</v>
      </c>
      <c r="E2768" s="5" t="s">
        <v>7233</v>
      </c>
      <c r="F2768" s="6">
        <v>46157.606249999997</v>
      </c>
      <c r="G2768" s="5" t="s">
        <v>7456</v>
      </c>
      <c r="H2768" s="5" t="s">
        <v>14410</v>
      </c>
      <c r="I2768" s="5" t="s">
        <v>1621</v>
      </c>
      <c r="J2768" s="8">
        <v>22.25</v>
      </c>
      <c r="K2768" s="5" t="s">
        <v>4</v>
      </c>
      <c r="L2768">
        <f t="shared" si="43"/>
        <v>5</v>
      </c>
    </row>
    <row r="2769" spans="1:12" x14ac:dyDescent="0.25">
      <c r="A2769" s="5">
        <v>48490</v>
      </c>
      <c r="B2769" t="s">
        <v>14411</v>
      </c>
      <c r="C2769" s="5" t="s">
        <v>959</v>
      </c>
      <c r="D2769" t="s">
        <v>14412</v>
      </c>
      <c r="E2769" s="5" t="s">
        <v>6149</v>
      </c>
      <c r="F2769" s="6">
        <v>46157.617361111108</v>
      </c>
      <c r="G2769" s="5" t="s">
        <v>7456</v>
      </c>
      <c r="H2769" s="5" t="s">
        <v>14413</v>
      </c>
      <c r="I2769" s="5" t="s">
        <v>1621</v>
      </c>
      <c r="J2769" s="8">
        <v>84.69</v>
      </c>
      <c r="K2769" s="5" t="s">
        <v>4</v>
      </c>
      <c r="L2769">
        <f t="shared" si="43"/>
        <v>5</v>
      </c>
    </row>
    <row r="2770" spans="1:12" x14ac:dyDescent="0.25">
      <c r="A2770" s="5">
        <v>48491</v>
      </c>
      <c r="B2770" t="s">
        <v>14414</v>
      </c>
      <c r="C2770" s="5" t="s">
        <v>671</v>
      </c>
      <c r="D2770" t="s">
        <v>14415</v>
      </c>
      <c r="E2770" s="5" t="s">
        <v>5743</v>
      </c>
      <c r="F2770" s="6">
        <v>46157.629861111112</v>
      </c>
      <c r="G2770" s="5" t="s">
        <v>7456</v>
      </c>
      <c r="H2770" s="5" t="s">
        <v>14416</v>
      </c>
      <c r="I2770" s="5" t="s">
        <v>1621</v>
      </c>
      <c r="J2770" s="8">
        <v>112.33</v>
      </c>
      <c r="K2770" s="5" t="s">
        <v>4</v>
      </c>
      <c r="L2770">
        <f t="shared" si="43"/>
        <v>5</v>
      </c>
    </row>
    <row r="2771" spans="1:12" x14ac:dyDescent="0.25">
      <c r="A2771" s="5">
        <v>48492</v>
      </c>
      <c r="B2771" t="s">
        <v>14417</v>
      </c>
      <c r="C2771" s="5" t="s">
        <v>517</v>
      </c>
      <c r="D2771" t="s">
        <v>14418</v>
      </c>
      <c r="E2771" s="5" t="s">
        <v>6827</v>
      </c>
      <c r="F2771" s="6">
        <v>46157.638194444444</v>
      </c>
      <c r="G2771" s="5" t="s">
        <v>7456</v>
      </c>
      <c r="H2771" s="5" t="s">
        <v>14419</v>
      </c>
      <c r="I2771" s="5" t="s">
        <v>1621</v>
      </c>
      <c r="J2771" s="8">
        <v>43.25</v>
      </c>
      <c r="K2771" s="5" t="s">
        <v>4</v>
      </c>
      <c r="L2771">
        <f t="shared" si="43"/>
        <v>5</v>
      </c>
    </row>
    <row r="2772" spans="1:12" x14ac:dyDescent="0.25">
      <c r="A2772" s="5">
        <v>48493</v>
      </c>
      <c r="B2772" t="s">
        <v>14420</v>
      </c>
      <c r="C2772" s="5" t="s">
        <v>14421</v>
      </c>
      <c r="D2772" t="s">
        <v>14422</v>
      </c>
      <c r="E2772" s="5" t="s">
        <v>1759</v>
      </c>
      <c r="F2772" s="6">
        <v>46157.647916666669</v>
      </c>
      <c r="G2772" s="5" t="s">
        <v>13816</v>
      </c>
      <c r="H2772" t="s">
        <v>7482</v>
      </c>
      <c r="I2772" s="5" t="s">
        <v>1564</v>
      </c>
      <c r="J2772" s="8">
        <v>202</v>
      </c>
      <c r="K2772" s="5" t="s">
        <v>4</v>
      </c>
      <c r="L2772">
        <f t="shared" si="43"/>
        <v>5</v>
      </c>
    </row>
    <row r="2773" spans="1:12" x14ac:dyDescent="0.25">
      <c r="A2773" s="5">
        <v>48494</v>
      </c>
      <c r="B2773" t="s">
        <v>8965</v>
      </c>
      <c r="C2773" s="5" t="s">
        <v>8082</v>
      </c>
      <c r="D2773" t="s">
        <v>8966</v>
      </c>
      <c r="E2773" s="5" t="s">
        <v>1993</v>
      </c>
      <c r="F2773" s="6">
        <v>46157.65347222222</v>
      </c>
      <c r="G2773" s="5" t="s">
        <v>7456</v>
      </c>
      <c r="H2773" s="5" t="s">
        <v>14423</v>
      </c>
      <c r="I2773" s="5" t="s">
        <v>1535</v>
      </c>
      <c r="J2773" s="8">
        <v>1275</v>
      </c>
      <c r="K2773" s="5" t="s">
        <v>4</v>
      </c>
      <c r="L2773">
        <f t="shared" si="43"/>
        <v>5</v>
      </c>
    </row>
    <row r="2774" spans="1:12" x14ac:dyDescent="0.25">
      <c r="A2774" s="5">
        <v>48495</v>
      </c>
      <c r="B2774" t="s">
        <v>8965</v>
      </c>
      <c r="C2774" s="5" t="s">
        <v>9154</v>
      </c>
      <c r="D2774" t="s">
        <v>8966</v>
      </c>
      <c r="E2774" s="5" t="s">
        <v>1949</v>
      </c>
      <c r="F2774" s="6">
        <v>46157.65625</v>
      </c>
      <c r="G2774" s="5" t="s">
        <v>7456</v>
      </c>
      <c r="H2774" s="5" t="s">
        <v>14424</v>
      </c>
      <c r="I2774" s="5" t="s">
        <v>1535</v>
      </c>
      <c r="J2774" s="8">
        <v>1440</v>
      </c>
      <c r="K2774" s="5" t="s">
        <v>4</v>
      </c>
      <c r="L2774">
        <f t="shared" si="43"/>
        <v>5</v>
      </c>
    </row>
    <row r="2775" spans="1:12" x14ac:dyDescent="0.25">
      <c r="A2775" s="5">
        <v>48496</v>
      </c>
      <c r="B2775" t="s">
        <v>14425</v>
      </c>
      <c r="C2775" s="5" t="s">
        <v>1175</v>
      </c>
      <c r="D2775" t="s">
        <v>14426</v>
      </c>
      <c r="E2775" s="5" t="s">
        <v>2895</v>
      </c>
      <c r="F2775" s="6">
        <v>46157.643055555556</v>
      </c>
      <c r="G2775" s="5" t="s">
        <v>7456</v>
      </c>
      <c r="H2775" s="5" t="s">
        <v>14427</v>
      </c>
      <c r="I2775" s="5" t="s">
        <v>1621</v>
      </c>
      <c r="J2775" s="8">
        <v>489.74</v>
      </c>
      <c r="K2775" s="5" t="s">
        <v>4</v>
      </c>
      <c r="L2775">
        <f t="shared" si="43"/>
        <v>5</v>
      </c>
    </row>
    <row r="2776" spans="1:12" x14ac:dyDescent="0.25">
      <c r="A2776" s="5">
        <v>48497</v>
      </c>
      <c r="B2776" t="s">
        <v>14428</v>
      </c>
      <c r="C2776" s="5" t="s">
        <v>14429</v>
      </c>
      <c r="D2776" t="s">
        <v>14430</v>
      </c>
      <c r="E2776" s="5" t="s">
        <v>2240</v>
      </c>
      <c r="F2776" s="6">
        <v>46157.659722222219</v>
      </c>
      <c r="G2776" s="5" t="s">
        <v>7456</v>
      </c>
      <c r="H2776" s="5" t="s">
        <v>14431</v>
      </c>
      <c r="I2776" s="5" t="s">
        <v>1564</v>
      </c>
      <c r="J2776" s="8">
        <v>889.5</v>
      </c>
      <c r="K2776" s="5" t="s">
        <v>4</v>
      </c>
      <c r="L2776">
        <f t="shared" si="43"/>
        <v>5</v>
      </c>
    </row>
    <row r="2777" spans="1:12" x14ac:dyDescent="0.25">
      <c r="A2777" s="5">
        <v>48498</v>
      </c>
      <c r="B2777" t="s">
        <v>14432</v>
      </c>
      <c r="C2777" s="5" t="s">
        <v>14433</v>
      </c>
      <c r="D2777" t="s">
        <v>14434</v>
      </c>
      <c r="E2777" s="5" t="s">
        <v>1738</v>
      </c>
      <c r="F2777" s="6">
        <v>46157.680555555555</v>
      </c>
      <c r="G2777" s="5" t="s">
        <v>7456</v>
      </c>
      <c r="H2777" s="5" t="s">
        <v>14435</v>
      </c>
      <c r="I2777" s="5" t="s">
        <v>1564</v>
      </c>
      <c r="J2777" s="8">
        <v>595</v>
      </c>
      <c r="K2777" s="5" t="s">
        <v>4</v>
      </c>
      <c r="L2777">
        <f t="shared" si="43"/>
        <v>5</v>
      </c>
    </row>
    <row r="2778" spans="1:12" x14ac:dyDescent="0.25">
      <c r="A2778" s="5">
        <v>48499</v>
      </c>
      <c r="B2778" t="s">
        <v>9901</v>
      </c>
      <c r="C2778" s="5" t="s">
        <v>7516</v>
      </c>
      <c r="D2778" t="s">
        <v>9902</v>
      </c>
      <c r="E2778" s="5" t="s">
        <v>2118</v>
      </c>
      <c r="F2778" s="6">
        <v>46157.6875</v>
      </c>
      <c r="G2778" s="5" t="s">
        <v>13816</v>
      </c>
      <c r="H2778" t="s">
        <v>7482</v>
      </c>
      <c r="I2778" s="5" t="s">
        <v>1564</v>
      </c>
      <c r="J2778" s="8">
        <v>721.25</v>
      </c>
      <c r="K2778" s="5" t="s">
        <v>4</v>
      </c>
      <c r="L2778">
        <f t="shared" si="43"/>
        <v>5</v>
      </c>
    </row>
    <row r="2779" spans="1:12" x14ac:dyDescent="0.25">
      <c r="A2779" s="5">
        <v>48500</v>
      </c>
      <c r="B2779" t="s">
        <v>14436</v>
      </c>
      <c r="C2779" s="5" t="s">
        <v>9990</v>
      </c>
      <c r="D2779" t="s">
        <v>14437</v>
      </c>
      <c r="E2779" s="5" t="s">
        <v>1532</v>
      </c>
      <c r="F2779" s="6">
        <v>46160.355555555558</v>
      </c>
      <c r="G2779" s="5" t="s">
        <v>7456</v>
      </c>
      <c r="H2779" s="5" t="s">
        <v>14438</v>
      </c>
      <c r="I2779" s="5" t="s">
        <v>1535</v>
      </c>
      <c r="J2779" s="8">
        <v>470.4</v>
      </c>
      <c r="K2779" s="5" t="s">
        <v>4</v>
      </c>
      <c r="L2779">
        <f t="shared" si="43"/>
        <v>5</v>
      </c>
    </row>
    <row r="2780" spans="1:12" x14ac:dyDescent="0.25">
      <c r="A2780" s="5">
        <v>48501</v>
      </c>
      <c r="B2780" t="s">
        <v>14439</v>
      </c>
      <c r="C2780" s="5" t="s">
        <v>404</v>
      </c>
      <c r="D2780" t="s">
        <v>14440</v>
      </c>
      <c r="E2780" s="5" t="s">
        <v>1738</v>
      </c>
      <c r="F2780" s="6">
        <v>46160.356944444444</v>
      </c>
      <c r="G2780" s="5" t="s">
        <v>7456</v>
      </c>
      <c r="H2780" s="5" t="s">
        <v>14441</v>
      </c>
      <c r="I2780" s="5" t="s">
        <v>1564</v>
      </c>
      <c r="J2780" s="8">
        <v>333</v>
      </c>
      <c r="K2780" s="5" t="s">
        <v>4</v>
      </c>
      <c r="L2780">
        <f t="shared" si="43"/>
        <v>5</v>
      </c>
    </row>
    <row r="2781" spans="1:12" x14ac:dyDescent="0.25">
      <c r="A2781" s="5">
        <v>48502</v>
      </c>
      <c r="B2781" t="s">
        <v>14442</v>
      </c>
      <c r="C2781" s="5" t="s">
        <v>14443</v>
      </c>
      <c r="D2781" t="s">
        <v>14444</v>
      </c>
      <c r="E2781" s="5" t="s">
        <v>2875</v>
      </c>
      <c r="F2781" s="6">
        <v>46160.375694444447</v>
      </c>
      <c r="G2781" s="5" t="s">
        <v>7595</v>
      </c>
      <c r="H2781" t="s">
        <v>7482</v>
      </c>
      <c r="I2781" s="5" t="s">
        <v>1535</v>
      </c>
      <c r="J2781" s="8">
        <v>2037.4</v>
      </c>
      <c r="K2781" s="5" t="s">
        <v>4</v>
      </c>
      <c r="L2781">
        <f t="shared" si="43"/>
        <v>5</v>
      </c>
    </row>
    <row r="2782" spans="1:12" x14ac:dyDescent="0.25">
      <c r="A2782" s="5">
        <v>48503</v>
      </c>
      <c r="B2782" t="s">
        <v>14445</v>
      </c>
      <c r="C2782" s="5" t="s">
        <v>10179</v>
      </c>
      <c r="D2782" t="s">
        <v>14446</v>
      </c>
      <c r="E2782" s="5" t="s">
        <v>1548</v>
      </c>
      <c r="F2782" s="6">
        <v>46160.390972222223</v>
      </c>
      <c r="G2782" s="5" t="s">
        <v>7456</v>
      </c>
      <c r="H2782" s="5" t="s">
        <v>14447</v>
      </c>
      <c r="I2782" s="5" t="s">
        <v>1535</v>
      </c>
      <c r="J2782" s="8">
        <v>242</v>
      </c>
      <c r="K2782" s="5" t="s">
        <v>4</v>
      </c>
      <c r="L2782">
        <f t="shared" si="43"/>
        <v>5</v>
      </c>
    </row>
    <row r="2783" spans="1:12" x14ac:dyDescent="0.25">
      <c r="A2783" s="5">
        <v>48504</v>
      </c>
      <c r="B2783" t="s">
        <v>8601</v>
      </c>
      <c r="C2783" s="5" t="s">
        <v>8602</v>
      </c>
      <c r="D2783" t="s">
        <v>8603</v>
      </c>
      <c r="E2783" s="5" t="s">
        <v>2740</v>
      </c>
      <c r="F2783" s="6">
        <v>46160.413888888892</v>
      </c>
      <c r="G2783" s="5" t="s">
        <v>13816</v>
      </c>
      <c r="H2783" t="s">
        <v>8626</v>
      </c>
      <c r="I2783" s="5" t="s">
        <v>1564</v>
      </c>
      <c r="J2783" s="8">
        <v>152.5</v>
      </c>
      <c r="K2783" s="5" t="s">
        <v>4</v>
      </c>
      <c r="L2783">
        <f t="shared" si="43"/>
        <v>5</v>
      </c>
    </row>
    <row r="2784" spans="1:12" x14ac:dyDescent="0.25">
      <c r="A2784" s="5">
        <v>48505</v>
      </c>
      <c r="B2784" t="s">
        <v>14448</v>
      </c>
      <c r="C2784" s="5" t="s">
        <v>14449</v>
      </c>
      <c r="D2784" t="s">
        <v>14450</v>
      </c>
      <c r="E2784" s="5" t="s">
        <v>1738</v>
      </c>
      <c r="F2784" s="6">
        <v>46160.445138888892</v>
      </c>
      <c r="G2784" s="5" t="s">
        <v>7456</v>
      </c>
      <c r="H2784" s="5" t="s">
        <v>14451</v>
      </c>
      <c r="I2784" s="5" t="s">
        <v>1564</v>
      </c>
      <c r="J2784" s="8">
        <v>135</v>
      </c>
      <c r="K2784" s="5" t="s">
        <v>4</v>
      </c>
      <c r="L2784">
        <f t="shared" si="43"/>
        <v>5</v>
      </c>
    </row>
    <row r="2785" spans="1:12" x14ac:dyDescent="0.25">
      <c r="A2785" s="5">
        <v>48507</v>
      </c>
      <c r="B2785" t="s">
        <v>14452</v>
      </c>
      <c r="C2785" s="5" t="s">
        <v>14453</v>
      </c>
      <c r="D2785" t="s">
        <v>14454</v>
      </c>
      <c r="E2785" s="5" t="s">
        <v>1770</v>
      </c>
      <c r="F2785" s="6">
        <v>46160.486111111109</v>
      </c>
      <c r="G2785" s="5" t="s">
        <v>7456</v>
      </c>
      <c r="H2785" s="5" t="s">
        <v>14455</v>
      </c>
      <c r="I2785" s="5" t="s">
        <v>1564</v>
      </c>
      <c r="J2785" s="8">
        <v>1378</v>
      </c>
      <c r="K2785" s="5" t="s">
        <v>4</v>
      </c>
      <c r="L2785">
        <f t="shared" si="43"/>
        <v>5</v>
      </c>
    </row>
    <row r="2786" spans="1:12" x14ac:dyDescent="0.25">
      <c r="A2786" s="5">
        <v>48508</v>
      </c>
      <c r="B2786" t="s">
        <v>7469</v>
      </c>
      <c r="C2786" s="5" t="s">
        <v>7470</v>
      </c>
      <c r="D2786" t="s">
        <v>7471</v>
      </c>
      <c r="E2786" s="5" t="s">
        <v>6880</v>
      </c>
      <c r="F2786" s="6">
        <v>46160.495138888888</v>
      </c>
      <c r="G2786" s="5" t="s">
        <v>7456</v>
      </c>
      <c r="H2786" s="5" t="s">
        <v>14456</v>
      </c>
      <c r="I2786" s="5" t="s">
        <v>1621</v>
      </c>
      <c r="J2786" s="8">
        <v>40.5</v>
      </c>
      <c r="K2786" s="5" t="s">
        <v>4</v>
      </c>
      <c r="L2786">
        <f t="shared" si="43"/>
        <v>5</v>
      </c>
    </row>
    <row r="2787" spans="1:12" x14ac:dyDescent="0.25">
      <c r="A2787" s="5">
        <v>48509</v>
      </c>
      <c r="B2787" t="s">
        <v>14457</v>
      </c>
      <c r="C2787" s="5" t="s">
        <v>8569</v>
      </c>
      <c r="D2787" t="s">
        <v>14458</v>
      </c>
      <c r="E2787" s="5" t="s">
        <v>1738</v>
      </c>
      <c r="F2787" s="6">
        <v>46160.513888888891</v>
      </c>
      <c r="G2787" s="5" t="s">
        <v>13816</v>
      </c>
      <c r="H2787" t="s">
        <v>8626</v>
      </c>
      <c r="I2787" s="5" t="s">
        <v>1564</v>
      </c>
      <c r="J2787" s="8">
        <v>1551</v>
      </c>
      <c r="K2787" s="5" t="s">
        <v>4</v>
      </c>
      <c r="L2787">
        <f t="shared" si="43"/>
        <v>5</v>
      </c>
    </row>
    <row r="2788" spans="1:12" x14ac:dyDescent="0.25">
      <c r="A2788" s="5">
        <v>48510</v>
      </c>
      <c r="B2788" t="s">
        <v>14459</v>
      </c>
      <c r="C2788" s="5" t="s">
        <v>14460</v>
      </c>
      <c r="D2788" t="s">
        <v>14461</v>
      </c>
      <c r="E2788" s="5" t="s">
        <v>2740</v>
      </c>
      <c r="F2788" s="6">
        <v>46160.595833333333</v>
      </c>
      <c r="G2788" s="5" t="s">
        <v>7456</v>
      </c>
      <c r="H2788" s="5" t="s">
        <v>14462</v>
      </c>
      <c r="I2788" s="5" t="s">
        <v>1564</v>
      </c>
      <c r="J2788" s="8">
        <v>125</v>
      </c>
      <c r="K2788" s="5" t="s">
        <v>4</v>
      </c>
      <c r="L2788">
        <f t="shared" si="43"/>
        <v>5</v>
      </c>
    </row>
    <row r="2789" spans="1:12" x14ac:dyDescent="0.25">
      <c r="A2789" s="5">
        <v>48511</v>
      </c>
      <c r="B2789" t="s">
        <v>14463</v>
      </c>
      <c r="C2789" s="5" t="s">
        <v>11355</v>
      </c>
      <c r="D2789" t="s">
        <v>11356</v>
      </c>
      <c r="E2789" s="5" t="s">
        <v>1532</v>
      </c>
      <c r="F2789" s="6">
        <v>46160.59652777778</v>
      </c>
      <c r="G2789" s="5" t="s">
        <v>7456</v>
      </c>
      <c r="H2789" s="5" t="s">
        <v>14464</v>
      </c>
      <c r="I2789" s="5" t="s">
        <v>1535</v>
      </c>
      <c r="J2789" s="8">
        <v>2424.6</v>
      </c>
      <c r="K2789" s="5" t="s">
        <v>4</v>
      </c>
      <c r="L2789">
        <f t="shared" si="43"/>
        <v>5</v>
      </c>
    </row>
    <row r="2790" spans="1:12" x14ac:dyDescent="0.25">
      <c r="A2790" s="5">
        <v>48512</v>
      </c>
      <c r="B2790" t="s">
        <v>8852</v>
      </c>
      <c r="C2790" s="5" t="s">
        <v>8853</v>
      </c>
      <c r="D2790" t="s">
        <v>8854</v>
      </c>
      <c r="E2790" s="5" t="s">
        <v>1532</v>
      </c>
      <c r="F2790" s="6">
        <v>46160.613888888889</v>
      </c>
      <c r="G2790" s="5" t="s">
        <v>7456</v>
      </c>
      <c r="H2790" s="5" t="s">
        <v>14465</v>
      </c>
      <c r="I2790" s="5" t="s">
        <v>1535</v>
      </c>
      <c r="J2790" s="8">
        <v>79</v>
      </c>
      <c r="K2790" s="5" t="s">
        <v>4</v>
      </c>
      <c r="L2790">
        <f t="shared" si="43"/>
        <v>5</v>
      </c>
    </row>
    <row r="2791" spans="1:12" x14ac:dyDescent="0.25">
      <c r="A2791" s="5">
        <v>48513</v>
      </c>
      <c r="B2791" t="s">
        <v>12885</v>
      </c>
      <c r="C2791" s="5" t="s">
        <v>12886</v>
      </c>
      <c r="D2791" t="s">
        <v>12887</v>
      </c>
      <c r="E2791" s="5" t="s">
        <v>2560</v>
      </c>
      <c r="F2791" s="6">
        <v>46160.614583333336</v>
      </c>
      <c r="G2791" s="5" t="s">
        <v>7456</v>
      </c>
      <c r="H2791" s="5" t="s">
        <v>14466</v>
      </c>
      <c r="I2791" s="5" t="s">
        <v>1564</v>
      </c>
      <c r="J2791" s="8">
        <v>639.35</v>
      </c>
      <c r="K2791" s="5" t="s">
        <v>4</v>
      </c>
      <c r="L2791">
        <f t="shared" si="43"/>
        <v>5</v>
      </c>
    </row>
    <row r="2792" spans="1:12" x14ac:dyDescent="0.25">
      <c r="A2792" s="5">
        <v>48514</v>
      </c>
      <c r="B2792" t="s">
        <v>14467</v>
      </c>
      <c r="C2792" s="5" t="s">
        <v>14468</v>
      </c>
      <c r="D2792" t="s">
        <v>14469</v>
      </c>
      <c r="E2792" s="5" t="s">
        <v>1532</v>
      </c>
      <c r="F2792" s="6">
        <v>46160.617361111108</v>
      </c>
      <c r="G2792" s="5" t="s">
        <v>7456</v>
      </c>
      <c r="H2792" s="5" t="s">
        <v>14470</v>
      </c>
      <c r="I2792" s="5" t="s">
        <v>1535</v>
      </c>
      <c r="J2792" s="8">
        <v>18526</v>
      </c>
      <c r="K2792" s="5" t="s">
        <v>4</v>
      </c>
      <c r="L2792">
        <f t="shared" si="43"/>
        <v>5</v>
      </c>
    </row>
    <row r="2793" spans="1:12" x14ac:dyDescent="0.25">
      <c r="A2793" s="5">
        <v>48515</v>
      </c>
      <c r="B2793" t="s">
        <v>14471</v>
      </c>
      <c r="C2793" s="5" t="s">
        <v>14472</v>
      </c>
      <c r="D2793" t="s">
        <v>14473</v>
      </c>
      <c r="E2793" s="5" t="s">
        <v>1567</v>
      </c>
      <c r="F2793" s="6">
        <v>46160.621527777781</v>
      </c>
      <c r="G2793" s="5" t="s">
        <v>13816</v>
      </c>
      <c r="H2793" t="s">
        <v>7482</v>
      </c>
      <c r="I2793" s="5" t="s">
        <v>1564</v>
      </c>
      <c r="J2793" s="8">
        <v>4515</v>
      </c>
      <c r="K2793" s="5" t="s">
        <v>4</v>
      </c>
      <c r="L2793">
        <f t="shared" si="43"/>
        <v>5</v>
      </c>
    </row>
    <row r="2794" spans="1:12" x14ac:dyDescent="0.25">
      <c r="A2794" s="5">
        <v>48516</v>
      </c>
      <c r="B2794" t="s">
        <v>14474</v>
      </c>
      <c r="C2794" s="5" t="s">
        <v>14475</v>
      </c>
      <c r="D2794" t="s">
        <v>14476</v>
      </c>
      <c r="E2794" s="5" t="s">
        <v>1532</v>
      </c>
      <c r="F2794" s="6">
        <v>46160.665277777778</v>
      </c>
      <c r="G2794" s="5" t="s">
        <v>7456</v>
      </c>
      <c r="H2794" s="5" t="s">
        <v>14477</v>
      </c>
      <c r="I2794" s="5" t="s">
        <v>1535</v>
      </c>
      <c r="J2794" s="8">
        <v>1100</v>
      </c>
      <c r="K2794" s="5" t="s">
        <v>4</v>
      </c>
      <c r="L2794">
        <f t="shared" si="43"/>
        <v>5</v>
      </c>
    </row>
    <row r="2795" spans="1:12" x14ac:dyDescent="0.25">
      <c r="A2795" s="5">
        <v>48517</v>
      </c>
      <c r="B2795" t="s">
        <v>14478</v>
      </c>
      <c r="C2795" s="5" t="s">
        <v>14479</v>
      </c>
      <c r="D2795" t="s">
        <v>14480</v>
      </c>
      <c r="E2795" s="5" t="s">
        <v>2949</v>
      </c>
      <c r="F2795" s="6">
        <v>46160.688194444447</v>
      </c>
      <c r="G2795" s="5" t="s">
        <v>7456</v>
      </c>
      <c r="H2795" s="5" t="s">
        <v>14481</v>
      </c>
      <c r="I2795" s="5" t="s">
        <v>1564</v>
      </c>
      <c r="J2795" s="8">
        <v>469.6</v>
      </c>
      <c r="K2795" s="5" t="s">
        <v>4</v>
      </c>
      <c r="L2795">
        <f t="shared" si="43"/>
        <v>5</v>
      </c>
    </row>
    <row r="2796" spans="1:12" x14ac:dyDescent="0.25">
      <c r="A2796" s="5">
        <v>48518</v>
      </c>
      <c r="B2796" t="s">
        <v>8965</v>
      </c>
      <c r="C2796" s="5" t="s">
        <v>9154</v>
      </c>
      <c r="D2796" t="s">
        <v>8966</v>
      </c>
      <c r="E2796" s="5" t="s">
        <v>5549</v>
      </c>
      <c r="F2796" s="6">
        <v>46160.692361111112</v>
      </c>
      <c r="G2796" s="5" t="s">
        <v>7456</v>
      </c>
      <c r="H2796" s="5" t="s">
        <v>14482</v>
      </c>
      <c r="I2796" s="5" t="s">
        <v>1535</v>
      </c>
      <c r="J2796" s="8">
        <v>118.5</v>
      </c>
      <c r="K2796" s="5" t="s">
        <v>4</v>
      </c>
      <c r="L2796">
        <f t="shared" si="43"/>
        <v>5</v>
      </c>
    </row>
    <row r="2797" spans="1:12" x14ac:dyDescent="0.25">
      <c r="A2797" s="5">
        <v>48519</v>
      </c>
      <c r="B2797" t="s">
        <v>14483</v>
      </c>
      <c r="C2797" s="5" t="s">
        <v>14484</v>
      </c>
      <c r="D2797" t="s">
        <v>14485</v>
      </c>
      <c r="E2797" s="5" t="s">
        <v>1738</v>
      </c>
      <c r="F2797" s="6">
        <v>46160.727777777778</v>
      </c>
      <c r="G2797" s="5" t="s">
        <v>7456</v>
      </c>
      <c r="H2797" s="5" t="s">
        <v>14486</v>
      </c>
      <c r="I2797" s="5" t="s">
        <v>1564</v>
      </c>
      <c r="J2797" s="8">
        <v>2510</v>
      </c>
      <c r="K2797" s="5" t="s">
        <v>4</v>
      </c>
      <c r="L2797">
        <f t="shared" si="43"/>
        <v>5</v>
      </c>
    </row>
    <row r="2798" spans="1:12" x14ac:dyDescent="0.25">
      <c r="A2798" s="5">
        <v>48520</v>
      </c>
      <c r="B2798" t="s">
        <v>13322</v>
      </c>
      <c r="C2798" s="5">
        <v>1</v>
      </c>
      <c r="D2798" t="s">
        <v>13324</v>
      </c>
      <c r="E2798" s="5" t="s">
        <v>3125</v>
      </c>
      <c r="F2798" s="6">
        <v>46161.35</v>
      </c>
      <c r="G2798" s="5" t="s">
        <v>7456</v>
      </c>
      <c r="H2798" s="5" t="s">
        <v>14487</v>
      </c>
      <c r="I2798" s="5" t="s">
        <v>1621</v>
      </c>
      <c r="J2798" s="8">
        <v>411.7</v>
      </c>
      <c r="K2798" s="5" t="s">
        <v>4</v>
      </c>
      <c r="L2798">
        <f t="shared" si="43"/>
        <v>5</v>
      </c>
    </row>
    <row r="2799" spans="1:12" x14ac:dyDescent="0.25">
      <c r="A2799" s="5">
        <v>48521</v>
      </c>
      <c r="B2799" t="s">
        <v>13140</v>
      </c>
      <c r="C2799" s="5" t="s">
        <v>13141</v>
      </c>
      <c r="D2799" t="s">
        <v>13142</v>
      </c>
      <c r="E2799" s="5" t="s">
        <v>1759</v>
      </c>
      <c r="F2799" s="6">
        <v>46161.365972222222</v>
      </c>
      <c r="G2799" s="5" t="s">
        <v>7456</v>
      </c>
      <c r="H2799" s="5" t="s">
        <v>14488</v>
      </c>
      <c r="I2799" s="5" t="s">
        <v>1564</v>
      </c>
      <c r="J2799" s="8">
        <v>150</v>
      </c>
      <c r="K2799" s="5" t="s">
        <v>4</v>
      </c>
      <c r="L2799">
        <f t="shared" si="43"/>
        <v>5</v>
      </c>
    </row>
    <row r="2800" spans="1:12" x14ac:dyDescent="0.25">
      <c r="A2800" s="5">
        <v>48522</v>
      </c>
      <c r="B2800" t="s">
        <v>14489</v>
      </c>
      <c r="C2800" s="5" t="s">
        <v>398</v>
      </c>
      <c r="D2800" t="s">
        <v>14490</v>
      </c>
      <c r="E2800" s="5" t="s">
        <v>4479</v>
      </c>
      <c r="F2800" s="6">
        <v>46161.366666666669</v>
      </c>
      <c r="G2800" s="5" t="s">
        <v>7456</v>
      </c>
      <c r="H2800" s="5" t="s">
        <v>14491</v>
      </c>
      <c r="I2800" s="5" t="s">
        <v>1621</v>
      </c>
      <c r="J2800" s="8">
        <v>193.95</v>
      </c>
      <c r="K2800" s="5" t="s">
        <v>4</v>
      </c>
      <c r="L2800">
        <f t="shared" si="43"/>
        <v>5</v>
      </c>
    </row>
    <row r="2801" spans="1:12" x14ac:dyDescent="0.25">
      <c r="A2801" s="5">
        <v>48523</v>
      </c>
      <c r="B2801" t="s">
        <v>14492</v>
      </c>
      <c r="C2801" s="5" t="s">
        <v>574</v>
      </c>
      <c r="D2801" t="s">
        <v>14493</v>
      </c>
      <c r="E2801" s="5" t="s">
        <v>7163</v>
      </c>
      <c r="F2801" s="6">
        <v>46161.375694444447</v>
      </c>
      <c r="G2801" s="5" t="s">
        <v>7456</v>
      </c>
      <c r="H2801" s="5" t="s">
        <v>14494</v>
      </c>
      <c r="I2801" s="5" t="s">
        <v>1621</v>
      </c>
      <c r="J2801" s="8">
        <v>27.29</v>
      </c>
      <c r="K2801" s="5" t="s">
        <v>4</v>
      </c>
      <c r="L2801">
        <f t="shared" si="43"/>
        <v>5</v>
      </c>
    </row>
    <row r="2802" spans="1:12" x14ac:dyDescent="0.25">
      <c r="A2802" s="5">
        <v>48525</v>
      </c>
      <c r="B2802" t="s">
        <v>14495</v>
      </c>
      <c r="C2802" s="5" t="s">
        <v>730</v>
      </c>
      <c r="D2802" t="s">
        <v>14496</v>
      </c>
      <c r="E2802" s="5" t="s">
        <v>5817</v>
      </c>
      <c r="F2802" s="6">
        <v>46161.382638888892</v>
      </c>
      <c r="G2802" s="5" t="s">
        <v>7456</v>
      </c>
      <c r="H2802" s="5" t="s">
        <v>14497</v>
      </c>
      <c r="I2802" s="5" t="s">
        <v>1621</v>
      </c>
      <c r="J2802" s="8">
        <v>105.47</v>
      </c>
      <c r="K2802" s="5" t="s">
        <v>4</v>
      </c>
      <c r="L2802">
        <f t="shared" si="43"/>
        <v>5</v>
      </c>
    </row>
    <row r="2803" spans="1:12" x14ac:dyDescent="0.25">
      <c r="A2803" s="5">
        <v>48527</v>
      </c>
      <c r="B2803" t="s">
        <v>14498</v>
      </c>
      <c r="C2803" s="5" t="s">
        <v>1166</v>
      </c>
      <c r="D2803" t="s">
        <v>14499</v>
      </c>
      <c r="E2803" s="5" t="s">
        <v>6523</v>
      </c>
      <c r="F2803" s="6">
        <v>46161.397222222222</v>
      </c>
      <c r="G2803" s="5" t="s">
        <v>7456</v>
      </c>
      <c r="H2803" s="5" t="s">
        <v>14500</v>
      </c>
      <c r="I2803" s="5" t="s">
        <v>1621</v>
      </c>
      <c r="J2803" s="8">
        <v>60.31</v>
      </c>
      <c r="K2803" s="5" t="s">
        <v>4</v>
      </c>
      <c r="L2803">
        <f t="shared" si="43"/>
        <v>5</v>
      </c>
    </row>
    <row r="2804" spans="1:12" x14ac:dyDescent="0.25">
      <c r="A2804" s="5">
        <v>48528</v>
      </c>
      <c r="B2804" t="s">
        <v>14008</v>
      </c>
      <c r="C2804" s="5" t="s">
        <v>14009</v>
      </c>
      <c r="D2804" t="s">
        <v>14010</v>
      </c>
      <c r="E2804" s="5" t="s">
        <v>3234</v>
      </c>
      <c r="F2804" s="6">
        <v>46161.40625</v>
      </c>
      <c r="G2804" s="5" t="s">
        <v>7456</v>
      </c>
      <c r="H2804" s="5" t="s">
        <v>14501</v>
      </c>
      <c r="I2804" s="5" t="s">
        <v>1621</v>
      </c>
      <c r="J2804" s="8">
        <v>388.75</v>
      </c>
      <c r="K2804" s="5" t="s">
        <v>4</v>
      </c>
      <c r="L2804">
        <f t="shared" si="43"/>
        <v>5</v>
      </c>
    </row>
    <row r="2805" spans="1:12" x14ac:dyDescent="0.25">
      <c r="A2805" s="5">
        <v>48529</v>
      </c>
      <c r="B2805" t="s">
        <v>14502</v>
      </c>
      <c r="C2805" s="5" t="s">
        <v>14503</v>
      </c>
      <c r="D2805" t="s">
        <v>14504</v>
      </c>
      <c r="E2805" s="5" t="s">
        <v>1770</v>
      </c>
      <c r="F2805" s="6">
        <v>46161.42083333333</v>
      </c>
      <c r="G2805" s="5" t="s">
        <v>7456</v>
      </c>
      <c r="H2805" s="5" t="s">
        <v>14505</v>
      </c>
      <c r="I2805" s="5" t="s">
        <v>1564</v>
      </c>
      <c r="J2805" s="8">
        <v>203.75</v>
      </c>
      <c r="K2805" s="5" t="s">
        <v>4</v>
      </c>
      <c r="L2805">
        <f t="shared" si="43"/>
        <v>5</v>
      </c>
    </row>
    <row r="2806" spans="1:12" x14ac:dyDescent="0.25">
      <c r="A2806" s="5">
        <v>48531</v>
      </c>
      <c r="B2806" t="s">
        <v>14506</v>
      </c>
      <c r="C2806" s="5" t="s">
        <v>14507</v>
      </c>
      <c r="D2806" t="s">
        <v>14508</v>
      </c>
      <c r="E2806" s="5" t="s">
        <v>2118</v>
      </c>
      <c r="F2806" s="6">
        <v>46161.427777777775</v>
      </c>
      <c r="G2806" s="5" t="s">
        <v>7456</v>
      </c>
      <c r="H2806" s="5" t="s">
        <v>7522</v>
      </c>
      <c r="I2806" s="5" t="s">
        <v>1564</v>
      </c>
      <c r="J2806" s="8">
        <v>374.85</v>
      </c>
      <c r="K2806" s="5" t="s">
        <v>4</v>
      </c>
      <c r="L2806">
        <f t="shared" si="43"/>
        <v>5</v>
      </c>
    </row>
    <row r="2807" spans="1:12" x14ac:dyDescent="0.25">
      <c r="A2807" s="5">
        <v>48532</v>
      </c>
      <c r="B2807" t="s">
        <v>11508</v>
      </c>
      <c r="C2807" s="5" t="s">
        <v>11509</v>
      </c>
      <c r="D2807" t="s">
        <v>11510</v>
      </c>
      <c r="E2807" s="5" t="s">
        <v>1959</v>
      </c>
      <c r="F2807" s="6">
        <v>46161.4375</v>
      </c>
      <c r="G2807" s="5" t="s">
        <v>7456</v>
      </c>
      <c r="H2807" s="5" t="s">
        <v>14509</v>
      </c>
      <c r="I2807" s="5" t="s">
        <v>1564</v>
      </c>
      <c r="J2807" s="8">
        <v>660.01</v>
      </c>
      <c r="K2807" s="5" t="s">
        <v>4</v>
      </c>
      <c r="L2807">
        <f t="shared" si="43"/>
        <v>5</v>
      </c>
    </row>
    <row r="2808" spans="1:12" x14ac:dyDescent="0.25">
      <c r="A2808" s="5">
        <v>48534</v>
      </c>
      <c r="B2808" t="s">
        <v>13999</v>
      </c>
      <c r="C2808" s="5" t="s">
        <v>14201</v>
      </c>
      <c r="D2808" t="s">
        <v>14001</v>
      </c>
      <c r="E2808" s="5" t="s">
        <v>3551</v>
      </c>
      <c r="F2808" s="6">
        <v>46161.49722222222</v>
      </c>
      <c r="G2808" s="5" t="s">
        <v>7456</v>
      </c>
      <c r="H2808" s="5" t="s">
        <v>14510</v>
      </c>
      <c r="I2808" s="5" t="s">
        <v>1621</v>
      </c>
      <c r="J2808" s="8">
        <v>0</v>
      </c>
      <c r="K2808" s="5" t="s">
        <v>4</v>
      </c>
      <c r="L2808">
        <f t="shared" si="43"/>
        <v>5</v>
      </c>
    </row>
    <row r="2809" spans="1:12" x14ac:dyDescent="0.25">
      <c r="A2809" s="5">
        <v>48535</v>
      </c>
      <c r="B2809" t="s">
        <v>14511</v>
      </c>
      <c r="C2809" s="5" t="s">
        <v>14512</v>
      </c>
      <c r="D2809" t="s">
        <v>14513</v>
      </c>
      <c r="E2809" s="5" t="s">
        <v>2869</v>
      </c>
      <c r="F2809" s="6">
        <v>46161.417361111111</v>
      </c>
      <c r="G2809" s="5" t="s">
        <v>7456</v>
      </c>
      <c r="H2809" s="5" t="s">
        <v>14514</v>
      </c>
      <c r="I2809" s="5" t="s">
        <v>1621</v>
      </c>
      <c r="J2809" s="8">
        <v>498.89</v>
      </c>
      <c r="K2809" s="5" t="s">
        <v>4</v>
      </c>
      <c r="L2809">
        <f t="shared" si="43"/>
        <v>5</v>
      </c>
    </row>
    <row r="2810" spans="1:12" x14ac:dyDescent="0.25">
      <c r="A2810" s="5">
        <v>48536</v>
      </c>
      <c r="B2810" t="s">
        <v>14515</v>
      </c>
      <c r="C2810" s="5" t="s">
        <v>14516</v>
      </c>
      <c r="D2810" t="s">
        <v>14517</v>
      </c>
      <c r="E2810" s="5" t="s">
        <v>1738</v>
      </c>
      <c r="F2810" s="6">
        <v>46161.520138888889</v>
      </c>
      <c r="G2810" s="5" t="s">
        <v>13816</v>
      </c>
      <c r="H2810" t="s">
        <v>7482</v>
      </c>
      <c r="I2810" s="5" t="s">
        <v>1564</v>
      </c>
      <c r="J2810" s="8">
        <v>921.25</v>
      </c>
      <c r="K2810" s="5" t="s">
        <v>4</v>
      </c>
      <c r="L2810">
        <f t="shared" si="43"/>
        <v>5</v>
      </c>
    </row>
    <row r="2811" spans="1:12" x14ac:dyDescent="0.25">
      <c r="A2811" s="5">
        <v>48537</v>
      </c>
      <c r="B2811" t="s">
        <v>14518</v>
      </c>
      <c r="C2811" s="5" t="s">
        <v>7746</v>
      </c>
      <c r="D2811" t="s">
        <v>14519</v>
      </c>
      <c r="E2811" s="5" t="s">
        <v>11316</v>
      </c>
      <c r="F2811" s="6">
        <v>46161.524305555555</v>
      </c>
      <c r="G2811" s="5" t="s">
        <v>13816</v>
      </c>
      <c r="H2811" t="s">
        <v>8626</v>
      </c>
      <c r="I2811" s="5" t="s">
        <v>1564</v>
      </c>
      <c r="J2811" s="8">
        <v>898.8</v>
      </c>
      <c r="K2811" s="5" t="s">
        <v>4</v>
      </c>
      <c r="L2811">
        <f t="shared" si="43"/>
        <v>5</v>
      </c>
    </row>
    <row r="2812" spans="1:12" x14ac:dyDescent="0.25">
      <c r="A2812" s="5">
        <v>48538</v>
      </c>
      <c r="B2812" t="s">
        <v>14520</v>
      </c>
      <c r="C2812" s="5" t="s">
        <v>14521</v>
      </c>
      <c r="D2812" t="s">
        <v>14522</v>
      </c>
      <c r="E2812" s="5" t="s">
        <v>1532</v>
      </c>
      <c r="F2812" s="6">
        <v>46161.54583333333</v>
      </c>
      <c r="G2812" s="5" t="s">
        <v>7456</v>
      </c>
      <c r="H2812" s="5" t="s">
        <v>14523</v>
      </c>
      <c r="I2812" s="5" t="s">
        <v>1535</v>
      </c>
      <c r="J2812" s="8">
        <v>148.25</v>
      </c>
      <c r="K2812" s="5" t="s">
        <v>4</v>
      </c>
      <c r="L2812">
        <f t="shared" si="43"/>
        <v>5</v>
      </c>
    </row>
    <row r="2813" spans="1:12" x14ac:dyDescent="0.25">
      <c r="A2813" s="5">
        <v>48539</v>
      </c>
      <c r="B2813" t="s">
        <v>13554</v>
      </c>
      <c r="C2813" s="5" t="s">
        <v>1326</v>
      </c>
      <c r="D2813" t="s">
        <v>13555</v>
      </c>
      <c r="E2813" s="5" t="s">
        <v>1532</v>
      </c>
      <c r="F2813" s="6">
        <v>46161.559027777781</v>
      </c>
      <c r="G2813" s="5" t="s">
        <v>7456</v>
      </c>
      <c r="H2813" s="5" t="s">
        <v>14524</v>
      </c>
      <c r="I2813" s="5" t="s">
        <v>1535</v>
      </c>
      <c r="J2813" s="8">
        <v>42</v>
      </c>
      <c r="K2813" s="5" t="s">
        <v>4</v>
      </c>
      <c r="L2813">
        <f t="shared" si="43"/>
        <v>5</v>
      </c>
    </row>
    <row r="2814" spans="1:12" x14ac:dyDescent="0.25">
      <c r="A2814" s="5">
        <v>48540</v>
      </c>
      <c r="B2814" t="s">
        <v>10171</v>
      </c>
      <c r="C2814" s="5" t="s">
        <v>10172</v>
      </c>
      <c r="D2814" t="s">
        <v>10173</v>
      </c>
      <c r="E2814" s="5" t="s">
        <v>1677</v>
      </c>
      <c r="F2814" s="6">
        <v>46161.567361111112</v>
      </c>
      <c r="G2814" s="5" t="s">
        <v>7456</v>
      </c>
      <c r="H2814" s="5" t="s">
        <v>14525</v>
      </c>
      <c r="I2814" s="5" t="s">
        <v>1535</v>
      </c>
      <c r="J2814" s="8">
        <v>2636.4</v>
      </c>
      <c r="K2814" s="5" t="s">
        <v>4</v>
      </c>
      <c r="L2814">
        <f t="shared" si="43"/>
        <v>5</v>
      </c>
    </row>
    <row r="2815" spans="1:12" x14ac:dyDescent="0.25">
      <c r="A2815" s="5">
        <v>48541</v>
      </c>
      <c r="B2815" t="s">
        <v>14526</v>
      </c>
      <c r="C2815" s="5" t="s">
        <v>14527</v>
      </c>
      <c r="D2815" t="s">
        <v>14528</v>
      </c>
      <c r="E2815" s="5" t="s">
        <v>1738</v>
      </c>
      <c r="F2815" s="6">
        <v>46161.595138888886</v>
      </c>
      <c r="G2815" s="5" t="s">
        <v>7456</v>
      </c>
      <c r="H2815" s="5" t="s">
        <v>14529</v>
      </c>
      <c r="I2815" s="5" t="s">
        <v>1564</v>
      </c>
      <c r="J2815" s="8">
        <v>245</v>
      </c>
      <c r="K2815" s="5" t="s">
        <v>4</v>
      </c>
      <c r="L2815">
        <f t="shared" si="43"/>
        <v>5</v>
      </c>
    </row>
    <row r="2816" spans="1:12" x14ac:dyDescent="0.25">
      <c r="A2816" s="5">
        <v>48542</v>
      </c>
      <c r="B2816" t="s">
        <v>14530</v>
      </c>
      <c r="C2816" s="5" t="s">
        <v>1410</v>
      </c>
      <c r="D2816" t="s">
        <v>14531</v>
      </c>
      <c r="E2816" s="5" t="s">
        <v>2816</v>
      </c>
      <c r="F2816" s="6">
        <v>46161.601388888892</v>
      </c>
      <c r="G2816" s="5" t="s">
        <v>7456</v>
      </c>
      <c r="H2816" t="s">
        <v>7482</v>
      </c>
      <c r="I2816" s="5" t="s">
        <v>1621</v>
      </c>
      <c r="J2816" s="8">
        <v>518.58000000000004</v>
      </c>
      <c r="K2816" s="5" t="s">
        <v>4</v>
      </c>
      <c r="L2816">
        <f t="shared" si="43"/>
        <v>5</v>
      </c>
    </row>
    <row r="2817" spans="1:12" x14ac:dyDescent="0.25">
      <c r="A2817" s="5">
        <v>48543</v>
      </c>
      <c r="B2817" t="s">
        <v>14532</v>
      </c>
      <c r="C2817" s="5" t="s">
        <v>14533</v>
      </c>
      <c r="D2817" t="s">
        <v>14534</v>
      </c>
      <c r="E2817" s="5" t="s">
        <v>2740</v>
      </c>
      <c r="F2817" s="6">
        <v>46161.611805555556</v>
      </c>
      <c r="G2817" s="5" t="s">
        <v>7456</v>
      </c>
      <c r="H2817" s="5" t="s">
        <v>14535</v>
      </c>
      <c r="I2817" s="5" t="s">
        <v>1564</v>
      </c>
      <c r="J2817" s="8">
        <v>149.75</v>
      </c>
      <c r="K2817" s="5" t="s">
        <v>4</v>
      </c>
      <c r="L2817">
        <f t="shared" si="43"/>
        <v>5</v>
      </c>
    </row>
    <row r="2818" spans="1:12" x14ac:dyDescent="0.25">
      <c r="A2818" s="5">
        <v>48544</v>
      </c>
      <c r="B2818" t="s">
        <v>14530</v>
      </c>
      <c r="C2818" s="5" t="s">
        <v>1410</v>
      </c>
      <c r="D2818" t="s">
        <v>14531</v>
      </c>
      <c r="E2818" s="5" t="s">
        <v>2816</v>
      </c>
      <c r="F2818" s="6">
        <v>46161.604166666664</v>
      </c>
      <c r="G2818" s="5" t="s">
        <v>7456</v>
      </c>
      <c r="H2818" s="5" t="s">
        <v>14536</v>
      </c>
      <c r="I2818" s="5" t="s">
        <v>1621</v>
      </c>
      <c r="J2818" s="8">
        <v>518.58000000000004</v>
      </c>
      <c r="K2818" s="5" t="s">
        <v>4</v>
      </c>
      <c r="L2818">
        <f t="shared" si="43"/>
        <v>5</v>
      </c>
    </row>
    <row r="2819" spans="1:12" x14ac:dyDescent="0.25">
      <c r="A2819" s="5">
        <v>48545</v>
      </c>
      <c r="B2819" t="s">
        <v>9974</v>
      </c>
      <c r="C2819" s="5" t="s">
        <v>9975</v>
      </c>
      <c r="D2819" t="s">
        <v>9976</v>
      </c>
      <c r="E2819" s="5" t="s">
        <v>3804</v>
      </c>
      <c r="F2819" s="6">
        <v>46161.613888888889</v>
      </c>
      <c r="G2819" s="5" t="s">
        <v>7456</v>
      </c>
      <c r="H2819" s="5" t="s">
        <v>14537</v>
      </c>
      <c r="I2819" s="5" t="s">
        <v>1535</v>
      </c>
      <c r="J2819" s="8">
        <v>284.60000000000002</v>
      </c>
      <c r="K2819" s="5" t="s">
        <v>4</v>
      </c>
      <c r="L2819">
        <f t="shared" ref="L2819:L2882" si="44">MONTH(F2819)</f>
        <v>5</v>
      </c>
    </row>
    <row r="2820" spans="1:12" x14ac:dyDescent="0.25">
      <c r="A2820" s="5">
        <v>48546</v>
      </c>
      <c r="B2820" t="s">
        <v>14538</v>
      </c>
      <c r="C2820" s="5" t="s">
        <v>14539</v>
      </c>
      <c r="D2820" t="s">
        <v>14540</v>
      </c>
      <c r="E2820" s="5" t="s">
        <v>5860</v>
      </c>
      <c r="F2820" s="6">
        <v>46161.529861111114</v>
      </c>
      <c r="G2820" s="5" t="s">
        <v>7456</v>
      </c>
      <c r="H2820" s="5" t="s">
        <v>14541</v>
      </c>
      <c r="I2820" s="5" t="s">
        <v>1621</v>
      </c>
      <c r="J2820" s="8">
        <v>104.17</v>
      </c>
      <c r="K2820" s="5" t="s">
        <v>4</v>
      </c>
      <c r="L2820">
        <f t="shared" si="44"/>
        <v>5</v>
      </c>
    </row>
    <row r="2821" spans="1:12" x14ac:dyDescent="0.25">
      <c r="A2821" s="5">
        <v>48547</v>
      </c>
      <c r="B2821" t="s">
        <v>14542</v>
      </c>
      <c r="C2821" s="5" t="s">
        <v>14543</v>
      </c>
      <c r="D2821" t="s">
        <v>14544</v>
      </c>
      <c r="E2821" s="5" t="s">
        <v>1532</v>
      </c>
      <c r="F2821" s="6">
        <v>46161.626388888886</v>
      </c>
      <c r="G2821" s="5" t="s">
        <v>7595</v>
      </c>
      <c r="H2821" t="s">
        <v>7482</v>
      </c>
      <c r="I2821" s="5" t="s">
        <v>1535</v>
      </c>
      <c r="J2821" s="8">
        <v>2292</v>
      </c>
      <c r="K2821" s="5" t="s">
        <v>4</v>
      </c>
      <c r="L2821">
        <f t="shared" si="44"/>
        <v>5</v>
      </c>
    </row>
    <row r="2822" spans="1:12" x14ac:dyDescent="0.25">
      <c r="A2822" s="5">
        <v>48548</v>
      </c>
      <c r="B2822" t="s">
        <v>10645</v>
      </c>
      <c r="C2822" s="5" t="s">
        <v>8029</v>
      </c>
      <c r="D2822" t="s">
        <v>10646</v>
      </c>
      <c r="E2822" s="5" t="s">
        <v>2118</v>
      </c>
      <c r="F2822" s="6">
        <v>46161.651388888888</v>
      </c>
      <c r="G2822" s="5" t="s">
        <v>7456</v>
      </c>
      <c r="H2822" s="5" t="s">
        <v>14545</v>
      </c>
      <c r="I2822" s="5" t="s">
        <v>1564</v>
      </c>
      <c r="J2822" s="8">
        <v>151.69</v>
      </c>
      <c r="K2822" s="5" t="s">
        <v>4</v>
      </c>
      <c r="L2822">
        <f t="shared" si="44"/>
        <v>5</v>
      </c>
    </row>
    <row r="2823" spans="1:12" x14ac:dyDescent="0.25">
      <c r="A2823" s="5">
        <v>48549</v>
      </c>
      <c r="B2823" t="s">
        <v>14546</v>
      </c>
      <c r="C2823" s="5" t="s">
        <v>14547</v>
      </c>
      <c r="D2823" t="s">
        <v>14548</v>
      </c>
      <c r="E2823" s="5" t="s">
        <v>6846</v>
      </c>
      <c r="F2823" s="6">
        <v>46161.645138888889</v>
      </c>
      <c r="G2823" s="5" t="s">
        <v>7456</v>
      </c>
      <c r="H2823" s="5" t="s">
        <v>14549</v>
      </c>
      <c r="I2823" s="5" t="s">
        <v>1621</v>
      </c>
      <c r="J2823" s="8">
        <v>42.84</v>
      </c>
      <c r="K2823" s="5" t="s">
        <v>4</v>
      </c>
      <c r="L2823">
        <f t="shared" si="44"/>
        <v>5</v>
      </c>
    </row>
    <row r="2824" spans="1:12" x14ac:dyDescent="0.25">
      <c r="A2824" s="5">
        <v>48551</v>
      </c>
      <c r="B2824" t="s">
        <v>14550</v>
      </c>
      <c r="C2824" s="5" t="s">
        <v>1174</v>
      </c>
      <c r="D2824" t="s">
        <v>14551</v>
      </c>
      <c r="E2824" s="5" t="s">
        <v>6264</v>
      </c>
      <c r="F2824" s="6">
        <v>46161.656944444447</v>
      </c>
      <c r="G2824" s="5" t="s">
        <v>7456</v>
      </c>
      <c r="H2824" s="5" t="s">
        <v>14552</v>
      </c>
      <c r="I2824" s="5" t="s">
        <v>1621</v>
      </c>
      <c r="J2824" s="8">
        <v>77</v>
      </c>
      <c r="K2824" s="5" t="s">
        <v>4</v>
      </c>
      <c r="L2824">
        <f t="shared" si="44"/>
        <v>5</v>
      </c>
    </row>
    <row r="2825" spans="1:12" x14ac:dyDescent="0.25">
      <c r="A2825" s="5">
        <v>48552</v>
      </c>
      <c r="B2825" t="s">
        <v>14553</v>
      </c>
      <c r="C2825" s="5" t="s">
        <v>994</v>
      </c>
      <c r="D2825" t="s">
        <v>14554</v>
      </c>
      <c r="E2825" s="5" t="s">
        <v>4640</v>
      </c>
      <c r="F2825" s="6">
        <v>46161.665972222225</v>
      </c>
      <c r="G2825" s="5" t="s">
        <v>7456</v>
      </c>
      <c r="H2825" s="5" t="s">
        <v>14555</v>
      </c>
      <c r="I2825" s="5" t="s">
        <v>1621</v>
      </c>
      <c r="J2825" s="8">
        <v>180</v>
      </c>
      <c r="K2825" s="5" t="s">
        <v>4</v>
      </c>
      <c r="L2825">
        <f t="shared" si="44"/>
        <v>5</v>
      </c>
    </row>
    <row r="2826" spans="1:12" x14ac:dyDescent="0.25">
      <c r="A2826" s="5">
        <v>48553</v>
      </c>
      <c r="B2826" t="s">
        <v>14556</v>
      </c>
      <c r="C2826" s="5" t="s">
        <v>1272</v>
      </c>
      <c r="D2826" t="s">
        <v>14557</v>
      </c>
      <c r="E2826" s="5" t="s">
        <v>5038</v>
      </c>
      <c r="F2826" s="6">
        <v>46161.672222222223</v>
      </c>
      <c r="G2826" s="5" t="s">
        <v>7456</v>
      </c>
      <c r="H2826" s="5" t="s">
        <v>14558</v>
      </c>
      <c r="I2826" s="5" t="s">
        <v>1621</v>
      </c>
      <c r="J2826" s="8">
        <v>150.16999999999999</v>
      </c>
      <c r="K2826" s="5" t="s">
        <v>4</v>
      </c>
      <c r="L2826">
        <f t="shared" si="44"/>
        <v>5</v>
      </c>
    </row>
    <row r="2827" spans="1:12" x14ac:dyDescent="0.25">
      <c r="A2827" s="5">
        <v>48554</v>
      </c>
      <c r="B2827" t="s">
        <v>14559</v>
      </c>
      <c r="C2827" s="5" t="s">
        <v>913</v>
      </c>
      <c r="D2827" t="s">
        <v>14560</v>
      </c>
      <c r="E2827" s="5" t="s">
        <v>6431</v>
      </c>
      <c r="F2827" s="6">
        <v>46161.679166666669</v>
      </c>
      <c r="G2827" s="5" t="s">
        <v>7456</v>
      </c>
      <c r="H2827" s="5" t="s">
        <v>14561</v>
      </c>
      <c r="I2827" s="5" t="s">
        <v>1621</v>
      </c>
      <c r="J2827" s="8">
        <v>66.13</v>
      </c>
      <c r="K2827" s="5" t="s">
        <v>4</v>
      </c>
      <c r="L2827">
        <f t="shared" si="44"/>
        <v>5</v>
      </c>
    </row>
    <row r="2828" spans="1:12" x14ac:dyDescent="0.25">
      <c r="A2828" s="5">
        <v>48555</v>
      </c>
      <c r="B2828" t="s">
        <v>14562</v>
      </c>
      <c r="C2828" s="5" t="s">
        <v>14563</v>
      </c>
      <c r="D2828" t="s">
        <v>14564</v>
      </c>
      <c r="E2828" s="5" t="s">
        <v>14565</v>
      </c>
      <c r="F2828" s="6">
        <v>46161.689583333333</v>
      </c>
      <c r="G2828" s="5" t="s">
        <v>13816</v>
      </c>
      <c r="H2828" t="s">
        <v>7482</v>
      </c>
      <c r="I2828" s="5" t="s">
        <v>1564</v>
      </c>
      <c r="J2828" s="8">
        <v>1020.74</v>
      </c>
      <c r="K2828" s="5" t="s">
        <v>4</v>
      </c>
      <c r="L2828">
        <f t="shared" si="44"/>
        <v>5</v>
      </c>
    </row>
    <row r="2829" spans="1:12" x14ac:dyDescent="0.25">
      <c r="A2829" s="5">
        <v>48556</v>
      </c>
      <c r="B2829" t="s">
        <v>14566</v>
      </c>
      <c r="C2829" s="5" t="s">
        <v>52</v>
      </c>
      <c r="D2829" t="s">
        <v>14567</v>
      </c>
      <c r="E2829" s="5" t="s">
        <v>6633</v>
      </c>
      <c r="F2829" s="6">
        <v>46161.689583333333</v>
      </c>
      <c r="G2829" s="5" t="s">
        <v>7456</v>
      </c>
      <c r="H2829" s="5" t="s">
        <v>14568</v>
      </c>
      <c r="I2829" s="5" t="s">
        <v>1621</v>
      </c>
      <c r="J2829" s="8">
        <v>53.9</v>
      </c>
      <c r="K2829" s="5" t="s">
        <v>4</v>
      </c>
      <c r="L2829">
        <f t="shared" si="44"/>
        <v>5</v>
      </c>
    </row>
    <row r="2830" spans="1:12" x14ac:dyDescent="0.25">
      <c r="A2830" s="5">
        <v>48557</v>
      </c>
      <c r="B2830" t="s">
        <v>14569</v>
      </c>
      <c r="C2830" s="5" t="s">
        <v>969</v>
      </c>
      <c r="D2830" t="s">
        <v>14570</v>
      </c>
      <c r="E2830" s="5" t="s">
        <v>7155</v>
      </c>
      <c r="F2830" s="6">
        <v>46161.696527777778</v>
      </c>
      <c r="G2830" s="5" t="s">
        <v>7456</v>
      </c>
      <c r="H2830" s="5" t="s">
        <v>14571</v>
      </c>
      <c r="I2830" s="5" t="s">
        <v>1621</v>
      </c>
      <c r="J2830" s="8">
        <v>27.43</v>
      </c>
      <c r="K2830" s="5" t="s">
        <v>4</v>
      </c>
      <c r="L2830">
        <f t="shared" si="44"/>
        <v>5</v>
      </c>
    </row>
    <row r="2831" spans="1:12" x14ac:dyDescent="0.25">
      <c r="A2831" s="5">
        <v>48558</v>
      </c>
      <c r="B2831" t="s">
        <v>14572</v>
      </c>
      <c r="C2831" s="5" t="s">
        <v>14573</v>
      </c>
      <c r="D2831" t="s">
        <v>14574</v>
      </c>
      <c r="E2831" s="5" t="s">
        <v>5900</v>
      </c>
      <c r="F2831" s="6">
        <v>46161.707638888889</v>
      </c>
      <c r="G2831" s="5" t="s">
        <v>13816</v>
      </c>
      <c r="H2831" t="s">
        <v>7482</v>
      </c>
      <c r="I2831" s="5" t="s">
        <v>1564</v>
      </c>
      <c r="J2831" s="8">
        <v>2480.1</v>
      </c>
      <c r="K2831" s="5" t="s">
        <v>4</v>
      </c>
      <c r="L2831">
        <f t="shared" si="44"/>
        <v>5</v>
      </c>
    </row>
    <row r="2832" spans="1:12" x14ac:dyDescent="0.25">
      <c r="A2832" s="5">
        <v>48559</v>
      </c>
      <c r="B2832" t="s">
        <v>14575</v>
      </c>
      <c r="C2832" s="5" t="s">
        <v>14576</v>
      </c>
      <c r="D2832" t="s">
        <v>14577</v>
      </c>
      <c r="E2832" s="5" t="s">
        <v>6639</v>
      </c>
      <c r="F2832" s="6">
        <v>46161.702777777777</v>
      </c>
      <c r="G2832" s="5" t="s">
        <v>7456</v>
      </c>
      <c r="H2832" s="5" t="s">
        <v>14578</v>
      </c>
      <c r="I2832" s="5" t="s">
        <v>1621</v>
      </c>
      <c r="J2832" s="8">
        <v>53.65</v>
      </c>
      <c r="K2832" s="5" t="s">
        <v>4</v>
      </c>
      <c r="L2832">
        <f t="shared" si="44"/>
        <v>5</v>
      </c>
    </row>
    <row r="2833" spans="1:12" x14ac:dyDescent="0.25">
      <c r="A2833" s="5">
        <v>48560</v>
      </c>
      <c r="B2833" t="s">
        <v>14579</v>
      </c>
      <c r="C2833" s="5" t="s">
        <v>240</v>
      </c>
      <c r="D2833" t="s">
        <v>14580</v>
      </c>
      <c r="E2833" s="5" t="s">
        <v>4802</v>
      </c>
      <c r="F2833" s="6">
        <v>46161.713888888888</v>
      </c>
      <c r="G2833" s="5" t="s">
        <v>7456</v>
      </c>
      <c r="H2833" s="5" t="s">
        <v>14581</v>
      </c>
      <c r="I2833" s="5" t="s">
        <v>1621</v>
      </c>
      <c r="J2833" s="8">
        <v>166.63</v>
      </c>
      <c r="K2833" s="5" t="s">
        <v>4</v>
      </c>
      <c r="L2833">
        <f t="shared" si="44"/>
        <v>5</v>
      </c>
    </row>
    <row r="2834" spans="1:12" x14ac:dyDescent="0.25">
      <c r="A2834" s="5">
        <v>48561</v>
      </c>
      <c r="B2834" t="s">
        <v>14315</v>
      </c>
      <c r="C2834" s="5" t="s">
        <v>9032</v>
      </c>
      <c r="D2834" t="s">
        <v>14316</v>
      </c>
      <c r="E2834" s="5" t="s">
        <v>1673</v>
      </c>
      <c r="F2834" s="6">
        <v>46161.722222222219</v>
      </c>
      <c r="G2834" s="5" t="s">
        <v>7456</v>
      </c>
      <c r="H2834" s="5" t="s">
        <v>14582</v>
      </c>
      <c r="I2834" s="5" t="s">
        <v>1535</v>
      </c>
      <c r="J2834" s="8">
        <v>287</v>
      </c>
      <c r="K2834" s="5" t="s">
        <v>4</v>
      </c>
      <c r="L2834">
        <f t="shared" si="44"/>
        <v>5</v>
      </c>
    </row>
    <row r="2835" spans="1:12" x14ac:dyDescent="0.25">
      <c r="A2835" s="5">
        <v>48562</v>
      </c>
      <c r="B2835" t="s">
        <v>14556</v>
      </c>
      <c r="C2835" s="5" t="s">
        <v>1272</v>
      </c>
      <c r="D2835" t="s">
        <v>14557</v>
      </c>
      <c r="E2835" s="5" t="s">
        <v>5769</v>
      </c>
      <c r="F2835" s="6">
        <v>46161.722222222219</v>
      </c>
      <c r="G2835" s="5" t="s">
        <v>7456</v>
      </c>
      <c r="H2835" s="5" t="s">
        <v>14583</v>
      </c>
      <c r="I2835" s="5" t="s">
        <v>1621</v>
      </c>
      <c r="J2835" s="8">
        <v>110.07</v>
      </c>
      <c r="K2835" s="5" t="s">
        <v>4</v>
      </c>
      <c r="L2835">
        <f t="shared" si="44"/>
        <v>5</v>
      </c>
    </row>
    <row r="2836" spans="1:12" x14ac:dyDescent="0.25">
      <c r="A2836" s="5">
        <v>48563</v>
      </c>
      <c r="B2836" t="s">
        <v>14584</v>
      </c>
      <c r="C2836" s="5" t="s">
        <v>14585</v>
      </c>
      <c r="D2836" t="s">
        <v>14586</v>
      </c>
      <c r="E2836" s="5" t="s">
        <v>1532</v>
      </c>
      <c r="F2836" s="6">
        <v>46161.729166666664</v>
      </c>
      <c r="G2836" s="5" t="s">
        <v>7456</v>
      </c>
      <c r="H2836" s="5" t="s">
        <v>14587</v>
      </c>
      <c r="I2836" s="5" t="s">
        <v>1535</v>
      </c>
      <c r="J2836" s="8">
        <v>2706.7</v>
      </c>
      <c r="K2836" s="5" t="s">
        <v>4</v>
      </c>
      <c r="L2836">
        <f t="shared" si="44"/>
        <v>5</v>
      </c>
    </row>
    <row r="2837" spans="1:12" x14ac:dyDescent="0.25">
      <c r="A2837" s="5">
        <v>48564</v>
      </c>
      <c r="B2837" t="s">
        <v>13634</v>
      </c>
      <c r="C2837" s="5" t="s">
        <v>9998</v>
      </c>
      <c r="D2837" t="s">
        <v>9999</v>
      </c>
      <c r="E2837" s="5" t="s">
        <v>1759</v>
      </c>
      <c r="F2837" s="6">
        <v>46161.730555555558</v>
      </c>
      <c r="G2837" s="5" t="s">
        <v>13816</v>
      </c>
      <c r="H2837" t="s">
        <v>8626</v>
      </c>
      <c r="I2837" s="5" t="s">
        <v>1564</v>
      </c>
      <c r="J2837" s="8">
        <v>325.75</v>
      </c>
      <c r="K2837" s="5" t="s">
        <v>4</v>
      </c>
      <c r="L2837">
        <f t="shared" si="44"/>
        <v>5</v>
      </c>
    </row>
    <row r="2838" spans="1:12" x14ac:dyDescent="0.25">
      <c r="A2838" s="5">
        <v>48565</v>
      </c>
      <c r="B2838" t="s">
        <v>14588</v>
      </c>
      <c r="C2838" s="5" t="s">
        <v>148</v>
      </c>
      <c r="D2838" t="s">
        <v>14589</v>
      </c>
      <c r="E2838" s="5" t="s">
        <v>1759</v>
      </c>
      <c r="F2838" s="6">
        <v>46161.734027777777</v>
      </c>
      <c r="G2838" s="5" t="s">
        <v>7456</v>
      </c>
      <c r="H2838" s="5" t="s">
        <v>14590</v>
      </c>
      <c r="I2838" s="5" t="s">
        <v>1564</v>
      </c>
      <c r="J2838" s="8">
        <v>199</v>
      </c>
      <c r="K2838" s="5" t="s">
        <v>4</v>
      </c>
      <c r="L2838">
        <f t="shared" si="44"/>
        <v>5</v>
      </c>
    </row>
    <row r="2839" spans="1:12" x14ac:dyDescent="0.25">
      <c r="A2839" s="5">
        <v>48566</v>
      </c>
      <c r="B2839" t="s">
        <v>10242</v>
      </c>
      <c r="C2839" s="5" t="s">
        <v>10243</v>
      </c>
      <c r="D2839" t="s">
        <v>10244</v>
      </c>
      <c r="E2839" s="5" t="s">
        <v>3458</v>
      </c>
      <c r="F2839" s="6">
        <v>46162.361805555556</v>
      </c>
      <c r="G2839" s="5" t="s">
        <v>7456</v>
      </c>
      <c r="H2839" s="5" t="s">
        <v>14591</v>
      </c>
      <c r="I2839" s="5" t="s">
        <v>1564</v>
      </c>
      <c r="J2839" s="8">
        <v>327.8</v>
      </c>
      <c r="K2839" s="5" t="s">
        <v>4</v>
      </c>
      <c r="L2839">
        <f t="shared" si="44"/>
        <v>5</v>
      </c>
    </row>
    <row r="2840" spans="1:12" x14ac:dyDescent="0.25">
      <c r="A2840" s="5">
        <v>48567</v>
      </c>
      <c r="B2840" t="s">
        <v>14592</v>
      </c>
      <c r="C2840" s="5" t="s">
        <v>14593</v>
      </c>
      <c r="D2840" t="s">
        <v>14594</v>
      </c>
      <c r="E2840" s="5" t="s">
        <v>1759</v>
      </c>
      <c r="F2840" s="6">
        <v>46162.368055555555</v>
      </c>
      <c r="G2840" s="5" t="s">
        <v>7456</v>
      </c>
      <c r="H2840" s="5" t="s">
        <v>14595</v>
      </c>
      <c r="I2840" s="5" t="s">
        <v>1564</v>
      </c>
      <c r="J2840" s="8">
        <v>195</v>
      </c>
      <c r="K2840" s="5" t="s">
        <v>4</v>
      </c>
      <c r="L2840">
        <f t="shared" si="44"/>
        <v>5</v>
      </c>
    </row>
    <row r="2841" spans="1:12" x14ac:dyDescent="0.25">
      <c r="A2841" s="5">
        <v>48568</v>
      </c>
      <c r="B2841" t="s">
        <v>14596</v>
      </c>
      <c r="C2841" s="5" t="s">
        <v>14597</v>
      </c>
      <c r="D2841" t="s">
        <v>14598</v>
      </c>
      <c r="E2841" s="5" t="s">
        <v>3415</v>
      </c>
      <c r="F2841" s="6">
        <v>46162.356944444444</v>
      </c>
      <c r="G2841" s="5" t="s">
        <v>7456</v>
      </c>
      <c r="H2841" s="5" t="s">
        <v>14599</v>
      </c>
      <c r="I2841" s="5" t="s">
        <v>1621</v>
      </c>
      <c r="J2841" s="8">
        <v>335.21</v>
      </c>
      <c r="K2841" s="5" t="s">
        <v>4</v>
      </c>
      <c r="L2841">
        <f t="shared" si="44"/>
        <v>5</v>
      </c>
    </row>
    <row r="2842" spans="1:12" x14ac:dyDescent="0.25">
      <c r="A2842" s="5">
        <v>48569</v>
      </c>
      <c r="B2842" t="s">
        <v>14600</v>
      </c>
      <c r="C2842" s="5" t="s">
        <v>12001</v>
      </c>
      <c r="D2842" t="s">
        <v>14601</v>
      </c>
      <c r="E2842" s="5" t="s">
        <v>1738</v>
      </c>
      <c r="F2842" s="6">
        <v>46162.388194444444</v>
      </c>
      <c r="G2842" s="5" t="s">
        <v>7456</v>
      </c>
      <c r="H2842" s="5" t="s">
        <v>14602</v>
      </c>
      <c r="I2842" s="5" t="s">
        <v>1564</v>
      </c>
      <c r="J2842" s="8">
        <v>1170.4000000000001</v>
      </c>
      <c r="K2842" s="5" t="s">
        <v>4</v>
      </c>
      <c r="L2842">
        <f t="shared" si="44"/>
        <v>5</v>
      </c>
    </row>
    <row r="2843" spans="1:12" x14ac:dyDescent="0.25">
      <c r="A2843" s="5">
        <v>48570</v>
      </c>
      <c r="B2843" t="s">
        <v>14603</v>
      </c>
      <c r="C2843" s="5" t="s">
        <v>1111</v>
      </c>
      <c r="D2843" t="s">
        <v>14604</v>
      </c>
      <c r="E2843" s="5" t="s">
        <v>6913</v>
      </c>
      <c r="F2843" s="6">
        <v>46162.390972222223</v>
      </c>
      <c r="G2843" s="5" t="s">
        <v>7456</v>
      </c>
      <c r="H2843" s="5" t="s">
        <v>14605</v>
      </c>
      <c r="I2843" s="5" t="s">
        <v>1621</v>
      </c>
      <c r="J2843" s="8">
        <v>39.65</v>
      </c>
      <c r="K2843" s="5" t="s">
        <v>4</v>
      </c>
      <c r="L2843">
        <f t="shared" si="44"/>
        <v>5</v>
      </c>
    </row>
    <row r="2844" spans="1:12" x14ac:dyDescent="0.25">
      <c r="A2844" s="5">
        <v>48571</v>
      </c>
      <c r="B2844" t="s">
        <v>14606</v>
      </c>
      <c r="C2844" s="5" t="s">
        <v>14607</v>
      </c>
      <c r="D2844" t="s">
        <v>7644</v>
      </c>
      <c r="E2844" s="5" t="s">
        <v>3584</v>
      </c>
      <c r="F2844" s="6">
        <v>46162.395138888889</v>
      </c>
      <c r="G2844" s="5" t="s">
        <v>7456</v>
      </c>
      <c r="H2844" s="5" t="s">
        <v>14608</v>
      </c>
      <c r="I2844" s="5" t="s">
        <v>1621</v>
      </c>
      <c r="J2844" s="8">
        <v>312.60000000000002</v>
      </c>
      <c r="K2844" s="5" t="s">
        <v>4</v>
      </c>
      <c r="L2844">
        <f t="shared" si="44"/>
        <v>5</v>
      </c>
    </row>
    <row r="2845" spans="1:12" x14ac:dyDescent="0.25">
      <c r="A2845" s="5">
        <v>48572</v>
      </c>
      <c r="B2845" t="s">
        <v>8950</v>
      </c>
      <c r="C2845" s="5" t="s">
        <v>14609</v>
      </c>
      <c r="D2845" t="s">
        <v>8952</v>
      </c>
      <c r="E2845" s="5" t="s">
        <v>3035</v>
      </c>
      <c r="F2845" s="6">
        <v>46162.436805555553</v>
      </c>
      <c r="G2845" s="5" t="s">
        <v>7456</v>
      </c>
      <c r="H2845" s="5" t="s">
        <v>14610</v>
      </c>
      <c r="I2845" s="5" t="s">
        <v>1564</v>
      </c>
      <c r="J2845" s="8">
        <v>239.5</v>
      </c>
      <c r="K2845" s="5" t="s">
        <v>4</v>
      </c>
      <c r="L2845">
        <f t="shared" si="44"/>
        <v>5</v>
      </c>
    </row>
    <row r="2846" spans="1:12" x14ac:dyDescent="0.25">
      <c r="A2846" s="5">
        <v>48574</v>
      </c>
      <c r="B2846" t="s">
        <v>14611</v>
      </c>
      <c r="C2846" s="5" t="s">
        <v>14612</v>
      </c>
      <c r="D2846" t="s">
        <v>14613</v>
      </c>
      <c r="E2846" s="5" t="s">
        <v>1738</v>
      </c>
      <c r="F2846" s="6">
        <v>46162.448611111111</v>
      </c>
      <c r="G2846" s="5" t="s">
        <v>7456</v>
      </c>
      <c r="H2846" s="5" t="s">
        <v>14614</v>
      </c>
      <c r="I2846" s="5" t="s">
        <v>1564</v>
      </c>
      <c r="J2846" s="8">
        <v>285</v>
      </c>
      <c r="K2846" s="5" t="s">
        <v>4</v>
      </c>
      <c r="L2846">
        <f t="shared" si="44"/>
        <v>5</v>
      </c>
    </row>
    <row r="2847" spans="1:12" x14ac:dyDescent="0.25">
      <c r="A2847" s="5">
        <v>48575</v>
      </c>
      <c r="B2847" t="s">
        <v>14615</v>
      </c>
      <c r="C2847" s="5" t="s">
        <v>14616</v>
      </c>
      <c r="D2847" t="s">
        <v>14617</v>
      </c>
      <c r="E2847" s="5" t="s">
        <v>1567</v>
      </c>
      <c r="F2847" s="6">
        <v>46162.472222222219</v>
      </c>
      <c r="G2847" s="5" t="s">
        <v>7456</v>
      </c>
      <c r="H2847" s="5" t="s">
        <v>14618</v>
      </c>
      <c r="I2847" s="5" t="s">
        <v>1564</v>
      </c>
      <c r="J2847" s="8">
        <v>912.9</v>
      </c>
      <c r="K2847" s="5" t="s">
        <v>4</v>
      </c>
      <c r="L2847">
        <f t="shared" si="44"/>
        <v>5</v>
      </c>
    </row>
    <row r="2848" spans="1:12" x14ac:dyDescent="0.25">
      <c r="A2848" s="5">
        <v>48576</v>
      </c>
      <c r="B2848" t="s">
        <v>14619</v>
      </c>
      <c r="C2848" s="5" t="s">
        <v>14620</v>
      </c>
      <c r="D2848" t="s">
        <v>14621</v>
      </c>
      <c r="E2848" s="5" t="s">
        <v>1570</v>
      </c>
      <c r="F2848" s="6">
        <v>46162.479861111111</v>
      </c>
      <c r="G2848" s="5" t="s">
        <v>7456</v>
      </c>
      <c r="H2848" s="5" t="s">
        <v>14622</v>
      </c>
      <c r="I2848" s="5" t="s">
        <v>1535</v>
      </c>
      <c r="J2848" s="8">
        <v>6750</v>
      </c>
      <c r="K2848" s="5" t="s">
        <v>4</v>
      </c>
      <c r="L2848">
        <f t="shared" si="44"/>
        <v>5</v>
      </c>
    </row>
    <row r="2849" spans="1:12" x14ac:dyDescent="0.25">
      <c r="A2849" s="5">
        <v>48577</v>
      </c>
      <c r="B2849" t="s">
        <v>14623</v>
      </c>
      <c r="C2849" s="5" t="s">
        <v>14624</v>
      </c>
      <c r="D2849" t="s">
        <v>14625</v>
      </c>
      <c r="E2849" s="5" t="s">
        <v>1663</v>
      </c>
      <c r="F2849" s="6">
        <v>46162.481249999997</v>
      </c>
      <c r="G2849" s="5" t="s">
        <v>7456</v>
      </c>
      <c r="H2849" s="5" t="s">
        <v>14626</v>
      </c>
      <c r="I2849" s="5" t="s">
        <v>1564</v>
      </c>
      <c r="J2849" s="8">
        <v>2994.6</v>
      </c>
      <c r="K2849" s="5" t="s">
        <v>4</v>
      </c>
      <c r="L2849">
        <f t="shared" si="44"/>
        <v>5</v>
      </c>
    </row>
    <row r="2850" spans="1:12" x14ac:dyDescent="0.25">
      <c r="A2850" s="5">
        <v>48578</v>
      </c>
      <c r="B2850" t="s">
        <v>14627</v>
      </c>
      <c r="C2850" s="5" t="s">
        <v>14628</v>
      </c>
      <c r="D2850" t="s">
        <v>14629</v>
      </c>
      <c r="E2850" s="5" t="s">
        <v>13807</v>
      </c>
      <c r="F2850" s="6">
        <v>46162.523611111108</v>
      </c>
      <c r="G2850" s="5" t="s">
        <v>13816</v>
      </c>
      <c r="H2850" t="s">
        <v>7482</v>
      </c>
      <c r="I2850" s="5" t="s">
        <v>1564</v>
      </c>
      <c r="J2850" s="8">
        <v>539.79999999999995</v>
      </c>
      <c r="K2850" s="5" t="s">
        <v>4</v>
      </c>
      <c r="L2850">
        <f t="shared" si="44"/>
        <v>5</v>
      </c>
    </row>
    <row r="2851" spans="1:12" x14ac:dyDescent="0.25">
      <c r="A2851" s="5">
        <v>48580</v>
      </c>
      <c r="B2851" t="s">
        <v>13144</v>
      </c>
      <c r="C2851" s="5" t="s">
        <v>11355</v>
      </c>
      <c r="D2851" t="s">
        <v>11356</v>
      </c>
      <c r="E2851" s="5" t="s">
        <v>1813</v>
      </c>
      <c r="F2851" s="6">
        <v>46162.600694444445</v>
      </c>
      <c r="G2851" s="5" t="s">
        <v>7456</v>
      </c>
      <c r="H2851" s="5" t="s">
        <v>14630</v>
      </c>
      <c r="I2851" s="5" t="s">
        <v>1535</v>
      </c>
      <c r="J2851" s="8">
        <v>780.6</v>
      </c>
      <c r="K2851" s="5" t="s">
        <v>4</v>
      </c>
      <c r="L2851">
        <f t="shared" si="44"/>
        <v>5</v>
      </c>
    </row>
    <row r="2852" spans="1:12" x14ac:dyDescent="0.25">
      <c r="A2852" s="5">
        <v>48582</v>
      </c>
      <c r="B2852" t="s">
        <v>14631</v>
      </c>
      <c r="C2852" s="5" t="s">
        <v>14632</v>
      </c>
      <c r="D2852" t="s">
        <v>14633</v>
      </c>
      <c r="E2852" s="5" t="s">
        <v>4866</v>
      </c>
      <c r="F2852" s="6">
        <v>46162.634027777778</v>
      </c>
      <c r="G2852" s="5" t="s">
        <v>7456</v>
      </c>
      <c r="H2852" s="5" t="s">
        <v>14634</v>
      </c>
      <c r="I2852" s="5" t="s">
        <v>1621</v>
      </c>
      <c r="J2852" s="8">
        <v>161.71</v>
      </c>
      <c r="K2852" s="5" t="s">
        <v>4</v>
      </c>
      <c r="L2852">
        <f t="shared" si="44"/>
        <v>5</v>
      </c>
    </row>
    <row r="2853" spans="1:12" x14ac:dyDescent="0.25">
      <c r="A2853" s="5">
        <v>48583</v>
      </c>
      <c r="B2853" t="s">
        <v>14635</v>
      </c>
      <c r="C2853" s="5" t="s">
        <v>748</v>
      </c>
      <c r="D2853" t="s">
        <v>14636</v>
      </c>
      <c r="E2853" s="5" t="s">
        <v>6936</v>
      </c>
      <c r="F2853" s="6">
        <v>46162.642361111109</v>
      </c>
      <c r="G2853" s="5" t="s">
        <v>7456</v>
      </c>
      <c r="H2853" s="5" t="s">
        <v>14637</v>
      </c>
      <c r="I2853" s="5" t="s">
        <v>1621</v>
      </c>
      <c r="J2853" s="8">
        <v>38.5</v>
      </c>
      <c r="K2853" s="5" t="s">
        <v>4</v>
      </c>
      <c r="L2853">
        <f t="shared" si="44"/>
        <v>5</v>
      </c>
    </row>
    <row r="2854" spans="1:12" x14ac:dyDescent="0.25">
      <c r="A2854" s="5">
        <v>48584</v>
      </c>
      <c r="B2854" t="s">
        <v>11401</v>
      </c>
      <c r="C2854" s="5" t="s">
        <v>11402</v>
      </c>
      <c r="D2854" t="s">
        <v>11403</v>
      </c>
      <c r="E2854" s="5" t="s">
        <v>5042</v>
      </c>
      <c r="F2854" s="6">
        <v>46162.647222222222</v>
      </c>
      <c r="G2854" s="5" t="s">
        <v>7456</v>
      </c>
      <c r="H2854" s="5" t="s">
        <v>14638</v>
      </c>
      <c r="I2854" s="5" t="s">
        <v>1564</v>
      </c>
      <c r="J2854" s="8">
        <v>150.04</v>
      </c>
      <c r="K2854" s="5" t="s">
        <v>4</v>
      </c>
      <c r="L2854">
        <f t="shared" si="44"/>
        <v>5</v>
      </c>
    </row>
    <row r="2855" spans="1:12" x14ac:dyDescent="0.25">
      <c r="A2855" s="5">
        <v>48585</v>
      </c>
      <c r="B2855" t="s">
        <v>13193</v>
      </c>
      <c r="C2855" s="5" t="s">
        <v>13194</v>
      </c>
      <c r="D2855" t="s">
        <v>13195</v>
      </c>
      <c r="E2855" s="5" t="s">
        <v>1532</v>
      </c>
      <c r="F2855" s="6">
        <v>46162.678472222222</v>
      </c>
      <c r="G2855" s="5" t="s">
        <v>7456</v>
      </c>
      <c r="H2855" s="5" t="s">
        <v>14639</v>
      </c>
      <c r="I2855" s="5" t="s">
        <v>1535</v>
      </c>
      <c r="J2855" s="8">
        <v>609.5</v>
      </c>
      <c r="K2855" s="5" t="s">
        <v>4</v>
      </c>
      <c r="L2855">
        <f t="shared" si="44"/>
        <v>5</v>
      </c>
    </row>
    <row r="2856" spans="1:12" x14ac:dyDescent="0.25">
      <c r="A2856" s="5">
        <v>48587</v>
      </c>
      <c r="B2856" t="s">
        <v>14640</v>
      </c>
      <c r="C2856" s="5" t="s">
        <v>8569</v>
      </c>
      <c r="D2856" t="s">
        <v>11337</v>
      </c>
      <c r="E2856" s="5" t="s">
        <v>1532</v>
      </c>
      <c r="F2856" s="6">
        <v>46162.709027777775</v>
      </c>
      <c r="G2856" s="5" t="s">
        <v>7595</v>
      </c>
      <c r="H2856" t="s">
        <v>7482</v>
      </c>
      <c r="I2856" s="5" t="s">
        <v>1535</v>
      </c>
      <c r="J2856" s="8">
        <v>751</v>
      </c>
      <c r="K2856" s="5" t="s">
        <v>4</v>
      </c>
      <c r="L2856">
        <f t="shared" si="44"/>
        <v>5</v>
      </c>
    </row>
    <row r="2857" spans="1:12" x14ac:dyDescent="0.25">
      <c r="A2857" s="5">
        <v>48588</v>
      </c>
      <c r="B2857" t="s">
        <v>8965</v>
      </c>
      <c r="C2857" s="5" t="s">
        <v>9154</v>
      </c>
      <c r="D2857" t="s">
        <v>8966</v>
      </c>
      <c r="E2857" s="5" t="s">
        <v>1532</v>
      </c>
      <c r="F2857" s="6">
        <v>46162.727083333331</v>
      </c>
      <c r="G2857" s="5" t="s">
        <v>7595</v>
      </c>
      <c r="H2857" t="s">
        <v>7482</v>
      </c>
      <c r="I2857" s="5" t="s">
        <v>1535</v>
      </c>
      <c r="J2857" s="8">
        <v>33465</v>
      </c>
      <c r="K2857" s="5" t="s">
        <v>4</v>
      </c>
      <c r="L2857">
        <f t="shared" si="44"/>
        <v>5</v>
      </c>
    </row>
    <row r="2858" spans="1:12" x14ac:dyDescent="0.25">
      <c r="A2858" s="5">
        <v>48589</v>
      </c>
      <c r="B2858" t="s">
        <v>8965</v>
      </c>
      <c r="C2858" s="5" t="s">
        <v>9154</v>
      </c>
      <c r="D2858" t="s">
        <v>8966</v>
      </c>
      <c r="E2858" s="5" t="s">
        <v>1532</v>
      </c>
      <c r="F2858" s="6">
        <v>46162.736111111109</v>
      </c>
      <c r="G2858" s="5" t="s">
        <v>7595</v>
      </c>
      <c r="H2858" t="s">
        <v>7482</v>
      </c>
      <c r="I2858" s="5" t="s">
        <v>1535</v>
      </c>
      <c r="J2858" s="8">
        <v>16172.8</v>
      </c>
      <c r="K2858" s="5" t="s">
        <v>4</v>
      </c>
      <c r="L2858">
        <f t="shared" si="44"/>
        <v>5</v>
      </c>
    </row>
    <row r="2859" spans="1:12" x14ac:dyDescent="0.25">
      <c r="A2859" s="5">
        <v>48590</v>
      </c>
      <c r="B2859" t="s">
        <v>10092</v>
      </c>
      <c r="C2859" s="5" t="s">
        <v>10093</v>
      </c>
      <c r="D2859" t="s">
        <v>10094</v>
      </c>
      <c r="E2859" s="5" t="s">
        <v>1738</v>
      </c>
      <c r="F2859" s="6">
        <v>46162.750694444447</v>
      </c>
      <c r="G2859" s="5" t="s">
        <v>7456</v>
      </c>
      <c r="H2859" s="5" t="s">
        <v>14641</v>
      </c>
      <c r="I2859" s="5" t="s">
        <v>1564</v>
      </c>
      <c r="J2859" s="8">
        <v>224</v>
      </c>
      <c r="K2859" s="5" t="s">
        <v>4</v>
      </c>
      <c r="L2859">
        <f t="shared" si="44"/>
        <v>5</v>
      </c>
    </row>
    <row r="2860" spans="1:12" x14ac:dyDescent="0.25">
      <c r="A2860" s="5">
        <v>48591</v>
      </c>
      <c r="B2860" t="s">
        <v>14642</v>
      </c>
      <c r="C2860" s="5" t="s">
        <v>14643</v>
      </c>
      <c r="D2860" t="s">
        <v>14644</v>
      </c>
      <c r="E2860" s="5" t="s">
        <v>1770</v>
      </c>
      <c r="F2860" s="6">
        <v>46162.757638888892</v>
      </c>
      <c r="G2860" s="5" t="s">
        <v>7456</v>
      </c>
      <c r="H2860" s="5" t="s">
        <v>14645</v>
      </c>
      <c r="I2860" s="5" t="s">
        <v>1564</v>
      </c>
      <c r="J2860" s="8">
        <v>150</v>
      </c>
      <c r="K2860" s="5" t="s">
        <v>4</v>
      </c>
      <c r="L2860">
        <f t="shared" si="44"/>
        <v>5</v>
      </c>
    </row>
    <row r="2861" spans="1:12" x14ac:dyDescent="0.25">
      <c r="A2861" s="5">
        <v>48592</v>
      </c>
      <c r="B2861" t="s">
        <v>11405</v>
      </c>
      <c r="C2861" s="5" t="s">
        <v>14646</v>
      </c>
      <c r="D2861" t="s">
        <v>11407</v>
      </c>
      <c r="E2861" s="5" t="s">
        <v>2993</v>
      </c>
      <c r="F2861" s="6">
        <v>46163.35</v>
      </c>
      <c r="G2861" s="5" t="s">
        <v>7456</v>
      </c>
      <c r="H2861" s="5" t="s">
        <v>14647</v>
      </c>
      <c r="I2861" s="5" t="s">
        <v>1564</v>
      </c>
      <c r="J2861" s="8">
        <v>459.7</v>
      </c>
      <c r="K2861" s="5" t="s">
        <v>4</v>
      </c>
      <c r="L2861">
        <f t="shared" si="44"/>
        <v>5</v>
      </c>
    </row>
    <row r="2862" spans="1:12" x14ac:dyDescent="0.25">
      <c r="A2862" s="5">
        <v>48593</v>
      </c>
      <c r="B2862" t="s">
        <v>10106</v>
      </c>
      <c r="C2862" s="5" t="s">
        <v>10107</v>
      </c>
      <c r="D2862" t="s">
        <v>10108</v>
      </c>
      <c r="E2862" s="5" t="s">
        <v>1738</v>
      </c>
      <c r="F2862" s="6">
        <v>46163.368055555555</v>
      </c>
      <c r="G2862" s="5" t="s">
        <v>7456</v>
      </c>
      <c r="H2862" s="5" t="s">
        <v>14648</v>
      </c>
      <c r="I2862" s="5" t="s">
        <v>1564</v>
      </c>
      <c r="J2862" s="8">
        <v>504</v>
      </c>
      <c r="K2862" s="5" t="s">
        <v>4</v>
      </c>
      <c r="L2862">
        <f t="shared" si="44"/>
        <v>5</v>
      </c>
    </row>
    <row r="2863" spans="1:12" x14ac:dyDescent="0.25">
      <c r="A2863" s="5">
        <v>48594</v>
      </c>
      <c r="B2863" t="s">
        <v>14649</v>
      </c>
      <c r="C2863" s="5" t="s">
        <v>14650</v>
      </c>
      <c r="D2863" t="s">
        <v>14651</v>
      </c>
      <c r="E2863" s="5" t="s">
        <v>1567</v>
      </c>
      <c r="F2863" s="6">
        <v>46163.395833333336</v>
      </c>
      <c r="G2863" s="5" t="s">
        <v>7456</v>
      </c>
      <c r="H2863" s="5" t="s">
        <v>14652</v>
      </c>
      <c r="I2863" s="5" t="s">
        <v>1564</v>
      </c>
      <c r="J2863" s="8">
        <v>1849.9</v>
      </c>
      <c r="K2863" s="5" t="s">
        <v>4</v>
      </c>
      <c r="L2863">
        <f t="shared" si="44"/>
        <v>5</v>
      </c>
    </row>
    <row r="2864" spans="1:12" x14ac:dyDescent="0.25">
      <c r="A2864" s="5">
        <v>48598</v>
      </c>
      <c r="B2864" t="s">
        <v>8706</v>
      </c>
      <c r="C2864" s="5" t="s">
        <v>8707</v>
      </c>
      <c r="D2864" t="s">
        <v>8708</v>
      </c>
      <c r="E2864" s="5" t="s">
        <v>2306</v>
      </c>
      <c r="F2864" s="6">
        <v>46163.424305555556</v>
      </c>
      <c r="G2864" s="5" t="s">
        <v>7456</v>
      </c>
      <c r="H2864" s="5" t="s">
        <v>14653</v>
      </c>
      <c r="I2864" s="5" t="s">
        <v>1564</v>
      </c>
      <c r="J2864" s="8">
        <v>320</v>
      </c>
      <c r="K2864" s="5" t="s">
        <v>4</v>
      </c>
      <c r="L2864">
        <f t="shared" si="44"/>
        <v>5</v>
      </c>
    </row>
    <row r="2865" spans="1:12" x14ac:dyDescent="0.25">
      <c r="A2865" s="5">
        <v>48608</v>
      </c>
      <c r="B2865" t="s">
        <v>14654</v>
      </c>
      <c r="C2865" s="5" t="s">
        <v>14655</v>
      </c>
      <c r="D2865" t="s">
        <v>14656</v>
      </c>
      <c r="E2865" s="5" t="s">
        <v>1641</v>
      </c>
      <c r="F2865" s="6">
        <v>46163.510416666664</v>
      </c>
      <c r="G2865" s="5" t="s">
        <v>13816</v>
      </c>
      <c r="H2865" t="s">
        <v>7482</v>
      </c>
      <c r="I2865" s="5" t="s">
        <v>1564</v>
      </c>
      <c r="J2865" s="8">
        <v>3047.68</v>
      </c>
      <c r="K2865" s="5" t="s">
        <v>4</v>
      </c>
      <c r="L2865">
        <f t="shared" si="44"/>
        <v>5</v>
      </c>
    </row>
    <row r="2866" spans="1:12" x14ac:dyDescent="0.25">
      <c r="A2866" s="5">
        <v>48609</v>
      </c>
      <c r="B2866" t="s">
        <v>13356</v>
      </c>
      <c r="C2866" s="5" t="s">
        <v>8745</v>
      </c>
      <c r="D2866" t="s">
        <v>13357</v>
      </c>
      <c r="E2866" s="5" t="s">
        <v>1532</v>
      </c>
      <c r="F2866" s="6">
        <v>46163.577777777777</v>
      </c>
      <c r="G2866" s="5" t="s">
        <v>7456</v>
      </c>
      <c r="H2866" s="5" t="s">
        <v>14657</v>
      </c>
      <c r="I2866" s="5" t="s">
        <v>1535</v>
      </c>
      <c r="J2866" s="8">
        <v>327.14</v>
      </c>
      <c r="K2866" s="5" t="s">
        <v>4</v>
      </c>
      <c r="L2866">
        <f t="shared" si="44"/>
        <v>5</v>
      </c>
    </row>
    <row r="2867" spans="1:12" x14ac:dyDescent="0.25">
      <c r="A2867" s="5">
        <v>48610</v>
      </c>
      <c r="B2867" t="s">
        <v>9794</v>
      </c>
      <c r="C2867" s="5" t="s">
        <v>14033</v>
      </c>
      <c r="D2867" t="s">
        <v>9796</v>
      </c>
      <c r="E2867" s="5" t="s">
        <v>1532</v>
      </c>
      <c r="F2867" s="6">
        <v>46163.584722222222</v>
      </c>
      <c r="G2867" s="5" t="s">
        <v>7456</v>
      </c>
      <c r="H2867" s="5" t="s">
        <v>14658</v>
      </c>
      <c r="I2867" s="5" t="s">
        <v>1535</v>
      </c>
      <c r="J2867" s="8">
        <v>960</v>
      </c>
      <c r="K2867" s="5" t="s">
        <v>4</v>
      </c>
      <c r="L2867">
        <f t="shared" si="44"/>
        <v>5</v>
      </c>
    </row>
    <row r="2868" spans="1:12" x14ac:dyDescent="0.25">
      <c r="A2868" s="5">
        <v>48613</v>
      </c>
      <c r="B2868" t="s">
        <v>14659</v>
      </c>
      <c r="C2868" s="5" t="s">
        <v>8569</v>
      </c>
      <c r="D2868" t="s">
        <v>14660</v>
      </c>
      <c r="E2868" s="5" t="s">
        <v>4832</v>
      </c>
      <c r="F2868" s="6">
        <v>46163.612500000003</v>
      </c>
      <c r="G2868" s="5" t="s">
        <v>7456</v>
      </c>
      <c r="H2868" s="5" t="s">
        <v>14661</v>
      </c>
      <c r="I2868" s="5" t="s">
        <v>1564</v>
      </c>
      <c r="J2868" s="8">
        <v>164.8</v>
      </c>
      <c r="K2868" s="5" t="s">
        <v>4</v>
      </c>
      <c r="L2868">
        <f t="shared" si="44"/>
        <v>5</v>
      </c>
    </row>
    <row r="2869" spans="1:12" x14ac:dyDescent="0.25">
      <c r="A2869" s="5">
        <v>48614</v>
      </c>
      <c r="B2869" t="s">
        <v>14596</v>
      </c>
      <c r="C2869" s="5" t="s">
        <v>14662</v>
      </c>
      <c r="D2869" t="s">
        <v>14598</v>
      </c>
      <c r="E2869" s="5" t="s">
        <v>2744</v>
      </c>
      <c r="F2869" s="6">
        <v>46163.627083333333</v>
      </c>
      <c r="G2869" s="5" t="s">
        <v>7456</v>
      </c>
      <c r="H2869" s="5" t="s">
        <v>14663</v>
      </c>
      <c r="I2869" s="5" t="s">
        <v>1564</v>
      </c>
      <c r="J2869" s="8">
        <v>536.99</v>
      </c>
      <c r="K2869" s="5" t="s">
        <v>4</v>
      </c>
      <c r="L2869">
        <f t="shared" si="44"/>
        <v>5</v>
      </c>
    </row>
    <row r="2870" spans="1:12" x14ac:dyDescent="0.25">
      <c r="A2870" s="5">
        <v>48615</v>
      </c>
      <c r="B2870" t="s">
        <v>14664</v>
      </c>
      <c r="C2870" s="5" t="s">
        <v>14665</v>
      </c>
      <c r="D2870" t="s">
        <v>14666</v>
      </c>
      <c r="E2870" s="5" t="s">
        <v>1532</v>
      </c>
      <c r="F2870" s="6">
        <v>46163.634722222225</v>
      </c>
      <c r="G2870" s="5" t="s">
        <v>7456</v>
      </c>
      <c r="H2870" s="5" t="s">
        <v>14667</v>
      </c>
      <c r="I2870" s="5" t="s">
        <v>1535</v>
      </c>
      <c r="J2870" s="8">
        <v>146.5</v>
      </c>
      <c r="K2870" s="5" t="s">
        <v>4</v>
      </c>
      <c r="L2870">
        <f t="shared" si="44"/>
        <v>5</v>
      </c>
    </row>
    <row r="2871" spans="1:12" x14ac:dyDescent="0.25">
      <c r="A2871" s="5">
        <v>48616</v>
      </c>
      <c r="B2871" t="s">
        <v>14668</v>
      </c>
      <c r="C2871" s="5" t="s">
        <v>352</v>
      </c>
      <c r="D2871" t="s">
        <v>14669</v>
      </c>
      <c r="E2871" s="5" t="s">
        <v>4543</v>
      </c>
      <c r="F2871" s="6">
        <v>46163.629166666666</v>
      </c>
      <c r="G2871" s="5" t="s">
        <v>7456</v>
      </c>
      <c r="H2871" s="5" t="s">
        <v>14670</v>
      </c>
      <c r="I2871" s="5" t="s">
        <v>1621</v>
      </c>
      <c r="J2871" s="8">
        <v>189.49</v>
      </c>
      <c r="K2871" s="5" t="s">
        <v>4</v>
      </c>
      <c r="L2871">
        <f t="shared" si="44"/>
        <v>5</v>
      </c>
    </row>
    <row r="2872" spans="1:12" x14ac:dyDescent="0.25">
      <c r="A2872" s="5">
        <v>48617</v>
      </c>
      <c r="B2872" t="s">
        <v>14078</v>
      </c>
      <c r="C2872" s="5" t="s">
        <v>14079</v>
      </c>
      <c r="D2872" t="s">
        <v>14080</v>
      </c>
      <c r="E2872" s="5" t="s">
        <v>1976</v>
      </c>
      <c r="F2872" s="6">
        <v>46163.640972222223</v>
      </c>
      <c r="G2872" s="5" t="s">
        <v>7456</v>
      </c>
      <c r="H2872" s="5" t="s">
        <v>14671</v>
      </c>
      <c r="I2872" s="5" t="s">
        <v>1564</v>
      </c>
      <c r="J2872" s="8">
        <v>1330.38</v>
      </c>
      <c r="K2872" s="5" t="s">
        <v>4</v>
      </c>
      <c r="L2872">
        <f t="shared" si="44"/>
        <v>5</v>
      </c>
    </row>
    <row r="2873" spans="1:12" x14ac:dyDescent="0.25">
      <c r="A2873" s="5">
        <v>48618</v>
      </c>
      <c r="B2873" t="s">
        <v>14672</v>
      </c>
      <c r="C2873" s="5" t="s">
        <v>13789</v>
      </c>
      <c r="D2873" t="s">
        <v>14673</v>
      </c>
      <c r="E2873" s="5" t="s">
        <v>1532</v>
      </c>
      <c r="F2873" s="6">
        <v>46163.651388888888</v>
      </c>
      <c r="G2873" s="5" t="s">
        <v>7456</v>
      </c>
      <c r="H2873" s="5" t="s">
        <v>14674</v>
      </c>
      <c r="I2873" s="5" t="s">
        <v>1535</v>
      </c>
      <c r="J2873" s="8">
        <v>225.8</v>
      </c>
      <c r="K2873" s="5" t="s">
        <v>4</v>
      </c>
      <c r="L2873">
        <f t="shared" si="44"/>
        <v>5</v>
      </c>
    </row>
    <row r="2874" spans="1:12" x14ac:dyDescent="0.25">
      <c r="A2874" s="5">
        <v>48620</v>
      </c>
      <c r="B2874" t="s">
        <v>14675</v>
      </c>
      <c r="C2874" s="5" t="s">
        <v>1009</v>
      </c>
      <c r="D2874" t="s">
        <v>14676</v>
      </c>
      <c r="E2874" s="5" t="s">
        <v>5631</v>
      </c>
      <c r="F2874" s="6">
        <v>46163.64166666667</v>
      </c>
      <c r="G2874" s="5" t="s">
        <v>7456</v>
      </c>
      <c r="H2874" s="5" t="s">
        <v>14677</v>
      </c>
      <c r="I2874" s="5" t="s">
        <v>1621</v>
      </c>
      <c r="J2874" s="8">
        <v>114.2</v>
      </c>
      <c r="K2874" s="5" t="s">
        <v>4</v>
      </c>
      <c r="L2874">
        <f t="shared" si="44"/>
        <v>5</v>
      </c>
    </row>
    <row r="2875" spans="1:12" x14ac:dyDescent="0.25">
      <c r="A2875" s="5">
        <v>48622</v>
      </c>
      <c r="B2875" t="s">
        <v>14678</v>
      </c>
      <c r="C2875" s="5" t="s">
        <v>14679</v>
      </c>
      <c r="D2875" t="s">
        <v>14680</v>
      </c>
      <c r="E2875" s="5" t="s">
        <v>5485</v>
      </c>
      <c r="F2875" s="6">
        <v>46163.667361111111</v>
      </c>
      <c r="G2875" s="5" t="s">
        <v>7456</v>
      </c>
      <c r="H2875" s="5" t="s">
        <v>14681</v>
      </c>
      <c r="I2875" s="5" t="s">
        <v>1621</v>
      </c>
      <c r="J2875" s="8">
        <v>124.1</v>
      </c>
      <c r="K2875" s="5" t="s">
        <v>4</v>
      </c>
      <c r="L2875">
        <f t="shared" si="44"/>
        <v>5</v>
      </c>
    </row>
    <row r="2876" spans="1:12" x14ac:dyDescent="0.25">
      <c r="A2876" s="5">
        <v>48623</v>
      </c>
      <c r="B2876" t="s">
        <v>10786</v>
      </c>
      <c r="C2876" s="5" t="s">
        <v>14682</v>
      </c>
      <c r="D2876" t="s">
        <v>14683</v>
      </c>
      <c r="E2876" s="5" t="s">
        <v>1532</v>
      </c>
      <c r="F2876" s="6">
        <v>46163.678472222222</v>
      </c>
      <c r="G2876" s="5" t="s">
        <v>7456</v>
      </c>
      <c r="H2876" s="5" t="s">
        <v>14684</v>
      </c>
      <c r="I2876" s="5" t="s">
        <v>1535</v>
      </c>
      <c r="J2876" s="8">
        <v>171</v>
      </c>
      <c r="K2876" s="5" t="s">
        <v>4</v>
      </c>
      <c r="L2876">
        <f t="shared" si="44"/>
        <v>5</v>
      </c>
    </row>
    <row r="2877" spans="1:12" x14ac:dyDescent="0.25">
      <c r="A2877" s="5">
        <v>48624</v>
      </c>
      <c r="B2877" t="s">
        <v>14685</v>
      </c>
      <c r="C2877" s="5" t="s">
        <v>14686</v>
      </c>
      <c r="D2877" t="s">
        <v>14687</v>
      </c>
      <c r="E2877" s="5" t="s">
        <v>14688</v>
      </c>
      <c r="F2877" s="6">
        <v>46163.681944444441</v>
      </c>
      <c r="G2877" s="5" t="s">
        <v>13816</v>
      </c>
      <c r="H2877" t="s">
        <v>8626</v>
      </c>
      <c r="I2877" s="5" t="s">
        <v>1564</v>
      </c>
      <c r="J2877" s="8">
        <v>563.21</v>
      </c>
      <c r="K2877" s="5" t="s">
        <v>4</v>
      </c>
      <c r="L2877">
        <f t="shared" si="44"/>
        <v>5</v>
      </c>
    </row>
    <row r="2878" spans="1:12" x14ac:dyDescent="0.25">
      <c r="A2878" s="5">
        <v>48625</v>
      </c>
      <c r="B2878" t="s">
        <v>14689</v>
      </c>
      <c r="C2878" s="5" t="s">
        <v>14690</v>
      </c>
      <c r="D2878" t="s">
        <v>14691</v>
      </c>
      <c r="E2878" s="5" t="s">
        <v>5451</v>
      </c>
      <c r="F2878" s="6">
        <v>46163.679861111108</v>
      </c>
      <c r="G2878" s="5" t="s">
        <v>7456</v>
      </c>
      <c r="H2878" s="5" t="s">
        <v>14692</v>
      </c>
      <c r="I2878" s="5" t="s">
        <v>1621</v>
      </c>
      <c r="J2878" s="8">
        <v>127</v>
      </c>
      <c r="K2878" s="5" t="s">
        <v>4</v>
      </c>
      <c r="L2878">
        <f t="shared" si="44"/>
        <v>5</v>
      </c>
    </row>
    <row r="2879" spans="1:12" x14ac:dyDescent="0.25">
      <c r="A2879" s="5">
        <v>48627</v>
      </c>
      <c r="B2879" t="s">
        <v>14693</v>
      </c>
      <c r="C2879" s="5" t="s">
        <v>680</v>
      </c>
      <c r="D2879" t="s">
        <v>14694</v>
      </c>
      <c r="E2879" s="5" t="s">
        <v>4228</v>
      </c>
      <c r="F2879" s="6">
        <v>46163.697916666664</v>
      </c>
      <c r="G2879" s="5" t="s">
        <v>7456</v>
      </c>
      <c r="H2879" s="5" t="s">
        <v>14695</v>
      </c>
      <c r="I2879" s="5" t="s">
        <v>1621</v>
      </c>
      <c r="J2879" s="8">
        <v>228.16</v>
      </c>
      <c r="K2879" s="5" t="s">
        <v>4</v>
      </c>
      <c r="L2879">
        <f t="shared" si="44"/>
        <v>5</v>
      </c>
    </row>
    <row r="2880" spans="1:12" x14ac:dyDescent="0.25">
      <c r="A2880" s="5">
        <v>48628</v>
      </c>
      <c r="B2880" t="s">
        <v>14696</v>
      </c>
      <c r="C2880" s="5" t="s">
        <v>7516</v>
      </c>
      <c r="D2880" t="s">
        <v>14697</v>
      </c>
      <c r="E2880" s="5" t="s">
        <v>3547</v>
      </c>
      <c r="F2880" s="6">
        <v>46164.359027777777</v>
      </c>
      <c r="G2880" s="5" t="s">
        <v>7456</v>
      </c>
      <c r="H2880" s="5" t="s">
        <v>14698</v>
      </c>
      <c r="I2880" s="5" t="s">
        <v>1535</v>
      </c>
      <c r="J2880" s="8">
        <v>318</v>
      </c>
      <c r="K2880" s="5" t="s">
        <v>4</v>
      </c>
      <c r="L2880">
        <f t="shared" si="44"/>
        <v>5</v>
      </c>
    </row>
    <row r="2881" spans="1:12" x14ac:dyDescent="0.25">
      <c r="A2881" s="5">
        <v>48630</v>
      </c>
      <c r="B2881" t="s">
        <v>14699</v>
      </c>
      <c r="C2881" s="5" t="s">
        <v>14700</v>
      </c>
      <c r="D2881" t="s">
        <v>14701</v>
      </c>
      <c r="E2881" s="5" t="s">
        <v>1532</v>
      </c>
      <c r="F2881" s="6">
        <v>46164.38958333333</v>
      </c>
      <c r="G2881" s="5" t="s">
        <v>7595</v>
      </c>
      <c r="H2881" t="s">
        <v>7482</v>
      </c>
      <c r="I2881" s="5" t="s">
        <v>1535</v>
      </c>
      <c r="J2881" s="8">
        <v>583.70000000000005</v>
      </c>
      <c r="K2881" s="5" t="s">
        <v>4</v>
      </c>
      <c r="L2881">
        <f t="shared" si="44"/>
        <v>5</v>
      </c>
    </row>
    <row r="2882" spans="1:12" x14ac:dyDescent="0.25">
      <c r="A2882" s="5">
        <v>48631</v>
      </c>
      <c r="B2882" t="s">
        <v>13121</v>
      </c>
      <c r="C2882" s="5" t="s">
        <v>13122</v>
      </c>
      <c r="D2882" t="s">
        <v>13123</v>
      </c>
      <c r="E2882" s="5" t="s">
        <v>1813</v>
      </c>
      <c r="F2882" s="6">
        <v>46164.399305555555</v>
      </c>
      <c r="G2882" s="5" t="s">
        <v>7595</v>
      </c>
      <c r="H2882" t="s">
        <v>7482</v>
      </c>
      <c r="I2882" s="5" t="s">
        <v>1535</v>
      </c>
      <c r="J2882" s="8">
        <v>2208</v>
      </c>
      <c r="K2882" s="5" t="s">
        <v>4</v>
      </c>
      <c r="L2882">
        <f t="shared" si="44"/>
        <v>5</v>
      </c>
    </row>
    <row r="2883" spans="1:12" x14ac:dyDescent="0.25">
      <c r="A2883" s="5">
        <v>48633</v>
      </c>
      <c r="B2883" t="s">
        <v>9953</v>
      </c>
      <c r="C2883" s="5" t="s">
        <v>9954</v>
      </c>
      <c r="D2883" t="s">
        <v>9955</v>
      </c>
      <c r="E2883" s="5" t="s">
        <v>1548</v>
      </c>
      <c r="F2883" s="6">
        <v>46164.405555555553</v>
      </c>
      <c r="G2883" s="5" t="s">
        <v>7595</v>
      </c>
      <c r="H2883" t="s">
        <v>7482</v>
      </c>
      <c r="I2883" s="5" t="s">
        <v>1535</v>
      </c>
      <c r="J2883" s="8">
        <v>648</v>
      </c>
      <c r="K2883" s="5" t="s">
        <v>4</v>
      </c>
      <c r="L2883">
        <f t="shared" ref="L2883:L2946" si="45">MONTH(F2883)</f>
        <v>5</v>
      </c>
    </row>
    <row r="2884" spans="1:12" x14ac:dyDescent="0.25">
      <c r="A2884" s="5">
        <v>48635</v>
      </c>
      <c r="B2884" t="s">
        <v>14702</v>
      </c>
      <c r="C2884" s="5" t="s">
        <v>14703</v>
      </c>
      <c r="D2884" t="s">
        <v>14704</v>
      </c>
      <c r="E2884" s="5" t="s">
        <v>1532</v>
      </c>
      <c r="F2884" s="6">
        <v>46164.413194444445</v>
      </c>
      <c r="G2884" s="5" t="s">
        <v>7595</v>
      </c>
      <c r="H2884" t="s">
        <v>7482</v>
      </c>
      <c r="I2884" s="5" t="s">
        <v>1535</v>
      </c>
      <c r="J2884" s="8">
        <v>232</v>
      </c>
      <c r="K2884" s="5" t="s">
        <v>4</v>
      </c>
      <c r="L2884">
        <f t="shared" si="45"/>
        <v>5</v>
      </c>
    </row>
    <row r="2885" spans="1:12" x14ac:dyDescent="0.25">
      <c r="A2885" s="5">
        <v>48636</v>
      </c>
      <c r="B2885" t="s">
        <v>14705</v>
      </c>
      <c r="C2885" s="5" t="s">
        <v>14706</v>
      </c>
      <c r="D2885" t="s">
        <v>14707</v>
      </c>
      <c r="E2885" s="5" t="s">
        <v>2326</v>
      </c>
      <c r="F2885" s="6">
        <v>46164.421527777777</v>
      </c>
      <c r="G2885" s="5" t="s">
        <v>7456</v>
      </c>
      <c r="H2885" s="5" t="s">
        <v>14708</v>
      </c>
      <c r="I2885" s="5" t="s">
        <v>1535</v>
      </c>
      <c r="J2885" s="8">
        <v>803.3</v>
      </c>
      <c r="K2885" s="5" t="s">
        <v>4</v>
      </c>
      <c r="L2885">
        <f t="shared" si="45"/>
        <v>5</v>
      </c>
    </row>
    <row r="2886" spans="1:12" x14ac:dyDescent="0.25">
      <c r="A2886" s="5">
        <v>48638</v>
      </c>
      <c r="B2886" t="s">
        <v>14709</v>
      </c>
      <c r="C2886" s="5" t="s">
        <v>14710</v>
      </c>
      <c r="D2886" t="s">
        <v>14711</v>
      </c>
      <c r="E2886" s="5" t="s">
        <v>1738</v>
      </c>
      <c r="F2886" s="6">
        <v>46164.428472222222</v>
      </c>
      <c r="G2886" s="5" t="s">
        <v>7456</v>
      </c>
      <c r="H2886" s="5" t="s">
        <v>14712</v>
      </c>
      <c r="I2886" s="5" t="s">
        <v>1564</v>
      </c>
      <c r="J2886" s="8">
        <v>115.5</v>
      </c>
      <c r="K2886" s="5" t="s">
        <v>4</v>
      </c>
      <c r="L2886">
        <f t="shared" si="45"/>
        <v>5</v>
      </c>
    </row>
    <row r="2887" spans="1:12" x14ac:dyDescent="0.25">
      <c r="A2887" s="5">
        <v>48639</v>
      </c>
      <c r="B2887" t="s">
        <v>9525</v>
      </c>
      <c r="C2887" s="5" t="s">
        <v>7516</v>
      </c>
      <c r="D2887" t="s">
        <v>9526</v>
      </c>
      <c r="E2887" s="5" t="s">
        <v>1532</v>
      </c>
      <c r="F2887" s="6">
        <v>46164.458333333336</v>
      </c>
      <c r="G2887" s="5" t="s">
        <v>7595</v>
      </c>
      <c r="H2887" t="s">
        <v>7482</v>
      </c>
      <c r="I2887" s="5" t="s">
        <v>1535</v>
      </c>
      <c r="J2887" s="8">
        <v>1411.5</v>
      </c>
      <c r="K2887" s="5" t="s">
        <v>4</v>
      </c>
      <c r="L2887">
        <f t="shared" si="45"/>
        <v>5</v>
      </c>
    </row>
    <row r="2888" spans="1:12" x14ac:dyDescent="0.25">
      <c r="A2888" s="5">
        <v>48640</v>
      </c>
      <c r="B2888" t="s">
        <v>8335</v>
      </c>
      <c r="C2888" s="5" t="s">
        <v>8336</v>
      </c>
      <c r="D2888" t="s">
        <v>8337</v>
      </c>
      <c r="E2888" s="5" t="s">
        <v>2875</v>
      </c>
      <c r="F2888" s="6">
        <v>46164.46875</v>
      </c>
      <c r="G2888" s="5" t="s">
        <v>7595</v>
      </c>
      <c r="H2888" t="s">
        <v>7482</v>
      </c>
      <c r="I2888" s="5" t="s">
        <v>1535</v>
      </c>
      <c r="J2888" s="8">
        <v>12592.8</v>
      </c>
      <c r="K2888" s="5" t="s">
        <v>4</v>
      </c>
      <c r="L2888">
        <f t="shared" si="45"/>
        <v>5</v>
      </c>
    </row>
    <row r="2889" spans="1:12" x14ac:dyDescent="0.25">
      <c r="A2889" s="5">
        <v>48641</v>
      </c>
      <c r="B2889" t="s">
        <v>14713</v>
      </c>
      <c r="C2889" s="5" t="s">
        <v>7516</v>
      </c>
      <c r="D2889" t="s">
        <v>14714</v>
      </c>
      <c r="E2889" s="5" t="s">
        <v>1532</v>
      </c>
      <c r="F2889" s="6">
        <v>46164.476388888892</v>
      </c>
      <c r="G2889" s="5" t="s">
        <v>7456</v>
      </c>
      <c r="H2889" s="5" t="s">
        <v>14715</v>
      </c>
      <c r="I2889" s="5" t="s">
        <v>1535</v>
      </c>
      <c r="J2889" s="8">
        <v>1390</v>
      </c>
      <c r="K2889" s="5" t="s">
        <v>4</v>
      </c>
      <c r="L2889">
        <f t="shared" si="45"/>
        <v>5</v>
      </c>
    </row>
    <row r="2890" spans="1:12" x14ac:dyDescent="0.25">
      <c r="A2890" s="5">
        <v>48642</v>
      </c>
      <c r="B2890" t="s">
        <v>14716</v>
      </c>
      <c r="C2890" s="5" t="s">
        <v>14717</v>
      </c>
      <c r="D2890" t="s">
        <v>14718</v>
      </c>
      <c r="E2890" s="5" t="s">
        <v>2740</v>
      </c>
      <c r="F2890" s="6">
        <v>46164.48333333333</v>
      </c>
      <c r="G2890" s="5" t="s">
        <v>13816</v>
      </c>
      <c r="H2890" t="s">
        <v>7482</v>
      </c>
      <c r="I2890" s="5" t="s">
        <v>1564</v>
      </c>
      <c r="J2890" s="8">
        <v>165.4</v>
      </c>
      <c r="K2890" s="5" t="s">
        <v>4</v>
      </c>
      <c r="L2890">
        <f t="shared" si="45"/>
        <v>5</v>
      </c>
    </row>
    <row r="2891" spans="1:12" x14ac:dyDescent="0.25">
      <c r="A2891" s="5">
        <v>48643</v>
      </c>
      <c r="B2891" t="s">
        <v>14719</v>
      </c>
      <c r="C2891" s="5" t="s">
        <v>14720</v>
      </c>
      <c r="D2891" t="s">
        <v>14721</v>
      </c>
      <c r="E2891" s="5" t="s">
        <v>4832</v>
      </c>
      <c r="F2891" s="6">
        <v>46164.48541666667</v>
      </c>
      <c r="G2891" s="5" t="s">
        <v>13816</v>
      </c>
      <c r="H2891" t="s">
        <v>8626</v>
      </c>
      <c r="I2891" s="5" t="s">
        <v>1564</v>
      </c>
      <c r="J2891" s="8">
        <v>234.7</v>
      </c>
      <c r="K2891" s="5" t="s">
        <v>4</v>
      </c>
      <c r="L2891">
        <f t="shared" si="45"/>
        <v>5</v>
      </c>
    </row>
    <row r="2892" spans="1:12" x14ac:dyDescent="0.25">
      <c r="A2892" s="5">
        <v>48645</v>
      </c>
      <c r="B2892" t="s">
        <v>14722</v>
      </c>
      <c r="C2892" s="5" t="s">
        <v>14723</v>
      </c>
      <c r="D2892" t="s">
        <v>14724</v>
      </c>
      <c r="E2892" s="5" t="s">
        <v>14725</v>
      </c>
      <c r="F2892" s="6">
        <v>46164.503472222219</v>
      </c>
      <c r="G2892" s="5" t="s">
        <v>13816</v>
      </c>
      <c r="H2892" t="s">
        <v>8626</v>
      </c>
      <c r="I2892" s="5" t="s">
        <v>1564</v>
      </c>
      <c r="J2892" s="8">
        <v>1269.8800000000001</v>
      </c>
      <c r="K2892" s="5" t="s">
        <v>4</v>
      </c>
      <c r="L2892">
        <f t="shared" si="45"/>
        <v>5</v>
      </c>
    </row>
    <row r="2893" spans="1:12" x14ac:dyDescent="0.25">
      <c r="A2893" s="5">
        <v>48646</v>
      </c>
      <c r="B2893" t="s">
        <v>13766</v>
      </c>
      <c r="C2893" s="5" t="s">
        <v>13767</v>
      </c>
      <c r="D2893" t="s">
        <v>13768</v>
      </c>
      <c r="E2893" s="5" t="s">
        <v>2396</v>
      </c>
      <c r="F2893" s="6">
        <v>46164.506249999999</v>
      </c>
      <c r="G2893" s="5" t="s">
        <v>7456</v>
      </c>
      <c r="H2893" s="5" t="s">
        <v>14726</v>
      </c>
      <c r="I2893" s="5" t="s">
        <v>1621</v>
      </c>
      <c r="J2893" s="8">
        <v>0</v>
      </c>
      <c r="K2893" s="5" t="s">
        <v>4</v>
      </c>
      <c r="L2893">
        <f t="shared" si="45"/>
        <v>5</v>
      </c>
    </row>
    <row r="2894" spans="1:12" x14ac:dyDescent="0.25">
      <c r="A2894" s="5">
        <v>48647</v>
      </c>
      <c r="B2894" t="s">
        <v>13461</v>
      </c>
      <c r="C2894" s="5" t="s">
        <v>872</v>
      </c>
      <c r="D2894" t="s">
        <v>13462</v>
      </c>
      <c r="E2894" s="5" t="s">
        <v>7120</v>
      </c>
      <c r="F2894" s="6">
        <v>46164.510416666664</v>
      </c>
      <c r="G2894" s="5" t="s">
        <v>7595</v>
      </c>
      <c r="H2894" t="s">
        <v>7482</v>
      </c>
      <c r="I2894" s="5" t="s">
        <v>1621</v>
      </c>
      <c r="J2894" s="8">
        <v>0</v>
      </c>
      <c r="K2894" s="5" t="s">
        <v>4</v>
      </c>
      <c r="L2894">
        <f t="shared" si="45"/>
        <v>5</v>
      </c>
    </row>
    <row r="2895" spans="1:12" x14ac:dyDescent="0.25">
      <c r="A2895" s="5">
        <v>48648</v>
      </c>
      <c r="B2895" t="s">
        <v>13461</v>
      </c>
      <c r="C2895" s="5" t="s">
        <v>872</v>
      </c>
      <c r="D2895" t="s">
        <v>13462</v>
      </c>
      <c r="E2895" s="5" t="s">
        <v>7120</v>
      </c>
      <c r="F2895" s="6">
        <v>46164.515972222223</v>
      </c>
      <c r="G2895" s="5" t="s">
        <v>7456</v>
      </c>
      <c r="H2895" s="5" t="s">
        <v>14727</v>
      </c>
      <c r="I2895" s="5" t="s">
        <v>1621</v>
      </c>
      <c r="J2895" s="8">
        <v>0</v>
      </c>
      <c r="K2895" s="5" t="s">
        <v>4</v>
      </c>
      <c r="L2895">
        <f t="shared" si="45"/>
        <v>5</v>
      </c>
    </row>
    <row r="2896" spans="1:12" x14ac:dyDescent="0.25">
      <c r="A2896" s="5">
        <v>48649</v>
      </c>
      <c r="B2896" t="s">
        <v>14728</v>
      </c>
      <c r="C2896" s="5" t="s">
        <v>10871</v>
      </c>
      <c r="D2896" t="s">
        <v>14729</v>
      </c>
      <c r="E2896" s="5" t="s">
        <v>1532</v>
      </c>
      <c r="F2896" s="6">
        <v>46164.556944444441</v>
      </c>
      <c r="G2896" s="5" t="s">
        <v>7456</v>
      </c>
      <c r="H2896" s="5" t="s">
        <v>14730</v>
      </c>
      <c r="I2896" s="5" t="s">
        <v>1535</v>
      </c>
      <c r="J2896" s="8">
        <v>306.39999999999998</v>
      </c>
      <c r="K2896" s="5" t="s">
        <v>4</v>
      </c>
      <c r="L2896">
        <f t="shared" si="45"/>
        <v>5</v>
      </c>
    </row>
    <row r="2897" spans="1:12" x14ac:dyDescent="0.25">
      <c r="A2897" s="5">
        <v>48650</v>
      </c>
      <c r="B2897" t="s">
        <v>9974</v>
      </c>
      <c r="C2897" s="5" t="s">
        <v>9975</v>
      </c>
      <c r="D2897" t="s">
        <v>9976</v>
      </c>
      <c r="E2897" s="5" t="s">
        <v>3804</v>
      </c>
      <c r="F2897" s="6">
        <v>46164.561111111114</v>
      </c>
      <c r="G2897" s="5" t="s">
        <v>7595</v>
      </c>
      <c r="H2897" t="s">
        <v>7482</v>
      </c>
      <c r="I2897" s="5" t="s">
        <v>1535</v>
      </c>
      <c r="J2897" s="8">
        <v>703.9</v>
      </c>
      <c r="K2897" s="5" t="s">
        <v>4</v>
      </c>
      <c r="L2897">
        <f t="shared" si="45"/>
        <v>5</v>
      </c>
    </row>
    <row r="2898" spans="1:12" x14ac:dyDescent="0.25">
      <c r="A2898" s="5">
        <v>48651</v>
      </c>
      <c r="B2898" t="s">
        <v>8910</v>
      </c>
      <c r="C2898" s="5" t="s">
        <v>14731</v>
      </c>
      <c r="D2898" t="s">
        <v>8912</v>
      </c>
      <c r="E2898" s="5" t="s">
        <v>1532</v>
      </c>
      <c r="F2898" s="6">
        <v>46164.59097222222</v>
      </c>
      <c r="G2898" s="5" t="s">
        <v>7595</v>
      </c>
      <c r="H2898" t="s">
        <v>7482</v>
      </c>
      <c r="I2898" s="5" t="s">
        <v>1535</v>
      </c>
      <c r="J2898" s="8">
        <v>512</v>
      </c>
      <c r="K2898" s="5" t="s">
        <v>4</v>
      </c>
      <c r="L2898">
        <f t="shared" si="45"/>
        <v>5</v>
      </c>
    </row>
    <row r="2899" spans="1:12" x14ac:dyDescent="0.25">
      <c r="A2899" s="5">
        <v>48653</v>
      </c>
      <c r="B2899" t="s">
        <v>14467</v>
      </c>
      <c r="C2899" s="5" t="s">
        <v>14468</v>
      </c>
      <c r="D2899" t="s">
        <v>14469</v>
      </c>
      <c r="E2899" s="5" t="s">
        <v>1532</v>
      </c>
      <c r="F2899" s="6">
        <v>46164.62222222222</v>
      </c>
      <c r="G2899" s="5" t="s">
        <v>7456</v>
      </c>
      <c r="H2899" s="5" t="s">
        <v>14732</v>
      </c>
      <c r="I2899" s="5" t="s">
        <v>1535</v>
      </c>
      <c r="J2899" s="8">
        <v>673.5</v>
      </c>
      <c r="K2899" s="5" t="s">
        <v>4</v>
      </c>
      <c r="L2899">
        <f t="shared" si="45"/>
        <v>5</v>
      </c>
    </row>
    <row r="2900" spans="1:12" x14ac:dyDescent="0.25">
      <c r="A2900" s="5">
        <v>48654</v>
      </c>
      <c r="B2900" t="s">
        <v>14733</v>
      </c>
      <c r="C2900" s="5" t="s">
        <v>1179</v>
      </c>
      <c r="D2900" t="s">
        <v>14734</v>
      </c>
      <c r="E2900" s="5" t="s">
        <v>4002</v>
      </c>
      <c r="F2900" s="6">
        <v>46164.626388888886</v>
      </c>
      <c r="G2900" s="5" t="s">
        <v>7456</v>
      </c>
      <c r="H2900" s="5" t="s">
        <v>14735</v>
      </c>
      <c r="I2900" s="5" t="s">
        <v>1621</v>
      </c>
      <c r="J2900" s="8">
        <v>258.17</v>
      </c>
      <c r="K2900" s="5" t="s">
        <v>4</v>
      </c>
      <c r="L2900">
        <f t="shared" si="45"/>
        <v>5</v>
      </c>
    </row>
    <row r="2901" spans="1:12" x14ac:dyDescent="0.25">
      <c r="A2901" s="5">
        <v>48655</v>
      </c>
      <c r="B2901" t="s">
        <v>14075</v>
      </c>
      <c r="C2901" s="5" t="s">
        <v>79</v>
      </c>
      <c r="D2901" t="s">
        <v>14076</v>
      </c>
      <c r="E2901" s="5" t="s">
        <v>1548</v>
      </c>
      <c r="F2901" s="6">
        <v>46164.665277777778</v>
      </c>
      <c r="G2901" s="5" t="s">
        <v>7456</v>
      </c>
      <c r="H2901" s="5" t="s">
        <v>14736</v>
      </c>
      <c r="I2901" s="5" t="s">
        <v>1621</v>
      </c>
      <c r="J2901" s="8">
        <v>0</v>
      </c>
      <c r="K2901" s="5" t="s">
        <v>4</v>
      </c>
      <c r="L2901">
        <f t="shared" si="45"/>
        <v>5</v>
      </c>
    </row>
    <row r="2902" spans="1:12" x14ac:dyDescent="0.25">
      <c r="A2902" s="5">
        <v>48658</v>
      </c>
      <c r="B2902" t="s">
        <v>8151</v>
      </c>
      <c r="C2902" s="5" t="s">
        <v>8545</v>
      </c>
      <c r="D2902" t="s">
        <v>8546</v>
      </c>
      <c r="E2902" s="5" t="s">
        <v>5871</v>
      </c>
      <c r="F2902" s="6">
        <v>46164.679166666669</v>
      </c>
      <c r="G2902" s="5" t="s">
        <v>7456</v>
      </c>
      <c r="H2902" s="5" t="s">
        <v>14737</v>
      </c>
      <c r="I2902" s="5" t="s">
        <v>1564</v>
      </c>
      <c r="J2902" s="8">
        <v>104</v>
      </c>
      <c r="K2902" s="5" t="s">
        <v>4</v>
      </c>
      <c r="L2902">
        <f t="shared" si="45"/>
        <v>5</v>
      </c>
    </row>
    <row r="2903" spans="1:12" x14ac:dyDescent="0.25">
      <c r="A2903" s="5">
        <v>48659</v>
      </c>
      <c r="B2903" t="s">
        <v>8965</v>
      </c>
      <c r="C2903" s="5" t="s">
        <v>9154</v>
      </c>
      <c r="D2903" t="s">
        <v>8966</v>
      </c>
      <c r="E2903" s="5" t="s">
        <v>1532</v>
      </c>
      <c r="F2903" s="6">
        <v>46164.688194444447</v>
      </c>
      <c r="G2903" s="5" t="s">
        <v>7595</v>
      </c>
      <c r="H2903" t="s">
        <v>7482</v>
      </c>
      <c r="I2903" s="5" t="s">
        <v>1535</v>
      </c>
      <c r="J2903" s="8">
        <v>14734.4</v>
      </c>
      <c r="K2903" s="5" t="s">
        <v>4</v>
      </c>
      <c r="L2903">
        <f t="shared" si="45"/>
        <v>5</v>
      </c>
    </row>
    <row r="2904" spans="1:12" x14ac:dyDescent="0.25">
      <c r="A2904" s="5">
        <v>48660</v>
      </c>
      <c r="B2904" t="s">
        <v>8965</v>
      </c>
      <c r="C2904" s="5" t="s">
        <v>9154</v>
      </c>
      <c r="D2904" t="s">
        <v>8966</v>
      </c>
      <c r="E2904" s="5" t="s">
        <v>1998</v>
      </c>
      <c r="F2904" s="6">
        <v>46164.694444444445</v>
      </c>
      <c r="G2904" s="5" t="s">
        <v>7456</v>
      </c>
      <c r="H2904" s="5" t="s">
        <v>14738</v>
      </c>
      <c r="I2904" s="5" t="s">
        <v>1535</v>
      </c>
      <c r="J2904" s="8">
        <v>1263.5</v>
      </c>
      <c r="K2904" s="5" t="s">
        <v>4</v>
      </c>
      <c r="L2904">
        <f t="shared" si="45"/>
        <v>5</v>
      </c>
    </row>
    <row r="2905" spans="1:12" x14ac:dyDescent="0.25">
      <c r="A2905" s="5">
        <v>48661</v>
      </c>
      <c r="B2905" t="s">
        <v>8965</v>
      </c>
      <c r="C2905" s="5" t="s">
        <v>8082</v>
      </c>
      <c r="D2905" t="s">
        <v>8966</v>
      </c>
      <c r="E2905" s="5" t="s">
        <v>14739</v>
      </c>
      <c r="F2905" s="6">
        <v>46164.697222222225</v>
      </c>
      <c r="G2905" s="5" t="s">
        <v>7456</v>
      </c>
      <c r="H2905" s="5" t="s">
        <v>14740</v>
      </c>
      <c r="I2905" s="5" t="s">
        <v>1535</v>
      </c>
      <c r="J2905" s="8">
        <v>250</v>
      </c>
      <c r="K2905" s="5" t="s">
        <v>4</v>
      </c>
      <c r="L2905">
        <f t="shared" si="45"/>
        <v>5</v>
      </c>
    </row>
    <row r="2906" spans="1:12" x14ac:dyDescent="0.25">
      <c r="A2906" s="5">
        <v>48663</v>
      </c>
      <c r="B2906" t="s">
        <v>14741</v>
      </c>
      <c r="C2906" s="5" t="s">
        <v>14742</v>
      </c>
      <c r="D2906" t="s">
        <v>14743</v>
      </c>
      <c r="E2906" s="5" t="s">
        <v>1770</v>
      </c>
      <c r="F2906" s="6">
        <v>46164.706250000003</v>
      </c>
      <c r="G2906" s="5" t="s">
        <v>7456</v>
      </c>
      <c r="H2906" s="5" t="s">
        <v>14744</v>
      </c>
      <c r="I2906" s="5" t="s">
        <v>1564</v>
      </c>
      <c r="J2906" s="8">
        <v>580</v>
      </c>
      <c r="K2906" s="5" t="s">
        <v>4</v>
      </c>
      <c r="L2906">
        <f t="shared" si="45"/>
        <v>5</v>
      </c>
    </row>
    <row r="2907" spans="1:12" x14ac:dyDescent="0.25">
      <c r="A2907" s="5">
        <v>48664</v>
      </c>
      <c r="B2907" t="s">
        <v>14745</v>
      </c>
      <c r="C2907" s="5" t="s">
        <v>14746</v>
      </c>
      <c r="D2907" t="s">
        <v>14747</v>
      </c>
      <c r="E2907" s="5" t="s">
        <v>3022</v>
      </c>
      <c r="F2907" s="6">
        <v>46167.381249999999</v>
      </c>
      <c r="G2907" s="5" t="s">
        <v>7456</v>
      </c>
      <c r="H2907" s="5" t="s">
        <v>14748</v>
      </c>
      <c r="I2907" s="5" t="s">
        <v>1535</v>
      </c>
      <c r="J2907" s="8">
        <v>450</v>
      </c>
      <c r="K2907" s="5" t="s">
        <v>4</v>
      </c>
      <c r="L2907">
        <f t="shared" si="45"/>
        <v>5</v>
      </c>
    </row>
    <row r="2908" spans="1:12" x14ac:dyDescent="0.25">
      <c r="A2908" s="5">
        <v>48665</v>
      </c>
      <c r="B2908" t="s">
        <v>8965</v>
      </c>
      <c r="C2908" s="5" t="s">
        <v>12158</v>
      </c>
      <c r="D2908" t="s">
        <v>8966</v>
      </c>
      <c r="E2908" s="5" t="s">
        <v>1532</v>
      </c>
      <c r="F2908" s="6">
        <v>46167.400694444441</v>
      </c>
      <c r="G2908" s="5" t="s">
        <v>7595</v>
      </c>
      <c r="H2908" t="s">
        <v>7482</v>
      </c>
      <c r="I2908" s="5" t="s">
        <v>1535</v>
      </c>
      <c r="J2908" s="8">
        <v>2050</v>
      </c>
      <c r="K2908" s="5" t="s">
        <v>4</v>
      </c>
      <c r="L2908">
        <f t="shared" si="45"/>
        <v>5</v>
      </c>
    </row>
    <row r="2909" spans="1:12" x14ac:dyDescent="0.25">
      <c r="A2909" s="5">
        <v>48666</v>
      </c>
      <c r="B2909" t="s">
        <v>8965</v>
      </c>
      <c r="C2909" s="5" t="s">
        <v>9333</v>
      </c>
      <c r="D2909" t="s">
        <v>8966</v>
      </c>
      <c r="E2909" s="5" t="s">
        <v>3025</v>
      </c>
      <c r="F2909" s="6">
        <v>46167.402777777781</v>
      </c>
      <c r="G2909" s="5" t="s">
        <v>7456</v>
      </c>
      <c r="H2909" s="5" t="s">
        <v>14749</v>
      </c>
      <c r="I2909" s="5" t="s">
        <v>1535</v>
      </c>
      <c r="J2909" s="8">
        <v>450</v>
      </c>
      <c r="K2909" s="5" t="s">
        <v>4</v>
      </c>
      <c r="L2909">
        <f t="shared" si="45"/>
        <v>5</v>
      </c>
    </row>
    <row r="2910" spans="1:12" x14ac:dyDescent="0.25">
      <c r="A2910" s="5">
        <v>48667</v>
      </c>
      <c r="B2910" t="s">
        <v>10344</v>
      </c>
      <c r="C2910" s="5" t="s">
        <v>10345</v>
      </c>
      <c r="D2910" t="s">
        <v>10346</v>
      </c>
      <c r="E2910" s="5" t="s">
        <v>1673</v>
      </c>
      <c r="F2910" s="6">
        <v>46167.415972222225</v>
      </c>
      <c r="G2910" s="5" t="s">
        <v>7456</v>
      </c>
      <c r="H2910" s="5" t="s">
        <v>14750</v>
      </c>
      <c r="I2910" s="5" t="s">
        <v>1564</v>
      </c>
      <c r="J2910" s="8">
        <v>3072</v>
      </c>
      <c r="K2910" s="5" t="s">
        <v>4</v>
      </c>
      <c r="L2910">
        <f t="shared" si="45"/>
        <v>5</v>
      </c>
    </row>
    <row r="2911" spans="1:12" x14ac:dyDescent="0.25">
      <c r="A2911" s="5">
        <v>48668</v>
      </c>
      <c r="B2911" t="s">
        <v>14751</v>
      </c>
      <c r="C2911" s="5" t="s">
        <v>14752</v>
      </c>
      <c r="D2911" t="s">
        <v>14753</v>
      </c>
      <c r="E2911" s="5" t="s">
        <v>1738</v>
      </c>
      <c r="F2911" s="6">
        <v>46167.42291666667</v>
      </c>
      <c r="G2911" s="5" t="s">
        <v>13816</v>
      </c>
      <c r="H2911" t="s">
        <v>8626</v>
      </c>
      <c r="I2911" s="5" t="s">
        <v>1564</v>
      </c>
      <c r="J2911" s="8">
        <v>1208</v>
      </c>
      <c r="K2911" s="5" t="s">
        <v>4</v>
      </c>
      <c r="L2911">
        <f t="shared" si="45"/>
        <v>5</v>
      </c>
    </row>
    <row r="2912" spans="1:12" x14ac:dyDescent="0.25">
      <c r="A2912" s="5">
        <v>48669</v>
      </c>
      <c r="B2912" t="s">
        <v>14754</v>
      </c>
      <c r="C2912" s="5" t="s">
        <v>7560</v>
      </c>
      <c r="D2912" t="s">
        <v>14755</v>
      </c>
      <c r="E2912" s="5" t="s">
        <v>3707</v>
      </c>
      <c r="F2912" s="6">
        <v>46167.433333333334</v>
      </c>
      <c r="G2912" s="5" t="s">
        <v>13816</v>
      </c>
      <c r="H2912" t="s">
        <v>7482</v>
      </c>
      <c r="I2912" s="5" t="s">
        <v>1564</v>
      </c>
      <c r="J2912" s="8">
        <v>581.45000000000005</v>
      </c>
      <c r="K2912" s="5" t="s">
        <v>4</v>
      </c>
      <c r="L2912">
        <f t="shared" si="45"/>
        <v>5</v>
      </c>
    </row>
    <row r="2913" spans="1:12" x14ac:dyDescent="0.25">
      <c r="A2913" s="5">
        <v>48670</v>
      </c>
      <c r="B2913" t="s">
        <v>8125</v>
      </c>
      <c r="C2913" s="5" t="s">
        <v>7753</v>
      </c>
      <c r="D2913" t="s">
        <v>8127</v>
      </c>
      <c r="E2913" s="5" t="s">
        <v>1532</v>
      </c>
      <c r="F2913" s="6">
        <v>46167.435416666667</v>
      </c>
      <c r="G2913" s="5" t="s">
        <v>7456</v>
      </c>
      <c r="H2913" s="5" t="s">
        <v>14756</v>
      </c>
      <c r="I2913" s="5" t="s">
        <v>1535</v>
      </c>
      <c r="J2913" s="8">
        <v>155.19999999999999</v>
      </c>
      <c r="K2913" s="5" t="s">
        <v>4</v>
      </c>
      <c r="L2913">
        <f t="shared" si="45"/>
        <v>5</v>
      </c>
    </row>
    <row r="2914" spans="1:12" x14ac:dyDescent="0.25">
      <c r="A2914" s="5">
        <v>48671</v>
      </c>
      <c r="B2914" t="s">
        <v>14757</v>
      </c>
      <c r="C2914" s="5" t="s">
        <v>11578</v>
      </c>
      <c r="D2914" t="s">
        <v>14758</v>
      </c>
      <c r="E2914" s="5" t="s">
        <v>4572</v>
      </c>
      <c r="F2914" s="6">
        <v>46167.450694444444</v>
      </c>
      <c r="G2914" s="5" t="s">
        <v>7456</v>
      </c>
      <c r="H2914" s="5" t="s">
        <v>14759</v>
      </c>
      <c r="I2914" s="5" t="s">
        <v>1564</v>
      </c>
      <c r="J2914" s="8">
        <v>186.1</v>
      </c>
      <c r="K2914" s="5" t="s">
        <v>4</v>
      </c>
      <c r="L2914">
        <f t="shared" si="45"/>
        <v>5</v>
      </c>
    </row>
    <row r="2915" spans="1:12" x14ac:dyDescent="0.25">
      <c r="A2915" s="5">
        <v>48672</v>
      </c>
      <c r="B2915" t="s">
        <v>11386</v>
      </c>
      <c r="C2915" s="5" t="s">
        <v>11387</v>
      </c>
      <c r="D2915" t="s">
        <v>11388</v>
      </c>
      <c r="E2915" s="5" t="s">
        <v>1532</v>
      </c>
      <c r="F2915" s="6">
        <v>46167.461805555555</v>
      </c>
      <c r="G2915" s="5" t="s">
        <v>7595</v>
      </c>
      <c r="H2915" t="s">
        <v>7482</v>
      </c>
      <c r="I2915" s="5" t="s">
        <v>1535</v>
      </c>
      <c r="J2915" s="8">
        <v>780</v>
      </c>
      <c r="K2915" s="5" t="s">
        <v>4</v>
      </c>
      <c r="L2915">
        <f t="shared" si="45"/>
        <v>5</v>
      </c>
    </row>
    <row r="2916" spans="1:12" x14ac:dyDescent="0.25">
      <c r="A2916" s="5">
        <v>48673</v>
      </c>
      <c r="B2916" t="s">
        <v>14760</v>
      </c>
      <c r="C2916" s="5" t="s">
        <v>14761</v>
      </c>
      <c r="D2916" t="s">
        <v>14762</v>
      </c>
      <c r="E2916" s="5" t="s">
        <v>3770</v>
      </c>
      <c r="F2916" s="6">
        <v>46167.461805555555</v>
      </c>
      <c r="G2916" s="5" t="s">
        <v>7456</v>
      </c>
      <c r="H2916" s="5" t="s">
        <v>14763</v>
      </c>
      <c r="I2916" s="5" t="s">
        <v>1564</v>
      </c>
      <c r="J2916" s="8">
        <v>291.7</v>
      </c>
      <c r="K2916" s="5" t="s">
        <v>4</v>
      </c>
      <c r="L2916">
        <f t="shared" si="45"/>
        <v>5</v>
      </c>
    </row>
    <row r="2917" spans="1:12" x14ac:dyDescent="0.25">
      <c r="A2917" s="5">
        <v>48674</v>
      </c>
      <c r="B2917" t="s">
        <v>14764</v>
      </c>
      <c r="C2917" s="5" t="s">
        <v>14765</v>
      </c>
      <c r="D2917" t="s">
        <v>14766</v>
      </c>
      <c r="E2917" s="5" t="s">
        <v>1738</v>
      </c>
      <c r="F2917" s="6">
        <v>46167.493750000001</v>
      </c>
      <c r="G2917" s="5" t="s">
        <v>7456</v>
      </c>
      <c r="H2917" s="5" t="s">
        <v>14767</v>
      </c>
      <c r="I2917" s="5" t="s">
        <v>1564</v>
      </c>
      <c r="J2917" s="8">
        <v>315</v>
      </c>
      <c r="K2917" s="5" t="s">
        <v>4</v>
      </c>
      <c r="L2917">
        <f t="shared" si="45"/>
        <v>5</v>
      </c>
    </row>
    <row r="2918" spans="1:12" x14ac:dyDescent="0.25">
      <c r="A2918" s="5">
        <v>48675</v>
      </c>
      <c r="B2918" t="s">
        <v>14768</v>
      </c>
      <c r="C2918" s="5" t="s">
        <v>14769</v>
      </c>
      <c r="D2918" t="s">
        <v>14770</v>
      </c>
      <c r="E2918" s="5" t="s">
        <v>1759</v>
      </c>
      <c r="F2918" s="6">
        <v>46167.499305555553</v>
      </c>
      <c r="G2918" s="5" t="s">
        <v>7456</v>
      </c>
      <c r="H2918" s="5" t="s">
        <v>14771</v>
      </c>
      <c r="I2918" s="5" t="s">
        <v>1564</v>
      </c>
      <c r="J2918" s="8">
        <v>168</v>
      </c>
      <c r="K2918" s="5" t="s">
        <v>4</v>
      </c>
      <c r="L2918">
        <f t="shared" si="45"/>
        <v>5</v>
      </c>
    </row>
    <row r="2919" spans="1:12" x14ac:dyDescent="0.25">
      <c r="A2919" s="5">
        <v>48676</v>
      </c>
      <c r="B2919" t="s">
        <v>14772</v>
      </c>
      <c r="C2919" s="5" t="s">
        <v>14773</v>
      </c>
      <c r="D2919" t="s">
        <v>14774</v>
      </c>
      <c r="E2919" s="5" t="s">
        <v>1532</v>
      </c>
      <c r="F2919" s="6">
        <v>46167.551388888889</v>
      </c>
      <c r="G2919" s="5" t="s">
        <v>7456</v>
      </c>
      <c r="H2919" s="5" t="s">
        <v>14775</v>
      </c>
      <c r="I2919" s="5" t="s">
        <v>1535</v>
      </c>
      <c r="J2919" s="8">
        <v>716</v>
      </c>
      <c r="K2919" s="5" t="s">
        <v>4</v>
      </c>
      <c r="L2919">
        <f t="shared" si="45"/>
        <v>5</v>
      </c>
    </row>
    <row r="2920" spans="1:12" x14ac:dyDescent="0.25">
      <c r="A2920" s="5">
        <v>48677</v>
      </c>
      <c r="B2920" t="s">
        <v>14776</v>
      </c>
      <c r="C2920" s="5" t="s">
        <v>14777</v>
      </c>
      <c r="D2920" t="s">
        <v>14778</v>
      </c>
      <c r="E2920" s="5" t="s">
        <v>3022</v>
      </c>
      <c r="F2920" s="6">
        <v>46167.563888888886</v>
      </c>
      <c r="G2920" s="5" t="s">
        <v>7456</v>
      </c>
      <c r="H2920" s="5" t="s">
        <v>14779</v>
      </c>
      <c r="I2920" s="5" t="s">
        <v>1535</v>
      </c>
      <c r="J2920" s="8">
        <v>73.8</v>
      </c>
      <c r="K2920" s="5" t="s">
        <v>4</v>
      </c>
      <c r="L2920">
        <f t="shared" si="45"/>
        <v>5</v>
      </c>
    </row>
    <row r="2921" spans="1:12" x14ac:dyDescent="0.25">
      <c r="A2921" s="5">
        <v>48678</v>
      </c>
      <c r="B2921" t="s">
        <v>14780</v>
      </c>
      <c r="C2921" s="5" t="s">
        <v>14781</v>
      </c>
      <c r="D2921" t="s">
        <v>14782</v>
      </c>
      <c r="E2921" s="5" t="s">
        <v>1532</v>
      </c>
      <c r="F2921" s="6">
        <v>46167.588888888888</v>
      </c>
      <c r="G2921" s="5" t="s">
        <v>7595</v>
      </c>
      <c r="H2921" t="s">
        <v>7482</v>
      </c>
      <c r="I2921" s="5" t="s">
        <v>1535</v>
      </c>
      <c r="J2921" s="8">
        <v>1083.0999999999999</v>
      </c>
      <c r="K2921" s="5" t="s">
        <v>4</v>
      </c>
      <c r="L2921">
        <f t="shared" si="45"/>
        <v>5</v>
      </c>
    </row>
    <row r="2922" spans="1:12" x14ac:dyDescent="0.25">
      <c r="A2922" s="5">
        <v>48679</v>
      </c>
      <c r="B2922" t="s">
        <v>14783</v>
      </c>
      <c r="C2922" s="5" t="s">
        <v>14784</v>
      </c>
      <c r="D2922" t="s">
        <v>14785</v>
      </c>
      <c r="E2922" s="5" t="s">
        <v>1532</v>
      </c>
      <c r="F2922" s="6">
        <v>46167.595833333333</v>
      </c>
      <c r="G2922" s="5" t="s">
        <v>7595</v>
      </c>
      <c r="H2922" t="s">
        <v>7482</v>
      </c>
      <c r="I2922" s="5" t="s">
        <v>1535</v>
      </c>
      <c r="J2922" s="8">
        <v>671.4</v>
      </c>
      <c r="K2922" s="5" t="s">
        <v>4</v>
      </c>
      <c r="L2922">
        <f t="shared" si="45"/>
        <v>5</v>
      </c>
    </row>
    <row r="2923" spans="1:12" x14ac:dyDescent="0.25">
      <c r="A2923" s="5">
        <v>48680</v>
      </c>
      <c r="B2923" t="s">
        <v>14786</v>
      </c>
      <c r="C2923" s="5" t="s">
        <v>1230</v>
      </c>
      <c r="D2923" t="s">
        <v>14787</v>
      </c>
      <c r="E2923" s="5" t="s">
        <v>6329</v>
      </c>
      <c r="F2923" s="6">
        <v>46167.59375</v>
      </c>
      <c r="G2923" s="5" t="s">
        <v>7456</v>
      </c>
      <c r="H2923" s="5" t="s">
        <v>14788</v>
      </c>
      <c r="I2923" s="5" t="s">
        <v>1621</v>
      </c>
      <c r="J2923" s="8">
        <v>72.959999999999994</v>
      </c>
      <c r="K2923" s="5" t="s">
        <v>4</v>
      </c>
      <c r="L2923">
        <f t="shared" si="45"/>
        <v>5</v>
      </c>
    </row>
    <row r="2924" spans="1:12" x14ac:dyDescent="0.25">
      <c r="A2924" s="5">
        <v>48681</v>
      </c>
      <c r="B2924" t="s">
        <v>14789</v>
      </c>
      <c r="C2924" s="5" t="s">
        <v>14790</v>
      </c>
      <c r="D2924" t="s">
        <v>14791</v>
      </c>
      <c r="E2924" s="5" t="s">
        <v>1532</v>
      </c>
      <c r="F2924" s="6">
        <v>46167.60833333333</v>
      </c>
      <c r="G2924" s="5" t="s">
        <v>7595</v>
      </c>
      <c r="H2924" t="s">
        <v>7482</v>
      </c>
      <c r="I2924" s="5" t="s">
        <v>1535</v>
      </c>
      <c r="J2924" s="8">
        <v>424</v>
      </c>
      <c r="K2924" s="5" t="s">
        <v>4</v>
      </c>
      <c r="L2924">
        <f t="shared" si="45"/>
        <v>5</v>
      </c>
    </row>
    <row r="2925" spans="1:12" x14ac:dyDescent="0.25">
      <c r="A2925" s="5">
        <v>48682</v>
      </c>
      <c r="B2925" t="s">
        <v>10125</v>
      </c>
      <c r="C2925" s="5" t="s">
        <v>10126</v>
      </c>
      <c r="D2925" t="s">
        <v>10127</v>
      </c>
      <c r="E2925" s="5" t="s">
        <v>1759</v>
      </c>
      <c r="F2925" s="6">
        <v>46167.60833333333</v>
      </c>
      <c r="G2925" s="5" t="s">
        <v>7456</v>
      </c>
      <c r="H2925" s="5" t="s">
        <v>14792</v>
      </c>
      <c r="I2925" s="5" t="s">
        <v>1564</v>
      </c>
      <c r="J2925" s="8">
        <v>361.4</v>
      </c>
      <c r="K2925" s="5" t="s">
        <v>4</v>
      </c>
      <c r="L2925">
        <f t="shared" si="45"/>
        <v>5</v>
      </c>
    </row>
    <row r="2926" spans="1:12" x14ac:dyDescent="0.25">
      <c r="A2926" s="5">
        <v>48683</v>
      </c>
      <c r="B2926" t="s">
        <v>14222</v>
      </c>
      <c r="C2926" s="5" t="s">
        <v>1384</v>
      </c>
      <c r="D2926" t="s">
        <v>14223</v>
      </c>
      <c r="E2926" s="5" t="s">
        <v>7300</v>
      </c>
      <c r="F2926" s="6">
        <v>46167.611111111109</v>
      </c>
      <c r="G2926" s="5" t="s">
        <v>7456</v>
      </c>
      <c r="H2926" s="5" t="s">
        <v>14793</v>
      </c>
      <c r="I2926" s="5" t="s">
        <v>1621</v>
      </c>
      <c r="J2926" s="8">
        <v>17.940000000000001</v>
      </c>
      <c r="K2926" s="5" t="s">
        <v>4</v>
      </c>
      <c r="L2926">
        <f t="shared" si="45"/>
        <v>5</v>
      </c>
    </row>
    <row r="2927" spans="1:12" x14ac:dyDescent="0.25">
      <c r="A2927" s="5">
        <v>48684</v>
      </c>
      <c r="B2927" t="s">
        <v>14794</v>
      </c>
      <c r="C2927" s="5" t="s">
        <v>11765</v>
      </c>
      <c r="D2927" t="s">
        <v>14795</v>
      </c>
      <c r="E2927" s="5" t="s">
        <v>5412</v>
      </c>
      <c r="F2927" s="6">
        <v>46167.625</v>
      </c>
      <c r="G2927" s="5" t="s">
        <v>7456</v>
      </c>
      <c r="H2927" s="5" t="s">
        <v>14796</v>
      </c>
      <c r="I2927" s="5" t="s">
        <v>1535</v>
      </c>
      <c r="J2927" s="8">
        <v>69</v>
      </c>
      <c r="K2927" s="5" t="s">
        <v>4</v>
      </c>
      <c r="L2927">
        <f t="shared" si="45"/>
        <v>5</v>
      </c>
    </row>
    <row r="2928" spans="1:12" x14ac:dyDescent="0.25">
      <c r="A2928" s="5">
        <v>48685</v>
      </c>
      <c r="B2928" t="s">
        <v>13087</v>
      </c>
      <c r="C2928" s="5" t="s">
        <v>1403</v>
      </c>
      <c r="D2928" t="s">
        <v>13088</v>
      </c>
      <c r="E2928" s="5" t="s">
        <v>6336</v>
      </c>
      <c r="F2928" s="6">
        <v>46167.626388888886</v>
      </c>
      <c r="G2928" s="5" t="s">
        <v>7456</v>
      </c>
      <c r="H2928" s="5" t="s">
        <v>14797</v>
      </c>
      <c r="I2928" s="5" t="s">
        <v>1564</v>
      </c>
      <c r="J2928" s="8">
        <v>72.400000000000006</v>
      </c>
      <c r="K2928" s="5" t="s">
        <v>4</v>
      </c>
      <c r="L2928">
        <f t="shared" si="45"/>
        <v>5</v>
      </c>
    </row>
    <row r="2929" spans="1:12" x14ac:dyDescent="0.25">
      <c r="A2929" s="5">
        <v>48686</v>
      </c>
      <c r="B2929" t="s">
        <v>14798</v>
      </c>
      <c r="C2929" s="5" t="s">
        <v>14799</v>
      </c>
      <c r="D2929" t="s">
        <v>14800</v>
      </c>
      <c r="E2929" s="5" t="s">
        <v>1759</v>
      </c>
      <c r="F2929" s="6">
        <v>46167.647222222222</v>
      </c>
      <c r="G2929" s="5" t="s">
        <v>13816</v>
      </c>
      <c r="H2929" t="s">
        <v>8626</v>
      </c>
      <c r="I2929" s="5" t="s">
        <v>1564</v>
      </c>
      <c r="J2929" s="8">
        <v>140</v>
      </c>
      <c r="K2929" s="5" t="s">
        <v>4</v>
      </c>
      <c r="L2929">
        <f t="shared" si="45"/>
        <v>5</v>
      </c>
    </row>
    <row r="2930" spans="1:12" x14ac:dyDescent="0.25">
      <c r="A2930" s="5">
        <v>48687</v>
      </c>
      <c r="B2930" t="s">
        <v>14801</v>
      </c>
      <c r="C2930" s="5" t="s">
        <v>593</v>
      </c>
      <c r="D2930" t="s">
        <v>14802</v>
      </c>
      <c r="E2930" s="5" t="s">
        <v>3213</v>
      </c>
      <c r="F2930" s="6">
        <v>46167.64166666667</v>
      </c>
      <c r="G2930" s="5" t="s">
        <v>7456</v>
      </c>
      <c r="H2930" s="5" t="s">
        <v>14803</v>
      </c>
      <c r="I2930" s="5" t="s">
        <v>1621</v>
      </c>
      <c r="J2930" s="8">
        <v>392.91</v>
      </c>
      <c r="K2930" s="5" t="s">
        <v>4</v>
      </c>
      <c r="L2930">
        <f t="shared" si="45"/>
        <v>5</v>
      </c>
    </row>
    <row r="2931" spans="1:12" x14ac:dyDescent="0.25">
      <c r="A2931" s="5">
        <v>48688</v>
      </c>
      <c r="B2931" t="s">
        <v>8965</v>
      </c>
      <c r="C2931" s="5" t="s">
        <v>8082</v>
      </c>
      <c r="D2931" t="s">
        <v>8966</v>
      </c>
      <c r="E2931" s="5" t="s">
        <v>1532</v>
      </c>
      <c r="F2931" s="6">
        <v>46167.65625</v>
      </c>
      <c r="G2931" s="5" t="s">
        <v>7595</v>
      </c>
      <c r="H2931" t="s">
        <v>7482</v>
      </c>
      <c r="I2931" s="5" t="s">
        <v>1535</v>
      </c>
      <c r="J2931" s="8">
        <v>403.2</v>
      </c>
      <c r="K2931" s="5" t="s">
        <v>4</v>
      </c>
      <c r="L2931">
        <f t="shared" si="45"/>
        <v>5</v>
      </c>
    </row>
    <row r="2932" spans="1:12" x14ac:dyDescent="0.25">
      <c r="A2932" s="5">
        <v>48689</v>
      </c>
      <c r="B2932" t="s">
        <v>14804</v>
      </c>
      <c r="C2932" s="5" t="s">
        <v>14805</v>
      </c>
      <c r="D2932" t="s">
        <v>14806</v>
      </c>
      <c r="E2932" s="5" t="s">
        <v>14807</v>
      </c>
      <c r="F2932" s="6">
        <v>46167.665972222225</v>
      </c>
      <c r="G2932" s="5" t="s">
        <v>13816</v>
      </c>
      <c r="H2932" t="s">
        <v>7482</v>
      </c>
      <c r="I2932" s="5" t="s">
        <v>1564</v>
      </c>
      <c r="J2932" s="8">
        <v>7980</v>
      </c>
      <c r="K2932" s="5" t="s">
        <v>4</v>
      </c>
      <c r="L2932">
        <f t="shared" si="45"/>
        <v>5</v>
      </c>
    </row>
    <row r="2933" spans="1:12" x14ac:dyDescent="0.25">
      <c r="A2933" s="5">
        <v>48690</v>
      </c>
      <c r="B2933" t="s">
        <v>14530</v>
      </c>
      <c r="C2933" s="5" t="s">
        <v>1410</v>
      </c>
      <c r="D2933" t="s">
        <v>14531</v>
      </c>
      <c r="E2933" s="5" t="s">
        <v>6497</v>
      </c>
      <c r="F2933" s="6">
        <v>46167.663888888892</v>
      </c>
      <c r="G2933" s="5" t="s">
        <v>7456</v>
      </c>
      <c r="H2933" s="5" t="s">
        <v>14808</v>
      </c>
      <c r="I2933" s="5" t="s">
        <v>1621</v>
      </c>
      <c r="J2933" s="8">
        <v>62.39</v>
      </c>
      <c r="K2933" s="5" t="s">
        <v>4</v>
      </c>
      <c r="L2933">
        <f t="shared" si="45"/>
        <v>5</v>
      </c>
    </row>
    <row r="2934" spans="1:12" x14ac:dyDescent="0.25">
      <c r="A2934" s="5">
        <v>48691</v>
      </c>
      <c r="B2934" t="s">
        <v>14809</v>
      </c>
      <c r="C2934" s="5" t="s">
        <v>516</v>
      </c>
      <c r="D2934" t="s">
        <v>14810</v>
      </c>
      <c r="E2934" s="5" t="s">
        <v>6508</v>
      </c>
      <c r="F2934" s="6">
        <v>46167.677777777775</v>
      </c>
      <c r="G2934" s="5" t="s">
        <v>7456</v>
      </c>
      <c r="H2934" s="5" t="s">
        <v>14811</v>
      </c>
      <c r="I2934" s="5" t="s">
        <v>1621</v>
      </c>
      <c r="J2934" s="8">
        <v>61.5</v>
      </c>
      <c r="K2934" s="5" t="s">
        <v>4</v>
      </c>
      <c r="L2934">
        <f t="shared" si="45"/>
        <v>5</v>
      </c>
    </row>
    <row r="2935" spans="1:12" x14ac:dyDescent="0.25">
      <c r="A2935" s="5">
        <v>48692</v>
      </c>
      <c r="B2935" t="s">
        <v>14812</v>
      </c>
      <c r="C2935" s="5" t="s">
        <v>1058</v>
      </c>
      <c r="D2935" t="s">
        <v>14813</v>
      </c>
      <c r="E2935" s="5" t="s">
        <v>3438</v>
      </c>
      <c r="F2935" s="6">
        <v>46167.6875</v>
      </c>
      <c r="G2935" s="5" t="s">
        <v>7456</v>
      </c>
      <c r="H2935" s="5" t="s">
        <v>14814</v>
      </c>
      <c r="I2935" s="5" t="s">
        <v>1621</v>
      </c>
      <c r="J2935" s="8">
        <v>330.61</v>
      </c>
      <c r="K2935" s="5" t="s">
        <v>4</v>
      </c>
      <c r="L2935">
        <f t="shared" si="45"/>
        <v>5</v>
      </c>
    </row>
    <row r="2936" spans="1:12" x14ac:dyDescent="0.25">
      <c r="A2936" s="5">
        <v>48693</v>
      </c>
      <c r="B2936" t="s">
        <v>14815</v>
      </c>
      <c r="C2936" s="5" t="s">
        <v>14816</v>
      </c>
      <c r="D2936" t="s">
        <v>14817</v>
      </c>
      <c r="E2936" s="5" t="s">
        <v>14818</v>
      </c>
      <c r="F2936" s="6">
        <v>46167.698611111111</v>
      </c>
      <c r="G2936" s="5" t="s">
        <v>7595</v>
      </c>
      <c r="H2936" t="s">
        <v>7482</v>
      </c>
      <c r="I2936" s="5" t="s">
        <v>1535</v>
      </c>
      <c r="J2936" s="8">
        <v>2394.1</v>
      </c>
      <c r="K2936" s="5" t="s">
        <v>4</v>
      </c>
      <c r="L2936">
        <f t="shared" si="45"/>
        <v>5</v>
      </c>
    </row>
    <row r="2937" spans="1:12" x14ac:dyDescent="0.25">
      <c r="A2937" s="5">
        <v>48694</v>
      </c>
      <c r="B2937" t="s">
        <v>13671</v>
      </c>
      <c r="C2937" s="5" t="s">
        <v>14819</v>
      </c>
      <c r="D2937" t="s">
        <v>13673</v>
      </c>
      <c r="E2937" s="5" t="s">
        <v>7159</v>
      </c>
      <c r="F2937" s="6">
        <v>46167.7</v>
      </c>
      <c r="G2937" s="5" t="s">
        <v>7456</v>
      </c>
      <c r="H2937" s="5" t="s">
        <v>14820</v>
      </c>
      <c r="I2937" s="5" t="s">
        <v>1621</v>
      </c>
      <c r="J2937" s="8">
        <v>27.43</v>
      </c>
      <c r="K2937" s="5" t="s">
        <v>4</v>
      </c>
      <c r="L2937">
        <f t="shared" si="45"/>
        <v>5</v>
      </c>
    </row>
    <row r="2938" spans="1:12" x14ac:dyDescent="0.25">
      <c r="A2938" s="5">
        <v>48695</v>
      </c>
      <c r="B2938" t="s">
        <v>14815</v>
      </c>
      <c r="C2938" s="5" t="s">
        <v>14821</v>
      </c>
      <c r="D2938" t="s">
        <v>14822</v>
      </c>
      <c r="E2938" s="5" t="s">
        <v>14823</v>
      </c>
      <c r="F2938" s="6">
        <v>46167.703472222223</v>
      </c>
      <c r="G2938" s="5" t="s">
        <v>7595</v>
      </c>
      <c r="H2938" t="s">
        <v>7482</v>
      </c>
      <c r="I2938" s="5" t="s">
        <v>1535</v>
      </c>
      <c r="J2938" s="8">
        <v>16150.1</v>
      </c>
      <c r="K2938" s="5" t="s">
        <v>4</v>
      </c>
      <c r="L2938">
        <f t="shared" si="45"/>
        <v>5</v>
      </c>
    </row>
    <row r="2939" spans="1:12" x14ac:dyDescent="0.25">
      <c r="A2939" s="5">
        <v>48696</v>
      </c>
      <c r="B2939" t="s">
        <v>14815</v>
      </c>
      <c r="C2939" s="5" t="s">
        <v>14821</v>
      </c>
      <c r="D2939" t="s">
        <v>14822</v>
      </c>
      <c r="E2939" s="5" t="s">
        <v>14824</v>
      </c>
      <c r="F2939" s="6">
        <v>46167.706250000003</v>
      </c>
      <c r="G2939" s="5" t="s">
        <v>7595</v>
      </c>
      <c r="H2939" t="s">
        <v>7482</v>
      </c>
      <c r="I2939" s="5" t="s">
        <v>1535</v>
      </c>
      <c r="J2939" s="8">
        <v>615</v>
      </c>
      <c r="K2939" s="5" t="s">
        <v>4</v>
      </c>
      <c r="L2939">
        <f t="shared" si="45"/>
        <v>5</v>
      </c>
    </row>
    <row r="2940" spans="1:12" x14ac:dyDescent="0.25">
      <c r="A2940" s="5">
        <v>48697</v>
      </c>
      <c r="B2940" t="s">
        <v>14825</v>
      </c>
      <c r="C2940" s="5" t="s">
        <v>14826</v>
      </c>
      <c r="D2940" t="s">
        <v>14827</v>
      </c>
      <c r="E2940" s="5" t="s">
        <v>14828</v>
      </c>
      <c r="F2940" s="6">
        <v>46167.706250000003</v>
      </c>
      <c r="G2940" s="5" t="s">
        <v>7456</v>
      </c>
      <c r="H2940" s="5" t="s">
        <v>14829</v>
      </c>
      <c r="I2940" s="5" t="s">
        <v>1564</v>
      </c>
      <c r="J2940" s="8">
        <v>2867.4</v>
      </c>
      <c r="K2940" s="5" t="s">
        <v>4</v>
      </c>
      <c r="L2940">
        <f t="shared" si="45"/>
        <v>5</v>
      </c>
    </row>
    <row r="2941" spans="1:12" x14ac:dyDescent="0.25">
      <c r="A2941" s="5">
        <v>48699</v>
      </c>
      <c r="B2941" t="s">
        <v>14830</v>
      </c>
      <c r="C2941" s="5" t="s">
        <v>14831</v>
      </c>
      <c r="D2941" t="s">
        <v>14832</v>
      </c>
      <c r="E2941" s="5" t="s">
        <v>1738</v>
      </c>
      <c r="F2941" s="6">
        <v>46167.745833333334</v>
      </c>
      <c r="G2941" s="5" t="s">
        <v>7456</v>
      </c>
      <c r="H2941" s="5" t="s">
        <v>14833</v>
      </c>
      <c r="I2941" s="5" t="s">
        <v>1564</v>
      </c>
      <c r="J2941" s="8">
        <v>131</v>
      </c>
      <c r="K2941" s="5" t="s">
        <v>4</v>
      </c>
      <c r="L2941">
        <f t="shared" si="45"/>
        <v>5</v>
      </c>
    </row>
    <row r="2942" spans="1:12" x14ac:dyDescent="0.25">
      <c r="A2942" s="5">
        <v>48700</v>
      </c>
      <c r="B2942" t="s">
        <v>14024</v>
      </c>
      <c r="C2942" s="5" t="s">
        <v>1299</v>
      </c>
      <c r="D2942" t="s">
        <v>14025</v>
      </c>
      <c r="E2942" s="5" t="s">
        <v>1532</v>
      </c>
      <c r="F2942" s="6">
        <v>46168.345138888886</v>
      </c>
      <c r="G2942" s="5" t="s">
        <v>7456</v>
      </c>
      <c r="H2942" s="5" t="s">
        <v>14834</v>
      </c>
      <c r="I2942" s="5" t="s">
        <v>1535</v>
      </c>
      <c r="J2942" s="8">
        <v>32.9</v>
      </c>
      <c r="K2942" s="5" t="s">
        <v>4</v>
      </c>
      <c r="L2942">
        <f t="shared" si="45"/>
        <v>5</v>
      </c>
    </row>
    <row r="2943" spans="1:12" x14ac:dyDescent="0.25">
      <c r="A2943" s="5">
        <v>48701</v>
      </c>
      <c r="B2943" t="s">
        <v>14835</v>
      </c>
      <c r="C2943" s="5" t="s">
        <v>14836</v>
      </c>
      <c r="D2943" t="s">
        <v>14837</v>
      </c>
      <c r="E2943" s="5" t="s">
        <v>1567</v>
      </c>
      <c r="F2943" s="6">
        <v>46168.390277777777</v>
      </c>
      <c r="G2943" s="5" t="s">
        <v>7456</v>
      </c>
      <c r="H2943" s="5" t="s">
        <v>14838</v>
      </c>
      <c r="I2943" s="5" t="s">
        <v>1564</v>
      </c>
      <c r="J2943" s="8">
        <v>396</v>
      </c>
      <c r="K2943" s="5" t="s">
        <v>4</v>
      </c>
      <c r="L2943">
        <f t="shared" si="45"/>
        <v>5</v>
      </c>
    </row>
    <row r="2944" spans="1:12" x14ac:dyDescent="0.25">
      <c r="A2944" s="5">
        <v>48702</v>
      </c>
      <c r="B2944" t="s">
        <v>14839</v>
      </c>
      <c r="C2944" s="5" t="s">
        <v>14840</v>
      </c>
      <c r="D2944" t="s">
        <v>14841</v>
      </c>
      <c r="E2944" s="5" t="s">
        <v>2740</v>
      </c>
      <c r="F2944" s="6">
        <v>46168.398611111108</v>
      </c>
      <c r="G2944" s="5" t="s">
        <v>13816</v>
      </c>
      <c r="H2944" t="s">
        <v>7482</v>
      </c>
      <c r="I2944" s="5" t="s">
        <v>1564</v>
      </c>
      <c r="J2944" s="8">
        <v>1198.75</v>
      </c>
      <c r="K2944" s="5" t="s">
        <v>4</v>
      </c>
      <c r="L2944">
        <f t="shared" si="45"/>
        <v>5</v>
      </c>
    </row>
    <row r="2945" spans="1:12" x14ac:dyDescent="0.25">
      <c r="A2945" s="5">
        <v>48703</v>
      </c>
      <c r="B2945" t="s">
        <v>14842</v>
      </c>
      <c r="C2945" s="5" t="s">
        <v>7516</v>
      </c>
      <c r="D2945" t="s">
        <v>7644</v>
      </c>
      <c r="E2945" s="5" t="s">
        <v>4917</v>
      </c>
      <c r="F2945" s="6">
        <v>46168.401388888888</v>
      </c>
      <c r="G2945" s="5" t="s">
        <v>7456</v>
      </c>
      <c r="H2945" s="5" t="s">
        <v>14843</v>
      </c>
      <c r="I2945" s="5" t="s">
        <v>1535</v>
      </c>
      <c r="J2945" s="8">
        <v>157.4</v>
      </c>
      <c r="K2945" s="5" t="s">
        <v>4</v>
      </c>
      <c r="L2945">
        <f t="shared" si="45"/>
        <v>5</v>
      </c>
    </row>
    <row r="2946" spans="1:12" x14ac:dyDescent="0.25">
      <c r="A2946" s="5">
        <v>48704</v>
      </c>
      <c r="B2946" t="s">
        <v>14844</v>
      </c>
      <c r="C2946" s="5" t="s">
        <v>14845</v>
      </c>
      <c r="D2946" t="s">
        <v>14846</v>
      </c>
      <c r="E2946" s="5" t="s">
        <v>11719</v>
      </c>
      <c r="F2946" s="6">
        <v>46168.40625</v>
      </c>
      <c r="G2946" s="5" t="s">
        <v>13816</v>
      </c>
      <c r="H2946" t="s">
        <v>8626</v>
      </c>
      <c r="I2946" s="5" t="s">
        <v>1564</v>
      </c>
      <c r="J2946" s="8">
        <v>480</v>
      </c>
      <c r="K2946" s="5" t="s">
        <v>4</v>
      </c>
      <c r="L2946">
        <f t="shared" si="45"/>
        <v>5</v>
      </c>
    </row>
    <row r="2947" spans="1:12" x14ac:dyDescent="0.25">
      <c r="A2947" s="5">
        <v>48705</v>
      </c>
      <c r="B2947" t="s">
        <v>14847</v>
      </c>
      <c r="C2947" s="5" t="s">
        <v>14848</v>
      </c>
      <c r="D2947" t="s">
        <v>14849</v>
      </c>
      <c r="E2947" s="5" t="s">
        <v>1738</v>
      </c>
      <c r="F2947" s="6">
        <v>46168.416666666664</v>
      </c>
      <c r="G2947" s="5" t="s">
        <v>7456</v>
      </c>
      <c r="H2947" s="5" t="s">
        <v>14850</v>
      </c>
      <c r="I2947" s="5" t="s">
        <v>1564</v>
      </c>
      <c r="J2947" s="8">
        <v>190</v>
      </c>
      <c r="K2947" s="5" t="s">
        <v>4</v>
      </c>
      <c r="L2947">
        <f t="shared" ref="L2947:L3010" si="46">MONTH(F2947)</f>
        <v>5</v>
      </c>
    </row>
    <row r="2948" spans="1:12" x14ac:dyDescent="0.25">
      <c r="A2948" s="5">
        <v>48706</v>
      </c>
      <c r="B2948" t="s">
        <v>14268</v>
      </c>
      <c r="C2948" s="5" t="s">
        <v>14269</v>
      </c>
      <c r="D2948" t="s">
        <v>14270</v>
      </c>
      <c r="E2948" s="5" t="s">
        <v>2314</v>
      </c>
      <c r="F2948" s="6">
        <v>46168.428472222222</v>
      </c>
      <c r="G2948" s="5" t="s">
        <v>7456</v>
      </c>
      <c r="H2948" s="5" t="s">
        <v>14851</v>
      </c>
      <c r="I2948" s="5" t="s">
        <v>1564</v>
      </c>
      <c r="J2948" s="8">
        <v>155.9</v>
      </c>
      <c r="K2948" s="5" t="s">
        <v>4</v>
      </c>
      <c r="L2948">
        <f t="shared" si="46"/>
        <v>5</v>
      </c>
    </row>
    <row r="2949" spans="1:12" x14ac:dyDescent="0.25">
      <c r="A2949" s="5">
        <v>48707</v>
      </c>
      <c r="B2949" t="s">
        <v>14852</v>
      </c>
      <c r="C2949" s="5" t="s">
        <v>14853</v>
      </c>
      <c r="D2949" t="s">
        <v>14854</v>
      </c>
      <c r="E2949" s="5" t="s">
        <v>2875</v>
      </c>
      <c r="F2949" s="6">
        <v>46168.432638888888</v>
      </c>
      <c r="G2949" s="5" t="s">
        <v>7595</v>
      </c>
      <c r="H2949" t="s">
        <v>7482</v>
      </c>
      <c r="I2949" s="5" t="s">
        <v>1535</v>
      </c>
      <c r="J2949" s="8">
        <v>186</v>
      </c>
      <c r="K2949" s="5" t="s">
        <v>4</v>
      </c>
      <c r="L2949">
        <f t="shared" si="46"/>
        <v>5</v>
      </c>
    </row>
    <row r="2950" spans="1:12" x14ac:dyDescent="0.25">
      <c r="A2950" s="5">
        <v>48709</v>
      </c>
      <c r="B2950" t="s">
        <v>14855</v>
      </c>
      <c r="C2950" s="5" t="s">
        <v>14856</v>
      </c>
      <c r="D2950" t="s">
        <v>14857</v>
      </c>
      <c r="E2950" s="5" t="s">
        <v>1742</v>
      </c>
      <c r="F2950" s="6">
        <v>46168.464583333334</v>
      </c>
      <c r="G2950" s="5" t="s">
        <v>7595</v>
      </c>
      <c r="H2950" t="s">
        <v>7482</v>
      </c>
      <c r="I2950" s="5" t="s">
        <v>1535</v>
      </c>
      <c r="J2950" s="8">
        <v>1051.8</v>
      </c>
      <c r="K2950" s="5" t="s">
        <v>4</v>
      </c>
      <c r="L2950">
        <f t="shared" si="46"/>
        <v>5</v>
      </c>
    </row>
    <row r="2951" spans="1:12" x14ac:dyDescent="0.25">
      <c r="A2951" s="5">
        <v>48710</v>
      </c>
      <c r="B2951" t="s">
        <v>14368</v>
      </c>
      <c r="C2951" s="5" t="s">
        <v>14858</v>
      </c>
      <c r="D2951" t="s">
        <v>14370</v>
      </c>
      <c r="E2951" s="5" t="s">
        <v>14859</v>
      </c>
      <c r="F2951" s="6">
        <v>46168.466666666667</v>
      </c>
      <c r="G2951" s="5" t="s">
        <v>13816</v>
      </c>
      <c r="H2951" t="s">
        <v>8626</v>
      </c>
      <c r="I2951" s="5" t="s">
        <v>1564</v>
      </c>
      <c r="J2951" s="8">
        <v>1569.2</v>
      </c>
      <c r="K2951" s="5" t="s">
        <v>4</v>
      </c>
      <c r="L2951">
        <f t="shared" si="46"/>
        <v>5</v>
      </c>
    </row>
    <row r="2952" spans="1:12" x14ac:dyDescent="0.25">
      <c r="A2952" s="5">
        <v>48711</v>
      </c>
      <c r="B2952" t="s">
        <v>14860</v>
      </c>
      <c r="C2952" s="5" t="s">
        <v>14861</v>
      </c>
      <c r="D2952" t="s">
        <v>14862</v>
      </c>
      <c r="E2952" s="5" t="s">
        <v>2314</v>
      </c>
      <c r="F2952" s="6">
        <v>46168.474305555559</v>
      </c>
      <c r="G2952" s="5" t="s">
        <v>13816</v>
      </c>
      <c r="H2952" t="s">
        <v>8626</v>
      </c>
      <c r="I2952" s="5" t="s">
        <v>1564</v>
      </c>
      <c r="J2952" s="8">
        <v>279</v>
      </c>
      <c r="K2952" s="5" t="s">
        <v>4</v>
      </c>
      <c r="L2952">
        <f t="shared" si="46"/>
        <v>5</v>
      </c>
    </row>
    <row r="2953" spans="1:12" x14ac:dyDescent="0.25">
      <c r="A2953" s="5">
        <v>48712</v>
      </c>
      <c r="B2953" t="s">
        <v>14863</v>
      </c>
      <c r="C2953" s="5" t="s">
        <v>8745</v>
      </c>
      <c r="D2953" t="s">
        <v>14864</v>
      </c>
      <c r="E2953" s="5" t="s">
        <v>14865</v>
      </c>
      <c r="F2953" s="6">
        <v>46168.541666666664</v>
      </c>
      <c r="G2953" s="5" t="s">
        <v>13816</v>
      </c>
      <c r="H2953" t="s">
        <v>7482</v>
      </c>
      <c r="I2953" s="5" t="s">
        <v>1564</v>
      </c>
      <c r="J2953" s="8">
        <v>261.85000000000002</v>
      </c>
      <c r="K2953" s="5" t="s">
        <v>4</v>
      </c>
      <c r="L2953">
        <f t="shared" si="46"/>
        <v>5</v>
      </c>
    </row>
    <row r="2954" spans="1:12" x14ac:dyDescent="0.25">
      <c r="A2954" s="5">
        <v>48713</v>
      </c>
      <c r="B2954" t="s">
        <v>13363</v>
      </c>
      <c r="C2954" s="5" t="s">
        <v>14866</v>
      </c>
      <c r="D2954" t="s">
        <v>13365</v>
      </c>
      <c r="E2954" s="5" t="s">
        <v>2118</v>
      </c>
      <c r="F2954" s="6">
        <v>46168.609722222223</v>
      </c>
      <c r="G2954" s="5" t="s">
        <v>7456</v>
      </c>
      <c r="H2954" s="5" t="s">
        <v>14867</v>
      </c>
      <c r="I2954" s="5" t="s">
        <v>1564</v>
      </c>
      <c r="J2954" s="8">
        <v>149.93</v>
      </c>
      <c r="K2954" s="5" t="s">
        <v>4</v>
      </c>
      <c r="L2954">
        <f t="shared" si="46"/>
        <v>5</v>
      </c>
    </row>
    <row r="2955" spans="1:12" x14ac:dyDescent="0.25">
      <c r="A2955" s="5">
        <v>48714</v>
      </c>
      <c r="B2955" t="s">
        <v>14855</v>
      </c>
      <c r="C2955" s="5" t="s">
        <v>14856</v>
      </c>
      <c r="D2955" t="s">
        <v>14857</v>
      </c>
      <c r="E2955" s="5" t="s">
        <v>1742</v>
      </c>
      <c r="F2955" s="6">
        <v>46168.650694444441</v>
      </c>
      <c r="G2955" s="5" t="s">
        <v>7456</v>
      </c>
      <c r="H2955" s="5" t="s">
        <v>14868</v>
      </c>
      <c r="I2955" s="5" t="s">
        <v>1535</v>
      </c>
      <c r="J2955" s="8">
        <v>2504.9</v>
      </c>
      <c r="K2955" s="5" t="s">
        <v>4</v>
      </c>
      <c r="L2955">
        <f t="shared" si="46"/>
        <v>5</v>
      </c>
    </row>
    <row r="2956" spans="1:12" x14ac:dyDescent="0.25">
      <c r="A2956" s="5">
        <v>48715</v>
      </c>
      <c r="B2956" t="s">
        <v>13344</v>
      </c>
      <c r="C2956" s="5" t="s">
        <v>13345</v>
      </c>
      <c r="D2956" t="s">
        <v>13346</v>
      </c>
      <c r="E2956" s="5" t="s">
        <v>1738</v>
      </c>
      <c r="F2956" s="6">
        <v>46168.662499999999</v>
      </c>
      <c r="G2956" s="5" t="s">
        <v>7456</v>
      </c>
      <c r="H2956" s="5" t="s">
        <v>14869</v>
      </c>
      <c r="I2956" s="5" t="s">
        <v>1564</v>
      </c>
      <c r="J2956" s="8">
        <v>142</v>
      </c>
      <c r="K2956" s="5" t="s">
        <v>4</v>
      </c>
      <c r="L2956">
        <f t="shared" si="46"/>
        <v>5</v>
      </c>
    </row>
    <row r="2957" spans="1:12" x14ac:dyDescent="0.25">
      <c r="A2957" s="5">
        <v>48716</v>
      </c>
      <c r="B2957" t="s">
        <v>14197</v>
      </c>
      <c r="C2957" s="5" t="s">
        <v>14198</v>
      </c>
      <c r="D2957" t="s">
        <v>14199</v>
      </c>
      <c r="E2957" s="5" t="s">
        <v>2863</v>
      </c>
      <c r="F2957" s="6">
        <v>46168.661111111112</v>
      </c>
      <c r="G2957" s="5" t="s">
        <v>7456</v>
      </c>
      <c r="H2957" s="5" t="s">
        <v>14870</v>
      </c>
      <c r="I2957" s="5" t="s">
        <v>1621</v>
      </c>
      <c r="J2957" s="8">
        <v>0</v>
      </c>
      <c r="K2957" s="5" t="s">
        <v>4</v>
      </c>
      <c r="L2957">
        <f t="shared" si="46"/>
        <v>5</v>
      </c>
    </row>
    <row r="2958" spans="1:12" x14ac:dyDescent="0.25">
      <c r="A2958" s="5">
        <v>48717</v>
      </c>
      <c r="B2958" t="s">
        <v>14871</v>
      </c>
      <c r="C2958" s="5" t="s">
        <v>186</v>
      </c>
      <c r="D2958" t="s">
        <v>14872</v>
      </c>
      <c r="E2958" s="5" t="s">
        <v>6267</v>
      </c>
      <c r="F2958" s="6">
        <v>46168.667361111111</v>
      </c>
      <c r="G2958" s="5" t="s">
        <v>7456</v>
      </c>
      <c r="H2958" s="5" t="s">
        <v>14873</v>
      </c>
      <c r="I2958" s="5" t="s">
        <v>1621</v>
      </c>
      <c r="J2958" s="8">
        <v>76.989999999999995</v>
      </c>
      <c r="K2958" s="5" t="s">
        <v>4</v>
      </c>
      <c r="L2958">
        <f t="shared" si="46"/>
        <v>5</v>
      </c>
    </row>
    <row r="2959" spans="1:12" x14ac:dyDescent="0.25">
      <c r="A2959" s="5">
        <v>48718</v>
      </c>
      <c r="B2959" t="s">
        <v>14815</v>
      </c>
      <c r="C2959" s="5" t="s">
        <v>14821</v>
      </c>
      <c r="D2959" t="s">
        <v>14874</v>
      </c>
      <c r="E2959" s="5" t="s">
        <v>14875</v>
      </c>
      <c r="F2959" s="6">
        <v>46168.688194444447</v>
      </c>
      <c r="G2959" s="5" t="s">
        <v>7595</v>
      </c>
      <c r="H2959" t="s">
        <v>7482</v>
      </c>
      <c r="I2959" s="5" t="s">
        <v>1535</v>
      </c>
      <c r="J2959" s="8">
        <v>2404.4499999999998</v>
      </c>
      <c r="K2959" s="5" t="s">
        <v>4</v>
      </c>
      <c r="L2959">
        <f t="shared" si="46"/>
        <v>5</v>
      </c>
    </row>
    <row r="2960" spans="1:12" x14ac:dyDescent="0.25">
      <c r="A2960" s="5">
        <v>48719</v>
      </c>
      <c r="B2960" t="s">
        <v>14876</v>
      </c>
      <c r="C2960" s="5" t="s">
        <v>14877</v>
      </c>
      <c r="D2960" t="s">
        <v>14878</v>
      </c>
      <c r="E2960" s="5" t="s">
        <v>5445</v>
      </c>
      <c r="F2960" s="6">
        <v>46168.677777777775</v>
      </c>
      <c r="G2960" s="5" t="s">
        <v>7456</v>
      </c>
      <c r="H2960" s="5" t="s">
        <v>14879</v>
      </c>
      <c r="I2960" s="5" t="s">
        <v>1621</v>
      </c>
      <c r="J2960" s="8">
        <v>127.47</v>
      </c>
      <c r="K2960" s="5" t="s">
        <v>4</v>
      </c>
      <c r="L2960">
        <f t="shared" si="46"/>
        <v>5</v>
      </c>
    </row>
    <row r="2961" spans="1:12" x14ac:dyDescent="0.25">
      <c r="A2961" s="5">
        <v>48720</v>
      </c>
      <c r="B2961" t="s">
        <v>14815</v>
      </c>
      <c r="C2961" s="5" t="s">
        <v>14821</v>
      </c>
      <c r="D2961" t="s">
        <v>14822</v>
      </c>
      <c r="E2961" s="5" t="s">
        <v>14880</v>
      </c>
      <c r="F2961" s="6">
        <v>46168.689583333333</v>
      </c>
      <c r="G2961" s="5" t="s">
        <v>7595</v>
      </c>
      <c r="H2961" t="s">
        <v>7482</v>
      </c>
      <c r="I2961" s="5" t="s">
        <v>1535</v>
      </c>
      <c r="J2961" s="8">
        <v>2389.35</v>
      </c>
      <c r="K2961" s="5" t="s">
        <v>4</v>
      </c>
      <c r="L2961">
        <f t="shared" si="46"/>
        <v>5</v>
      </c>
    </row>
    <row r="2962" spans="1:12" x14ac:dyDescent="0.25">
      <c r="A2962" s="5">
        <v>48721</v>
      </c>
      <c r="B2962" t="s">
        <v>14815</v>
      </c>
      <c r="C2962" s="5" t="s">
        <v>14821</v>
      </c>
      <c r="D2962" t="s">
        <v>14881</v>
      </c>
      <c r="E2962" s="5" t="s">
        <v>14882</v>
      </c>
      <c r="F2962" s="6">
        <v>46168.693055555559</v>
      </c>
      <c r="G2962" s="5" t="s">
        <v>7595</v>
      </c>
      <c r="H2962" t="s">
        <v>7482</v>
      </c>
      <c r="I2962" s="5" t="s">
        <v>1535</v>
      </c>
      <c r="J2962" s="8">
        <v>1398.2</v>
      </c>
      <c r="K2962" s="5" t="s">
        <v>4</v>
      </c>
      <c r="L2962">
        <f t="shared" si="46"/>
        <v>5</v>
      </c>
    </row>
    <row r="2963" spans="1:12" x14ac:dyDescent="0.25">
      <c r="A2963" s="5">
        <v>48722</v>
      </c>
      <c r="B2963" t="s">
        <v>14883</v>
      </c>
      <c r="C2963" s="5" t="s">
        <v>459</v>
      </c>
      <c r="D2963" t="s">
        <v>14884</v>
      </c>
      <c r="E2963" s="5" t="s">
        <v>3949</v>
      </c>
      <c r="F2963" s="6">
        <v>46168.693055555559</v>
      </c>
      <c r="G2963" s="5" t="s">
        <v>7456</v>
      </c>
      <c r="H2963" s="5" t="s">
        <v>14885</v>
      </c>
      <c r="I2963" s="5" t="s">
        <v>1621</v>
      </c>
      <c r="J2963" s="8">
        <v>264.17</v>
      </c>
      <c r="K2963" s="5" t="s">
        <v>4</v>
      </c>
      <c r="L2963">
        <f t="shared" si="46"/>
        <v>5</v>
      </c>
    </row>
    <row r="2964" spans="1:12" x14ac:dyDescent="0.25">
      <c r="A2964" s="5">
        <v>48723</v>
      </c>
      <c r="B2964" t="s">
        <v>14815</v>
      </c>
      <c r="C2964" s="5" t="s">
        <v>14821</v>
      </c>
      <c r="D2964" t="s">
        <v>14874</v>
      </c>
      <c r="E2964" s="5" t="s">
        <v>14886</v>
      </c>
      <c r="F2964" s="6">
        <v>46168.700694444444</v>
      </c>
      <c r="G2964" s="5" t="s">
        <v>7595</v>
      </c>
      <c r="H2964" t="s">
        <v>7482</v>
      </c>
      <c r="I2964" s="5" t="s">
        <v>1535</v>
      </c>
      <c r="J2964" s="8">
        <v>2970</v>
      </c>
      <c r="K2964" s="5" t="s">
        <v>4</v>
      </c>
      <c r="L2964">
        <f t="shared" si="46"/>
        <v>5</v>
      </c>
    </row>
    <row r="2965" spans="1:12" x14ac:dyDescent="0.25">
      <c r="A2965" s="5">
        <v>48724</v>
      </c>
      <c r="B2965" t="s">
        <v>14887</v>
      </c>
      <c r="C2965" s="5" t="s">
        <v>14888</v>
      </c>
      <c r="D2965" t="s">
        <v>12220</v>
      </c>
      <c r="E2965" s="5" t="s">
        <v>1738</v>
      </c>
      <c r="F2965" s="6">
        <v>46168.70208333333</v>
      </c>
      <c r="G2965" s="5" t="s">
        <v>7456</v>
      </c>
      <c r="H2965" s="5" t="s">
        <v>14889</v>
      </c>
      <c r="I2965" s="5" t="s">
        <v>1564</v>
      </c>
      <c r="J2965" s="8">
        <v>203</v>
      </c>
      <c r="K2965" s="5" t="s">
        <v>4</v>
      </c>
      <c r="L2965">
        <f t="shared" si="46"/>
        <v>5</v>
      </c>
    </row>
    <row r="2966" spans="1:12" x14ac:dyDescent="0.25">
      <c r="A2966" s="5">
        <v>48725</v>
      </c>
      <c r="B2966" t="s">
        <v>14815</v>
      </c>
      <c r="C2966" s="5" t="s">
        <v>14821</v>
      </c>
      <c r="D2966" t="s">
        <v>14890</v>
      </c>
      <c r="E2966" s="5" t="s">
        <v>14891</v>
      </c>
      <c r="F2966" s="6">
        <v>46168.70208333333</v>
      </c>
      <c r="G2966" s="5" t="s">
        <v>7595</v>
      </c>
      <c r="H2966" t="s">
        <v>7482</v>
      </c>
      <c r="I2966" s="5" t="s">
        <v>1535</v>
      </c>
      <c r="J2966" s="8">
        <v>320.10000000000002</v>
      </c>
      <c r="K2966" s="5" t="s">
        <v>4</v>
      </c>
      <c r="L2966">
        <f t="shared" si="46"/>
        <v>5</v>
      </c>
    </row>
    <row r="2967" spans="1:12" x14ac:dyDescent="0.25">
      <c r="A2967" s="5">
        <v>48726</v>
      </c>
      <c r="B2967" t="s">
        <v>14815</v>
      </c>
      <c r="C2967" s="5" t="s">
        <v>14821</v>
      </c>
      <c r="D2967" t="s">
        <v>14874</v>
      </c>
      <c r="E2967" s="5" t="s">
        <v>14892</v>
      </c>
      <c r="F2967" s="6">
        <v>46168.704861111109</v>
      </c>
      <c r="G2967" s="5" t="s">
        <v>7595</v>
      </c>
      <c r="H2967" t="s">
        <v>7482</v>
      </c>
      <c r="I2967" s="5" t="s">
        <v>1535</v>
      </c>
      <c r="J2967" s="8">
        <v>320.10000000000002</v>
      </c>
      <c r="K2967" s="5" t="s">
        <v>4</v>
      </c>
      <c r="L2967">
        <f t="shared" si="46"/>
        <v>5</v>
      </c>
    </row>
    <row r="2968" spans="1:12" x14ac:dyDescent="0.25">
      <c r="A2968" s="5">
        <v>48727</v>
      </c>
      <c r="B2968" t="s">
        <v>14893</v>
      </c>
      <c r="C2968" s="5" t="s">
        <v>14821</v>
      </c>
      <c r="D2968" t="s">
        <v>14881</v>
      </c>
      <c r="E2968" s="5" t="s">
        <v>14894</v>
      </c>
      <c r="F2968" s="6">
        <v>46168.711111111108</v>
      </c>
      <c r="G2968" s="5" t="s">
        <v>7595</v>
      </c>
      <c r="H2968" t="s">
        <v>7482</v>
      </c>
      <c r="I2968" s="5" t="s">
        <v>1535</v>
      </c>
      <c r="J2968" s="8">
        <v>10794.9</v>
      </c>
      <c r="K2968" s="5" t="s">
        <v>4</v>
      </c>
      <c r="L2968">
        <f t="shared" si="46"/>
        <v>5</v>
      </c>
    </row>
    <row r="2969" spans="1:12" x14ac:dyDescent="0.25">
      <c r="A2969" s="5">
        <v>48729</v>
      </c>
      <c r="B2969" t="s">
        <v>14895</v>
      </c>
      <c r="C2969" s="5" t="s">
        <v>14896</v>
      </c>
      <c r="D2969" t="s">
        <v>14897</v>
      </c>
      <c r="E2969" s="5" t="s">
        <v>5209</v>
      </c>
      <c r="F2969" s="6">
        <v>46168.71875</v>
      </c>
      <c r="G2969" s="5" t="s">
        <v>7456</v>
      </c>
      <c r="H2969" s="5" t="s">
        <v>14898</v>
      </c>
      <c r="I2969" s="5" t="s">
        <v>1564</v>
      </c>
      <c r="J2969" s="8">
        <v>140</v>
      </c>
      <c r="K2969" s="5" t="s">
        <v>4</v>
      </c>
      <c r="L2969">
        <f t="shared" si="46"/>
        <v>5</v>
      </c>
    </row>
    <row r="2970" spans="1:12" x14ac:dyDescent="0.25">
      <c r="A2970" s="5">
        <v>48730</v>
      </c>
      <c r="B2970" t="s">
        <v>14899</v>
      </c>
      <c r="C2970" s="5" t="s">
        <v>693</v>
      </c>
      <c r="D2970" t="s">
        <v>14900</v>
      </c>
      <c r="E2970" s="5" t="s">
        <v>3807</v>
      </c>
      <c r="F2970" s="6">
        <v>46168.715277777781</v>
      </c>
      <c r="G2970" s="5" t="s">
        <v>7456</v>
      </c>
      <c r="H2970" s="5" t="s">
        <v>14901</v>
      </c>
      <c r="I2970" s="5" t="s">
        <v>1621</v>
      </c>
      <c r="J2970" s="8">
        <v>284.48</v>
      </c>
      <c r="K2970" s="5" t="s">
        <v>4</v>
      </c>
      <c r="L2970">
        <f t="shared" si="46"/>
        <v>5</v>
      </c>
    </row>
    <row r="2971" spans="1:12" x14ac:dyDescent="0.25">
      <c r="A2971" s="5">
        <v>48731</v>
      </c>
      <c r="B2971" t="s">
        <v>12538</v>
      </c>
      <c r="C2971" s="5" t="s">
        <v>12539</v>
      </c>
      <c r="D2971" t="s">
        <v>7644</v>
      </c>
      <c r="E2971" s="5" t="s">
        <v>7113</v>
      </c>
      <c r="F2971" s="6">
        <v>46168.722222222219</v>
      </c>
      <c r="G2971" s="5" t="s">
        <v>7456</v>
      </c>
      <c r="H2971" s="5" t="s">
        <v>14902</v>
      </c>
      <c r="I2971" s="5" t="s">
        <v>1621</v>
      </c>
      <c r="J2971" s="8">
        <v>29.7</v>
      </c>
      <c r="K2971" s="5" t="s">
        <v>4</v>
      </c>
      <c r="L2971">
        <f t="shared" si="46"/>
        <v>5</v>
      </c>
    </row>
    <row r="2972" spans="1:12" x14ac:dyDescent="0.25">
      <c r="A2972" s="5">
        <v>48734</v>
      </c>
      <c r="B2972" t="s">
        <v>14903</v>
      </c>
      <c r="C2972" s="5" t="s">
        <v>7746</v>
      </c>
      <c r="D2972" t="s">
        <v>14904</v>
      </c>
      <c r="E2972" s="5" t="s">
        <v>1738</v>
      </c>
      <c r="F2972" s="6">
        <v>46168.745833333334</v>
      </c>
      <c r="G2972" s="5" t="s">
        <v>7456</v>
      </c>
      <c r="H2972" s="5" t="s">
        <v>14905</v>
      </c>
      <c r="I2972" s="5" t="s">
        <v>1564</v>
      </c>
      <c r="J2972" s="8">
        <v>736</v>
      </c>
      <c r="K2972" s="5" t="s">
        <v>4</v>
      </c>
      <c r="L2972">
        <f t="shared" si="46"/>
        <v>5</v>
      </c>
    </row>
    <row r="2973" spans="1:12" x14ac:dyDescent="0.25">
      <c r="A2973" s="5">
        <v>48735</v>
      </c>
      <c r="B2973" t="s">
        <v>11780</v>
      </c>
      <c r="C2973" s="5" t="s">
        <v>11781</v>
      </c>
      <c r="D2973" t="s">
        <v>11782</v>
      </c>
      <c r="E2973" s="5" t="s">
        <v>2317</v>
      </c>
      <c r="F2973" s="6">
        <v>46169.334722222222</v>
      </c>
      <c r="G2973" s="5" t="s">
        <v>7456</v>
      </c>
      <c r="H2973" s="5" t="s">
        <v>14906</v>
      </c>
      <c r="I2973" s="5" t="s">
        <v>1564</v>
      </c>
      <c r="J2973" s="8">
        <v>819</v>
      </c>
      <c r="K2973" s="5" t="s">
        <v>4</v>
      </c>
      <c r="L2973">
        <f t="shared" si="46"/>
        <v>5</v>
      </c>
    </row>
    <row r="2974" spans="1:12" x14ac:dyDescent="0.25">
      <c r="A2974" s="5">
        <v>48736</v>
      </c>
      <c r="B2974" t="s">
        <v>14907</v>
      </c>
      <c r="C2974" s="5" t="s">
        <v>14908</v>
      </c>
      <c r="D2974" t="s">
        <v>14909</v>
      </c>
      <c r="E2974" s="5" t="s">
        <v>1759</v>
      </c>
      <c r="F2974" s="6">
        <v>46169.40625</v>
      </c>
      <c r="G2974" s="5" t="s">
        <v>13816</v>
      </c>
      <c r="H2974" t="s">
        <v>8626</v>
      </c>
      <c r="I2974" s="5" t="s">
        <v>1564</v>
      </c>
      <c r="J2974" s="8">
        <v>413.9</v>
      </c>
      <c r="K2974" s="5" t="s">
        <v>4</v>
      </c>
      <c r="L2974">
        <f t="shared" si="46"/>
        <v>5</v>
      </c>
    </row>
    <row r="2975" spans="1:12" x14ac:dyDescent="0.25">
      <c r="A2975" s="5">
        <v>48738</v>
      </c>
      <c r="B2975" t="s">
        <v>8151</v>
      </c>
      <c r="C2975" s="5" t="s">
        <v>8545</v>
      </c>
      <c r="D2975" t="s">
        <v>8546</v>
      </c>
      <c r="E2975" s="5" t="s">
        <v>3566</v>
      </c>
      <c r="F2975" s="6">
        <v>46169.496527777781</v>
      </c>
      <c r="G2975" s="5" t="s">
        <v>7456</v>
      </c>
      <c r="H2975" s="5" t="s">
        <v>14910</v>
      </c>
      <c r="I2975" s="5" t="s">
        <v>1564</v>
      </c>
      <c r="J2975" s="8">
        <v>139.9</v>
      </c>
      <c r="K2975" s="5" t="s">
        <v>4</v>
      </c>
      <c r="L2975">
        <f t="shared" si="46"/>
        <v>5</v>
      </c>
    </row>
    <row r="2976" spans="1:12" x14ac:dyDescent="0.25">
      <c r="A2976" s="5">
        <v>48740</v>
      </c>
      <c r="B2976" t="s">
        <v>14911</v>
      </c>
      <c r="C2976" s="5" t="s">
        <v>14912</v>
      </c>
      <c r="D2976" t="s">
        <v>14913</v>
      </c>
      <c r="E2976" s="5" t="s">
        <v>1738</v>
      </c>
      <c r="F2976" s="6">
        <v>46169.513888888891</v>
      </c>
      <c r="G2976" s="5" t="s">
        <v>7456</v>
      </c>
      <c r="H2976" s="5" t="s">
        <v>14914</v>
      </c>
      <c r="I2976" s="5" t="s">
        <v>1564</v>
      </c>
      <c r="J2976" s="8">
        <v>128</v>
      </c>
      <c r="K2976" s="5" t="s">
        <v>4</v>
      </c>
      <c r="L2976">
        <f t="shared" si="46"/>
        <v>5</v>
      </c>
    </row>
    <row r="2977" spans="1:12" x14ac:dyDescent="0.25">
      <c r="A2977" s="5">
        <v>48741</v>
      </c>
      <c r="B2977" t="s">
        <v>9305</v>
      </c>
      <c r="C2977" s="5" t="s">
        <v>9306</v>
      </c>
      <c r="D2977" t="s">
        <v>9307</v>
      </c>
      <c r="E2977" s="5" t="s">
        <v>1759</v>
      </c>
      <c r="F2977" s="6">
        <v>46169.518055555556</v>
      </c>
      <c r="G2977" s="5" t="s">
        <v>13816</v>
      </c>
      <c r="H2977" t="s">
        <v>7482</v>
      </c>
      <c r="I2977" s="5" t="s">
        <v>1564</v>
      </c>
      <c r="J2977" s="8">
        <v>545</v>
      </c>
      <c r="K2977" s="5" t="s">
        <v>4</v>
      </c>
      <c r="L2977">
        <f t="shared" si="46"/>
        <v>5</v>
      </c>
    </row>
    <row r="2978" spans="1:12" x14ac:dyDescent="0.25">
      <c r="A2978" s="5">
        <v>48742</v>
      </c>
      <c r="B2978" t="s">
        <v>14915</v>
      </c>
      <c r="C2978" s="5" t="s">
        <v>14916</v>
      </c>
      <c r="D2978" t="s">
        <v>14917</v>
      </c>
      <c r="E2978" s="5" t="s">
        <v>1738</v>
      </c>
      <c r="F2978" s="6">
        <v>46169.521527777775</v>
      </c>
      <c r="G2978" s="5" t="s">
        <v>13816</v>
      </c>
      <c r="H2978" t="s">
        <v>8626</v>
      </c>
      <c r="I2978" s="5" t="s">
        <v>1564</v>
      </c>
      <c r="J2978" s="8">
        <v>487</v>
      </c>
      <c r="K2978" s="5" t="s">
        <v>4</v>
      </c>
      <c r="L2978">
        <f t="shared" si="46"/>
        <v>5</v>
      </c>
    </row>
    <row r="2979" spans="1:12" x14ac:dyDescent="0.25">
      <c r="A2979" s="5">
        <v>48743</v>
      </c>
      <c r="B2979" t="s">
        <v>14918</v>
      </c>
      <c r="C2979" s="5" t="s">
        <v>14919</v>
      </c>
      <c r="D2979" t="s">
        <v>14920</v>
      </c>
      <c r="E2979" s="5" t="s">
        <v>2860</v>
      </c>
      <c r="F2979" s="6">
        <v>46169.53402777778</v>
      </c>
      <c r="G2979" s="5" t="s">
        <v>7456</v>
      </c>
      <c r="H2979" s="5" t="s">
        <v>14921</v>
      </c>
      <c r="I2979" s="5" t="s">
        <v>1564</v>
      </c>
      <c r="J2979" s="8">
        <v>500</v>
      </c>
      <c r="K2979" s="5" t="s">
        <v>4</v>
      </c>
      <c r="L2979">
        <f t="shared" si="46"/>
        <v>5</v>
      </c>
    </row>
    <row r="2980" spans="1:12" x14ac:dyDescent="0.25">
      <c r="A2980" s="5">
        <v>48744</v>
      </c>
      <c r="B2980" t="s">
        <v>8940</v>
      </c>
      <c r="C2980" s="5" t="s">
        <v>8941</v>
      </c>
      <c r="D2980" t="s">
        <v>8942</v>
      </c>
      <c r="E2980" s="5" t="s">
        <v>1663</v>
      </c>
      <c r="F2980" s="6">
        <v>46169.540972222225</v>
      </c>
      <c r="G2980" s="5" t="s">
        <v>7456</v>
      </c>
      <c r="H2980" s="5" t="s">
        <v>14922</v>
      </c>
      <c r="I2980" s="5" t="s">
        <v>1564</v>
      </c>
      <c r="J2980" s="8">
        <v>419</v>
      </c>
      <c r="K2980" s="5" t="s">
        <v>4</v>
      </c>
      <c r="L2980">
        <f t="shared" si="46"/>
        <v>5</v>
      </c>
    </row>
    <row r="2981" spans="1:12" x14ac:dyDescent="0.25">
      <c r="A2981" s="5">
        <v>48745</v>
      </c>
      <c r="B2981" t="s">
        <v>14923</v>
      </c>
      <c r="C2981" s="5" t="s">
        <v>14924</v>
      </c>
      <c r="D2981" t="s">
        <v>14925</v>
      </c>
      <c r="E2981" s="5" t="s">
        <v>14926</v>
      </c>
      <c r="F2981" s="6">
        <v>46169.545138888891</v>
      </c>
      <c r="G2981" s="5" t="s">
        <v>13816</v>
      </c>
      <c r="H2981" t="s">
        <v>8626</v>
      </c>
      <c r="I2981" s="5" t="s">
        <v>1564</v>
      </c>
      <c r="J2981" s="8">
        <v>195</v>
      </c>
      <c r="K2981" s="5" t="s">
        <v>4</v>
      </c>
      <c r="L2981">
        <f t="shared" si="46"/>
        <v>5</v>
      </c>
    </row>
    <row r="2982" spans="1:12" x14ac:dyDescent="0.25">
      <c r="A2982" s="5">
        <v>48746</v>
      </c>
      <c r="B2982" t="s">
        <v>14927</v>
      </c>
      <c r="C2982" s="5" t="s">
        <v>14928</v>
      </c>
      <c r="D2982" t="s">
        <v>14929</v>
      </c>
      <c r="E2982" s="5" t="s">
        <v>1759</v>
      </c>
      <c r="F2982" s="6">
        <v>46169.548611111109</v>
      </c>
      <c r="G2982" s="5" t="s">
        <v>7456</v>
      </c>
      <c r="H2982" s="5" t="s">
        <v>14930</v>
      </c>
      <c r="I2982" s="5" t="s">
        <v>1564</v>
      </c>
      <c r="J2982" s="8">
        <v>605.01</v>
      </c>
      <c r="K2982" s="5" t="s">
        <v>4</v>
      </c>
      <c r="L2982">
        <f t="shared" si="46"/>
        <v>5</v>
      </c>
    </row>
    <row r="2983" spans="1:12" x14ac:dyDescent="0.25">
      <c r="A2983" s="5">
        <v>48747</v>
      </c>
      <c r="B2983" t="s">
        <v>8965</v>
      </c>
      <c r="C2983" s="5" t="s">
        <v>9154</v>
      </c>
      <c r="D2983" t="s">
        <v>8966</v>
      </c>
      <c r="E2983" s="5" t="s">
        <v>14931</v>
      </c>
      <c r="F2983" s="6">
        <v>46169.559027777781</v>
      </c>
      <c r="G2983" s="5" t="s">
        <v>7456</v>
      </c>
      <c r="H2983" s="5" t="s">
        <v>14932</v>
      </c>
      <c r="I2983" s="5" t="s">
        <v>1535</v>
      </c>
      <c r="J2983" s="8">
        <v>207.1</v>
      </c>
      <c r="K2983" s="5" t="s">
        <v>4</v>
      </c>
      <c r="L2983">
        <f t="shared" si="46"/>
        <v>5</v>
      </c>
    </row>
    <row r="2984" spans="1:12" x14ac:dyDescent="0.25">
      <c r="A2984" s="5">
        <v>48748</v>
      </c>
      <c r="B2984" t="s">
        <v>14933</v>
      </c>
      <c r="C2984" s="5" t="s">
        <v>12001</v>
      </c>
      <c r="D2984" t="s">
        <v>14934</v>
      </c>
      <c r="E2984" s="5" t="s">
        <v>6378</v>
      </c>
      <c r="F2984" s="6">
        <v>46169.560416666667</v>
      </c>
      <c r="G2984" s="5" t="s">
        <v>7456</v>
      </c>
      <c r="H2984" s="5" t="s">
        <v>14935</v>
      </c>
      <c r="I2984" s="5" t="s">
        <v>1535</v>
      </c>
      <c r="J2984" s="8">
        <v>70</v>
      </c>
      <c r="K2984" s="5" t="s">
        <v>4</v>
      </c>
      <c r="L2984">
        <f t="shared" si="46"/>
        <v>5</v>
      </c>
    </row>
    <row r="2985" spans="1:12" x14ac:dyDescent="0.25">
      <c r="A2985" s="5">
        <v>48749</v>
      </c>
      <c r="B2985" t="s">
        <v>14936</v>
      </c>
      <c r="C2985" s="5" t="s">
        <v>9032</v>
      </c>
      <c r="D2985" t="s">
        <v>14937</v>
      </c>
      <c r="E2985" s="5" t="s">
        <v>1532</v>
      </c>
      <c r="F2985" s="6">
        <v>46169.569444444445</v>
      </c>
      <c r="G2985" s="5" t="s">
        <v>7456</v>
      </c>
      <c r="H2985" s="5" t="s">
        <v>14938</v>
      </c>
      <c r="I2985" s="5" t="s">
        <v>1535</v>
      </c>
      <c r="J2985" s="8">
        <v>174</v>
      </c>
      <c r="K2985" s="5" t="s">
        <v>4</v>
      </c>
      <c r="L2985">
        <f t="shared" si="46"/>
        <v>5</v>
      </c>
    </row>
    <row r="2986" spans="1:12" x14ac:dyDescent="0.25">
      <c r="A2986" s="5">
        <v>48750</v>
      </c>
      <c r="B2986" t="s">
        <v>8965</v>
      </c>
      <c r="C2986" s="5" t="s">
        <v>10926</v>
      </c>
      <c r="D2986" t="s">
        <v>8966</v>
      </c>
      <c r="E2986" s="5" t="s">
        <v>14939</v>
      </c>
      <c r="F2986" s="6">
        <v>46169.576388888891</v>
      </c>
      <c r="G2986" s="5" t="s">
        <v>7456</v>
      </c>
      <c r="H2986" s="5" t="s">
        <v>14940</v>
      </c>
      <c r="I2986" s="5" t="s">
        <v>1535</v>
      </c>
      <c r="J2986" s="8">
        <v>715</v>
      </c>
      <c r="K2986" s="5" t="s">
        <v>4</v>
      </c>
      <c r="L2986">
        <f t="shared" si="46"/>
        <v>5</v>
      </c>
    </row>
    <row r="2987" spans="1:12" x14ac:dyDescent="0.25">
      <c r="A2987" s="5">
        <v>48751</v>
      </c>
      <c r="B2987" t="s">
        <v>8662</v>
      </c>
      <c r="C2987" s="5" t="s">
        <v>8663</v>
      </c>
      <c r="D2987" t="s">
        <v>8664</v>
      </c>
      <c r="E2987" s="5" t="s">
        <v>1759</v>
      </c>
      <c r="F2987" s="6">
        <v>46169.615972222222</v>
      </c>
      <c r="G2987" s="5" t="s">
        <v>13816</v>
      </c>
      <c r="H2987" t="s">
        <v>7482</v>
      </c>
      <c r="I2987" s="5" t="s">
        <v>1564</v>
      </c>
      <c r="J2987" s="8">
        <v>186.44</v>
      </c>
      <c r="K2987" s="5" t="s">
        <v>4</v>
      </c>
      <c r="L2987">
        <f t="shared" si="46"/>
        <v>5</v>
      </c>
    </row>
    <row r="2988" spans="1:12" x14ac:dyDescent="0.25">
      <c r="A2988" s="5">
        <v>48753</v>
      </c>
      <c r="B2988" t="s">
        <v>14941</v>
      </c>
      <c r="C2988" s="5" t="s">
        <v>14942</v>
      </c>
      <c r="D2988" t="s">
        <v>14943</v>
      </c>
      <c r="E2988" s="5" t="s">
        <v>2164</v>
      </c>
      <c r="F2988" s="6">
        <v>46169.606249999997</v>
      </c>
      <c r="G2988" s="5" t="s">
        <v>7456</v>
      </c>
      <c r="H2988" s="5" t="s">
        <v>14944</v>
      </c>
      <c r="I2988" s="5" t="s">
        <v>1621</v>
      </c>
      <c r="J2988" s="8">
        <v>990</v>
      </c>
      <c r="K2988" s="5" t="s">
        <v>4</v>
      </c>
      <c r="L2988">
        <f t="shared" si="46"/>
        <v>5</v>
      </c>
    </row>
    <row r="2989" spans="1:12" x14ac:dyDescent="0.25">
      <c r="A2989" s="5">
        <v>48758</v>
      </c>
      <c r="B2989" t="s">
        <v>14945</v>
      </c>
      <c r="C2989" s="5" t="s">
        <v>1105</v>
      </c>
      <c r="D2989" t="s">
        <v>14946</v>
      </c>
      <c r="E2989" s="5" t="s">
        <v>6081</v>
      </c>
      <c r="F2989" s="6">
        <v>46169.655555555553</v>
      </c>
      <c r="G2989" s="5" t="s">
        <v>7456</v>
      </c>
      <c r="H2989" s="5" t="s">
        <v>14947</v>
      </c>
      <c r="I2989" s="5" t="s">
        <v>3243</v>
      </c>
      <c r="J2989" s="8">
        <v>89.44</v>
      </c>
      <c r="K2989" s="5" t="s">
        <v>4</v>
      </c>
      <c r="L2989">
        <f t="shared" si="46"/>
        <v>5</v>
      </c>
    </row>
    <row r="2990" spans="1:12" x14ac:dyDescent="0.25">
      <c r="A2990" s="5">
        <v>48759</v>
      </c>
      <c r="B2990" t="s">
        <v>14948</v>
      </c>
      <c r="C2990" s="5" t="s">
        <v>14949</v>
      </c>
      <c r="D2990" t="s">
        <v>14950</v>
      </c>
      <c r="E2990" s="5" t="s">
        <v>6728</v>
      </c>
      <c r="F2990" s="6">
        <v>46169.677777777775</v>
      </c>
      <c r="G2990" s="5" t="s">
        <v>7456</v>
      </c>
      <c r="H2990" s="5" t="s">
        <v>14951</v>
      </c>
      <c r="I2990" s="5" t="s">
        <v>3243</v>
      </c>
      <c r="J2990" s="8">
        <v>50.34</v>
      </c>
      <c r="K2990" s="5" t="s">
        <v>4</v>
      </c>
      <c r="L2990">
        <f t="shared" si="46"/>
        <v>5</v>
      </c>
    </row>
    <row r="2991" spans="1:12" x14ac:dyDescent="0.25">
      <c r="A2991" s="5">
        <v>48760</v>
      </c>
      <c r="B2991" t="s">
        <v>11327</v>
      </c>
      <c r="C2991" s="5" t="s">
        <v>14952</v>
      </c>
      <c r="D2991" t="s">
        <v>11329</v>
      </c>
      <c r="E2991" s="5" t="s">
        <v>3844</v>
      </c>
      <c r="F2991" s="6">
        <v>46169.68472222222</v>
      </c>
      <c r="G2991" s="5" t="s">
        <v>7456</v>
      </c>
      <c r="H2991" s="5" t="s">
        <v>14953</v>
      </c>
      <c r="I2991" s="5" t="s">
        <v>1564</v>
      </c>
      <c r="J2991" s="8">
        <v>279.8</v>
      </c>
      <c r="K2991" s="5" t="s">
        <v>4</v>
      </c>
      <c r="L2991">
        <f t="shared" si="46"/>
        <v>5</v>
      </c>
    </row>
    <row r="2992" spans="1:12" x14ac:dyDescent="0.25">
      <c r="A2992" s="5">
        <v>48762</v>
      </c>
      <c r="B2992" t="s">
        <v>14954</v>
      </c>
      <c r="C2992" s="5" t="s">
        <v>14955</v>
      </c>
      <c r="D2992" t="s">
        <v>14956</v>
      </c>
      <c r="E2992" s="5" t="s">
        <v>6798</v>
      </c>
      <c r="F2992" s="6">
        <v>46169.690972222219</v>
      </c>
      <c r="G2992" s="5" t="s">
        <v>7456</v>
      </c>
      <c r="H2992" s="5" t="s">
        <v>14957</v>
      </c>
      <c r="I2992" s="5" t="s">
        <v>1621</v>
      </c>
      <c r="J2992" s="8">
        <v>44.46</v>
      </c>
      <c r="K2992" s="5" t="s">
        <v>4</v>
      </c>
      <c r="L2992">
        <f t="shared" si="46"/>
        <v>5</v>
      </c>
    </row>
    <row r="2993" spans="1:12" x14ac:dyDescent="0.25">
      <c r="A2993" s="5">
        <v>48764</v>
      </c>
      <c r="B2993" t="s">
        <v>14958</v>
      </c>
      <c r="C2993" s="5" t="s">
        <v>986</v>
      </c>
      <c r="D2993" t="s">
        <v>14959</v>
      </c>
      <c r="E2993" s="5" t="s">
        <v>5316</v>
      </c>
      <c r="F2993" s="6">
        <v>46169.709722222222</v>
      </c>
      <c r="G2993" s="5" t="s">
        <v>7456</v>
      </c>
      <c r="H2993" s="5" t="s">
        <v>14960</v>
      </c>
      <c r="I2993" s="5" t="s">
        <v>3243</v>
      </c>
      <c r="J2993" s="8">
        <v>135</v>
      </c>
      <c r="K2993" s="5" t="s">
        <v>4</v>
      </c>
      <c r="L2993">
        <f t="shared" si="46"/>
        <v>5</v>
      </c>
    </row>
    <row r="2994" spans="1:12" x14ac:dyDescent="0.25">
      <c r="A2994" s="5">
        <v>48765</v>
      </c>
      <c r="B2994" t="s">
        <v>14961</v>
      </c>
      <c r="C2994" s="5" t="s">
        <v>14962</v>
      </c>
      <c r="D2994" t="s">
        <v>14963</v>
      </c>
      <c r="E2994" s="5" t="s">
        <v>3458</v>
      </c>
      <c r="F2994" s="6">
        <v>46169.739583333336</v>
      </c>
      <c r="G2994" s="5" t="s">
        <v>7456</v>
      </c>
      <c r="H2994" s="5" t="s">
        <v>14964</v>
      </c>
      <c r="I2994" s="5" t="s">
        <v>1564</v>
      </c>
      <c r="J2994" s="8">
        <v>186</v>
      </c>
      <c r="K2994" s="5" t="s">
        <v>4</v>
      </c>
      <c r="L2994">
        <f t="shared" si="46"/>
        <v>5</v>
      </c>
    </row>
    <row r="2995" spans="1:12" x14ac:dyDescent="0.25">
      <c r="A2995" s="5">
        <v>48768</v>
      </c>
      <c r="B2995" t="s">
        <v>14965</v>
      </c>
      <c r="C2995" s="5" t="s">
        <v>14966</v>
      </c>
      <c r="D2995" t="s">
        <v>14967</v>
      </c>
      <c r="E2995" s="5" t="s">
        <v>2314</v>
      </c>
      <c r="F2995" s="6">
        <v>46169.768750000003</v>
      </c>
      <c r="G2995" s="5" t="s">
        <v>7456</v>
      </c>
      <c r="H2995" s="5" t="s">
        <v>14968</v>
      </c>
      <c r="I2995" s="5" t="s">
        <v>1564</v>
      </c>
      <c r="J2995" s="8">
        <v>2472</v>
      </c>
      <c r="K2995" s="5" t="s">
        <v>4</v>
      </c>
      <c r="L2995">
        <f t="shared" si="46"/>
        <v>5</v>
      </c>
    </row>
    <row r="2996" spans="1:12" x14ac:dyDescent="0.25">
      <c r="A2996" s="5">
        <v>48771</v>
      </c>
      <c r="B2996" t="s">
        <v>8965</v>
      </c>
      <c r="C2996" s="5" t="s">
        <v>9297</v>
      </c>
      <c r="D2996" t="s">
        <v>8966</v>
      </c>
      <c r="E2996" s="5" t="s">
        <v>1532</v>
      </c>
      <c r="F2996" s="6">
        <v>46170.37777777778</v>
      </c>
      <c r="G2996" s="5" t="s">
        <v>7595</v>
      </c>
      <c r="H2996" t="s">
        <v>7482</v>
      </c>
      <c r="I2996" s="5" t="s">
        <v>1535</v>
      </c>
      <c r="J2996" s="8">
        <v>57</v>
      </c>
      <c r="K2996" s="5" t="s">
        <v>4</v>
      </c>
      <c r="L2996">
        <f t="shared" si="46"/>
        <v>5</v>
      </c>
    </row>
    <row r="2997" spans="1:12" x14ac:dyDescent="0.25">
      <c r="A2997" s="5">
        <v>48773</v>
      </c>
      <c r="B2997" t="s">
        <v>11331</v>
      </c>
      <c r="C2997" s="5" t="s">
        <v>8569</v>
      </c>
      <c r="D2997" t="s">
        <v>11333</v>
      </c>
      <c r="E2997" s="5" t="s">
        <v>2740</v>
      </c>
      <c r="F2997" s="6">
        <v>46170.488194444442</v>
      </c>
      <c r="G2997" s="5" t="s">
        <v>13816</v>
      </c>
      <c r="H2997" t="s">
        <v>7482</v>
      </c>
      <c r="I2997" s="5" t="s">
        <v>1564</v>
      </c>
      <c r="J2997" s="8">
        <v>215</v>
      </c>
      <c r="K2997" s="5" t="s">
        <v>4</v>
      </c>
      <c r="L2997">
        <f t="shared" si="46"/>
        <v>5</v>
      </c>
    </row>
    <row r="2998" spans="1:12" x14ac:dyDescent="0.25">
      <c r="A2998" s="5">
        <v>48774</v>
      </c>
      <c r="B2998" t="s">
        <v>14969</v>
      </c>
      <c r="C2998" s="5" t="s">
        <v>14970</v>
      </c>
      <c r="D2998" t="s">
        <v>14971</v>
      </c>
      <c r="E2998" s="5" t="s">
        <v>1759</v>
      </c>
      <c r="F2998" s="6">
        <v>46170.54583333333</v>
      </c>
      <c r="G2998" s="5" t="s">
        <v>7456</v>
      </c>
      <c r="H2998" s="5" t="s">
        <v>14972</v>
      </c>
      <c r="I2998" s="5" t="s">
        <v>1564</v>
      </c>
      <c r="J2998" s="8">
        <v>530</v>
      </c>
      <c r="K2998" s="5" t="s">
        <v>4</v>
      </c>
      <c r="L2998">
        <f t="shared" si="46"/>
        <v>5</v>
      </c>
    </row>
    <row r="2999" spans="1:12" x14ac:dyDescent="0.25">
      <c r="A2999" s="5">
        <v>48775</v>
      </c>
      <c r="B2999" t="s">
        <v>13176</v>
      </c>
      <c r="C2999" s="5" t="s">
        <v>14973</v>
      </c>
      <c r="D2999" t="s">
        <v>13178</v>
      </c>
      <c r="E2999" s="5" t="s">
        <v>1738</v>
      </c>
      <c r="F2999" s="6">
        <v>46170.576388888891</v>
      </c>
      <c r="G2999" s="5" t="s">
        <v>7456</v>
      </c>
      <c r="H2999" s="5" t="s">
        <v>14974</v>
      </c>
      <c r="I2999" s="5" t="s">
        <v>1564</v>
      </c>
      <c r="J2999" s="8">
        <v>100</v>
      </c>
      <c r="K2999" s="5" t="s">
        <v>4</v>
      </c>
      <c r="L2999">
        <f t="shared" si="46"/>
        <v>5</v>
      </c>
    </row>
    <row r="3000" spans="1:12" x14ac:dyDescent="0.25">
      <c r="A3000" s="5">
        <v>48777</v>
      </c>
      <c r="B3000" t="s">
        <v>7745</v>
      </c>
      <c r="C3000" s="5" t="s">
        <v>14975</v>
      </c>
      <c r="D3000" t="s">
        <v>7747</v>
      </c>
      <c r="E3000" s="5" t="s">
        <v>2151</v>
      </c>
      <c r="F3000" s="6">
        <v>46170.615277777775</v>
      </c>
      <c r="G3000" s="5" t="s">
        <v>7456</v>
      </c>
      <c r="H3000" s="5" t="s">
        <v>14976</v>
      </c>
      <c r="I3000" s="5" t="s">
        <v>1564</v>
      </c>
      <c r="J3000" s="8">
        <v>425.2</v>
      </c>
      <c r="K3000" s="5" t="s">
        <v>4</v>
      </c>
      <c r="L3000">
        <f t="shared" si="46"/>
        <v>5</v>
      </c>
    </row>
    <row r="3001" spans="1:12" x14ac:dyDescent="0.25">
      <c r="A3001" s="5">
        <v>48778</v>
      </c>
      <c r="B3001" t="s">
        <v>14977</v>
      </c>
      <c r="C3001" s="5" t="s">
        <v>14978</v>
      </c>
      <c r="D3001" t="s">
        <v>14979</v>
      </c>
      <c r="E3001" s="5" t="s">
        <v>1532</v>
      </c>
      <c r="F3001" s="6">
        <v>46170.624305555553</v>
      </c>
      <c r="G3001" s="5" t="s">
        <v>7595</v>
      </c>
      <c r="H3001" t="s">
        <v>7482</v>
      </c>
      <c r="I3001" s="5" t="s">
        <v>1535</v>
      </c>
      <c r="J3001" s="8">
        <v>540</v>
      </c>
      <c r="K3001" s="5" t="s">
        <v>4</v>
      </c>
      <c r="L3001">
        <f t="shared" si="46"/>
        <v>5</v>
      </c>
    </row>
    <row r="3002" spans="1:12" x14ac:dyDescent="0.25">
      <c r="A3002" s="5">
        <v>48780</v>
      </c>
      <c r="B3002" t="s">
        <v>10171</v>
      </c>
      <c r="C3002" s="5" t="s">
        <v>10172</v>
      </c>
      <c r="D3002" t="s">
        <v>10173</v>
      </c>
      <c r="E3002" s="5" t="s">
        <v>1677</v>
      </c>
      <c r="F3002" s="6">
        <v>46170.654166666667</v>
      </c>
      <c r="G3002" s="5" t="s">
        <v>7456</v>
      </c>
      <c r="H3002" s="5" t="s">
        <v>14980</v>
      </c>
      <c r="I3002" s="5" t="s">
        <v>1535</v>
      </c>
      <c r="J3002" s="8">
        <v>50.7</v>
      </c>
      <c r="K3002" s="5" t="s">
        <v>4</v>
      </c>
      <c r="L3002">
        <f t="shared" si="46"/>
        <v>5</v>
      </c>
    </row>
    <row r="3003" spans="1:12" x14ac:dyDescent="0.25">
      <c r="A3003" s="5">
        <v>48781</v>
      </c>
      <c r="B3003" t="s">
        <v>14981</v>
      </c>
      <c r="C3003" s="5" t="s">
        <v>14982</v>
      </c>
      <c r="D3003" t="s">
        <v>14983</v>
      </c>
      <c r="E3003" s="5" t="s">
        <v>1532</v>
      </c>
      <c r="F3003" s="6">
        <v>46170.660416666666</v>
      </c>
      <c r="G3003" s="5" t="s">
        <v>7595</v>
      </c>
      <c r="H3003" t="s">
        <v>7482</v>
      </c>
      <c r="I3003" s="5" t="s">
        <v>1535</v>
      </c>
      <c r="J3003" s="8">
        <v>101</v>
      </c>
      <c r="K3003" s="5" t="s">
        <v>4</v>
      </c>
      <c r="L3003">
        <f t="shared" si="46"/>
        <v>5</v>
      </c>
    </row>
    <row r="3004" spans="1:12" x14ac:dyDescent="0.25">
      <c r="A3004" s="5">
        <v>48783</v>
      </c>
      <c r="B3004" t="s">
        <v>14984</v>
      </c>
      <c r="C3004" s="5" t="s">
        <v>14985</v>
      </c>
      <c r="D3004" t="s">
        <v>14986</v>
      </c>
      <c r="E3004" s="5" t="s">
        <v>4016</v>
      </c>
      <c r="F3004" s="6">
        <v>46170.65625</v>
      </c>
      <c r="G3004" s="5" t="s">
        <v>7456</v>
      </c>
      <c r="H3004" s="5" t="s">
        <v>14987</v>
      </c>
      <c r="I3004" s="5" t="s">
        <v>3243</v>
      </c>
      <c r="J3004" s="8">
        <v>256.58999999999997</v>
      </c>
      <c r="K3004" s="5" t="s">
        <v>4</v>
      </c>
      <c r="L3004">
        <f t="shared" si="46"/>
        <v>5</v>
      </c>
    </row>
    <row r="3005" spans="1:12" x14ac:dyDescent="0.25">
      <c r="A3005" s="5">
        <v>48784</v>
      </c>
      <c r="B3005" t="s">
        <v>14988</v>
      </c>
      <c r="C3005" s="5" t="s">
        <v>14989</v>
      </c>
      <c r="D3005" t="s">
        <v>14990</v>
      </c>
      <c r="E3005" s="5" t="s">
        <v>1532</v>
      </c>
      <c r="F3005" s="6">
        <v>46170.67291666667</v>
      </c>
      <c r="G3005" s="5" t="s">
        <v>7595</v>
      </c>
      <c r="H3005" t="s">
        <v>7482</v>
      </c>
      <c r="I3005" s="5" t="s">
        <v>1535</v>
      </c>
      <c r="J3005" s="8">
        <v>324</v>
      </c>
      <c r="K3005" s="5" t="s">
        <v>4</v>
      </c>
      <c r="L3005">
        <f t="shared" si="46"/>
        <v>5</v>
      </c>
    </row>
    <row r="3006" spans="1:12" x14ac:dyDescent="0.25">
      <c r="A3006" s="5">
        <v>48785</v>
      </c>
      <c r="B3006" t="s">
        <v>14991</v>
      </c>
      <c r="C3006" s="5" t="s">
        <v>513</v>
      </c>
      <c r="D3006" t="s">
        <v>14992</v>
      </c>
      <c r="E3006" s="5" t="s">
        <v>6312</v>
      </c>
      <c r="F3006" s="6">
        <v>46170.668749999997</v>
      </c>
      <c r="G3006" s="5" t="s">
        <v>7456</v>
      </c>
      <c r="H3006" s="5" t="s">
        <v>14993</v>
      </c>
      <c r="I3006" s="5" t="s">
        <v>3243</v>
      </c>
      <c r="J3006" s="8">
        <v>73.39</v>
      </c>
      <c r="K3006" s="5" t="s">
        <v>4</v>
      </c>
      <c r="L3006">
        <f t="shared" si="46"/>
        <v>5</v>
      </c>
    </row>
    <row r="3007" spans="1:12" x14ac:dyDescent="0.25">
      <c r="A3007" s="5">
        <v>48786</v>
      </c>
      <c r="B3007" t="s">
        <v>12006</v>
      </c>
      <c r="C3007" s="5" t="s">
        <v>12007</v>
      </c>
      <c r="D3007" t="s">
        <v>12008</v>
      </c>
      <c r="E3007" s="5" t="s">
        <v>1532</v>
      </c>
      <c r="F3007" s="6">
        <v>46170.679861111108</v>
      </c>
      <c r="G3007" s="5" t="s">
        <v>7595</v>
      </c>
      <c r="H3007" t="s">
        <v>7482</v>
      </c>
      <c r="I3007" s="5" t="s">
        <v>1535</v>
      </c>
      <c r="J3007" s="8">
        <v>1484.75</v>
      </c>
      <c r="K3007" s="5" t="s">
        <v>4</v>
      </c>
      <c r="L3007">
        <f t="shared" si="46"/>
        <v>5</v>
      </c>
    </row>
    <row r="3008" spans="1:12" x14ac:dyDescent="0.25">
      <c r="A3008" s="5">
        <v>48788</v>
      </c>
      <c r="B3008" t="s">
        <v>8690</v>
      </c>
      <c r="C3008" s="5" t="s">
        <v>14994</v>
      </c>
      <c r="D3008" t="s">
        <v>8691</v>
      </c>
      <c r="E3008" s="5" t="s">
        <v>1759</v>
      </c>
      <c r="F3008" s="6">
        <v>46170.695138888892</v>
      </c>
      <c r="G3008" s="5" t="s">
        <v>7456</v>
      </c>
      <c r="H3008" s="5" t="s">
        <v>14995</v>
      </c>
      <c r="I3008" s="5" t="s">
        <v>1564</v>
      </c>
      <c r="J3008" s="8">
        <v>175</v>
      </c>
      <c r="K3008" s="5" t="s">
        <v>4</v>
      </c>
      <c r="L3008">
        <f t="shared" si="46"/>
        <v>5</v>
      </c>
    </row>
    <row r="3009" spans="1:12" x14ac:dyDescent="0.25">
      <c r="A3009" s="5">
        <v>48789</v>
      </c>
      <c r="B3009" t="s">
        <v>8965</v>
      </c>
      <c r="C3009" s="5" t="s">
        <v>9154</v>
      </c>
      <c r="D3009" t="s">
        <v>8966</v>
      </c>
      <c r="E3009" s="5" t="s">
        <v>1532</v>
      </c>
      <c r="F3009" s="6">
        <v>46170.70208333333</v>
      </c>
      <c r="G3009" s="5" t="s">
        <v>7595</v>
      </c>
      <c r="H3009" t="s">
        <v>7482</v>
      </c>
      <c r="I3009" s="5" t="s">
        <v>1535</v>
      </c>
      <c r="J3009" s="8">
        <v>500</v>
      </c>
      <c r="K3009" s="5" t="s">
        <v>4</v>
      </c>
      <c r="L3009">
        <f t="shared" si="46"/>
        <v>5</v>
      </c>
    </row>
    <row r="3010" spans="1:12" x14ac:dyDescent="0.25">
      <c r="A3010" s="5">
        <v>48790</v>
      </c>
      <c r="B3010" t="s">
        <v>8965</v>
      </c>
      <c r="C3010" s="5" t="s">
        <v>9154</v>
      </c>
      <c r="D3010" t="s">
        <v>8966</v>
      </c>
      <c r="E3010" s="5" t="s">
        <v>14996</v>
      </c>
      <c r="F3010" s="6">
        <v>46170.702777777777</v>
      </c>
      <c r="G3010" s="5" t="s">
        <v>7456</v>
      </c>
      <c r="H3010" s="5" t="s">
        <v>14997</v>
      </c>
      <c r="I3010" s="5" t="s">
        <v>1535</v>
      </c>
      <c r="J3010" s="8">
        <v>1790</v>
      </c>
      <c r="K3010" s="5" t="s">
        <v>4</v>
      </c>
      <c r="L3010">
        <f t="shared" si="46"/>
        <v>5</v>
      </c>
    </row>
    <row r="3011" spans="1:12" x14ac:dyDescent="0.25">
      <c r="A3011" s="5">
        <v>48791</v>
      </c>
      <c r="B3011" t="s">
        <v>14998</v>
      </c>
      <c r="C3011" s="5" t="s">
        <v>14999</v>
      </c>
      <c r="D3011" t="s">
        <v>15000</v>
      </c>
      <c r="E3011" s="5" t="s">
        <v>1770</v>
      </c>
      <c r="F3011" s="6">
        <v>46170.702777777777</v>
      </c>
      <c r="G3011" s="5" t="s">
        <v>7456</v>
      </c>
      <c r="H3011" s="5" t="s">
        <v>15001</v>
      </c>
      <c r="I3011" s="5" t="s">
        <v>1564</v>
      </c>
      <c r="J3011" s="8">
        <v>1000</v>
      </c>
      <c r="K3011" s="5" t="s">
        <v>4</v>
      </c>
      <c r="L3011">
        <f t="shared" ref="L3011:L3029" si="47">MONTH(F3011)</f>
        <v>5</v>
      </c>
    </row>
    <row r="3012" spans="1:12" x14ac:dyDescent="0.25">
      <c r="A3012" s="5">
        <v>48792</v>
      </c>
      <c r="B3012" t="s">
        <v>15002</v>
      </c>
      <c r="C3012" s="5" t="s">
        <v>15003</v>
      </c>
      <c r="D3012" t="s">
        <v>15004</v>
      </c>
      <c r="E3012" s="5" t="s">
        <v>3242</v>
      </c>
      <c r="F3012" s="6">
        <v>46170.707638888889</v>
      </c>
      <c r="G3012" s="5" t="s">
        <v>7456</v>
      </c>
      <c r="H3012" s="5" t="s">
        <v>15005</v>
      </c>
      <c r="I3012" s="5" t="s">
        <v>3243</v>
      </c>
      <c r="J3012" s="8">
        <v>385.05</v>
      </c>
      <c r="K3012" s="5" t="s">
        <v>4</v>
      </c>
      <c r="L3012">
        <f t="shared" si="47"/>
        <v>5</v>
      </c>
    </row>
    <row r="3013" spans="1:12" x14ac:dyDescent="0.25">
      <c r="A3013" s="5">
        <v>48794</v>
      </c>
      <c r="B3013" t="s">
        <v>15006</v>
      </c>
      <c r="C3013" s="5" t="s">
        <v>15007</v>
      </c>
      <c r="D3013" t="s">
        <v>15008</v>
      </c>
      <c r="E3013" s="5" t="s">
        <v>1532</v>
      </c>
      <c r="F3013" s="6">
        <v>46171.345833333333</v>
      </c>
      <c r="G3013" s="5" t="s">
        <v>7456</v>
      </c>
      <c r="H3013" s="5" t="s">
        <v>15009</v>
      </c>
      <c r="I3013" s="5" t="s">
        <v>1535</v>
      </c>
      <c r="J3013" s="8">
        <v>140.6</v>
      </c>
      <c r="K3013" s="5" t="s">
        <v>4</v>
      </c>
      <c r="L3013">
        <f t="shared" si="47"/>
        <v>5</v>
      </c>
    </row>
    <row r="3014" spans="1:12" x14ac:dyDescent="0.25">
      <c r="A3014" s="5">
        <v>48795</v>
      </c>
      <c r="B3014" t="s">
        <v>15010</v>
      </c>
      <c r="C3014" s="5" t="s">
        <v>15011</v>
      </c>
      <c r="D3014" t="s">
        <v>15012</v>
      </c>
      <c r="E3014" s="5" t="s">
        <v>15013</v>
      </c>
      <c r="F3014" s="6">
        <v>46171.362500000003</v>
      </c>
      <c r="G3014" s="5" t="s">
        <v>13816</v>
      </c>
      <c r="H3014" t="s">
        <v>7482</v>
      </c>
      <c r="I3014" s="5" t="s">
        <v>1564</v>
      </c>
      <c r="J3014" s="8">
        <v>981</v>
      </c>
      <c r="K3014" s="5" t="s">
        <v>4</v>
      </c>
      <c r="L3014">
        <f t="shared" si="47"/>
        <v>5</v>
      </c>
    </row>
    <row r="3015" spans="1:12" x14ac:dyDescent="0.25">
      <c r="A3015" s="5">
        <v>48796</v>
      </c>
      <c r="B3015" t="s">
        <v>15014</v>
      </c>
      <c r="C3015" s="5" t="s">
        <v>15015</v>
      </c>
      <c r="D3015" t="s">
        <v>15016</v>
      </c>
      <c r="E3015" s="5" t="s">
        <v>1532</v>
      </c>
      <c r="F3015" s="6">
        <v>46171.413888888892</v>
      </c>
      <c r="G3015" s="5" t="s">
        <v>7595</v>
      </c>
      <c r="H3015" t="s">
        <v>7482</v>
      </c>
      <c r="I3015" s="5" t="s">
        <v>1535</v>
      </c>
      <c r="J3015" s="8">
        <v>4248.2</v>
      </c>
      <c r="K3015" s="5" t="s">
        <v>4</v>
      </c>
      <c r="L3015">
        <f t="shared" si="47"/>
        <v>5</v>
      </c>
    </row>
    <row r="3016" spans="1:12" x14ac:dyDescent="0.25">
      <c r="A3016" s="5">
        <v>48797</v>
      </c>
      <c r="B3016" t="s">
        <v>13417</v>
      </c>
      <c r="C3016" s="5" t="s">
        <v>15017</v>
      </c>
      <c r="D3016" t="s">
        <v>10553</v>
      </c>
      <c r="E3016" s="5" t="s">
        <v>4219</v>
      </c>
      <c r="F3016" s="6">
        <v>46171.421527777777</v>
      </c>
      <c r="G3016" s="5" t="s">
        <v>7456</v>
      </c>
      <c r="H3016" s="5" t="s">
        <v>15018</v>
      </c>
      <c r="I3016" s="5" t="s">
        <v>1535</v>
      </c>
      <c r="J3016" s="8">
        <v>229.5</v>
      </c>
      <c r="K3016" s="5" t="s">
        <v>4</v>
      </c>
      <c r="L3016">
        <f t="shared" si="47"/>
        <v>5</v>
      </c>
    </row>
    <row r="3017" spans="1:12" x14ac:dyDescent="0.25">
      <c r="A3017" s="5">
        <v>48798</v>
      </c>
      <c r="B3017" t="s">
        <v>15019</v>
      </c>
      <c r="C3017" s="5" t="s">
        <v>7516</v>
      </c>
      <c r="D3017" t="s">
        <v>15020</v>
      </c>
      <c r="E3017" s="5" t="s">
        <v>1532</v>
      </c>
      <c r="F3017" s="6">
        <v>46171.443055555559</v>
      </c>
      <c r="G3017" s="5" t="s">
        <v>7595</v>
      </c>
      <c r="H3017" t="s">
        <v>7482</v>
      </c>
      <c r="I3017" s="5" t="s">
        <v>1535</v>
      </c>
      <c r="J3017" s="8">
        <v>345.3</v>
      </c>
      <c r="K3017" s="5" t="s">
        <v>4</v>
      </c>
      <c r="L3017">
        <f t="shared" si="47"/>
        <v>5</v>
      </c>
    </row>
    <row r="3018" spans="1:12" x14ac:dyDescent="0.25">
      <c r="A3018" s="5">
        <v>48799</v>
      </c>
      <c r="B3018" t="s">
        <v>8881</v>
      </c>
      <c r="C3018" s="5" t="s">
        <v>8882</v>
      </c>
      <c r="D3018" t="s">
        <v>8883</v>
      </c>
      <c r="E3018" s="5" t="s">
        <v>1532</v>
      </c>
      <c r="F3018" s="6">
        <v>46171.461805555555</v>
      </c>
      <c r="G3018" s="5" t="s">
        <v>7456</v>
      </c>
      <c r="H3018" s="5" t="s">
        <v>15021</v>
      </c>
      <c r="I3018" s="5" t="s">
        <v>1535</v>
      </c>
      <c r="J3018" s="8">
        <v>90</v>
      </c>
      <c r="K3018" s="5" t="s">
        <v>4</v>
      </c>
      <c r="L3018">
        <f t="shared" si="47"/>
        <v>5</v>
      </c>
    </row>
    <row r="3019" spans="1:12" x14ac:dyDescent="0.25">
      <c r="A3019" s="5">
        <v>48800</v>
      </c>
      <c r="B3019" t="s">
        <v>15022</v>
      </c>
      <c r="C3019" s="5" t="s">
        <v>15023</v>
      </c>
      <c r="D3019" t="s">
        <v>15024</v>
      </c>
      <c r="E3019" s="5" t="s">
        <v>2118</v>
      </c>
      <c r="F3019" s="6">
        <v>46171.488194444442</v>
      </c>
      <c r="G3019" s="5" t="s">
        <v>7456</v>
      </c>
      <c r="H3019" s="5" t="s">
        <v>15025</v>
      </c>
      <c r="I3019" s="5" t="s">
        <v>1564</v>
      </c>
      <c r="J3019" s="8">
        <v>532.5</v>
      </c>
      <c r="K3019" s="5" t="s">
        <v>4</v>
      </c>
      <c r="L3019">
        <f t="shared" si="47"/>
        <v>5</v>
      </c>
    </row>
    <row r="3020" spans="1:12" x14ac:dyDescent="0.25">
      <c r="A3020" s="5">
        <v>48801</v>
      </c>
      <c r="B3020" t="s">
        <v>15026</v>
      </c>
      <c r="C3020" s="5" t="s">
        <v>15027</v>
      </c>
      <c r="D3020" t="s">
        <v>15028</v>
      </c>
      <c r="E3020" s="5" t="s">
        <v>15029</v>
      </c>
      <c r="F3020" s="6">
        <v>46171.495833333334</v>
      </c>
      <c r="G3020" s="5" t="s">
        <v>7456</v>
      </c>
      <c r="H3020" s="5" t="s">
        <v>15030</v>
      </c>
      <c r="I3020" s="5" t="s">
        <v>1564</v>
      </c>
      <c r="J3020" s="8">
        <v>795</v>
      </c>
      <c r="K3020" s="5" t="s">
        <v>4</v>
      </c>
      <c r="L3020">
        <f t="shared" si="47"/>
        <v>5</v>
      </c>
    </row>
    <row r="3021" spans="1:12" x14ac:dyDescent="0.25">
      <c r="A3021" s="5">
        <v>48802</v>
      </c>
      <c r="B3021" t="s">
        <v>15031</v>
      </c>
      <c r="C3021" s="5" t="s">
        <v>15032</v>
      </c>
      <c r="D3021" t="s">
        <v>15033</v>
      </c>
      <c r="E3021" s="5" t="s">
        <v>11541</v>
      </c>
      <c r="F3021" s="6">
        <v>46171.508333333331</v>
      </c>
      <c r="G3021" s="5" t="s">
        <v>13816</v>
      </c>
      <c r="H3021" t="s">
        <v>7482</v>
      </c>
      <c r="I3021" s="5" t="s">
        <v>1564</v>
      </c>
      <c r="J3021" s="8">
        <v>917.5</v>
      </c>
      <c r="K3021" s="5" t="s">
        <v>4</v>
      </c>
      <c r="L3021">
        <f t="shared" si="47"/>
        <v>5</v>
      </c>
    </row>
    <row r="3022" spans="1:12" x14ac:dyDescent="0.25">
      <c r="A3022" s="5">
        <v>48803</v>
      </c>
      <c r="B3022" t="s">
        <v>15034</v>
      </c>
      <c r="C3022" s="5" t="s">
        <v>15035</v>
      </c>
      <c r="D3022" t="s">
        <v>15036</v>
      </c>
      <c r="E3022" s="5" t="s">
        <v>1759</v>
      </c>
      <c r="F3022" s="6">
        <v>46171.511805555558</v>
      </c>
      <c r="G3022" s="5" t="s">
        <v>13816</v>
      </c>
      <c r="H3022" t="s">
        <v>8626</v>
      </c>
      <c r="I3022" s="5" t="s">
        <v>1564</v>
      </c>
      <c r="J3022" s="8">
        <v>172</v>
      </c>
      <c r="K3022" s="5" t="s">
        <v>4</v>
      </c>
      <c r="L3022">
        <f t="shared" si="47"/>
        <v>5</v>
      </c>
    </row>
    <row r="3023" spans="1:12" x14ac:dyDescent="0.25">
      <c r="A3023" s="5">
        <v>48804</v>
      </c>
      <c r="B3023" t="s">
        <v>15037</v>
      </c>
      <c r="C3023" s="5" t="s">
        <v>15038</v>
      </c>
      <c r="D3023" t="s">
        <v>15039</v>
      </c>
      <c r="E3023" s="5" t="s">
        <v>2573</v>
      </c>
      <c r="F3023" s="6">
        <v>46171.521527777775</v>
      </c>
      <c r="G3023" s="5" t="s">
        <v>7456</v>
      </c>
      <c r="H3023" s="5" t="s">
        <v>15040</v>
      </c>
      <c r="I3023" s="5" t="s">
        <v>1564</v>
      </c>
      <c r="J3023" s="8">
        <v>623</v>
      </c>
      <c r="K3023" s="5" t="s">
        <v>4</v>
      </c>
      <c r="L3023">
        <f t="shared" si="47"/>
        <v>5</v>
      </c>
    </row>
    <row r="3024" spans="1:12" x14ac:dyDescent="0.25">
      <c r="A3024" s="5">
        <v>48805</v>
      </c>
      <c r="B3024" t="s">
        <v>15041</v>
      </c>
      <c r="C3024" s="5" t="s">
        <v>8569</v>
      </c>
      <c r="D3024" t="s">
        <v>15042</v>
      </c>
      <c r="E3024" s="5" t="s">
        <v>5106</v>
      </c>
      <c r="F3024" s="6">
        <v>46171.631944444445</v>
      </c>
      <c r="G3024" s="5" t="s">
        <v>7456</v>
      </c>
      <c r="H3024" s="5" t="s">
        <v>15043</v>
      </c>
      <c r="I3024" s="5" t="s">
        <v>3243</v>
      </c>
      <c r="J3024" s="8">
        <v>145.55000000000001</v>
      </c>
      <c r="K3024" s="5" t="s">
        <v>4</v>
      </c>
      <c r="L3024">
        <f t="shared" si="47"/>
        <v>5</v>
      </c>
    </row>
    <row r="3025" spans="1:12" x14ac:dyDescent="0.25">
      <c r="A3025" s="5">
        <v>48806</v>
      </c>
      <c r="B3025" t="s">
        <v>15044</v>
      </c>
      <c r="C3025" s="5" t="s">
        <v>15045</v>
      </c>
      <c r="D3025" t="s">
        <v>9225</v>
      </c>
      <c r="E3025" s="5" t="s">
        <v>15046</v>
      </c>
      <c r="F3025" s="6">
        <v>46171.640972222223</v>
      </c>
      <c r="G3025" s="5" t="s">
        <v>13816</v>
      </c>
      <c r="H3025" t="s">
        <v>7482</v>
      </c>
      <c r="I3025" s="5" t="s">
        <v>1564</v>
      </c>
      <c r="J3025" s="8">
        <v>4535.8599999999997</v>
      </c>
      <c r="K3025" s="5" t="s">
        <v>4</v>
      </c>
      <c r="L3025">
        <f t="shared" si="47"/>
        <v>5</v>
      </c>
    </row>
    <row r="3026" spans="1:12" x14ac:dyDescent="0.25">
      <c r="A3026" s="5">
        <v>48807</v>
      </c>
      <c r="B3026" t="s">
        <v>15047</v>
      </c>
      <c r="C3026" s="5" t="s">
        <v>1005</v>
      </c>
      <c r="D3026" t="s">
        <v>15048</v>
      </c>
      <c r="E3026" s="5" t="s">
        <v>6713</v>
      </c>
      <c r="F3026" s="6">
        <v>46171.637499999997</v>
      </c>
      <c r="G3026" s="5" t="s">
        <v>7456</v>
      </c>
      <c r="H3026" s="5" t="s">
        <v>15049</v>
      </c>
      <c r="I3026" s="5" t="s">
        <v>3243</v>
      </c>
      <c r="J3026" s="8">
        <v>51.81</v>
      </c>
      <c r="K3026" s="5" t="s">
        <v>4</v>
      </c>
      <c r="L3026">
        <f t="shared" si="47"/>
        <v>5</v>
      </c>
    </row>
    <row r="3027" spans="1:12" x14ac:dyDescent="0.25">
      <c r="A3027" s="5">
        <v>48808</v>
      </c>
      <c r="B3027" t="s">
        <v>15050</v>
      </c>
      <c r="C3027" s="5" t="s">
        <v>15051</v>
      </c>
      <c r="D3027" t="s">
        <v>15052</v>
      </c>
      <c r="E3027" s="5" t="s">
        <v>3770</v>
      </c>
      <c r="F3027" s="6">
        <v>46171.651388888888</v>
      </c>
      <c r="G3027" s="5" t="s">
        <v>13816</v>
      </c>
      <c r="H3027" t="s">
        <v>8626</v>
      </c>
      <c r="I3027" s="5" t="s">
        <v>1564</v>
      </c>
      <c r="J3027" s="8">
        <v>804.82</v>
      </c>
      <c r="K3027" s="5" t="s">
        <v>4</v>
      </c>
      <c r="L3027">
        <f t="shared" si="47"/>
        <v>5</v>
      </c>
    </row>
    <row r="3028" spans="1:12" x14ac:dyDescent="0.25">
      <c r="A3028" s="5">
        <v>48809</v>
      </c>
      <c r="B3028" t="s">
        <v>15053</v>
      </c>
      <c r="C3028" s="5" t="s">
        <v>13838</v>
      </c>
      <c r="D3028" t="s">
        <v>15054</v>
      </c>
      <c r="E3028" s="5" t="s">
        <v>2314</v>
      </c>
      <c r="F3028" s="6">
        <v>46171.661111111112</v>
      </c>
      <c r="G3028" s="5" t="s">
        <v>7456</v>
      </c>
      <c r="H3028" s="5" t="s">
        <v>15055</v>
      </c>
      <c r="I3028" s="5" t="s">
        <v>1564</v>
      </c>
      <c r="J3028" s="8">
        <v>143.4</v>
      </c>
      <c r="K3028" s="5" t="s">
        <v>4</v>
      </c>
      <c r="L3028">
        <f t="shared" si="47"/>
        <v>5</v>
      </c>
    </row>
    <row r="3029" spans="1:12" x14ac:dyDescent="0.25">
      <c r="A3029" s="5">
        <v>48810</v>
      </c>
      <c r="B3029" t="s">
        <v>15056</v>
      </c>
      <c r="C3029" s="5" t="s">
        <v>966</v>
      </c>
      <c r="D3029" t="s">
        <v>15057</v>
      </c>
      <c r="E3029" s="5" t="s">
        <v>4308</v>
      </c>
      <c r="F3029" s="6">
        <v>46171.654861111114</v>
      </c>
      <c r="G3029" s="5" t="s">
        <v>7456</v>
      </c>
      <c r="H3029" s="5" t="s">
        <v>15058</v>
      </c>
      <c r="I3029" s="5" t="s">
        <v>3243</v>
      </c>
      <c r="J3029" s="8">
        <v>219.51</v>
      </c>
      <c r="K3029" s="5" t="s">
        <v>4</v>
      </c>
      <c r="L3029">
        <f t="shared" si="47"/>
        <v>5</v>
      </c>
    </row>
  </sheetData>
  <autoFilter ref="A1:L3029" xr:uid="{05E3FC09-624F-4262-B5DF-2622ABE975AA}">
    <filterColumn colId="10">
      <filters>
        <filter val="Iplacas"/>
      </filters>
    </filterColumn>
  </autoFilter>
  <sortState xmlns:xlrd2="http://schemas.microsoft.com/office/spreadsheetml/2017/richdata2" ref="A2:J1483">
    <sortCondition ref="A2:A1483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5529-EFCA-4BFE-B36D-F0F6523D2D2E}">
  <dimension ref="A1:K718"/>
  <sheetViews>
    <sheetView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1" max="1" width="47.140625" customWidth="1"/>
    <col min="2" max="2" width="27.140625" customWidth="1"/>
    <col min="4" max="4" width="31.85546875" bestFit="1" customWidth="1"/>
    <col min="5" max="5" width="17.7109375" bestFit="1" customWidth="1"/>
    <col min="6" max="6" width="10" bestFit="1" customWidth="1"/>
    <col min="8" max="8" width="15.7109375" customWidth="1"/>
    <col min="11" max="11" width="19.7109375" bestFit="1" customWidth="1"/>
  </cols>
  <sheetData>
    <row r="1" spans="1:11" x14ac:dyDescent="0.25">
      <c r="A1" s="4" t="s">
        <v>15059</v>
      </c>
      <c r="B1" s="4" t="s">
        <v>15130</v>
      </c>
      <c r="C1" s="4" t="s">
        <v>15131</v>
      </c>
      <c r="D1" s="4" t="s">
        <v>15132</v>
      </c>
      <c r="E1" s="4" t="s">
        <v>15133</v>
      </c>
      <c r="F1" s="4" t="s">
        <v>15134</v>
      </c>
      <c r="G1" s="4" t="s">
        <v>15135</v>
      </c>
      <c r="H1" s="4" t="s">
        <v>15136</v>
      </c>
      <c r="I1" s="4" t="s">
        <v>0</v>
      </c>
      <c r="J1" s="4" t="s">
        <v>7433</v>
      </c>
      <c r="K1" s="4" t="s">
        <v>15137</v>
      </c>
    </row>
    <row r="2" spans="1:11" x14ac:dyDescent="0.25">
      <c r="A2" s="1" t="s">
        <v>15106</v>
      </c>
      <c r="B2" s="1" t="s">
        <v>1533</v>
      </c>
      <c r="C2" s="1" t="s">
        <v>1533</v>
      </c>
      <c r="D2" s="1" t="s">
        <v>1533</v>
      </c>
      <c r="E2" s="1" t="s">
        <v>1533</v>
      </c>
      <c r="F2" s="1">
        <v>0.03</v>
      </c>
      <c r="G2" s="1" t="s">
        <v>15138</v>
      </c>
      <c r="H2" s="3">
        <v>120</v>
      </c>
      <c r="I2" s="1" t="s">
        <v>1522</v>
      </c>
      <c r="J2" s="5" t="s">
        <v>7420</v>
      </c>
      <c r="K2" s="2">
        <f t="shared" ref="K2:K65" si="0">H2/F2</f>
        <v>4000</v>
      </c>
    </row>
    <row r="3" spans="1:11" x14ac:dyDescent="0.25">
      <c r="A3" s="5" t="s">
        <v>15100</v>
      </c>
      <c r="B3" s="5" t="s">
        <v>1533</v>
      </c>
      <c r="C3" s="5" t="s">
        <v>1533</v>
      </c>
      <c r="D3" s="5" t="s">
        <v>1533</v>
      </c>
      <c r="E3" s="5" t="s">
        <v>1533</v>
      </c>
      <c r="F3" s="5">
        <v>0.75</v>
      </c>
      <c r="G3" s="5" t="s">
        <v>15138</v>
      </c>
      <c r="H3" s="8">
        <v>1625</v>
      </c>
      <c r="I3" s="1" t="s">
        <v>1522</v>
      </c>
      <c r="J3" s="5" t="s">
        <v>7417</v>
      </c>
      <c r="K3" s="2">
        <f t="shared" si="0"/>
        <v>2166.6666666666665</v>
      </c>
    </row>
    <row r="4" spans="1:11" x14ac:dyDescent="0.25">
      <c r="A4" s="1" t="s">
        <v>15090</v>
      </c>
      <c r="B4" s="1" t="s">
        <v>1533</v>
      </c>
      <c r="C4" s="1" t="s">
        <v>1533</v>
      </c>
      <c r="D4" s="1" t="s">
        <v>15139</v>
      </c>
      <c r="E4" s="1" t="s">
        <v>15140</v>
      </c>
      <c r="F4" s="1">
        <v>0.01</v>
      </c>
      <c r="G4" s="1" t="s">
        <v>15138</v>
      </c>
      <c r="H4" s="3">
        <v>17.899999999999999</v>
      </c>
      <c r="I4" s="1" t="s">
        <v>4</v>
      </c>
      <c r="J4" s="5" t="s">
        <v>7419</v>
      </c>
      <c r="K4" s="2">
        <f t="shared" si="0"/>
        <v>1789.9999999999998</v>
      </c>
    </row>
    <row r="5" spans="1:11" x14ac:dyDescent="0.25">
      <c r="A5" s="1" t="s">
        <v>15082</v>
      </c>
      <c r="B5" s="1" t="s">
        <v>1533</v>
      </c>
      <c r="C5" s="1" t="s">
        <v>1533</v>
      </c>
      <c r="D5" s="1" t="s">
        <v>15139</v>
      </c>
      <c r="E5" s="1" t="s">
        <v>15140</v>
      </c>
      <c r="F5" s="1">
        <v>0.02</v>
      </c>
      <c r="G5" s="1" t="s">
        <v>15138</v>
      </c>
      <c r="H5" s="3">
        <v>29.98</v>
      </c>
      <c r="I5" s="1" t="s">
        <v>1522</v>
      </c>
      <c r="J5" s="5" t="s">
        <v>7418</v>
      </c>
      <c r="K5" s="2">
        <f t="shared" si="0"/>
        <v>1499</v>
      </c>
    </row>
    <row r="6" spans="1:11" x14ac:dyDescent="0.25">
      <c r="A6" s="1" t="s">
        <v>15082</v>
      </c>
      <c r="B6" s="1" t="s">
        <v>1533</v>
      </c>
      <c r="C6" s="1" t="s">
        <v>1533</v>
      </c>
      <c r="D6" s="1" t="s">
        <v>15139</v>
      </c>
      <c r="E6" s="1" t="s">
        <v>15140</v>
      </c>
      <c r="F6" s="1">
        <v>1.08</v>
      </c>
      <c r="G6" s="1" t="s">
        <v>15138</v>
      </c>
      <c r="H6" s="3">
        <v>1551.18</v>
      </c>
      <c r="I6" s="1" t="s">
        <v>4</v>
      </c>
      <c r="J6" s="5" t="s">
        <v>7419</v>
      </c>
      <c r="K6" s="2">
        <f t="shared" si="0"/>
        <v>1436.2777777777778</v>
      </c>
    </row>
    <row r="7" spans="1:11" x14ac:dyDescent="0.25">
      <c r="A7" s="1" t="s">
        <v>15086</v>
      </c>
      <c r="B7" s="1" t="s">
        <v>15141</v>
      </c>
      <c r="C7" s="1" t="s">
        <v>1533</v>
      </c>
      <c r="D7" s="1" t="s">
        <v>1533</v>
      </c>
      <c r="E7" s="1" t="s">
        <v>1533</v>
      </c>
      <c r="F7" s="1">
        <v>2</v>
      </c>
      <c r="G7" s="1" t="s">
        <v>15142</v>
      </c>
      <c r="H7" s="3">
        <v>2515</v>
      </c>
      <c r="I7" s="1" t="s">
        <v>4</v>
      </c>
      <c r="J7" s="5" t="s">
        <v>7419</v>
      </c>
      <c r="K7" s="2">
        <f t="shared" si="0"/>
        <v>1257.5</v>
      </c>
    </row>
    <row r="8" spans="1:11" x14ac:dyDescent="0.25">
      <c r="A8" s="1" t="s">
        <v>15082</v>
      </c>
      <c r="B8" s="1" t="s">
        <v>1533</v>
      </c>
      <c r="C8" s="1" t="s">
        <v>1533</v>
      </c>
      <c r="D8" s="1" t="s">
        <v>15139</v>
      </c>
      <c r="E8" s="1" t="s">
        <v>15140</v>
      </c>
      <c r="F8" s="1">
        <v>1.07</v>
      </c>
      <c r="G8" s="1" t="s">
        <v>15138</v>
      </c>
      <c r="H8" s="3">
        <v>1343.74</v>
      </c>
      <c r="I8" s="1" t="s">
        <v>4</v>
      </c>
      <c r="J8" s="5" t="s">
        <v>7418</v>
      </c>
      <c r="K8" s="2">
        <f t="shared" si="0"/>
        <v>1255.8317757009345</v>
      </c>
    </row>
    <row r="9" spans="1:11" x14ac:dyDescent="0.25">
      <c r="A9" s="1" t="s">
        <v>15086</v>
      </c>
      <c r="B9" s="1" t="s">
        <v>15141</v>
      </c>
      <c r="C9" s="1" t="s">
        <v>1533</v>
      </c>
      <c r="D9" s="1" t="s">
        <v>1533</v>
      </c>
      <c r="E9" s="1" t="s">
        <v>1533</v>
      </c>
      <c r="F9" s="1">
        <v>1</v>
      </c>
      <c r="G9" s="1" t="s">
        <v>15142</v>
      </c>
      <c r="H9" s="3">
        <v>1130</v>
      </c>
      <c r="I9" s="1" t="s">
        <v>4</v>
      </c>
      <c r="J9" s="5" t="s">
        <v>7420</v>
      </c>
      <c r="K9" s="2">
        <f t="shared" si="0"/>
        <v>1130</v>
      </c>
    </row>
    <row r="10" spans="1:11" x14ac:dyDescent="0.25">
      <c r="A10" s="1" t="s">
        <v>15085</v>
      </c>
      <c r="B10" s="1" t="s">
        <v>15143</v>
      </c>
      <c r="C10" s="1" t="s">
        <v>1533</v>
      </c>
      <c r="D10" s="1" t="s">
        <v>1533</v>
      </c>
      <c r="E10" s="1" t="s">
        <v>1533</v>
      </c>
      <c r="F10" s="1">
        <v>0.42</v>
      </c>
      <c r="G10" s="1" t="s">
        <v>15138</v>
      </c>
      <c r="H10" s="3">
        <v>430</v>
      </c>
      <c r="I10" s="1" t="s">
        <v>1522</v>
      </c>
      <c r="J10" s="5" t="s">
        <v>7420</v>
      </c>
      <c r="K10" s="2">
        <f t="shared" si="0"/>
        <v>1023.8095238095239</v>
      </c>
    </row>
    <row r="11" spans="1:11" x14ac:dyDescent="0.25">
      <c r="A11" s="5" t="s">
        <v>15065</v>
      </c>
      <c r="B11" s="5" t="s">
        <v>1533</v>
      </c>
      <c r="C11" s="5" t="s">
        <v>1533</v>
      </c>
      <c r="D11" s="5" t="s">
        <v>15139</v>
      </c>
      <c r="E11" s="5" t="s">
        <v>15140</v>
      </c>
      <c r="F11" s="5">
        <v>7.57</v>
      </c>
      <c r="G11" s="5" t="s">
        <v>15138</v>
      </c>
      <c r="H11" s="8">
        <v>7699.34</v>
      </c>
      <c r="I11" s="5" t="s">
        <v>4</v>
      </c>
      <c r="J11" s="5" t="s">
        <v>7416</v>
      </c>
      <c r="K11" s="2">
        <f t="shared" si="0"/>
        <v>1017.0858652575957</v>
      </c>
    </row>
    <row r="12" spans="1:11" x14ac:dyDescent="0.25">
      <c r="A12" s="5" t="s">
        <v>15097</v>
      </c>
      <c r="B12" s="5" t="s">
        <v>1533</v>
      </c>
      <c r="C12" s="5" t="s">
        <v>1533</v>
      </c>
      <c r="D12" s="5" t="s">
        <v>15139</v>
      </c>
      <c r="E12" s="5" t="s">
        <v>15140</v>
      </c>
      <c r="F12" s="5">
        <v>0.04</v>
      </c>
      <c r="G12" s="5" t="s">
        <v>15138</v>
      </c>
      <c r="H12" s="8">
        <v>40</v>
      </c>
      <c r="I12" s="5" t="s">
        <v>1522</v>
      </c>
      <c r="J12" s="5" t="s">
        <v>7416</v>
      </c>
      <c r="K12" s="2">
        <f t="shared" si="0"/>
        <v>1000</v>
      </c>
    </row>
    <row r="13" spans="1:11" x14ac:dyDescent="0.25">
      <c r="A13" s="5" t="s">
        <v>15096</v>
      </c>
      <c r="B13" s="5" t="s">
        <v>1533</v>
      </c>
      <c r="C13" s="5" t="s">
        <v>1533</v>
      </c>
      <c r="D13" s="5" t="s">
        <v>15139</v>
      </c>
      <c r="E13" s="5" t="s">
        <v>15144</v>
      </c>
      <c r="F13" s="5">
        <v>1.61</v>
      </c>
      <c r="G13" s="5" t="s">
        <v>15138</v>
      </c>
      <c r="H13" s="8">
        <v>1526</v>
      </c>
      <c r="I13" s="5" t="s">
        <v>1522</v>
      </c>
      <c r="J13" s="5" t="s">
        <v>7416</v>
      </c>
      <c r="K13" s="2">
        <f t="shared" si="0"/>
        <v>947.82608695652164</v>
      </c>
    </row>
    <row r="14" spans="1:11" x14ac:dyDescent="0.25">
      <c r="A14" s="1" t="s">
        <v>15097</v>
      </c>
      <c r="B14" s="1" t="s">
        <v>1533</v>
      </c>
      <c r="C14" s="1" t="s">
        <v>1533</v>
      </c>
      <c r="D14" s="1" t="s">
        <v>15139</v>
      </c>
      <c r="E14" s="1" t="s">
        <v>15140</v>
      </c>
      <c r="F14" s="1">
        <v>0.16</v>
      </c>
      <c r="G14" s="1" t="s">
        <v>15138</v>
      </c>
      <c r="H14" s="3">
        <v>151.19999999999999</v>
      </c>
      <c r="I14" s="1" t="s">
        <v>4</v>
      </c>
      <c r="J14" s="5" t="s">
        <v>7418</v>
      </c>
      <c r="K14" s="2">
        <f t="shared" si="0"/>
        <v>944.99999999999989</v>
      </c>
    </row>
    <row r="15" spans="1:11" x14ac:dyDescent="0.25">
      <c r="A15" s="1" t="s">
        <v>15070</v>
      </c>
      <c r="B15" s="1" t="s">
        <v>15145</v>
      </c>
      <c r="C15" s="1" t="s">
        <v>1533</v>
      </c>
      <c r="D15" s="1" t="s">
        <v>1533</v>
      </c>
      <c r="E15" s="1" t="s">
        <v>1533</v>
      </c>
      <c r="F15" s="1">
        <v>0.14000000000000001</v>
      </c>
      <c r="G15" s="1" t="s">
        <v>15138</v>
      </c>
      <c r="H15" s="3">
        <v>120</v>
      </c>
      <c r="I15" s="1" t="s">
        <v>4</v>
      </c>
      <c r="J15" s="5" t="s">
        <v>7417</v>
      </c>
      <c r="K15" s="2">
        <f t="shared" si="0"/>
        <v>857.14285714285711</v>
      </c>
    </row>
    <row r="16" spans="1:11" x14ac:dyDescent="0.25">
      <c r="A16" s="1" t="s">
        <v>15106</v>
      </c>
      <c r="B16" s="1" t="s">
        <v>1533</v>
      </c>
      <c r="C16" s="1" t="s">
        <v>1533</v>
      </c>
      <c r="D16" s="1" t="s">
        <v>15139</v>
      </c>
      <c r="E16" s="1" t="s">
        <v>15146</v>
      </c>
      <c r="F16" s="1">
        <v>1.05</v>
      </c>
      <c r="G16" s="1" t="s">
        <v>15138</v>
      </c>
      <c r="H16" s="3">
        <v>870</v>
      </c>
      <c r="I16" s="1" t="s">
        <v>4</v>
      </c>
      <c r="J16" s="5" t="s">
        <v>7420</v>
      </c>
      <c r="K16" s="2">
        <f t="shared" si="0"/>
        <v>828.57142857142856</v>
      </c>
    </row>
    <row r="17" spans="1:11" x14ac:dyDescent="0.25">
      <c r="A17" s="5" t="s">
        <v>15090</v>
      </c>
      <c r="B17" s="5" t="s">
        <v>1533</v>
      </c>
      <c r="C17" s="5" t="s">
        <v>1533</v>
      </c>
      <c r="D17" s="5" t="s">
        <v>15147</v>
      </c>
      <c r="E17" s="5" t="s">
        <v>15144</v>
      </c>
      <c r="F17" s="5">
        <v>1.38</v>
      </c>
      <c r="G17" s="5" t="s">
        <v>15138</v>
      </c>
      <c r="H17" s="8">
        <v>1140</v>
      </c>
      <c r="I17" s="5" t="s">
        <v>1522</v>
      </c>
      <c r="J17" s="5" t="s">
        <v>7416</v>
      </c>
      <c r="K17" s="2">
        <f t="shared" si="0"/>
        <v>826.08695652173924</v>
      </c>
    </row>
    <row r="18" spans="1:11" x14ac:dyDescent="0.25">
      <c r="A18" s="1" t="s">
        <v>15097</v>
      </c>
      <c r="B18" s="1" t="s">
        <v>1533</v>
      </c>
      <c r="C18" s="1" t="s">
        <v>1533</v>
      </c>
      <c r="D18" s="1" t="s">
        <v>1533</v>
      </c>
      <c r="E18" s="1" t="s">
        <v>1533</v>
      </c>
      <c r="F18" s="1">
        <v>0.02</v>
      </c>
      <c r="G18" s="1" t="s">
        <v>15138</v>
      </c>
      <c r="H18" s="3">
        <v>16.2</v>
      </c>
      <c r="I18" s="1" t="s">
        <v>4</v>
      </c>
      <c r="J18" s="5" t="s">
        <v>7420</v>
      </c>
      <c r="K18" s="2">
        <f t="shared" si="0"/>
        <v>810</v>
      </c>
    </row>
    <row r="19" spans="1:11" x14ac:dyDescent="0.25">
      <c r="A19" s="1" t="s">
        <v>15085</v>
      </c>
      <c r="B19" s="1" t="s">
        <v>15143</v>
      </c>
      <c r="C19" s="1" t="s">
        <v>1533</v>
      </c>
      <c r="D19" s="1" t="s">
        <v>1533</v>
      </c>
      <c r="E19" s="1" t="s">
        <v>1533</v>
      </c>
      <c r="F19" s="1">
        <v>0.51</v>
      </c>
      <c r="G19" s="1" t="s">
        <v>15138</v>
      </c>
      <c r="H19" s="3">
        <v>400</v>
      </c>
      <c r="I19" s="1" t="s">
        <v>1522</v>
      </c>
      <c r="J19" s="5" t="s">
        <v>7419</v>
      </c>
      <c r="K19" s="2">
        <f t="shared" si="0"/>
        <v>784.31372549019602</v>
      </c>
    </row>
    <row r="20" spans="1:11" x14ac:dyDescent="0.25">
      <c r="A20" s="1" t="s">
        <v>15065</v>
      </c>
      <c r="B20" s="1" t="s">
        <v>1533</v>
      </c>
      <c r="C20" s="1" t="s">
        <v>1533</v>
      </c>
      <c r="D20" s="1" t="s">
        <v>15139</v>
      </c>
      <c r="E20" s="1" t="s">
        <v>15140</v>
      </c>
      <c r="F20" s="1">
        <v>14.02</v>
      </c>
      <c r="G20" s="1" t="s">
        <v>15138</v>
      </c>
      <c r="H20" s="3">
        <v>10672.6</v>
      </c>
      <c r="I20" s="1" t="s">
        <v>4</v>
      </c>
      <c r="J20" s="5" t="s">
        <v>7418</v>
      </c>
      <c r="K20" s="2">
        <f t="shared" si="0"/>
        <v>761.2410841654779</v>
      </c>
    </row>
    <row r="21" spans="1:11" x14ac:dyDescent="0.25">
      <c r="A21" s="1" t="s">
        <v>15065</v>
      </c>
      <c r="B21" s="1" t="s">
        <v>1533</v>
      </c>
      <c r="C21" s="1" t="s">
        <v>1533</v>
      </c>
      <c r="D21" s="1" t="s">
        <v>15139</v>
      </c>
      <c r="E21" s="1" t="s">
        <v>15140</v>
      </c>
      <c r="F21" s="1">
        <v>9.6199999999999992</v>
      </c>
      <c r="G21" s="1" t="s">
        <v>15138</v>
      </c>
      <c r="H21" s="3">
        <v>7304.98</v>
      </c>
      <c r="I21" s="1" t="s">
        <v>4</v>
      </c>
      <c r="J21" s="5" t="s">
        <v>7420</v>
      </c>
      <c r="K21" s="2">
        <f t="shared" si="0"/>
        <v>759.35343035343033</v>
      </c>
    </row>
    <row r="22" spans="1:11" x14ac:dyDescent="0.25">
      <c r="A22" s="1" t="s">
        <v>15063</v>
      </c>
      <c r="B22" s="1" t="s">
        <v>1533</v>
      </c>
      <c r="C22" s="1" t="s">
        <v>1533</v>
      </c>
      <c r="D22" s="1" t="s">
        <v>15139</v>
      </c>
      <c r="E22" s="1" t="s">
        <v>15140</v>
      </c>
      <c r="F22" s="1">
        <v>25.52</v>
      </c>
      <c r="G22" s="1" t="s">
        <v>15138</v>
      </c>
      <c r="H22" s="3">
        <v>19258.38</v>
      </c>
      <c r="I22" s="1" t="s">
        <v>4</v>
      </c>
      <c r="J22" s="5" t="s">
        <v>7417</v>
      </c>
      <c r="K22" s="2">
        <f t="shared" si="0"/>
        <v>754.63871473354243</v>
      </c>
    </row>
    <row r="23" spans="1:11" x14ac:dyDescent="0.25">
      <c r="A23" s="1" t="s">
        <v>15096</v>
      </c>
      <c r="B23" s="1" t="s">
        <v>1533</v>
      </c>
      <c r="C23" s="1" t="s">
        <v>1533</v>
      </c>
      <c r="D23" s="1" t="s">
        <v>15139</v>
      </c>
      <c r="E23" s="1" t="s">
        <v>15146</v>
      </c>
      <c r="F23" s="1">
        <v>0.64</v>
      </c>
      <c r="G23" s="1" t="s">
        <v>15138</v>
      </c>
      <c r="H23" s="3">
        <v>480</v>
      </c>
      <c r="I23" s="1" t="s">
        <v>4</v>
      </c>
      <c r="J23" s="5" t="s">
        <v>7417</v>
      </c>
      <c r="K23" s="2">
        <f t="shared" si="0"/>
        <v>750</v>
      </c>
    </row>
    <row r="24" spans="1:11" x14ac:dyDescent="0.25">
      <c r="A24" s="1" t="s">
        <v>15097</v>
      </c>
      <c r="B24" s="1" t="s">
        <v>1533</v>
      </c>
      <c r="C24" s="1" t="s">
        <v>1533</v>
      </c>
      <c r="D24" s="1" t="s">
        <v>1533</v>
      </c>
      <c r="E24" s="1" t="s">
        <v>1533</v>
      </c>
      <c r="F24" s="1">
        <v>1.1599999999999999</v>
      </c>
      <c r="G24" s="1" t="s">
        <v>15138</v>
      </c>
      <c r="H24" s="3">
        <v>860.25</v>
      </c>
      <c r="I24" s="1" t="s">
        <v>1522</v>
      </c>
      <c r="J24" s="5" t="s">
        <v>7419</v>
      </c>
      <c r="K24" s="2">
        <f t="shared" si="0"/>
        <v>741.59482758620697</v>
      </c>
    </row>
    <row r="25" spans="1:11" x14ac:dyDescent="0.25">
      <c r="A25" s="1" t="s">
        <v>15063</v>
      </c>
      <c r="B25" s="1" t="s">
        <v>1533</v>
      </c>
      <c r="C25" s="1" t="s">
        <v>1533</v>
      </c>
      <c r="D25" s="1" t="s">
        <v>15139</v>
      </c>
      <c r="E25" s="1" t="s">
        <v>15140</v>
      </c>
      <c r="F25" s="1">
        <v>12.08</v>
      </c>
      <c r="G25" s="1" t="s">
        <v>15138</v>
      </c>
      <c r="H25" s="3">
        <v>8919.66</v>
      </c>
      <c r="I25" s="1" t="s">
        <v>4</v>
      </c>
      <c r="J25" s="5" t="s">
        <v>7419</v>
      </c>
      <c r="K25" s="2">
        <f t="shared" si="0"/>
        <v>738.38245033112582</v>
      </c>
    </row>
    <row r="26" spans="1:11" x14ac:dyDescent="0.25">
      <c r="A26" s="1" t="s">
        <v>15063</v>
      </c>
      <c r="B26" s="1" t="s">
        <v>1533</v>
      </c>
      <c r="C26" s="1" t="s">
        <v>1533</v>
      </c>
      <c r="D26" s="1" t="s">
        <v>15139</v>
      </c>
      <c r="E26" s="1" t="s">
        <v>15140</v>
      </c>
      <c r="F26" s="1">
        <v>18.91</v>
      </c>
      <c r="G26" s="1" t="s">
        <v>15138</v>
      </c>
      <c r="H26" s="3">
        <v>13794.88</v>
      </c>
      <c r="I26" s="1" t="s">
        <v>4</v>
      </c>
      <c r="J26" s="5" t="s">
        <v>7420</v>
      </c>
      <c r="K26" s="2">
        <f t="shared" si="0"/>
        <v>729.5018508725542</v>
      </c>
    </row>
    <row r="27" spans="1:11" x14ac:dyDescent="0.25">
      <c r="A27" s="1" t="s">
        <v>15065</v>
      </c>
      <c r="B27" s="1" t="s">
        <v>1533</v>
      </c>
      <c r="C27" s="1" t="s">
        <v>1533</v>
      </c>
      <c r="D27" s="1" t="s">
        <v>15139</v>
      </c>
      <c r="E27" s="1" t="s">
        <v>15140</v>
      </c>
      <c r="F27" s="1">
        <v>2.52</v>
      </c>
      <c r="G27" s="1" t="s">
        <v>15138</v>
      </c>
      <c r="H27" s="3">
        <v>1790</v>
      </c>
      <c r="I27" s="1" t="s">
        <v>1522</v>
      </c>
      <c r="J27" s="5" t="s">
        <v>7419</v>
      </c>
      <c r="K27" s="2">
        <f t="shared" si="0"/>
        <v>710.31746031746036</v>
      </c>
    </row>
    <row r="28" spans="1:11" x14ac:dyDescent="0.25">
      <c r="A28" s="1" t="s">
        <v>15082</v>
      </c>
      <c r="B28" s="1" t="s">
        <v>1533</v>
      </c>
      <c r="C28" s="1" t="s">
        <v>1533</v>
      </c>
      <c r="D28" s="1" t="s">
        <v>15139</v>
      </c>
      <c r="E28" s="1" t="s">
        <v>15140</v>
      </c>
      <c r="F28" s="1">
        <v>2.79</v>
      </c>
      <c r="G28" s="1" t="s">
        <v>15138</v>
      </c>
      <c r="H28" s="3">
        <v>1979.71</v>
      </c>
      <c r="I28" s="1" t="s">
        <v>4</v>
      </c>
      <c r="J28" s="5" t="s">
        <v>7420</v>
      </c>
      <c r="K28" s="2">
        <f t="shared" si="0"/>
        <v>709.57347670250897</v>
      </c>
    </row>
    <row r="29" spans="1:11" x14ac:dyDescent="0.25">
      <c r="A29" s="5" t="s">
        <v>15063</v>
      </c>
      <c r="B29" s="5" t="s">
        <v>1533</v>
      </c>
      <c r="C29" s="5" t="s">
        <v>1533</v>
      </c>
      <c r="D29" s="5" t="s">
        <v>15139</v>
      </c>
      <c r="E29" s="5" t="s">
        <v>15140</v>
      </c>
      <c r="F29" s="5">
        <v>17.39</v>
      </c>
      <c r="G29" s="5" t="s">
        <v>15138</v>
      </c>
      <c r="H29" s="8">
        <v>12278.15</v>
      </c>
      <c r="I29" s="5" t="s">
        <v>4</v>
      </c>
      <c r="J29" s="5" t="s">
        <v>7416</v>
      </c>
      <c r="K29" s="2">
        <f t="shared" si="0"/>
        <v>706.04657849338696</v>
      </c>
    </row>
    <row r="30" spans="1:11" x14ac:dyDescent="0.25">
      <c r="A30" s="1" t="s">
        <v>15065</v>
      </c>
      <c r="B30" s="1" t="s">
        <v>1533</v>
      </c>
      <c r="C30" s="1" t="s">
        <v>1533</v>
      </c>
      <c r="D30" s="1" t="s">
        <v>15139</v>
      </c>
      <c r="E30" s="1" t="s">
        <v>15144</v>
      </c>
      <c r="F30" s="1">
        <v>4.3899999999999997</v>
      </c>
      <c r="G30" s="1" t="s">
        <v>15138</v>
      </c>
      <c r="H30" s="3">
        <v>3058.33</v>
      </c>
      <c r="I30" s="1" t="s">
        <v>4</v>
      </c>
      <c r="J30" s="5" t="s">
        <v>7419</v>
      </c>
      <c r="K30" s="2">
        <f t="shared" si="0"/>
        <v>696.65831435079735</v>
      </c>
    </row>
    <row r="31" spans="1:11" ht="27" x14ac:dyDescent="0.25">
      <c r="A31" s="1" t="s">
        <v>15081</v>
      </c>
      <c r="B31" s="1" t="s">
        <v>1533</v>
      </c>
      <c r="C31" s="1" t="s">
        <v>1533</v>
      </c>
      <c r="D31" s="1" t="s">
        <v>1533</v>
      </c>
      <c r="E31" s="1" t="s">
        <v>1533</v>
      </c>
      <c r="F31" s="1">
        <v>1.07</v>
      </c>
      <c r="G31" s="1" t="s">
        <v>15138</v>
      </c>
      <c r="H31" s="3">
        <v>742.5</v>
      </c>
      <c r="I31" s="1" t="s">
        <v>4</v>
      </c>
      <c r="J31" s="5" t="s">
        <v>7417</v>
      </c>
      <c r="K31" s="2">
        <f t="shared" si="0"/>
        <v>693.92523364485976</v>
      </c>
    </row>
    <row r="32" spans="1:11" x14ac:dyDescent="0.25">
      <c r="A32" s="1" t="s">
        <v>15097</v>
      </c>
      <c r="B32" s="1" t="s">
        <v>1533</v>
      </c>
      <c r="C32" s="1" t="s">
        <v>1533</v>
      </c>
      <c r="D32" s="1" t="s">
        <v>15139</v>
      </c>
      <c r="E32" s="1" t="s">
        <v>15140</v>
      </c>
      <c r="F32" s="1">
        <v>0.81</v>
      </c>
      <c r="G32" s="1" t="s">
        <v>15138</v>
      </c>
      <c r="H32" s="3">
        <v>557.99</v>
      </c>
      <c r="I32" s="1" t="s">
        <v>4</v>
      </c>
      <c r="J32" s="5" t="s">
        <v>7419</v>
      </c>
      <c r="K32" s="2">
        <f t="shared" si="0"/>
        <v>688.87654320987656</v>
      </c>
    </row>
    <row r="33" spans="1:11" x14ac:dyDescent="0.25">
      <c r="A33" s="5" t="s">
        <v>15065</v>
      </c>
      <c r="B33" s="5" t="s">
        <v>1533</v>
      </c>
      <c r="C33" s="5" t="s">
        <v>1533</v>
      </c>
      <c r="D33" s="5" t="s">
        <v>15148</v>
      </c>
      <c r="E33" s="5" t="s">
        <v>15140</v>
      </c>
      <c r="F33" s="5">
        <v>3.13</v>
      </c>
      <c r="G33" s="5" t="s">
        <v>15138</v>
      </c>
      <c r="H33" s="8">
        <v>2123.9499999999998</v>
      </c>
      <c r="I33" s="5" t="s">
        <v>1522</v>
      </c>
      <c r="J33" s="5" t="s">
        <v>7416</v>
      </c>
      <c r="K33" s="2">
        <f t="shared" si="0"/>
        <v>678.57827476038335</v>
      </c>
    </row>
    <row r="34" spans="1:11" x14ac:dyDescent="0.25">
      <c r="A34" s="5" t="s">
        <v>15081</v>
      </c>
      <c r="B34" s="5" t="s">
        <v>1533</v>
      </c>
      <c r="C34" s="5" t="s">
        <v>1533</v>
      </c>
      <c r="D34" s="5" t="s">
        <v>15139</v>
      </c>
      <c r="E34" s="5" t="s">
        <v>15140</v>
      </c>
      <c r="F34" s="5">
        <v>0.12</v>
      </c>
      <c r="G34" s="5" t="s">
        <v>15138</v>
      </c>
      <c r="H34" s="8">
        <v>81.25</v>
      </c>
      <c r="I34" s="5" t="s">
        <v>4</v>
      </c>
      <c r="J34" s="5" t="s">
        <v>7416</v>
      </c>
      <c r="K34" s="2">
        <f t="shared" si="0"/>
        <v>677.08333333333337</v>
      </c>
    </row>
    <row r="35" spans="1:11" x14ac:dyDescent="0.25">
      <c r="A35" s="1" t="s">
        <v>15090</v>
      </c>
      <c r="B35" s="1" t="s">
        <v>1533</v>
      </c>
      <c r="C35" s="1" t="s">
        <v>1533</v>
      </c>
      <c r="D35" s="1" t="s">
        <v>15139</v>
      </c>
      <c r="E35" s="1" t="s">
        <v>15140</v>
      </c>
      <c r="F35" s="1">
        <v>1.56</v>
      </c>
      <c r="G35" s="1" t="s">
        <v>15138</v>
      </c>
      <c r="H35" s="3">
        <v>1053</v>
      </c>
      <c r="I35" s="1" t="s">
        <v>1522</v>
      </c>
      <c r="J35" s="5" t="s">
        <v>7420</v>
      </c>
      <c r="K35" s="2">
        <f t="shared" si="0"/>
        <v>675</v>
      </c>
    </row>
    <row r="36" spans="1:11" x14ac:dyDescent="0.25">
      <c r="A36" s="1" t="s">
        <v>15063</v>
      </c>
      <c r="B36" s="1" t="s">
        <v>1533</v>
      </c>
      <c r="C36" s="1" t="s">
        <v>1533</v>
      </c>
      <c r="D36" s="1" t="s">
        <v>15139</v>
      </c>
      <c r="E36" s="1" t="s">
        <v>15144</v>
      </c>
      <c r="F36" s="1">
        <v>1.74</v>
      </c>
      <c r="G36" s="1" t="s">
        <v>15138</v>
      </c>
      <c r="H36" s="3">
        <v>1171</v>
      </c>
      <c r="I36" s="1" t="s">
        <v>1522</v>
      </c>
      <c r="J36" s="5" t="s">
        <v>7420</v>
      </c>
      <c r="K36" s="2">
        <f t="shared" si="0"/>
        <v>672.9885057471264</v>
      </c>
    </row>
    <row r="37" spans="1:11" x14ac:dyDescent="0.25">
      <c r="A37" s="1" t="s">
        <v>15065</v>
      </c>
      <c r="B37" s="1" t="s">
        <v>1533</v>
      </c>
      <c r="C37" s="1" t="s">
        <v>1533</v>
      </c>
      <c r="D37" s="1" t="s">
        <v>15139</v>
      </c>
      <c r="E37" s="1" t="s">
        <v>15140</v>
      </c>
      <c r="F37" s="1">
        <v>13.8</v>
      </c>
      <c r="G37" s="1" t="s">
        <v>15138</v>
      </c>
      <c r="H37" s="3">
        <v>9259.42</v>
      </c>
      <c r="I37" s="1" t="s">
        <v>4</v>
      </c>
      <c r="J37" s="5" t="s">
        <v>7417</v>
      </c>
      <c r="K37" s="2">
        <f t="shared" si="0"/>
        <v>670.97246376811586</v>
      </c>
    </row>
    <row r="38" spans="1:11" x14ac:dyDescent="0.25">
      <c r="A38" s="1" t="s">
        <v>15065</v>
      </c>
      <c r="B38" s="1" t="s">
        <v>1533</v>
      </c>
      <c r="C38" s="1" t="s">
        <v>1533</v>
      </c>
      <c r="D38" s="1" t="s">
        <v>15139</v>
      </c>
      <c r="E38" s="1" t="s">
        <v>15140</v>
      </c>
      <c r="F38" s="1">
        <v>1.84</v>
      </c>
      <c r="G38" s="1" t="s">
        <v>15138</v>
      </c>
      <c r="H38" s="3">
        <v>1233.5</v>
      </c>
      <c r="I38" s="1" t="s">
        <v>1522</v>
      </c>
      <c r="J38" s="5" t="s">
        <v>7420</v>
      </c>
      <c r="K38" s="2">
        <f t="shared" si="0"/>
        <v>670.38043478260863</v>
      </c>
    </row>
    <row r="39" spans="1:11" ht="27" x14ac:dyDescent="0.25">
      <c r="A39" s="1" t="s">
        <v>15081</v>
      </c>
      <c r="B39" s="1" t="s">
        <v>1533</v>
      </c>
      <c r="C39" s="1" t="s">
        <v>1533</v>
      </c>
      <c r="D39" s="1" t="s">
        <v>1533</v>
      </c>
      <c r="E39" s="1" t="s">
        <v>1533</v>
      </c>
      <c r="F39" s="1">
        <v>5.61</v>
      </c>
      <c r="G39" s="1" t="s">
        <v>15138</v>
      </c>
      <c r="H39" s="3">
        <v>3697.88</v>
      </c>
      <c r="I39" s="1" t="s">
        <v>4</v>
      </c>
      <c r="J39" s="5" t="s">
        <v>7420</v>
      </c>
      <c r="K39" s="2">
        <f t="shared" si="0"/>
        <v>659.1586452762923</v>
      </c>
    </row>
    <row r="40" spans="1:11" ht="27" x14ac:dyDescent="0.25">
      <c r="A40" s="1" t="s">
        <v>15081</v>
      </c>
      <c r="B40" s="1" t="s">
        <v>1533</v>
      </c>
      <c r="C40" s="1" t="s">
        <v>1533</v>
      </c>
      <c r="D40" s="1" t="s">
        <v>1533</v>
      </c>
      <c r="E40" s="1" t="s">
        <v>1533</v>
      </c>
      <c r="F40" s="1">
        <v>1.66</v>
      </c>
      <c r="G40" s="1" t="s">
        <v>15138</v>
      </c>
      <c r="H40" s="3">
        <v>1080.43</v>
      </c>
      <c r="I40" s="1" t="s">
        <v>4</v>
      </c>
      <c r="J40" s="5" t="s">
        <v>7419</v>
      </c>
      <c r="K40" s="2">
        <f t="shared" si="0"/>
        <v>650.86144578313258</v>
      </c>
    </row>
    <row r="41" spans="1:11" x14ac:dyDescent="0.25">
      <c r="A41" s="5" t="s">
        <v>15075</v>
      </c>
      <c r="B41" s="5" t="s">
        <v>15145</v>
      </c>
      <c r="C41" s="5" t="s">
        <v>1533</v>
      </c>
      <c r="D41" s="5" t="s">
        <v>1533</v>
      </c>
      <c r="E41" s="5" t="s">
        <v>1533</v>
      </c>
      <c r="F41" s="5">
        <v>0.02</v>
      </c>
      <c r="G41" s="5" t="s">
        <v>15138</v>
      </c>
      <c r="H41" s="8">
        <v>13</v>
      </c>
      <c r="I41" s="5" t="s">
        <v>4</v>
      </c>
      <c r="J41" s="5" t="s">
        <v>7416</v>
      </c>
      <c r="K41" s="2">
        <f t="shared" si="0"/>
        <v>650</v>
      </c>
    </row>
    <row r="42" spans="1:11" x14ac:dyDescent="0.25">
      <c r="A42" s="5" t="s">
        <v>15081</v>
      </c>
      <c r="B42" s="5" t="s">
        <v>1533</v>
      </c>
      <c r="C42" s="5" t="s">
        <v>1533</v>
      </c>
      <c r="D42" s="5" t="s">
        <v>1533</v>
      </c>
      <c r="E42" s="5" t="s">
        <v>1533</v>
      </c>
      <c r="F42" s="5">
        <v>0.24</v>
      </c>
      <c r="G42" s="5" t="s">
        <v>15138</v>
      </c>
      <c r="H42" s="8">
        <v>156</v>
      </c>
      <c r="I42" s="1" t="s">
        <v>1522</v>
      </c>
      <c r="J42" s="5" t="s">
        <v>7417</v>
      </c>
      <c r="K42" s="2">
        <f t="shared" si="0"/>
        <v>650</v>
      </c>
    </row>
    <row r="43" spans="1:11" ht="27" x14ac:dyDescent="0.25">
      <c r="A43" s="1" t="s">
        <v>15081</v>
      </c>
      <c r="B43" s="1" t="s">
        <v>1533</v>
      </c>
      <c r="C43" s="1" t="s">
        <v>1533</v>
      </c>
      <c r="D43" s="1" t="s">
        <v>1533</v>
      </c>
      <c r="E43" s="1" t="s">
        <v>1533</v>
      </c>
      <c r="F43" s="1">
        <v>0.06</v>
      </c>
      <c r="G43" s="1" t="s">
        <v>15138</v>
      </c>
      <c r="H43" s="3">
        <v>39</v>
      </c>
      <c r="I43" s="1" t="s">
        <v>1522</v>
      </c>
      <c r="J43" s="5" t="s">
        <v>7418</v>
      </c>
      <c r="K43" s="2">
        <f t="shared" si="0"/>
        <v>650</v>
      </c>
    </row>
    <row r="44" spans="1:11" x14ac:dyDescent="0.25">
      <c r="A44" s="5" t="s">
        <v>15063</v>
      </c>
      <c r="B44" s="5" t="s">
        <v>1533</v>
      </c>
      <c r="C44" s="5" t="s">
        <v>1533</v>
      </c>
      <c r="D44" s="5" t="s">
        <v>15139</v>
      </c>
      <c r="E44" s="5" t="s">
        <v>15140</v>
      </c>
      <c r="F44" s="5">
        <v>1.17</v>
      </c>
      <c r="G44" s="5" t="s">
        <v>15138</v>
      </c>
      <c r="H44" s="8">
        <v>758.88</v>
      </c>
      <c r="I44" s="1" t="s">
        <v>1522</v>
      </c>
      <c r="J44" s="5" t="s">
        <v>7417</v>
      </c>
      <c r="K44" s="2">
        <f t="shared" si="0"/>
        <v>648.61538461538464</v>
      </c>
    </row>
    <row r="45" spans="1:11" x14ac:dyDescent="0.25">
      <c r="A45" s="1" t="s">
        <v>15075</v>
      </c>
      <c r="B45" s="1" t="s">
        <v>15145</v>
      </c>
      <c r="C45" s="1" t="s">
        <v>1533</v>
      </c>
      <c r="D45" s="1" t="s">
        <v>1533</v>
      </c>
      <c r="E45" s="1" t="s">
        <v>1533</v>
      </c>
      <c r="F45" s="1">
        <v>3.63</v>
      </c>
      <c r="G45" s="1" t="s">
        <v>15138</v>
      </c>
      <c r="H45" s="3">
        <v>2349.4</v>
      </c>
      <c r="I45" s="1" t="s">
        <v>4</v>
      </c>
      <c r="J45" s="5" t="s">
        <v>7420</v>
      </c>
      <c r="K45" s="2">
        <f t="shared" si="0"/>
        <v>647.21763085399448</v>
      </c>
    </row>
    <row r="46" spans="1:11" x14ac:dyDescent="0.25">
      <c r="A46" s="1" t="s">
        <v>15063</v>
      </c>
      <c r="B46" s="1" t="s">
        <v>1533</v>
      </c>
      <c r="C46" s="1" t="s">
        <v>1533</v>
      </c>
      <c r="D46" s="1" t="s">
        <v>15139</v>
      </c>
      <c r="E46" s="1" t="s">
        <v>15146</v>
      </c>
      <c r="F46" s="1">
        <v>24.44</v>
      </c>
      <c r="G46" s="1" t="s">
        <v>15138</v>
      </c>
      <c r="H46" s="3">
        <v>15664.34</v>
      </c>
      <c r="I46" s="1" t="s">
        <v>4</v>
      </c>
      <c r="J46" s="5" t="s">
        <v>7418</v>
      </c>
      <c r="K46" s="2">
        <f t="shared" si="0"/>
        <v>640.93044189852696</v>
      </c>
    </row>
    <row r="47" spans="1:11" x14ac:dyDescent="0.25">
      <c r="A47" s="1" t="s">
        <v>15075</v>
      </c>
      <c r="B47" s="1" t="s">
        <v>15145</v>
      </c>
      <c r="C47" s="1" t="s">
        <v>1533</v>
      </c>
      <c r="D47" s="1" t="s">
        <v>1533</v>
      </c>
      <c r="E47" s="1" t="s">
        <v>1533</v>
      </c>
      <c r="F47" s="1">
        <v>1.48</v>
      </c>
      <c r="G47" s="1" t="s">
        <v>15138</v>
      </c>
      <c r="H47" s="3">
        <v>948.3</v>
      </c>
      <c r="I47" s="1" t="s">
        <v>4</v>
      </c>
      <c r="J47" s="5" t="s">
        <v>7417</v>
      </c>
      <c r="K47" s="2">
        <f t="shared" si="0"/>
        <v>640.74324324324323</v>
      </c>
    </row>
    <row r="48" spans="1:11" ht="27" x14ac:dyDescent="0.25">
      <c r="A48" s="1" t="s">
        <v>15081</v>
      </c>
      <c r="B48" s="1" t="s">
        <v>1533</v>
      </c>
      <c r="C48" s="1" t="s">
        <v>1533</v>
      </c>
      <c r="D48" s="1" t="s">
        <v>1533</v>
      </c>
      <c r="E48" s="1" t="s">
        <v>1533</v>
      </c>
      <c r="F48" s="1">
        <v>0.31</v>
      </c>
      <c r="G48" s="1" t="s">
        <v>15138</v>
      </c>
      <c r="H48" s="3">
        <v>197.8</v>
      </c>
      <c r="I48" s="1" t="s">
        <v>4</v>
      </c>
      <c r="J48" s="5" t="s">
        <v>7418</v>
      </c>
      <c r="K48" s="2">
        <f t="shared" si="0"/>
        <v>638.06451612903231</v>
      </c>
    </row>
    <row r="49" spans="1:11" x14ac:dyDescent="0.25">
      <c r="A49" s="1" t="s">
        <v>15085</v>
      </c>
      <c r="B49" s="1" t="s">
        <v>15143</v>
      </c>
      <c r="C49" s="1" t="s">
        <v>1533</v>
      </c>
      <c r="D49" s="1" t="s">
        <v>1533</v>
      </c>
      <c r="E49" s="1" t="s">
        <v>1533</v>
      </c>
      <c r="F49" s="1">
        <v>6.78</v>
      </c>
      <c r="G49" s="1" t="s">
        <v>15138</v>
      </c>
      <c r="H49" s="3">
        <v>4159.6000000000004</v>
      </c>
      <c r="I49" s="1" t="s">
        <v>1522</v>
      </c>
      <c r="J49" s="5" t="s">
        <v>7418</v>
      </c>
      <c r="K49" s="2">
        <f t="shared" si="0"/>
        <v>613.51032448377589</v>
      </c>
    </row>
    <row r="50" spans="1:11" x14ac:dyDescent="0.25">
      <c r="A50" s="5" t="s">
        <v>15063</v>
      </c>
      <c r="B50" s="5" t="s">
        <v>1533</v>
      </c>
      <c r="C50" s="5" t="s">
        <v>1533</v>
      </c>
      <c r="D50" s="5" t="s">
        <v>15139</v>
      </c>
      <c r="E50" s="5" t="s">
        <v>15140</v>
      </c>
      <c r="F50" s="5">
        <v>3.91</v>
      </c>
      <c r="G50" s="5" t="s">
        <v>15138</v>
      </c>
      <c r="H50" s="8">
        <v>2360.66</v>
      </c>
      <c r="I50" s="5" t="s">
        <v>1522</v>
      </c>
      <c r="J50" s="5" t="s">
        <v>7416</v>
      </c>
      <c r="K50" s="2">
        <f t="shared" si="0"/>
        <v>603.74936061381072</v>
      </c>
    </row>
    <row r="51" spans="1:11" x14ac:dyDescent="0.25">
      <c r="A51" s="5" t="s">
        <v>15090</v>
      </c>
      <c r="B51" s="5" t="s">
        <v>1533</v>
      </c>
      <c r="C51" s="5" t="s">
        <v>1533</v>
      </c>
      <c r="D51" s="5" t="s">
        <v>15148</v>
      </c>
      <c r="E51" s="5" t="s">
        <v>15144</v>
      </c>
      <c r="F51" s="5">
        <v>0.8</v>
      </c>
      <c r="G51" s="5" t="s">
        <v>15138</v>
      </c>
      <c r="H51" s="8">
        <v>476</v>
      </c>
      <c r="I51" s="1" t="s">
        <v>1522</v>
      </c>
      <c r="J51" s="5" t="s">
        <v>7417</v>
      </c>
      <c r="K51" s="2">
        <f t="shared" si="0"/>
        <v>595</v>
      </c>
    </row>
    <row r="52" spans="1:11" x14ac:dyDescent="0.25">
      <c r="A52" s="1" t="s">
        <v>15087</v>
      </c>
      <c r="B52" s="1" t="s">
        <v>1533</v>
      </c>
      <c r="C52" s="1" t="s">
        <v>1533</v>
      </c>
      <c r="D52" s="1" t="s">
        <v>15139</v>
      </c>
      <c r="E52" s="1" t="s">
        <v>15149</v>
      </c>
      <c r="F52" s="1">
        <v>0.37</v>
      </c>
      <c r="G52" s="1" t="s">
        <v>15138</v>
      </c>
      <c r="H52" s="3">
        <v>219.6</v>
      </c>
      <c r="I52" s="1" t="s">
        <v>4</v>
      </c>
      <c r="J52" s="5" t="s">
        <v>7420</v>
      </c>
      <c r="K52" s="2">
        <f t="shared" si="0"/>
        <v>593.51351351351354</v>
      </c>
    </row>
    <row r="53" spans="1:11" x14ac:dyDescent="0.25">
      <c r="A53" s="1" t="s">
        <v>15065</v>
      </c>
      <c r="B53" s="1" t="s">
        <v>1533</v>
      </c>
      <c r="C53" s="1" t="s">
        <v>1533</v>
      </c>
      <c r="D53" s="1" t="s">
        <v>15139</v>
      </c>
      <c r="E53" s="1" t="s">
        <v>15144</v>
      </c>
      <c r="F53" s="1">
        <v>4.7</v>
      </c>
      <c r="G53" s="1" t="s">
        <v>15138</v>
      </c>
      <c r="H53" s="3">
        <v>2742</v>
      </c>
      <c r="I53" s="1" t="s">
        <v>1522</v>
      </c>
      <c r="J53" s="5" t="s">
        <v>7418</v>
      </c>
      <c r="K53" s="2">
        <f t="shared" si="0"/>
        <v>583.40425531914889</v>
      </c>
    </row>
    <row r="54" spans="1:11" x14ac:dyDescent="0.25">
      <c r="A54" s="5" t="s">
        <v>15060</v>
      </c>
      <c r="B54" s="5" t="s">
        <v>1533</v>
      </c>
      <c r="C54" s="5" t="s">
        <v>1533</v>
      </c>
      <c r="D54" s="5" t="s">
        <v>15148</v>
      </c>
      <c r="E54" s="5" t="s">
        <v>15144</v>
      </c>
      <c r="F54" s="5">
        <v>12.51</v>
      </c>
      <c r="G54" s="5" t="s">
        <v>15138</v>
      </c>
      <c r="H54" s="8">
        <v>7237.66</v>
      </c>
      <c r="I54" s="5" t="s">
        <v>1522</v>
      </c>
      <c r="J54" s="5" t="s">
        <v>7417</v>
      </c>
      <c r="K54" s="2">
        <f t="shared" si="0"/>
        <v>578.54996003197436</v>
      </c>
    </row>
    <row r="55" spans="1:11" x14ac:dyDescent="0.25">
      <c r="A55" s="5" t="s">
        <v>15114</v>
      </c>
      <c r="B55" s="5" t="s">
        <v>15150</v>
      </c>
      <c r="C55" s="5" t="s">
        <v>1533</v>
      </c>
      <c r="D55" s="5" t="s">
        <v>1533</v>
      </c>
      <c r="E55" s="5" t="s">
        <v>1533</v>
      </c>
      <c r="F55" s="5">
        <v>0.13</v>
      </c>
      <c r="G55" s="5" t="s">
        <v>15138</v>
      </c>
      <c r="H55" s="8">
        <v>72</v>
      </c>
      <c r="I55" s="5" t="s">
        <v>1522</v>
      </c>
      <c r="J55" s="5" t="s">
        <v>7416</v>
      </c>
      <c r="K55" s="2">
        <f t="shared" si="0"/>
        <v>553.84615384615381</v>
      </c>
    </row>
    <row r="56" spans="1:11" x14ac:dyDescent="0.25">
      <c r="A56" s="1" t="s">
        <v>15103</v>
      </c>
      <c r="B56" s="1" t="s">
        <v>15151</v>
      </c>
      <c r="C56" s="1" t="s">
        <v>1533</v>
      </c>
      <c r="D56" s="1" t="s">
        <v>1533</v>
      </c>
      <c r="E56" s="1" t="s">
        <v>1533</v>
      </c>
      <c r="F56" s="1">
        <v>2</v>
      </c>
      <c r="G56" s="1" t="s">
        <v>15142</v>
      </c>
      <c r="H56" s="3">
        <v>1090</v>
      </c>
      <c r="I56" s="1" t="s">
        <v>1522</v>
      </c>
      <c r="J56" s="5" t="s">
        <v>7418</v>
      </c>
      <c r="K56" s="2">
        <f t="shared" si="0"/>
        <v>545</v>
      </c>
    </row>
    <row r="57" spans="1:11" x14ac:dyDescent="0.25">
      <c r="A57" s="1" t="s">
        <v>15102</v>
      </c>
      <c r="B57" s="1" t="s">
        <v>1533</v>
      </c>
      <c r="C57" s="1" t="s">
        <v>1533</v>
      </c>
      <c r="D57" s="1" t="s">
        <v>1533</v>
      </c>
      <c r="E57" s="1" t="s">
        <v>1533</v>
      </c>
      <c r="F57" s="1">
        <v>2.74</v>
      </c>
      <c r="G57" s="1" t="s">
        <v>15138</v>
      </c>
      <c r="H57" s="3">
        <v>1448.75</v>
      </c>
      <c r="I57" s="1" t="s">
        <v>4</v>
      </c>
      <c r="J57" s="5" t="s">
        <v>7419</v>
      </c>
      <c r="K57" s="2">
        <f t="shared" si="0"/>
        <v>528.74087591240868</v>
      </c>
    </row>
    <row r="58" spans="1:11" x14ac:dyDescent="0.25">
      <c r="A58" s="5" t="s">
        <v>15087</v>
      </c>
      <c r="B58" s="5" t="s">
        <v>1533</v>
      </c>
      <c r="C58" s="5" t="s">
        <v>1533</v>
      </c>
      <c r="D58" s="5" t="s">
        <v>15139</v>
      </c>
      <c r="E58" s="5" t="s">
        <v>15140</v>
      </c>
      <c r="F58" s="5">
        <v>0.69</v>
      </c>
      <c r="G58" s="5" t="s">
        <v>15138</v>
      </c>
      <c r="H58" s="8">
        <v>340</v>
      </c>
      <c r="I58" s="5" t="s">
        <v>4</v>
      </c>
      <c r="J58" s="5" t="s">
        <v>7416</v>
      </c>
      <c r="K58" s="2">
        <f t="shared" si="0"/>
        <v>492.75362318840581</v>
      </c>
    </row>
    <row r="59" spans="1:11" x14ac:dyDescent="0.25">
      <c r="A59" s="1" t="s">
        <v>15118</v>
      </c>
      <c r="B59" s="1" t="s">
        <v>15152</v>
      </c>
      <c r="C59" s="1" t="s">
        <v>1533</v>
      </c>
      <c r="D59" s="1" t="s">
        <v>1533</v>
      </c>
      <c r="E59" s="1" t="s">
        <v>1533</v>
      </c>
      <c r="F59" s="1">
        <v>1</v>
      </c>
      <c r="G59" s="1" t="s">
        <v>15142</v>
      </c>
      <c r="H59" s="3">
        <v>490</v>
      </c>
      <c r="I59" s="1" t="s">
        <v>1522</v>
      </c>
      <c r="J59" s="5" t="s">
        <v>7419</v>
      </c>
      <c r="K59" s="2">
        <f t="shared" si="0"/>
        <v>490</v>
      </c>
    </row>
    <row r="60" spans="1:11" x14ac:dyDescent="0.25">
      <c r="A60" s="1" t="s">
        <v>15063</v>
      </c>
      <c r="B60" s="1" t="s">
        <v>1533</v>
      </c>
      <c r="C60" s="1" t="s">
        <v>1533</v>
      </c>
      <c r="D60" s="1" t="s">
        <v>15139</v>
      </c>
      <c r="E60" s="1" t="s">
        <v>15140</v>
      </c>
      <c r="F60" s="1">
        <v>1.46</v>
      </c>
      <c r="G60" s="1" t="s">
        <v>15138</v>
      </c>
      <c r="H60" s="3">
        <v>703.65</v>
      </c>
      <c r="I60" s="1" t="s">
        <v>1522</v>
      </c>
      <c r="J60" s="5" t="s">
        <v>7419</v>
      </c>
      <c r="K60" s="2">
        <f t="shared" si="0"/>
        <v>481.95205479452056</v>
      </c>
    </row>
    <row r="61" spans="1:11" x14ac:dyDescent="0.25">
      <c r="A61" s="1" t="s">
        <v>15104</v>
      </c>
      <c r="B61" s="1" t="s">
        <v>15153</v>
      </c>
      <c r="C61" s="1" t="s">
        <v>1533</v>
      </c>
      <c r="D61" s="1" t="s">
        <v>1533</v>
      </c>
      <c r="E61" s="1" t="s">
        <v>1533</v>
      </c>
      <c r="F61" s="1">
        <v>1.95</v>
      </c>
      <c r="G61" s="1" t="s">
        <v>15138</v>
      </c>
      <c r="H61" s="3">
        <v>918.8</v>
      </c>
      <c r="I61" s="1" t="s">
        <v>1522</v>
      </c>
      <c r="J61" s="5" t="s">
        <v>7420</v>
      </c>
      <c r="K61" s="2">
        <f t="shared" si="0"/>
        <v>471.17948717948718</v>
      </c>
    </row>
    <row r="62" spans="1:11" x14ac:dyDescent="0.25">
      <c r="A62" s="1" t="s">
        <v>15060</v>
      </c>
      <c r="B62" s="1" t="s">
        <v>1533</v>
      </c>
      <c r="C62" s="1" t="s">
        <v>1533</v>
      </c>
      <c r="D62" s="1" t="s">
        <v>15154</v>
      </c>
      <c r="E62" s="1" t="s">
        <v>1533</v>
      </c>
      <c r="F62" s="1">
        <v>72.06</v>
      </c>
      <c r="G62" s="1" t="s">
        <v>15138</v>
      </c>
      <c r="H62" s="3">
        <v>33077.4</v>
      </c>
      <c r="I62" s="1" t="s">
        <v>1522</v>
      </c>
      <c r="J62" s="5" t="s">
        <v>7418</v>
      </c>
      <c r="K62" s="2">
        <f t="shared" si="0"/>
        <v>459.02581182348047</v>
      </c>
    </row>
    <row r="63" spans="1:11" x14ac:dyDescent="0.25">
      <c r="A63" s="5" t="s">
        <v>15104</v>
      </c>
      <c r="B63" s="5" t="s">
        <v>15153</v>
      </c>
      <c r="C63" s="5" t="s">
        <v>1533</v>
      </c>
      <c r="D63" s="5" t="s">
        <v>1533</v>
      </c>
      <c r="E63" s="5" t="s">
        <v>1533</v>
      </c>
      <c r="F63" s="5">
        <v>0.92</v>
      </c>
      <c r="G63" s="5" t="s">
        <v>15138</v>
      </c>
      <c r="H63" s="8">
        <v>400</v>
      </c>
      <c r="I63" s="1" t="s">
        <v>1522</v>
      </c>
      <c r="J63" s="5" t="s">
        <v>7417</v>
      </c>
      <c r="K63" s="2">
        <f t="shared" si="0"/>
        <v>434.78260869565213</v>
      </c>
    </row>
    <row r="64" spans="1:11" x14ac:dyDescent="0.25">
      <c r="A64" s="1" t="s">
        <v>15075</v>
      </c>
      <c r="B64" s="1" t="s">
        <v>15145</v>
      </c>
      <c r="C64" s="1" t="s">
        <v>1533</v>
      </c>
      <c r="D64" s="1" t="s">
        <v>1533</v>
      </c>
      <c r="E64" s="1" t="s">
        <v>1533</v>
      </c>
      <c r="F64" s="1">
        <v>9.0399999999999991</v>
      </c>
      <c r="G64" s="1" t="s">
        <v>15138</v>
      </c>
      <c r="H64" s="3">
        <v>3915.9</v>
      </c>
      <c r="I64" s="1" t="s">
        <v>4</v>
      </c>
      <c r="J64" s="5" t="s">
        <v>7418</v>
      </c>
      <c r="K64" s="2">
        <f t="shared" si="0"/>
        <v>433.17477876106199</v>
      </c>
    </row>
    <row r="65" spans="1:11" x14ac:dyDescent="0.25">
      <c r="A65" s="5" t="s">
        <v>15115</v>
      </c>
      <c r="B65" s="5" t="s">
        <v>1533</v>
      </c>
      <c r="C65" s="5" t="s">
        <v>1533</v>
      </c>
      <c r="D65" s="5" t="s">
        <v>15147</v>
      </c>
      <c r="E65" s="5" t="s">
        <v>15144</v>
      </c>
      <c r="F65" s="5">
        <v>1.1100000000000001</v>
      </c>
      <c r="G65" s="5" t="s">
        <v>15138</v>
      </c>
      <c r="H65" s="8">
        <v>459</v>
      </c>
      <c r="I65" s="5" t="s">
        <v>4</v>
      </c>
      <c r="J65" s="5" t="s">
        <v>7416</v>
      </c>
      <c r="K65" s="2">
        <f t="shared" si="0"/>
        <v>413.51351351351349</v>
      </c>
    </row>
    <row r="66" spans="1:11" x14ac:dyDescent="0.25">
      <c r="A66" s="1" t="s">
        <v>15060</v>
      </c>
      <c r="B66" s="1" t="s">
        <v>1533</v>
      </c>
      <c r="C66" s="1" t="s">
        <v>1533</v>
      </c>
      <c r="D66" s="1" t="s">
        <v>15139</v>
      </c>
      <c r="E66" s="1" t="s">
        <v>15144</v>
      </c>
      <c r="F66" s="1">
        <v>69.709999999999994</v>
      </c>
      <c r="G66" s="1" t="s">
        <v>15138</v>
      </c>
      <c r="H66" s="3">
        <v>28269.54</v>
      </c>
      <c r="I66" s="1" t="s">
        <v>4</v>
      </c>
      <c r="J66" s="5" t="s">
        <v>7418</v>
      </c>
      <c r="K66" s="2">
        <f t="shared" ref="K66:K129" si="1">H66/F66</f>
        <v>405.53062688280022</v>
      </c>
    </row>
    <row r="67" spans="1:11" x14ac:dyDescent="0.25">
      <c r="A67" s="5" t="s">
        <v>15060</v>
      </c>
      <c r="B67" s="5" t="s">
        <v>1533</v>
      </c>
      <c r="C67" s="5" t="s">
        <v>1533</v>
      </c>
      <c r="D67" s="5" t="s">
        <v>15139</v>
      </c>
      <c r="E67" s="5" t="s">
        <v>15146</v>
      </c>
      <c r="F67" s="5">
        <v>15.36</v>
      </c>
      <c r="G67" s="5" t="s">
        <v>15138</v>
      </c>
      <c r="H67" s="8">
        <v>6206</v>
      </c>
      <c r="I67" s="5" t="s">
        <v>1522</v>
      </c>
      <c r="J67" s="5" t="s">
        <v>7416</v>
      </c>
      <c r="K67" s="2">
        <f t="shared" si="1"/>
        <v>404.03645833333337</v>
      </c>
    </row>
    <row r="68" spans="1:11" x14ac:dyDescent="0.25">
      <c r="A68" s="5" t="s">
        <v>15122</v>
      </c>
      <c r="B68" s="5" t="s">
        <v>1533</v>
      </c>
      <c r="C68" s="5" t="s">
        <v>1533</v>
      </c>
      <c r="D68" s="5" t="s">
        <v>15155</v>
      </c>
      <c r="E68" s="5" t="s">
        <v>15156</v>
      </c>
      <c r="F68" s="5">
        <v>0.2</v>
      </c>
      <c r="G68" s="5" t="s">
        <v>15138</v>
      </c>
      <c r="H68" s="8">
        <v>80</v>
      </c>
      <c r="I68" s="5" t="s">
        <v>1522</v>
      </c>
      <c r="J68" s="5" t="s">
        <v>7416</v>
      </c>
      <c r="K68" s="2">
        <f t="shared" si="1"/>
        <v>400</v>
      </c>
    </row>
    <row r="69" spans="1:11" x14ac:dyDescent="0.25">
      <c r="A69" s="1" t="s">
        <v>15122</v>
      </c>
      <c r="B69" s="1" t="s">
        <v>1533</v>
      </c>
      <c r="C69" s="1" t="s">
        <v>1533</v>
      </c>
      <c r="D69" s="1" t="s">
        <v>15155</v>
      </c>
      <c r="E69" s="1" t="s">
        <v>15156</v>
      </c>
      <c r="F69" s="1">
        <v>0.2</v>
      </c>
      <c r="G69" s="1" t="s">
        <v>15138</v>
      </c>
      <c r="H69" s="3">
        <v>80</v>
      </c>
      <c r="I69" s="1" t="s">
        <v>1522</v>
      </c>
      <c r="J69" s="5" t="s">
        <v>7418</v>
      </c>
      <c r="K69" s="2">
        <f t="shared" si="1"/>
        <v>400</v>
      </c>
    </row>
    <row r="70" spans="1:11" x14ac:dyDescent="0.25">
      <c r="A70" s="1" t="s">
        <v>15096</v>
      </c>
      <c r="B70" s="1" t="s">
        <v>1533</v>
      </c>
      <c r="C70" s="1" t="s">
        <v>1533</v>
      </c>
      <c r="D70" s="1" t="s">
        <v>1533</v>
      </c>
      <c r="E70" s="1" t="s">
        <v>1533</v>
      </c>
      <c r="F70" s="1">
        <v>0.15</v>
      </c>
      <c r="G70" s="1" t="s">
        <v>15138</v>
      </c>
      <c r="H70" s="3">
        <v>60</v>
      </c>
      <c r="I70" s="1" t="s">
        <v>4</v>
      </c>
      <c r="J70" s="5" t="s">
        <v>7419</v>
      </c>
      <c r="K70" s="2">
        <f t="shared" si="1"/>
        <v>400</v>
      </c>
    </row>
    <row r="71" spans="1:11" x14ac:dyDescent="0.25">
      <c r="A71" s="1" t="s">
        <v>15060</v>
      </c>
      <c r="B71" s="1" t="s">
        <v>1533</v>
      </c>
      <c r="C71" s="1" t="s">
        <v>1533</v>
      </c>
      <c r="D71" s="1" t="s">
        <v>15139</v>
      </c>
      <c r="E71" s="1" t="s">
        <v>15140</v>
      </c>
      <c r="F71" s="1">
        <v>122.06</v>
      </c>
      <c r="G71" s="1" t="s">
        <v>15138</v>
      </c>
      <c r="H71" s="3">
        <v>48326.07</v>
      </c>
      <c r="I71" s="1" t="s">
        <v>4</v>
      </c>
      <c r="J71" s="5" t="s">
        <v>7420</v>
      </c>
      <c r="K71" s="2">
        <f t="shared" si="1"/>
        <v>395.92061281337044</v>
      </c>
    </row>
    <row r="72" spans="1:11" x14ac:dyDescent="0.25">
      <c r="A72" s="5" t="s">
        <v>15083</v>
      </c>
      <c r="B72" s="5" t="s">
        <v>1533</v>
      </c>
      <c r="C72" s="5" t="s">
        <v>1533</v>
      </c>
      <c r="D72" s="5" t="s">
        <v>15155</v>
      </c>
      <c r="E72" s="5" t="s">
        <v>15144</v>
      </c>
      <c r="F72" s="5">
        <v>7.2</v>
      </c>
      <c r="G72" s="5" t="s">
        <v>15157</v>
      </c>
      <c r="H72" s="8">
        <v>2850</v>
      </c>
      <c r="I72" s="1" t="s">
        <v>1522</v>
      </c>
      <c r="J72" s="5" t="s">
        <v>7417</v>
      </c>
      <c r="K72" s="2">
        <f t="shared" si="1"/>
        <v>395.83333333333331</v>
      </c>
    </row>
    <row r="73" spans="1:11" x14ac:dyDescent="0.25">
      <c r="A73" s="1" t="s">
        <v>15084</v>
      </c>
      <c r="B73" s="1" t="s">
        <v>1533</v>
      </c>
      <c r="C73" s="1" t="s">
        <v>1533</v>
      </c>
      <c r="D73" s="1" t="s">
        <v>15155</v>
      </c>
      <c r="E73" s="1" t="s">
        <v>15156</v>
      </c>
      <c r="F73" s="1">
        <v>1.41</v>
      </c>
      <c r="G73" s="1" t="s">
        <v>15138</v>
      </c>
      <c r="H73" s="3">
        <v>552</v>
      </c>
      <c r="I73" s="1" t="s">
        <v>1522</v>
      </c>
      <c r="J73" s="5" t="s">
        <v>7420</v>
      </c>
      <c r="K73" s="2">
        <f t="shared" si="1"/>
        <v>391.48936170212767</v>
      </c>
    </row>
    <row r="74" spans="1:11" x14ac:dyDescent="0.25">
      <c r="A74" s="1" t="s">
        <v>15070</v>
      </c>
      <c r="B74" s="1" t="s">
        <v>15145</v>
      </c>
      <c r="C74" s="1" t="s">
        <v>1533</v>
      </c>
      <c r="D74" s="1" t="s">
        <v>1533</v>
      </c>
      <c r="E74" s="1" t="s">
        <v>1533</v>
      </c>
      <c r="F74" s="1">
        <v>9.6300000000000008</v>
      </c>
      <c r="G74" s="1" t="s">
        <v>15138</v>
      </c>
      <c r="H74" s="3">
        <v>3765.9</v>
      </c>
      <c r="I74" s="1" t="s">
        <v>1522</v>
      </c>
      <c r="J74" s="5" t="s">
        <v>7420</v>
      </c>
      <c r="K74" s="2">
        <f t="shared" si="1"/>
        <v>391.05919003115264</v>
      </c>
    </row>
    <row r="75" spans="1:11" x14ac:dyDescent="0.25">
      <c r="A75" s="1" t="s">
        <v>15060</v>
      </c>
      <c r="B75" s="1" t="s">
        <v>1533</v>
      </c>
      <c r="C75" s="1" t="s">
        <v>1533</v>
      </c>
      <c r="D75" s="1" t="s">
        <v>15139</v>
      </c>
      <c r="E75" s="1" t="s">
        <v>15140</v>
      </c>
      <c r="F75" s="1">
        <v>61.89</v>
      </c>
      <c r="G75" s="1" t="s">
        <v>15138</v>
      </c>
      <c r="H75" s="3">
        <v>24141.72</v>
      </c>
      <c r="I75" s="1" t="s">
        <v>4</v>
      </c>
      <c r="J75" s="5" t="s">
        <v>7419</v>
      </c>
      <c r="K75" s="2">
        <f t="shared" si="1"/>
        <v>390.07464857004362</v>
      </c>
    </row>
    <row r="76" spans="1:11" x14ac:dyDescent="0.25">
      <c r="A76" s="1" t="s">
        <v>15069</v>
      </c>
      <c r="B76" s="1" t="s">
        <v>15158</v>
      </c>
      <c r="C76" s="1" t="s">
        <v>1533</v>
      </c>
      <c r="D76" s="1" t="s">
        <v>1533</v>
      </c>
      <c r="E76" s="1" t="s">
        <v>1533</v>
      </c>
      <c r="F76" s="1">
        <v>1</v>
      </c>
      <c r="G76" s="1" t="s">
        <v>15142</v>
      </c>
      <c r="H76" s="3">
        <v>389.9</v>
      </c>
      <c r="I76" s="1" t="s">
        <v>4</v>
      </c>
      <c r="J76" s="5" t="s">
        <v>7419</v>
      </c>
      <c r="K76" s="2">
        <f t="shared" si="1"/>
        <v>389.9</v>
      </c>
    </row>
    <row r="77" spans="1:11" x14ac:dyDescent="0.25">
      <c r="A77" s="1" t="s">
        <v>15060</v>
      </c>
      <c r="B77" s="1" t="s">
        <v>1533</v>
      </c>
      <c r="C77" s="1" t="s">
        <v>1533</v>
      </c>
      <c r="D77" s="1" t="s">
        <v>15139</v>
      </c>
      <c r="E77" s="1" t="s">
        <v>15149</v>
      </c>
      <c r="F77" s="1">
        <v>18.63</v>
      </c>
      <c r="G77" s="1" t="s">
        <v>15138</v>
      </c>
      <c r="H77" s="3">
        <v>7211.1</v>
      </c>
      <c r="I77" s="1" t="s">
        <v>1522</v>
      </c>
      <c r="J77" s="5" t="s">
        <v>7420</v>
      </c>
      <c r="K77" s="2">
        <f t="shared" si="1"/>
        <v>387.06924315619972</v>
      </c>
    </row>
    <row r="78" spans="1:11" x14ac:dyDescent="0.25">
      <c r="A78" s="5" t="s">
        <v>15069</v>
      </c>
      <c r="B78" s="5" t="s">
        <v>15159</v>
      </c>
      <c r="C78" s="5" t="s">
        <v>1533</v>
      </c>
      <c r="D78" s="5" t="s">
        <v>1533</v>
      </c>
      <c r="E78" s="5" t="s">
        <v>1533</v>
      </c>
      <c r="F78" s="5">
        <v>2</v>
      </c>
      <c r="G78" s="5" t="s">
        <v>15142</v>
      </c>
      <c r="H78" s="8">
        <v>769.9</v>
      </c>
      <c r="I78" s="5" t="s">
        <v>4</v>
      </c>
      <c r="J78" s="5" t="s">
        <v>7416</v>
      </c>
      <c r="K78" s="2">
        <f t="shared" si="1"/>
        <v>384.95</v>
      </c>
    </row>
    <row r="79" spans="1:11" x14ac:dyDescent="0.25">
      <c r="A79" s="1" t="s">
        <v>15060</v>
      </c>
      <c r="B79" s="1" t="s">
        <v>1533</v>
      </c>
      <c r="C79" s="1" t="s">
        <v>1533</v>
      </c>
      <c r="D79" s="1" t="s">
        <v>15139</v>
      </c>
      <c r="E79" s="1" t="s">
        <v>15140</v>
      </c>
      <c r="F79" s="1">
        <v>55.17</v>
      </c>
      <c r="G79" s="1" t="s">
        <v>15138</v>
      </c>
      <c r="H79" s="3">
        <v>21145.8</v>
      </c>
      <c r="I79" s="1" t="s">
        <v>4</v>
      </c>
      <c r="J79" s="5" t="s">
        <v>7417</v>
      </c>
      <c r="K79" s="2">
        <f t="shared" si="1"/>
        <v>383.284393692224</v>
      </c>
    </row>
    <row r="80" spans="1:11" x14ac:dyDescent="0.25">
      <c r="A80" s="1" t="s">
        <v>15069</v>
      </c>
      <c r="B80" s="1" t="s">
        <v>15160</v>
      </c>
      <c r="C80" s="1" t="s">
        <v>1533</v>
      </c>
      <c r="D80" s="1" t="s">
        <v>1533</v>
      </c>
      <c r="E80" s="1" t="s">
        <v>1533</v>
      </c>
      <c r="F80" s="1">
        <v>1</v>
      </c>
      <c r="G80" s="1" t="s">
        <v>15142</v>
      </c>
      <c r="H80" s="3">
        <v>379.9</v>
      </c>
      <c r="I80" s="1" t="s">
        <v>4</v>
      </c>
      <c r="J80" s="5" t="s">
        <v>7420</v>
      </c>
      <c r="K80" s="2">
        <f t="shared" si="1"/>
        <v>379.9</v>
      </c>
    </row>
    <row r="81" spans="1:11" x14ac:dyDescent="0.25">
      <c r="A81" s="5" t="s">
        <v>15060</v>
      </c>
      <c r="B81" s="5" t="s">
        <v>1533</v>
      </c>
      <c r="C81" s="5" t="s">
        <v>1533</v>
      </c>
      <c r="D81" s="5" t="s">
        <v>15139</v>
      </c>
      <c r="E81" s="5" t="s">
        <v>15140</v>
      </c>
      <c r="F81" s="5">
        <v>82.26</v>
      </c>
      <c r="G81" s="5" t="s">
        <v>15138</v>
      </c>
      <c r="H81" s="8">
        <v>30935.200000000001</v>
      </c>
      <c r="I81" s="5" t="s">
        <v>4</v>
      </c>
      <c r="J81" s="5" t="s">
        <v>7416</v>
      </c>
      <c r="K81" s="2">
        <f t="shared" si="1"/>
        <v>376.0661317772915</v>
      </c>
    </row>
    <row r="82" spans="1:11" x14ac:dyDescent="0.25">
      <c r="A82" s="1" t="s">
        <v>15115</v>
      </c>
      <c r="B82" s="1" t="s">
        <v>1533</v>
      </c>
      <c r="C82" s="1" t="s">
        <v>1533</v>
      </c>
      <c r="D82" s="1" t="s">
        <v>15147</v>
      </c>
      <c r="E82" s="1" t="s">
        <v>15149</v>
      </c>
      <c r="F82" s="1">
        <v>0.25</v>
      </c>
      <c r="G82" s="1" t="s">
        <v>15138</v>
      </c>
      <c r="H82" s="3">
        <v>90</v>
      </c>
      <c r="I82" s="1" t="s">
        <v>4</v>
      </c>
      <c r="J82" s="5" t="s">
        <v>7420</v>
      </c>
      <c r="K82" s="2">
        <f t="shared" si="1"/>
        <v>360</v>
      </c>
    </row>
    <row r="83" spans="1:11" x14ac:dyDescent="0.25">
      <c r="A83" s="1" t="s">
        <v>15060</v>
      </c>
      <c r="B83" s="1" t="s">
        <v>1533</v>
      </c>
      <c r="C83" s="1" t="s">
        <v>1533</v>
      </c>
      <c r="D83" s="1" t="s">
        <v>15139</v>
      </c>
      <c r="E83" s="1" t="s">
        <v>15146</v>
      </c>
      <c r="F83" s="1">
        <v>3.68</v>
      </c>
      <c r="G83" s="1" t="s">
        <v>15138</v>
      </c>
      <c r="H83" s="3">
        <v>1225</v>
      </c>
      <c r="I83" s="1" t="s">
        <v>1522</v>
      </c>
      <c r="J83" s="5" t="s">
        <v>7419</v>
      </c>
      <c r="K83" s="2">
        <f t="shared" si="1"/>
        <v>332.88043478260869</v>
      </c>
    </row>
    <row r="84" spans="1:11" x14ac:dyDescent="0.25">
      <c r="A84" s="5" t="s">
        <v>15109</v>
      </c>
      <c r="B84" s="5" t="s">
        <v>1533</v>
      </c>
      <c r="C84" s="5" t="s">
        <v>1533</v>
      </c>
      <c r="D84" s="5" t="s">
        <v>15139</v>
      </c>
      <c r="E84" s="5" t="s">
        <v>15161</v>
      </c>
      <c r="F84" s="5">
        <v>1.29</v>
      </c>
      <c r="G84" s="5" t="s">
        <v>15138</v>
      </c>
      <c r="H84" s="8">
        <v>425</v>
      </c>
      <c r="I84" s="5" t="s">
        <v>1522</v>
      </c>
      <c r="J84" s="5" t="s">
        <v>7416</v>
      </c>
      <c r="K84" s="2">
        <f t="shared" si="1"/>
        <v>329.45736434108528</v>
      </c>
    </row>
    <row r="85" spans="1:11" x14ac:dyDescent="0.25">
      <c r="A85" s="1" t="s">
        <v>15109</v>
      </c>
      <c r="B85" s="1" t="s">
        <v>1533</v>
      </c>
      <c r="C85" s="1" t="s">
        <v>1533</v>
      </c>
      <c r="D85" s="1" t="s">
        <v>15139</v>
      </c>
      <c r="E85" s="1" t="s">
        <v>15161</v>
      </c>
      <c r="F85" s="1">
        <v>1.29</v>
      </c>
      <c r="G85" s="1" t="s">
        <v>15138</v>
      </c>
      <c r="H85" s="3">
        <v>425</v>
      </c>
      <c r="I85" s="1" t="s">
        <v>1522</v>
      </c>
      <c r="J85" s="5" t="s">
        <v>7418</v>
      </c>
      <c r="K85" s="2">
        <f t="shared" si="1"/>
        <v>329.45736434108528</v>
      </c>
    </row>
    <row r="86" spans="1:11" x14ac:dyDescent="0.25">
      <c r="A86" s="1" t="s">
        <v>15128</v>
      </c>
      <c r="B86" s="1" t="s">
        <v>1533</v>
      </c>
      <c r="C86" s="1" t="s">
        <v>1533</v>
      </c>
      <c r="D86" s="1" t="s">
        <v>15147</v>
      </c>
      <c r="E86" s="1" t="s">
        <v>15144</v>
      </c>
      <c r="F86" s="1">
        <v>0.08</v>
      </c>
      <c r="G86" s="1" t="s">
        <v>15138</v>
      </c>
      <c r="H86" s="3">
        <v>25.6</v>
      </c>
      <c r="I86" s="1" t="s">
        <v>4</v>
      </c>
      <c r="J86" s="5" t="s">
        <v>7417</v>
      </c>
      <c r="K86" s="2">
        <f t="shared" si="1"/>
        <v>320</v>
      </c>
    </row>
    <row r="87" spans="1:11" x14ac:dyDescent="0.25">
      <c r="A87" s="1" t="s">
        <v>15069</v>
      </c>
      <c r="B87" s="1" t="s">
        <v>15160</v>
      </c>
      <c r="C87" s="1" t="s">
        <v>1533</v>
      </c>
      <c r="D87" s="1" t="s">
        <v>1533</v>
      </c>
      <c r="E87" s="1" t="s">
        <v>1533</v>
      </c>
      <c r="F87" s="1">
        <v>2</v>
      </c>
      <c r="G87" s="1" t="s">
        <v>15142</v>
      </c>
      <c r="H87" s="3">
        <v>639.79999999999995</v>
      </c>
      <c r="I87" s="1" t="s">
        <v>4</v>
      </c>
      <c r="J87" s="5" t="s">
        <v>7419</v>
      </c>
      <c r="K87" s="2">
        <f t="shared" si="1"/>
        <v>319.89999999999998</v>
      </c>
    </row>
    <row r="88" spans="1:11" x14ac:dyDescent="0.25">
      <c r="A88" s="1" t="s">
        <v>15061</v>
      </c>
      <c r="B88" s="1" t="s">
        <v>1533</v>
      </c>
      <c r="C88" s="1" t="s">
        <v>1533</v>
      </c>
      <c r="D88" s="1" t="s">
        <v>15139</v>
      </c>
      <c r="E88" s="1" t="s">
        <v>15140</v>
      </c>
      <c r="F88" s="1">
        <v>8.27</v>
      </c>
      <c r="G88" s="1" t="s">
        <v>15138</v>
      </c>
      <c r="H88" s="3">
        <v>2636.62</v>
      </c>
      <c r="I88" s="1" t="s">
        <v>1522</v>
      </c>
      <c r="J88" s="5" t="s">
        <v>7420</v>
      </c>
      <c r="K88" s="2">
        <f t="shared" si="1"/>
        <v>318.8174123337364</v>
      </c>
    </row>
    <row r="89" spans="1:11" x14ac:dyDescent="0.25">
      <c r="A89" s="1" t="s">
        <v>15116</v>
      </c>
      <c r="B89" s="1" t="s">
        <v>15151</v>
      </c>
      <c r="C89" s="1" t="s">
        <v>1533</v>
      </c>
      <c r="D89" s="1" t="s">
        <v>1533</v>
      </c>
      <c r="E89" s="1" t="s">
        <v>1533</v>
      </c>
      <c r="F89" s="1">
        <v>1.68</v>
      </c>
      <c r="G89" s="1" t="s">
        <v>15138</v>
      </c>
      <c r="H89" s="3">
        <v>532</v>
      </c>
      <c r="I89" s="1" t="s">
        <v>4</v>
      </c>
      <c r="J89" s="5" t="s">
        <v>7418</v>
      </c>
      <c r="K89" s="2">
        <f t="shared" si="1"/>
        <v>316.66666666666669</v>
      </c>
    </row>
    <row r="90" spans="1:11" x14ac:dyDescent="0.25">
      <c r="A90" s="1" t="s">
        <v>15085</v>
      </c>
      <c r="B90" s="1" t="s">
        <v>15143</v>
      </c>
      <c r="C90" s="1" t="s">
        <v>1533</v>
      </c>
      <c r="D90" s="1" t="s">
        <v>1533</v>
      </c>
      <c r="E90" s="1" t="s">
        <v>1533</v>
      </c>
      <c r="F90" s="1">
        <v>0.16</v>
      </c>
      <c r="G90" s="1" t="s">
        <v>15138</v>
      </c>
      <c r="H90" s="3">
        <v>50</v>
      </c>
      <c r="I90" s="1" t="s">
        <v>4</v>
      </c>
      <c r="J90" s="5" t="s">
        <v>7419</v>
      </c>
      <c r="K90" s="2">
        <f t="shared" si="1"/>
        <v>312.5</v>
      </c>
    </row>
    <row r="91" spans="1:11" ht="27" x14ac:dyDescent="0.25">
      <c r="A91" s="1" t="s">
        <v>15062</v>
      </c>
      <c r="B91" s="1" t="s">
        <v>1533</v>
      </c>
      <c r="C91" s="1" t="s">
        <v>1533</v>
      </c>
      <c r="D91" s="1" t="s">
        <v>15139</v>
      </c>
      <c r="E91" s="1" t="s">
        <v>15162</v>
      </c>
      <c r="F91" s="1">
        <v>33.39</v>
      </c>
      <c r="G91" s="1" t="s">
        <v>15138</v>
      </c>
      <c r="H91" s="3">
        <v>10388.39</v>
      </c>
      <c r="I91" s="1" t="s">
        <v>4</v>
      </c>
      <c r="J91" s="5" t="s">
        <v>7420</v>
      </c>
      <c r="K91" s="2">
        <f t="shared" si="1"/>
        <v>311.12279125486668</v>
      </c>
    </row>
    <row r="92" spans="1:11" x14ac:dyDescent="0.25">
      <c r="A92" s="1" t="s">
        <v>15061</v>
      </c>
      <c r="B92" s="1" t="s">
        <v>1533</v>
      </c>
      <c r="C92" s="1" t="s">
        <v>1533</v>
      </c>
      <c r="D92" s="1" t="s">
        <v>15139</v>
      </c>
      <c r="E92" s="1" t="s">
        <v>15140</v>
      </c>
      <c r="F92" s="1">
        <v>102.7</v>
      </c>
      <c r="G92" s="1" t="s">
        <v>15138</v>
      </c>
      <c r="H92" s="3">
        <v>31293</v>
      </c>
      <c r="I92" s="1" t="s">
        <v>4</v>
      </c>
      <c r="J92" s="5" t="s">
        <v>7417</v>
      </c>
      <c r="K92" s="2">
        <f t="shared" si="1"/>
        <v>304.70301850048685</v>
      </c>
    </row>
    <row r="93" spans="1:11" x14ac:dyDescent="0.25">
      <c r="A93" s="1" t="s">
        <v>15082</v>
      </c>
      <c r="B93" s="1" t="s">
        <v>1533</v>
      </c>
      <c r="C93" s="1" t="s">
        <v>1533</v>
      </c>
      <c r="D93" s="1" t="s">
        <v>15139</v>
      </c>
      <c r="E93" s="1" t="s">
        <v>15144</v>
      </c>
      <c r="F93" s="1">
        <v>1.32</v>
      </c>
      <c r="G93" s="1" t="s">
        <v>15138</v>
      </c>
      <c r="H93" s="3">
        <v>400</v>
      </c>
      <c r="I93" s="1" t="s">
        <v>1522</v>
      </c>
      <c r="J93" s="5" t="s">
        <v>7420</v>
      </c>
      <c r="K93" s="2">
        <f t="shared" si="1"/>
        <v>303.030303030303</v>
      </c>
    </row>
    <row r="94" spans="1:11" x14ac:dyDescent="0.25">
      <c r="A94" s="5" t="s">
        <v>15122</v>
      </c>
      <c r="B94" s="5" t="s">
        <v>1533</v>
      </c>
      <c r="C94" s="5" t="s">
        <v>1533</v>
      </c>
      <c r="D94" s="5" t="s">
        <v>15155</v>
      </c>
      <c r="E94" s="5" t="s">
        <v>15156</v>
      </c>
      <c r="F94" s="5">
        <v>0.3</v>
      </c>
      <c r="G94" s="5" t="s">
        <v>15138</v>
      </c>
      <c r="H94" s="8">
        <v>90</v>
      </c>
      <c r="I94" s="5" t="s">
        <v>4</v>
      </c>
      <c r="J94" s="5" t="s">
        <v>7416</v>
      </c>
      <c r="K94" s="2">
        <f t="shared" si="1"/>
        <v>300</v>
      </c>
    </row>
    <row r="95" spans="1:11" x14ac:dyDescent="0.25">
      <c r="A95" s="1" t="s">
        <v>15070</v>
      </c>
      <c r="B95" s="1" t="s">
        <v>15145</v>
      </c>
      <c r="C95" s="1" t="s">
        <v>1533</v>
      </c>
      <c r="D95" s="1" t="s">
        <v>1533</v>
      </c>
      <c r="E95" s="1" t="s">
        <v>1533</v>
      </c>
      <c r="F95" s="1">
        <v>0.79</v>
      </c>
      <c r="G95" s="1" t="s">
        <v>15138</v>
      </c>
      <c r="H95" s="3">
        <v>235</v>
      </c>
      <c r="I95" s="1" t="s">
        <v>4</v>
      </c>
      <c r="J95" s="5" t="s">
        <v>7418</v>
      </c>
      <c r="K95" s="2">
        <f t="shared" si="1"/>
        <v>297.46835443037975</v>
      </c>
    </row>
    <row r="96" spans="1:11" x14ac:dyDescent="0.25">
      <c r="A96" s="1" t="s">
        <v>15079</v>
      </c>
      <c r="B96" s="1" t="s">
        <v>15151</v>
      </c>
      <c r="C96" s="1" t="s">
        <v>1533</v>
      </c>
      <c r="D96" s="1" t="s">
        <v>1533</v>
      </c>
      <c r="E96" s="1" t="s">
        <v>1533</v>
      </c>
      <c r="F96" s="1">
        <v>1.28</v>
      </c>
      <c r="G96" s="1" t="s">
        <v>15138</v>
      </c>
      <c r="H96" s="3">
        <v>380</v>
      </c>
      <c r="I96" s="1" t="s">
        <v>1522</v>
      </c>
      <c r="J96" s="5" t="s">
        <v>7418</v>
      </c>
      <c r="K96" s="2">
        <f t="shared" si="1"/>
        <v>296.875</v>
      </c>
    </row>
    <row r="97" spans="1:11" x14ac:dyDescent="0.25">
      <c r="A97" s="1" t="s">
        <v>15087</v>
      </c>
      <c r="B97" s="1" t="s">
        <v>1533</v>
      </c>
      <c r="C97" s="1" t="s">
        <v>1533</v>
      </c>
      <c r="D97" s="1" t="s">
        <v>15139</v>
      </c>
      <c r="E97" s="1" t="s">
        <v>15140</v>
      </c>
      <c r="F97" s="1">
        <v>10.24</v>
      </c>
      <c r="G97" s="1" t="s">
        <v>15138</v>
      </c>
      <c r="H97" s="3">
        <v>2861.45</v>
      </c>
      <c r="I97" s="1" t="s">
        <v>4</v>
      </c>
      <c r="J97" s="5" t="s">
        <v>7419</v>
      </c>
      <c r="K97" s="2">
        <f t="shared" si="1"/>
        <v>279.4384765625</v>
      </c>
    </row>
    <row r="98" spans="1:11" x14ac:dyDescent="0.25">
      <c r="A98" s="5" t="s">
        <v>15061</v>
      </c>
      <c r="B98" s="5" t="s">
        <v>1533</v>
      </c>
      <c r="C98" s="5" t="s">
        <v>1533</v>
      </c>
      <c r="D98" s="5" t="s">
        <v>15154</v>
      </c>
      <c r="E98" s="5" t="s">
        <v>15140</v>
      </c>
      <c r="F98" s="5">
        <v>8.27</v>
      </c>
      <c r="G98" s="5" t="s">
        <v>15138</v>
      </c>
      <c r="H98" s="8">
        <v>2299.0300000000002</v>
      </c>
      <c r="I98" s="5" t="s">
        <v>1522</v>
      </c>
      <c r="J98" s="5" t="s">
        <v>7416</v>
      </c>
      <c r="K98" s="2">
        <f t="shared" si="1"/>
        <v>277.99637243047164</v>
      </c>
    </row>
    <row r="99" spans="1:11" x14ac:dyDescent="0.25">
      <c r="A99" s="1" t="s">
        <v>15070</v>
      </c>
      <c r="B99" s="1" t="s">
        <v>15145</v>
      </c>
      <c r="C99" s="1" t="s">
        <v>1533</v>
      </c>
      <c r="D99" s="1" t="s">
        <v>1533</v>
      </c>
      <c r="E99" s="1" t="s">
        <v>1533</v>
      </c>
      <c r="F99" s="1">
        <v>0.09</v>
      </c>
      <c r="G99" s="1" t="s">
        <v>15138</v>
      </c>
      <c r="H99" s="3">
        <v>25</v>
      </c>
      <c r="I99" s="1" t="s">
        <v>1522</v>
      </c>
      <c r="J99" s="5" t="s">
        <v>7418</v>
      </c>
      <c r="K99" s="2">
        <f t="shared" si="1"/>
        <v>277.77777777777777</v>
      </c>
    </row>
    <row r="100" spans="1:11" x14ac:dyDescent="0.25">
      <c r="A100" s="5" t="s">
        <v>15061</v>
      </c>
      <c r="B100" s="5" t="s">
        <v>1533</v>
      </c>
      <c r="C100" s="5" t="s">
        <v>1533</v>
      </c>
      <c r="D100" s="5" t="s">
        <v>15139</v>
      </c>
      <c r="E100" s="5" t="s">
        <v>15140</v>
      </c>
      <c r="F100" s="5">
        <v>102.58</v>
      </c>
      <c r="G100" s="5" t="s">
        <v>15138</v>
      </c>
      <c r="H100" s="8">
        <v>27408.31</v>
      </c>
      <c r="I100" s="5" t="s">
        <v>4</v>
      </c>
      <c r="J100" s="5" t="s">
        <v>7416</v>
      </c>
      <c r="K100" s="2">
        <f t="shared" si="1"/>
        <v>267.18960811074282</v>
      </c>
    </row>
    <row r="101" spans="1:11" x14ac:dyDescent="0.25">
      <c r="A101" s="5" t="s">
        <v>15062</v>
      </c>
      <c r="B101" s="5" t="s">
        <v>1533</v>
      </c>
      <c r="C101" s="5" t="s">
        <v>1533</v>
      </c>
      <c r="D101" s="5" t="s">
        <v>15139</v>
      </c>
      <c r="E101" s="5" t="s">
        <v>15144</v>
      </c>
      <c r="F101" s="5">
        <v>10.29</v>
      </c>
      <c r="G101" s="5" t="s">
        <v>15138</v>
      </c>
      <c r="H101" s="8">
        <v>2688.2</v>
      </c>
      <c r="I101" s="1" t="s">
        <v>1522</v>
      </c>
      <c r="J101" s="5" t="s">
        <v>7417</v>
      </c>
      <c r="K101" s="2">
        <f t="shared" si="1"/>
        <v>261.24392614188531</v>
      </c>
    </row>
    <row r="102" spans="1:11" x14ac:dyDescent="0.25">
      <c r="A102" s="5" t="s">
        <v>15114</v>
      </c>
      <c r="B102" s="5" t="s">
        <v>15150</v>
      </c>
      <c r="C102" s="5" t="s">
        <v>1533</v>
      </c>
      <c r="D102" s="5" t="s">
        <v>1533</v>
      </c>
      <c r="E102" s="5" t="s">
        <v>1533</v>
      </c>
      <c r="F102" s="5">
        <v>0.23</v>
      </c>
      <c r="G102" s="5" t="s">
        <v>15138</v>
      </c>
      <c r="H102" s="8">
        <v>60</v>
      </c>
      <c r="I102" s="1" t="s">
        <v>1522</v>
      </c>
      <c r="J102" s="5" t="s">
        <v>7417</v>
      </c>
      <c r="K102" s="2">
        <f t="shared" si="1"/>
        <v>260.86956521739131</v>
      </c>
    </row>
    <row r="103" spans="1:11" x14ac:dyDescent="0.25">
      <c r="A103" s="1" t="s">
        <v>15069</v>
      </c>
      <c r="B103" s="1" t="s">
        <v>15160</v>
      </c>
      <c r="C103" s="1" t="s">
        <v>1533</v>
      </c>
      <c r="D103" s="1" t="s">
        <v>1533</v>
      </c>
      <c r="E103" s="1" t="s">
        <v>1533</v>
      </c>
      <c r="F103" s="1">
        <v>1</v>
      </c>
      <c r="G103" s="1" t="s">
        <v>15142</v>
      </c>
      <c r="H103" s="3">
        <v>259.89999999999998</v>
      </c>
      <c r="I103" s="1" t="s">
        <v>4</v>
      </c>
      <c r="J103" s="5" t="s">
        <v>7417</v>
      </c>
      <c r="K103" s="2">
        <f t="shared" si="1"/>
        <v>259.89999999999998</v>
      </c>
    </row>
    <row r="104" spans="1:11" x14ac:dyDescent="0.25">
      <c r="A104" s="1" t="s">
        <v>15069</v>
      </c>
      <c r="B104" s="1" t="s">
        <v>15160</v>
      </c>
      <c r="C104" s="1" t="s">
        <v>1533</v>
      </c>
      <c r="D104" s="1" t="s">
        <v>1533</v>
      </c>
      <c r="E104" s="1" t="s">
        <v>1533</v>
      </c>
      <c r="F104" s="1">
        <v>1</v>
      </c>
      <c r="G104" s="1" t="s">
        <v>15142</v>
      </c>
      <c r="H104" s="3">
        <v>259.89999999999998</v>
      </c>
      <c r="I104" s="1" t="s">
        <v>4</v>
      </c>
      <c r="J104" s="5" t="s">
        <v>7418</v>
      </c>
      <c r="K104" s="2">
        <f t="shared" si="1"/>
        <v>259.89999999999998</v>
      </c>
    </row>
    <row r="105" spans="1:11" x14ac:dyDescent="0.25">
      <c r="A105" s="5" t="s">
        <v>15084</v>
      </c>
      <c r="B105" s="5" t="s">
        <v>1533</v>
      </c>
      <c r="C105" s="5" t="s">
        <v>1533</v>
      </c>
      <c r="D105" s="5" t="s">
        <v>15155</v>
      </c>
      <c r="E105" s="5" t="s">
        <v>15156</v>
      </c>
      <c r="F105" s="5">
        <v>6.65</v>
      </c>
      <c r="G105" s="5" t="s">
        <v>15138</v>
      </c>
      <c r="H105" s="8">
        <v>1694</v>
      </c>
      <c r="I105" s="5" t="s">
        <v>1522</v>
      </c>
      <c r="J105" s="5" t="s">
        <v>7416</v>
      </c>
      <c r="K105" s="2">
        <f t="shared" si="1"/>
        <v>254.73684210526315</v>
      </c>
    </row>
    <row r="106" spans="1:11" x14ac:dyDescent="0.25">
      <c r="A106" s="1" t="s">
        <v>15061</v>
      </c>
      <c r="B106" s="1" t="s">
        <v>1533</v>
      </c>
      <c r="C106" s="1" t="s">
        <v>1533</v>
      </c>
      <c r="D106" s="1" t="s">
        <v>15139</v>
      </c>
      <c r="E106" s="1" t="s">
        <v>15140</v>
      </c>
      <c r="F106" s="1">
        <v>108.44</v>
      </c>
      <c r="G106" s="1" t="s">
        <v>15138</v>
      </c>
      <c r="H106" s="3">
        <v>27150.240000000002</v>
      </c>
      <c r="I106" s="1" t="s">
        <v>4</v>
      </c>
      <c r="J106" s="5" t="s">
        <v>7419</v>
      </c>
      <c r="K106" s="2">
        <f t="shared" si="1"/>
        <v>250.37108078199927</v>
      </c>
    </row>
    <row r="107" spans="1:11" x14ac:dyDescent="0.25">
      <c r="A107" s="5" t="s">
        <v>15084</v>
      </c>
      <c r="B107" s="5" t="s">
        <v>1533</v>
      </c>
      <c r="C107" s="5" t="s">
        <v>1533</v>
      </c>
      <c r="D107" s="5" t="s">
        <v>15155</v>
      </c>
      <c r="E107" s="5" t="s">
        <v>15156</v>
      </c>
      <c r="F107" s="5">
        <v>8.81</v>
      </c>
      <c r="G107" s="5" t="s">
        <v>15138</v>
      </c>
      <c r="H107" s="8">
        <v>2199.5</v>
      </c>
      <c r="I107" s="1" t="s">
        <v>1522</v>
      </c>
      <c r="J107" s="5" t="s">
        <v>7417</v>
      </c>
      <c r="K107" s="2">
        <f t="shared" si="1"/>
        <v>249.65947786606128</v>
      </c>
    </row>
    <row r="108" spans="1:11" x14ac:dyDescent="0.25">
      <c r="A108" s="5" t="s">
        <v>15062</v>
      </c>
      <c r="B108" s="5" t="s">
        <v>1533</v>
      </c>
      <c r="C108" s="5" t="s">
        <v>1533</v>
      </c>
      <c r="D108" s="5" t="s">
        <v>15139</v>
      </c>
      <c r="E108" s="5" t="s">
        <v>15140</v>
      </c>
      <c r="F108" s="5">
        <v>31.8</v>
      </c>
      <c r="G108" s="5" t="s">
        <v>15138</v>
      </c>
      <c r="H108" s="8">
        <v>7824.91</v>
      </c>
      <c r="I108" s="5" t="s">
        <v>4</v>
      </c>
      <c r="J108" s="5" t="s">
        <v>7416</v>
      </c>
      <c r="K108" s="2">
        <f t="shared" si="1"/>
        <v>246.06635220125784</v>
      </c>
    </row>
    <row r="109" spans="1:11" x14ac:dyDescent="0.25">
      <c r="A109" s="5" t="s">
        <v>15062</v>
      </c>
      <c r="B109" s="5" t="s">
        <v>1533</v>
      </c>
      <c r="C109" s="5" t="s">
        <v>1533</v>
      </c>
      <c r="D109" s="5" t="s">
        <v>15139</v>
      </c>
      <c r="E109" s="5" t="s">
        <v>15140</v>
      </c>
      <c r="F109" s="5">
        <v>7.21</v>
      </c>
      <c r="G109" s="5" t="s">
        <v>15138</v>
      </c>
      <c r="H109" s="8">
        <v>1769.97</v>
      </c>
      <c r="I109" s="5" t="s">
        <v>1522</v>
      </c>
      <c r="J109" s="5" t="s">
        <v>7416</v>
      </c>
      <c r="K109" s="2">
        <f t="shared" si="1"/>
        <v>245.48821081830792</v>
      </c>
    </row>
    <row r="110" spans="1:11" x14ac:dyDescent="0.25">
      <c r="A110" s="1" t="s">
        <v>15061</v>
      </c>
      <c r="B110" s="1" t="s">
        <v>1533</v>
      </c>
      <c r="C110" s="1" t="s">
        <v>1533</v>
      </c>
      <c r="D110" s="1" t="s">
        <v>15139</v>
      </c>
      <c r="E110" s="1" t="s">
        <v>15149</v>
      </c>
      <c r="F110" s="1">
        <v>116.68</v>
      </c>
      <c r="G110" s="1" t="s">
        <v>15138</v>
      </c>
      <c r="H110" s="3">
        <v>28524.28</v>
      </c>
      <c r="I110" s="1" t="s">
        <v>4</v>
      </c>
      <c r="J110" s="5" t="s">
        <v>7418</v>
      </c>
      <c r="K110" s="2">
        <f t="shared" si="1"/>
        <v>244.46588961261568</v>
      </c>
    </row>
    <row r="111" spans="1:11" x14ac:dyDescent="0.25">
      <c r="A111" s="1" t="s">
        <v>15084</v>
      </c>
      <c r="B111" s="1" t="s">
        <v>1533</v>
      </c>
      <c r="C111" s="1" t="s">
        <v>1533</v>
      </c>
      <c r="D111" s="1" t="s">
        <v>15155</v>
      </c>
      <c r="E111" s="1" t="s">
        <v>15156</v>
      </c>
      <c r="F111" s="1">
        <v>2.93</v>
      </c>
      <c r="G111" s="1" t="s">
        <v>15138</v>
      </c>
      <c r="H111" s="3">
        <v>714</v>
      </c>
      <c r="I111" s="1" t="s">
        <v>1522</v>
      </c>
      <c r="J111" s="5" t="s">
        <v>7418</v>
      </c>
      <c r="K111" s="2">
        <f t="shared" si="1"/>
        <v>243.68600682593856</v>
      </c>
    </row>
    <row r="112" spans="1:11" x14ac:dyDescent="0.25">
      <c r="A112" s="5" t="s">
        <v>15097</v>
      </c>
      <c r="B112" s="5" t="s">
        <v>1533</v>
      </c>
      <c r="C112" s="5" t="s">
        <v>1533</v>
      </c>
      <c r="D112" s="5" t="s">
        <v>15139</v>
      </c>
      <c r="E112" s="5" t="s">
        <v>15140</v>
      </c>
      <c r="F112" s="5">
        <v>0.91</v>
      </c>
      <c r="G112" s="5" t="s">
        <v>15138</v>
      </c>
      <c r="H112" s="8">
        <v>218</v>
      </c>
      <c r="I112" s="1" t="s">
        <v>1522</v>
      </c>
      <c r="J112" s="5" t="s">
        <v>7417</v>
      </c>
      <c r="K112" s="2">
        <f t="shared" si="1"/>
        <v>239.56043956043956</v>
      </c>
    </row>
    <row r="113" spans="1:11" x14ac:dyDescent="0.25">
      <c r="A113" s="5" t="s">
        <v>15079</v>
      </c>
      <c r="B113" s="5" t="s">
        <v>15151</v>
      </c>
      <c r="C113" s="5" t="s">
        <v>1533</v>
      </c>
      <c r="D113" s="5" t="s">
        <v>1533</v>
      </c>
      <c r="E113" s="5" t="s">
        <v>1533</v>
      </c>
      <c r="F113" s="5">
        <v>0.92</v>
      </c>
      <c r="G113" s="5" t="s">
        <v>15138</v>
      </c>
      <c r="H113" s="8">
        <v>220</v>
      </c>
      <c r="I113" s="5" t="s">
        <v>1522</v>
      </c>
      <c r="J113" s="5" t="s">
        <v>7416</v>
      </c>
      <c r="K113" s="2">
        <f t="shared" si="1"/>
        <v>239.13043478260869</v>
      </c>
    </row>
    <row r="114" spans="1:11" x14ac:dyDescent="0.25">
      <c r="A114" s="1" t="s">
        <v>15088</v>
      </c>
      <c r="B114" s="1" t="s">
        <v>15163</v>
      </c>
      <c r="C114" s="1" t="s">
        <v>1533</v>
      </c>
      <c r="D114" s="1" t="s">
        <v>1533</v>
      </c>
      <c r="E114" s="1" t="s">
        <v>1533</v>
      </c>
      <c r="F114" s="1">
        <v>0.36</v>
      </c>
      <c r="G114" s="1" t="s">
        <v>15138</v>
      </c>
      <c r="H114" s="3">
        <v>85</v>
      </c>
      <c r="I114" s="1" t="s">
        <v>1522</v>
      </c>
      <c r="J114" s="5" t="s">
        <v>7419</v>
      </c>
      <c r="K114" s="2">
        <f t="shared" si="1"/>
        <v>236.11111111111111</v>
      </c>
    </row>
    <row r="115" spans="1:11" x14ac:dyDescent="0.25">
      <c r="A115" s="5" t="s">
        <v>15061</v>
      </c>
      <c r="B115" s="5" t="s">
        <v>1533</v>
      </c>
      <c r="C115" s="5" t="s">
        <v>1533</v>
      </c>
      <c r="D115" s="5" t="s">
        <v>15139</v>
      </c>
      <c r="E115" s="5" t="s">
        <v>15140</v>
      </c>
      <c r="F115" s="5">
        <v>15.68</v>
      </c>
      <c r="G115" s="5" t="s">
        <v>15138</v>
      </c>
      <c r="H115" s="8">
        <v>3700.76</v>
      </c>
      <c r="I115" s="1" t="s">
        <v>1522</v>
      </c>
      <c r="J115" s="5" t="s">
        <v>7417</v>
      </c>
      <c r="K115" s="2">
        <f t="shared" si="1"/>
        <v>236.01785714285717</v>
      </c>
    </row>
    <row r="116" spans="1:11" x14ac:dyDescent="0.25">
      <c r="A116" s="1" t="s">
        <v>15088</v>
      </c>
      <c r="B116" s="1" t="s">
        <v>15163</v>
      </c>
      <c r="C116" s="1" t="s">
        <v>1533</v>
      </c>
      <c r="D116" s="1" t="s">
        <v>1533</v>
      </c>
      <c r="E116" s="1" t="s">
        <v>1533</v>
      </c>
      <c r="F116" s="1">
        <v>12.83</v>
      </c>
      <c r="G116" s="1" t="s">
        <v>15138</v>
      </c>
      <c r="H116" s="3">
        <v>2880</v>
      </c>
      <c r="I116" s="1" t="s">
        <v>1522</v>
      </c>
      <c r="J116" s="5" t="s">
        <v>7418</v>
      </c>
      <c r="K116" s="2">
        <f t="shared" si="1"/>
        <v>224.47388932190179</v>
      </c>
    </row>
    <row r="117" spans="1:11" x14ac:dyDescent="0.25">
      <c r="A117" s="1" t="s">
        <v>15062</v>
      </c>
      <c r="B117" s="1" t="s">
        <v>1533</v>
      </c>
      <c r="C117" s="1" t="s">
        <v>1533</v>
      </c>
      <c r="D117" s="1" t="s">
        <v>15139</v>
      </c>
      <c r="E117" s="1" t="s">
        <v>15140</v>
      </c>
      <c r="F117" s="1">
        <v>71.260000000000005</v>
      </c>
      <c r="G117" s="1" t="s">
        <v>15138</v>
      </c>
      <c r="H117" s="3">
        <v>15927.86</v>
      </c>
      <c r="I117" s="1" t="s">
        <v>4</v>
      </c>
      <c r="J117" s="5" t="s">
        <v>7419</v>
      </c>
      <c r="K117" s="2">
        <f t="shared" si="1"/>
        <v>223.51754139769855</v>
      </c>
    </row>
    <row r="118" spans="1:11" x14ac:dyDescent="0.25">
      <c r="A118" s="1" t="s">
        <v>15061</v>
      </c>
      <c r="B118" s="1" t="s">
        <v>1533</v>
      </c>
      <c r="C118" s="1" t="s">
        <v>1533</v>
      </c>
      <c r="D118" s="1" t="s">
        <v>15139</v>
      </c>
      <c r="E118" s="1" t="s">
        <v>15140</v>
      </c>
      <c r="F118" s="1">
        <v>8.42</v>
      </c>
      <c r="G118" s="1" t="s">
        <v>15138</v>
      </c>
      <c r="H118" s="3">
        <v>1880.9</v>
      </c>
      <c r="I118" s="1" t="s">
        <v>1522</v>
      </c>
      <c r="J118" s="5" t="s">
        <v>7418</v>
      </c>
      <c r="K118" s="2">
        <f t="shared" si="1"/>
        <v>223.38479809976249</v>
      </c>
    </row>
    <row r="119" spans="1:11" x14ac:dyDescent="0.25">
      <c r="A119" s="1" t="s">
        <v>15061</v>
      </c>
      <c r="B119" s="1" t="s">
        <v>1533</v>
      </c>
      <c r="C119" s="1" t="s">
        <v>1533</v>
      </c>
      <c r="D119" s="1" t="s">
        <v>15139</v>
      </c>
      <c r="E119" s="1" t="s">
        <v>15140</v>
      </c>
      <c r="F119" s="1">
        <v>6.06</v>
      </c>
      <c r="G119" s="1" t="s">
        <v>15138</v>
      </c>
      <c r="H119" s="3">
        <v>1250.0999999999999</v>
      </c>
      <c r="I119" s="1" t="s">
        <v>1522</v>
      </c>
      <c r="J119" s="5" t="s">
        <v>7419</v>
      </c>
      <c r="K119" s="2">
        <f t="shared" si="1"/>
        <v>206.28712871287129</v>
      </c>
    </row>
    <row r="120" spans="1:11" x14ac:dyDescent="0.25">
      <c r="A120" s="1" t="s">
        <v>15062</v>
      </c>
      <c r="B120" s="1" t="s">
        <v>1533</v>
      </c>
      <c r="C120" s="1" t="s">
        <v>1533</v>
      </c>
      <c r="D120" s="1" t="s">
        <v>15139</v>
      </c>
      <c r="E120" s="1" t="s">
        <v>15149</v>
      </c>
      <c r="F120" s="1">
        <v>14.99</v>
      </c>
      <c r="G120" s="1" t="s">
        <v>15138</v>
      </c>
      <c r="H120" s="3">
        <v>3089.3</v>
      </c>
      <c r="I120" s="1" t="s">
        <v>1522</v>
      </c>
      <c r="J120" s="5" t="s">
        <v>7419</v>
      </c>
      <c r="K120" s="2">
        <f t="shared" si="1"/>
        <v>206.09072715143429</v>
      </c>
    </row>
    <row r="121" spans="1:11" x14ac:dyDescent="0.25">
      <c r="A121" s="5" t="s">
        <v>15066</v>
      </c>
      <c r="B121" s="5" t="s">
        <v>1533</v>
      </c>
      <c r="C121" s="5" t="s">
        <v>1533</v>
      </c>
      <c r="D121" s="5" t="s">
        <v>15147</v>
      </c>
      <c r="E121" s="5" t="s">
        <v>15144</v>
      </c>
      <c r="F121" s="5">
        <v>16.920000000000002</v>
      </c>
      <c r="G121" s="5" t="s">
        <v>15138</v>
      </c>
      <c r="H121" s="8">
        <v>3411</v>
      </c>
      <c r="I121" s="5" t="s">
        <v>4</v>
      </c>
      <c r="J121" s="5" t="s">
        <v>7416</v>
      </c>
      <c r="K121" s="2">
        <f t="shared" si="1"/>
        <v>201.59574468085106</v>
      </c>
    </row>
    <row r="122" spans="1:11" x14ac:dyDescent="0.25">
      <c r="A122" s="5" t="s">
        <v>15065</v>
      </c>
      <c r="B122" s="5" t="s">
        <v>1533</v>
      </c>
      <c r="C122" s="5" t="s">
        <v>1533</v>
      </c>
      <c r="D122" s="5" t="s">
        <v>15148</v>
      </c>
      <c r="E122" s="5" t="s">
        <v>15144</v>
      </c>
      <c r="F122" s="5">
        <v>21.02</v>
      </c>
      <c r="G122" s="5" t="s">
        <v>15138</v>
      </c>
      <c r="H122" s="8">
        <v>4213.5</v>
      </c>
      <c r="I122" s="1" t="s">
        <v>1522</v>
      </c>
      <c r="J122" s="5" t="s">
        <v>7417</v>
      </c>
      <c r="K122" s="2">
        <f t="shared" si="1"/>
        <v>200.45195052331113</v>
      </c>
    </row>
    <row r="123" spans="1:11" x14ac:dyDescent="0.25">
      <c r="A123" s="1" t="s">
        <v>15074</v>
      </c>
      <c r="B123" s="1" t="s">
        <v>15164</v>
      </c>
      <c r="C123" s="1" t="s">
        <v>1533</v>
      </c>
      <c r="D123" s="1" t="s">
        <v>1533</v>
      </c>
      <c r="E123" s="1" t="s">
        <v>1533</v>
      </c>
      <c r="F123" s="1">
        <v>1</v>
      </c>
      <c r="G123" s="1" t="s">
        <v>15142</v>
      </c>
      <c r="H123" s="3">
        <v>200</v>
      </c>
      <c r="I123" s="1" t="s">
        <v>1522</v>
      </c>
      <c r="J123" s="5" t="s">
        <v>7418</v>
      </c>
      <c r="K123" s="2">
        <f t="shared" si="1"/>
        <v>200</v>
      </c>
    </row>
    <row r="124" spans="1:11" x14ac:dyDescent="0.25">
      <c r="A124" s="5" t="s">
        <v>15126</v>
      </c>
      <c r="B124" s="5" t="s">
        <v>1533</v>
      </c>
      <c r="C124" s="5" t="s">
        <v>1533</v>
      </c>
      <c r="D124" s="5" t="s">
        <v>15139</v>
      </c>
      <c r="E124" s="5" t="s">
        <v>15144</v>
      </c>
      <c r="F124" s="5">
        <v>0.56000000000000005</v>
      </c>
      <c r="G124" s="5" t="s">
        <v>15138</v>
      </c>
      <c r="H124" s="8">
        <v>112</v>
      </c>
      <c r="I124" s="5" t="s">
        <v>1522</v>
      </c>
      <c r="J124" s="5" t="s">
        <v>7416</v>
      </c>
      <c r="K124" s="2">
        <f t="shared" si="1"/>
        <v>199.99999999999997</v>
      </c>
    </row>
    <row r="125" spans="1:11" x14ac:dyDescent="0.25">
      <c r="A125" s="1" t="s">
        <v>15069</v>
      </c>
      <c r="B125" s="1" t="s">
        <v>15165</v>
      </c>
      <c r="C125" s="1" t="s">
        <v>1533</v>
      </c>
      <c r="D125" s="1" t="s">
        <v>1533</v>
      </c>
      <c r="E125" s="1" t="s">
        <v>1533</v>
      </c>
      <c r="F125" s="1">
        <v>3</v>
      </c>
      <c r="G125" s="1" t="s">
        <v>15142</v>
      </c>
      <c r="H125" s="3">
        <v>599.79999999999995</v>
      </c>
      <c r="I125" s="1" t="s">
        <v>4</v>
      </c>
      <c r="J125" s="5" t="s">
        <v>7419</v>
      </c>
      <c r="K125" s="2">
        <f t="shared" si="1"/>
        <v>199.93333333333331</v>
      </c>
    </row>
    <row r="126" spans="1:11" x14ac:dyDescent="0.25">
      <c r="A126" s="1" t="s">
        <v>15062</v>
      </c>
      <c r="B126" s="1" t="s">
        <v>1533</v>
      </c>
      <c r="C126" s="1" t="s">
        <v>1533</v>
      </c>
      <c r="D126" s="1" t="s">
        <v>15139</v>
      </c>
      <c r="E126" s="1" t="s">
        <v>15140</v>
      </c>
      <c r="F126" s="1">
        <v>46.41</v>
      </c>
      <c r="G126" s="1" t="s">
        <v>15138</v>
      </c>
      <c r="H126" s="3">
        <v>9025.09</v>
      </c>
      <c r="I126" s="1" t="s">
        <v>4</v>
      </c>
      <c r="J126" s="5" t="s">
        <v>7418</v>
      </c>
      <c r="K126" s="2">
        <f t="shared" si="1"/>
        <v>194.46433958198665</v>
      </c>
    </row>
    <row r="127" spans="1:11" x14ac:dyDescent="0.25">
      <c r="A127" s="1" t="s">
        <v>15066</v>
      </c>
      <c r="B127" s="1" t="s">
        <v>1533</v>
      </c>
      <c r="C127" s="1" t="s">
        <v>1533</v>
      </c>
      <c r="D127" s="1" t="s">
        <v>15147</v>
      </c>
      <c r="E127" s="1" t="s">
        <v>15166</v>
      </c>
      <c r="F127" s="1">
        <v>70.87</v>
      </c>
      <c r="G127" s="1" t="s">
        <v>15138</v>
      </c>
      <c r="H127" s="3">
        <v>13589.11</v>
      </c>
      <c r="I127" s="1" t="s">
        <v>4</v>
      </c>
      <c r="J127" s="5" t="s">
        <v>7420</v>
      </c>
      <c r="K127" s="2">
        <f t="shared" si="1"/>
        <v>191.7470015521377</v>
      </c>
    </row>
    <row r="128" spans="1:11" x14ac:dyDescent="0.25">
      <c r="A128" s="1" t="s">
        <v>15069</v>
      </c>
      <c r="B128" s="1" t="s">
        <v>15159</v>
      </c>
      <c r="C128" s="1" t="s">
        <v>1533</v>
      </c>
      <c r="D128" s="1" t="s">
        <v>1533</v>
      </c>
      <c r="E128" s="1" t="s">
        <v>1533</v>
      </c>
      <c r="F128" s="1">
        <v>1</v>
      </c>
      <c r="G128" s="1" t="s">
        <v>15142</v>
      </c>
      <c r="H128" s="3">
        <v>191</v>
      </c>
      <c r="I128" s="1" t="s">
        <v>4</v>
      </c>
      <c r="J128" s="5" t="s">
        <v>7417</v>
      </c>
      <c r="K128" s="2">
        <f t="shared" si="1"/>
        <v>191</v>
      </c>
    </row>
    <row r="129" spans="1:11" x14ac:dyDescent="0.25">
      <c r="A129" s="5" t="s">
        <v>15064</v>
      </c>
      <c r="B129" s="5" t="s">
        <v>1533</v>
      </c>
      <c r="C129" s="5" t="s">
        <v>1533</v>
      </c>
      <c r="D129" s="5" t="s">
        <v>15147</v>
      </c>
      <c r="E129" s="5" t="s">
        <v>15144</v>
      </c>
      <c r="F129" s="5">
        <v>8.3000000000000007</v>
      </c>
      <c r="G129" s="5" t="s">
        <v>15138</v>
      </c>
      <c r="H129" s="8">
        <v>1585.2</v>
      </c>
      <c r="I129" s="5" t="s">
        <v>4</v>
      </c>
      <c r="J129" s="5" t="s">
        <v>7416</v>
      </c>
      <c r="K129" s="2">
        <f t="shared" si="1"/>
        <v>190.98795180722891</v>
      </c>
    </row>
    <row r="130" spans="1:11" x14ac:dyDescent="0.25">
      <c r="A130" s="1" t="s">
        <v>15062</v>
      </c>
      <c r="B130" s="1" t="s">
        <v>1533</v>
      </c>
      <c r="C130" s="1" t="s">
        <v>1533</v>
      </c>
      <c r="D130" s="1" t="s">
        <v>15139</v>
      </c>
      <c r="E130" s="1" t="s">
        <v>15140</v>
      </c>
      <c r="F130" s="1">
        <v>8.65</v>
      </c>
      <c r="G130" s="1" t="s">
        <v>15138</v>
      </c>
      <c r="H130" s="3">
        <v>1635.8</v>
      </c>
      <c r="I130" s="1" t="s">
        <v>1522</v>
      </c>
      <c r="J130" s="5" t="s">
        <v>7420</v>
      </c>
      <c r="K130" s="2">
        <f t="shared" ref="K130:K193" si="2">H130/F130</f>
        <v>189.10982658959537</v>
      </c>
    </row>
    <row r="131" spans="1:11" x14ac:dyDescent="0.25">
      <c r="A131" s="5" t="s">
        <v>15069</v>
      </c>
      <c r="B131" s="5" t="s">
        <v>15167</v>
      </c>
      <c r="C131" s="5" t="s">
        <v>1533</v>
      </c>
      <c r="D131" s="5" t="s">
        <v>1533</v>
      </c>
      <c r="E131" s="5" t="s">
        <v>1533</v>
      </c>
      <c r="F131" s="5">
        <v>2</v>
      </c>
      <c r="G131" s="5" t="s">
        <v>15142</v>
      </c>
      <c r="H131" s="8">
        <v>378</v>
      </c>
      <c r="I131" s="5" t="s">
        <v>4</v>
      </c>
      <c r="J131" s="5" t="s">
        <v>7416</v>
      </c>
      <c r="K131" s="2">
        <f t="shared" si="2"/>
        <v>189</v>
      </c>
    </row>
    <row r="132" spans="1:11" ht="27" x14ac:dyDescent="0.25">
      <c r="A132" s="1" t="s">
        <v>15069</v>
      </c>
      <c r="B132" s="1" t="s">
        <v>15168</v>
      </c>
      <c r="C132" s="1" t="s">
        <v>1533</v>
      </c>
      <c r="D132" s="1" t="s">
        <v>1533</v>
      </c>
      <c r="E132" s="1" t="s">
        <v>1533</v>
      </c>
      <c r="F132" s="1">
        <v>2</v>
      </c>
      <c r="G132" s="1" t="s">
        <v>15142</v>
      </c>
      <c r="H132" s="3">
        <v>378</v>
      </c>
      <c r="I132" s="1" t="s">
        <v>4</v>
      </c>
      <c r="J132" s="5" t="s">
        <v>7420</v>
      </c>
      <c r="K132" s="2">
        <f t="shared" si="2"/>
        <v>189</v>
      </c>
    </row>
    <row r="133" spans="1:11" x14ac:dyDescent="0.25">
      <c r="A133" s="1" t="s">
        <v>15075</v>
      </c>
      <c r="B133" s="1" t="s">
        <v>15145</v>
      </c>
      <c r="C133" s="1" t="s">
        <v>1533</v>
      </c>
      <c r="D133" s="1" t="s">
        <v>1533</v>
      </c>
      <c r="E133" s="1" t="s">
        <v>1533</v>
      </c>
      <c r="F133" s="1">
        <v>0.61</v>
      </c>
      <c r="G133" s="1" t="s">
        <v>15138</v>
      </c>
      <c r="H133" s="3">
        <v>112.8</v>
      </c>
      <c r="I133" s="1" t="s">
        <v>4</v>
      </c>
      <c r="J133" s="5" t="s">
        <v>7419</v>
      </c>
      <c r="K133" s="2">
        <f t="shared" si="2"/>
        <v>184.91803278688525</v>
      </c>
    </row>
    <row r="134" spans="1:11" x14ac:dyDescent="0.25">
      <c r="A134" s="5" t="s">
        <v>15107</v>
      </c>
      <c r="B134" s="5" t="s">
        <v>15169</v>
      </c>
      <c r="C134" s="5" t="s">
        <v>1533</v>
      </c>
      <c r="D134" s="5" t="s">
        <v>1533</v>
      </c>
      <c r="E134" s="5" t="s">
        <v>1533</v>
      </c>
      <c r="F134" s="5">
        <v>1.84</v>
      </c>
      <c r="G134" s="5" t="s">
        <v>15138</v>
      </c>
      <c r="H134" s="8">
        <v>340</v>
      </c>
      <c r="I134" s="1" t="s">
        <v>1522</v>
      </c>
      <c r="J134" s="5" t="s">
        <v>7417</v>
      </c>
      <c r="K134" s="2">
        <f t="shared" si="2"/>
        <v>184.78260869565216</v>
      </c>
    </row>
    <row r="135" spans="1:11" x14ac:dyDescent="0.25">
      <c r="A135" s="1" t="s">
        <v>15066</v>
      </c>
      <c r="B135" s="1" t="s">
        <v>1533</v>
      </c>
      <c r="C135" s="1" t="s">
        <v>1533</v>
      </c>
      <c r="D135" s="1" t="s">
        <v>15139</v>
      </c>
      <c r="E135" s="1" t="s">
        <v>15144</v>
      </c>
      <c r="F135" s="1">
        <v>14.42</v>
      </c>
      <c r="G135" s="1" t="s">
        <v>15138</v>
      </c>
      <c r="H135" s="3">
        <v>2656</v>
      </c>
      <c r="I135" s="1" t="s">
        <v>4</v>
      </c>
      <c r="J135" s="5" t="s">
        <v>7418</v>
      </c>
      <c r="K135" s="2">
        <f t="shared" si="2"/>
        <v>184.18862690707351</v>
      </c>
    </row>
    <row r="136" spans="1:11" x14ac:dyDescent="0.25">
      <c r="A136" s="1" t="s">
        <v>15062</v>
      </c>
      <c r="B136" s="1" t="s">
        <v>1533</v>
      </c>
      <c r="C136" s="1" t="s">
        <v>1533</v>
      </c>
      <c r="D136" s="1" t="s">
        <v>15139</v>
      </c>
      <c r="E136" s="1" t="s">
        <v>15140</v>
      </c>
      <c r="F136" s="1">
        <v>7.05</v>
      </c>
      <c r="G136" s="1" t="s">
        <v>15138</v>
      </c>
      <c r="H136" s="3">
        <v>1289.9000000000001</v>
      </c>
      <c r="I136" s="1" t="s">
        <v>1522</v>
      </c>
      <c r="J136" s="5" t="s">
        <v>7418</v>
      </c>
      <c r="K136" s="2">
        <f t="shared" si="2"/>
        <v>182.96453900709221</v>
      </c>
    </row>
    <row r="137" spans="1:11" x14ac:dyDescent="0.25">
      <c r="A137" s="5" t="s">
        <v>15089</v>
      </c>
      <c r="B137" s="5" t="s">
        <v>1533</v>
      </c>
      <c r="C137" s="5" t="s">
        <v>1533</v>
      </c>
      <c r="D137" s="5" t="s">
        <v>15139</v>
      </c>
      <c r="E137" s="5" t="s">
        <v>15144</v>
      </c>
      <c r="F137" s="5">
        <v>0.35</v>
      </c>
      <c r="G137" s="5" t="s">
        <v>15138</v>
      </c>
      <c r="H137" s="8">
        <v>63.5</v>
      </c>
      <c r="I137" s="1" t="s">
        <v>1522</v>
      </c>
      <c r="J137" s="5" t="s">
        <v>7417</v>
      </c>
      <c r="K137" s="2">
        <f t="shared" si="2"/>
        <v>181.42857142857144</v>
      </c>
    </row>
    <row r="138" spans="1:11" x14ac:dyDescent="0.25">
      <c r="A138" s="1" t="s">
        <v>15066</v>
      </c>
      <c r="B138" s="1" t="s">
        <v>1533</v>
      </c>
      <c r="C138" s="1" t="s">
        <v>1533</v>
      </c>
      <c r="D138" s="1" t="s">
        <v>15147</v>
      </c>
      <c r="E138" s="1" t="s">
        <v>15166</v>
      </c>
      <c r="F138" s="1">
        <v>24.79</v>
      </c>
      <c r="G138" s="1" t="s">
        <v>15138</v>
      </c>
      <c r="H138" s="3">
        <v>4494.45</v>
      </c>
      <c r="I138" s="1" t="s">
        <v>4</v>
      </c>
      <c r="J138" s="5" t="s">
        <v>7417</v>
      </c>
      <c r="K138" s="2">
        <f t="shared" si="2"/>
        <v>181.30092779346509</v>
      </c>
    </row>
    <row r="139" spans="1:11" x14ac:dyDescent="0.25">
      <c r="A139" s="1" t="s">
        <v>15088</v>
      </c>
      <c r="B139" s="1" t="s">
        <v>15163</v>
      </c>
      <c r="C139" s="1" t="s">
        <v>1533</v>
      </c>
      <c r="D139" s="1" t="s">
        <v>1533</v>
      </c>
      <c r="E139" s="1" t="s">
        <v>1533</v>
      </c>
      <c r="F139" s="1">
        <v>1.75</v>
      </c>
      <c r="G139" s="1" t="s">
        <v>15138</v>
      </c>
      <c r="H139" s="3">
        <v>316</v>
      </c>
      <c r="I139" s="1" t="s">
        <v>4</v>
      </c>
      <c r="J139" s="5" t="s">
        <v>7417</v>
      </c>
      <c r="K139" s="2">
        <f t="shared" si="2"/>
        <v>180.57142857142858</v>
      </c>
    </row>
    <row r="140" spans="1:11" x14ac:dyDescent="0.25">
      <c r="A140" s="1" t="s">
        <v>15069</v>
      </c>
      <c r="B140" s="1" t="s">
        <v>15170</v>
      </c>
      <c r="C140" s="1" t="s">
        <v>1533</v>
      </c>
      <c r="D140" s="1" t="s">
        <v>1533</v>
      </c>
      <c r="E140" s="1" t="s">
        <v>1533</v>
      </c>
      <c r="F140" s="1">
        <v>1</v>
      </c>
      <c r="G140" s="1" t="s">
        <v>15142</v>
      </c>
      <c r="H140" s="3">
        <v>179.9</v>
      </c>
      <c r="I140" s="1" t="s">
        <v>4</v>
      </c>
      <c r="J140" s="5" t="s">
        <v>7419</v>
      </c>
      <c r="K140" s="2">
        <f t="shared" si="2"/>
        <v>179.9</v>
      </c>
    </row>
    <row r="141" spans="1:11" x14ac:dyDescent="0.25">
      <c r="A141" s="5" t="s">
        <v>15070</v>
      </c>
      <c r="B141" s="5" t="s">
        <v>15145</v>
      </c>
      <c r="C141" s="5" t="s">
        <v>1533</v>
      </c>
      <c r="D141" s="5" t="s">
        <v>1533</v>
      </c>
      <c r="E141" s="5" t="s">
        <v>1533</v>
      </c>
      <c r="F141" s="5">
        <v>1.43</v>
      </c>
      <c r="G141" s="5" t="s">
        <v>15138</v>
      </c>
      <c r="H141" s="8">
        <v>251</v>
      </c>
      <c r="I141" s="5" t="s">
        <v>4</v>
      </c>
      <c r="J141" s="5" t="s">
        <v>7416</v>
      </c>
      <c r="K141" s="2">
        <f t="shared" si="2"/>
        <v>175.52447552447552</v>
      </c>
    </row>
    <row r="142" spans="1:11" x14ac:dyDescent="0.25">
      <c r="A142" s="1" t="s">
        <v>15069</v>
      </c>
      <c r="B142" s="1" t="s">
        <v>15165</v>
      </c>
      <c r="C142" s="1" t="s">
        <v>1533</v>
      </c>
      <c r="D142" s="1" t="s">
        <v>1533</v>
      </c>
      <c r="E142" s="1" t="s">
        <v>1533</v>
      </c>
      <c r="F142" s="1">
        <v>4</v>
      </c>
      <c r="G142" s="1" t="s">
        <v>15142</v>
      </c>
      <c r="H142" s="3">
        <v>695</v>
      </c>
      <c r="I142" s="1" t="s">
        <v>4</v>
      </c>
      <c r="J142" s="5" t="s">
        <v>7420</v>
      </c>
      <c r="K142" s="2">
        <f t="shared" si="2"/>
        <v>173.75</v>
      </c>
    </row>
    <row r="143" spans="1:11" x14ac:dyDescent="0.25">
      <c r="A143" s="1" t="s">
        <v>15078</v>
      </c>
      <c r="B143" s="1" t="s">
        <v>15171</v>
      </c>
      <c r="C143" s="1" t="s">
        <v>1533</v>
      </c>
      <c r="D143" s="1" t="s">
        <v>1533</v>
      </c>
      <c r="E143" s="1" t="s">
        <v>1533</v>
      </c>
      <c r="F143" s="1">
        <v>36</v>
      </c>
      <c r="G143" s="1" t="s">
        <v>15142</v>
      </c>
      <c r="H143" s="3">
        <v>6220.8</v>
      </c>
      <c r="I143" s="1" t="s">
        <v>1522</v>
      </c>
      <c r="J143" s="5" t="s">
        <v>7418</v>
      </c>
      <c r="K143" s="2">
        <f t="shared" si="2"/>
        <v>172.8</v>
      </c>
    </row>
    <row r="144" spans="1:11" x14ac:dyDescent="0.25">
      <c r="A144" s="5" t="s">
        <v>15070</v>
      </c>
      <c r="B144" s="5" t="s">
        <v>15145</v>
      </c>
      <c r="C144" s="5" t="s">
        <v>1533</v>
      </c>
      <c r="D144" s="5" t="s">
        <v>1533</v>
      </c>
      <c r="E144" s="5" t="s">
        <v>1533</v>
      </c>
      <c r="F144" s="5">
        <v>3.52</v>
      </c>
      <c r="G144" s="5" t="s">
        <v>15138</v>
      </c>
      <c r="H144" s="8">
        <v>606.69000000000005</v>
      </c>
      <c r="I144" s="1" t="s">
        <v>1522</v>
      </c>
      <c r="J144" s="5" t="s">
        <v>7417</v>
      </c>
      <c r="K144" s="2">
        <f t="shared" si="2"/>
        <v>172.35511363636365</v>
      </c>
    </row>
    <row r="145" spans="1:11" x14ac:dyDescent="0.25">
      <c r="A145" s="1" t="s">
        <v>15061</v>
      </c>
      <c r="B145" s="1" t="s">
        <v>1533</v>
      </c>
      <c r="C145" s="1" t="s">
        <v>1533</v>
      </c>
      <c r="D145" s="1" t="s">
        <v>15139</v>
      </c>
      <c r="E145" s="1" t="s">
        <v>15140</v>
      </c>
      <c r="F145" s="1">
        <v>202.1</v>
      </c>
      <c r="G145" s="1" t="s">
        <v>15138</v>
      </c>
      <c r="H145" s="3">
        <v>34796.01</v>
      </c>
      <c r="I145" s="1" t="s">
        <v>4</v>
      </c>
      <c r="J145" s="5" t="s">
        <v>7420</v>
      </c>
      <c r="K145" s="2">
        <f t="shared" si="2"/>
        <v>172.17224146462149</v>
      </c>
    </row>
    <row r="146" spans="1:11" x14ac:dyDescent="0.25">
      <c r="A146" s="5" t="s">
        <v>15098</v>
      </c>
      <c r="B146" s="5" t="s">
        <v>15151</v>
      </c>
      <c r="C146" s="5" t="s">
        <v>1533</v>
      </c>
      <c r="D146" s="5" t="s">
        <v>1533</v>
      </c>
      <c r="E146" s="5" t="s">
        <v>1533</v>
      </c>
      <c r="F146" s="5">
        <v>2</v>
      </c>
      <c r="G146" s="5" t="s">
        <v>15142</v>
      </c>
      <c r="H146" s="8">
        <v>339.9</v>
      </c>
      <c r="I146" s="5" t="s">
        <v>1522</v>
      </c>
      <c r="J146" s="5" t="s">
        <v>7416</v>
      </c>
      <c r="K146" s="2">
        <f t="shared" si="2"/>
        <v>169.95</v>
      </c>
    </row>
    <row r="147" spans="1:11" x14ac:dyDescent="0.25">
      <c r="A147" s="1" t="s">
        <v>15098</v>
      </c>
      <c r="B147" s="1" t="s">
        <v>15151</v>
      </c>
      <c r="C147" s="1" t="s">
        <v>1533</v>
      </c>
      <c r="D147" s="1" t="s">
        <v>1533</v>
      </c>
      <c r="E147" s="1" t="s">
        <v>1533</v>
      </c>
      <c r="F147" s="1">
        <v>2</v>
      </c>
      <c r="G147" s="1" t="s">
        <v>15142</v>
      </c>
      <c r="H147" s="3">
        <v>339.9</v>
      </c>
      <c r="I147" s="1" t="s">
        <v>1522</v>
      </c>
      <c r="J147" s="5" t="s">
        <v>7419</v>
      </c>
      <c r="K147" s="2">
        <f t="shared" si="2"/>
        <v>169.95</v>
      </c>
    </row>
    <row r="148" spans="1:11" x14ac:dyDescent="0.25">
      <c r="A148" s="1" t="s">
        <v>15074</v>
      </c>
      <c r="B148" s="1" t="s">
        <v>15164</v>
      </c>
      <c r="C148" s="1" t="s">
        <v>1533</v>
      </c>
      <c r="D148" s="1" t="s">
        <v>1533</v>
      </c>
      <c r="E148" s="1" t="s">
        <v>1533</v>
      </c>
      <c r="F148" s="1">
        <v>4</v>
      </c>
      <c r="G148" s="1" t="s">
        <v>15142</v>
      </c>
      <c r="H148" s="3">
        <v>679.6</v>
      </c>
      <c r="I148" s="1" t="s">
        <v>4</v>
      </c>
      <c r="J148" s="5" t="s">
        <v>7420</v>
      </c>
      <c r="K148" s="2">
        <f t="shared" si="2"/>
        <v>169.9</v>
      </c>
    </row>
    <row r="149" spans="1:11" x14ac:dyDescent="0.25">
      <c r="A149" s="5" t="s">
        <v>15099</v>
      </c>
      <c r="B149" s="5" t="s">
        <v>1533</v>
      </c>
      <c r="C149" s="5" t="s">
        <v>1533</v>
      </c>
      <c r="D149" s="5" t="s">
        <v>15147</v>
      </c>
      <c r="E149" s="5" t="s">
        <v>15172</v>
      </c>
      <c r="F149" s="5">
        <v>10.39</v>
      </c>
      <c r="G149" s="5" t="s">
        <v>15138</v>
      </c>
      <c r="H149" s="8">
        <v>1755</v>
      </c>
      <c r="I149" s="5" t="s">
        <v>1522</v>
      </c>
      <c r="J149" s="5" t="s">
        <v>7416</v>
      </c>
      <c r="K149" s="2">
        <f t="shared" si="2"/>
        <v>168.91241578440807</v>
      </c>
    </row>
    <row r="150" spans="1:11" x14ac:dyDescent="0.25">
      <c r="A150" s="5" t="s">
        <v>15071</v>
      </c>
      <c r="B150" s="5" t="s">
        <v>15173</v>
      </c>
      <c r="C150" s="5" t="s">
        <v>1533</v>
      </c>
      <c r="D150" s="5" t="s">
        <v>1533</v>
      </c>
      <c r="E150" s="5" t="s">
        <v>1533</v>
      </c>
      <c r="F150" s="5">
        <v>36</v>
      </c>
      <c r="G150" s="5" t="s">
        <v>15142</v>
      </c>
      <c r="H150" s="8">
        <v>6030</v>
      </c>
      <c r="I150" s="1" t="s">
        <v>1522</v>
      </c>
      <c r="J150" s="5" t="s">
        <v>7417</v>
      </c>
      <c r="K150" s="2">
        <f t="shared" si="2"/>
        <v>167.5</v>
      </c>
    </row>
    <row r="151" spans="1:11" ht="27" x14ac:dyDescent="0.25">
      <c r="A151" s="1" t="s">
        <v>15071</v>
      </c>
      <c r="B151" s="1" t="s">
        <v>15173</v>
      </c>
      <c r="C151" s="1" t="s">
        <v>1533</v>
      </c>
      <c r="D151" s="1" t="s">
        <v>1533</v>
      </c>
      <c r="E151" s="1" t="s">
        <v>1533</v>
      </c>
      <c r="F151" s="1">
        <v>20</v>
      </c>
      <c r="G151" s="1" t="s">
        <v>15142</v>
      </c>
      <c r="H151" s="3">
        <v>3350</v>
      </c>
      <c r="I151" s="1" t="s">
        <v>1522</v>
      </c>
      <c r="J151" s="5" t="s">
        <v>7418</v>
      </c>
      <c r="K151" s="2">
        <f t="shared" si="2"/>
        <v>167.5</v>
      </c>
    </row>
    <row r="152" spans="1:11" x14ac:dyDescent="0.25">
      <c r="A152" s="1" t="s">
        <v>15070</v>
      </c>
      <c r="B152" s="1" t="s">
        <v>15145</v>
      </c>
      <c r="C152" s="1" t="s">
        <v>1533</v>
      </c>
      <c r="D152" s="1" t="s">
        <v>1533</v>
      </c>
      <c r="E152" s="1" t="s">
        <v>1533</v>
      </c>
      <c r="F152" s="1">
        <v>2.31</v>
      </c>
      <c r="G152" s="1" t="s">
        <v>15138</v>
      </c>
      <c r="H152" s="3">
        <v>386</v>
      </c>
      <c r="I152" s="1" t="s">
        <v>4</v>
      </c>
      <c r="J152" s="5" t="s">
        <v>7419</v>
      </c>
      <c r="K152" s="2">
        <f t="shared" si="2"/>
        <v>167.09956709956708</v>
      </c>
    </row>
    <row r="153" spans="1:11" x14ac:dyDescent="0.25">
      <c r="A153" s="5" t="s">
        <v>15089</v>
      </c>
      <c r="B153" s="5" t="s">
        <v>1533</v>
      </c>
      <c r="C153" s="5" t="s">
        <v>1533</v>
      </c>
      <c r="D153" s="5" t="s">
        <v>15147</v>
      </c>
      <c r="E153" s="5" t="s">
        <v>15166</v>
      </c>
      <c r="F153" s="5">
        <v>1.08</v>
      </c>
      <c r="G153" s="5" t="s">
        <v>15138</v>
      </c>
      <c r="H153" s="8">
        <v>180</v>
      </c>
      <c r="I153" s="5" t="s">
        <v>4</v>
      </c>
      <c r="J153" s="5" t="s">
        <v>7416</v>
      </c>
      <c r="K153" s="2">
        <f t="shared" si="2"/>
        <v>166.66666666666666</v>
      </c>
    </row>
    <row r="154" spans="1:11" x14ac:dyDescent="0.25">
      <c r="A154" s="5" t="s">
        <v>15074</v>
      </c>
      <c r="B154" s="5" t="s">
        <v>15164</v>
      </c>
      <c r="C154" s="5" t="s">
        <v>1533</v>
      </c>
      <c r="D154" s="5" t="s">
        <v>1533</v>
      </c>
      <c r="E154" s="5" t="s">
        <v>1533</v>
      </c>
      <c r="F154" s="5">
        <v>13</v>
      </c>
      <c r="G154" s="5" t="s">
        <v>15142</v>
      </c>
      <c r="H154" s="8">
        <v>2143.6999999999998</v>
      </c>
      <c r="I154" s="5" t="s">
        <v>4</v>
      </c>
      <c r="J154" s="5" t="s">
        <v>7416</v>
      </c>
      <c r="K154" s="2">
        <f t="shared" si="2"/>
        <v>164.89999999999998</v>
      </c>
    </row>
    <row r="155" spans="1:11" x14ac:dyDescent="0.25">
      <c r="A155" s="1" t="s">
        <v>15079</v>
      </c>
      <c r="B155" s="1" t="s">
        <v>15151</v>
      </c>
      <c r="C155" s="1" t="s">
        <v>1533</v>
      </c>
      <c r="D155" s="1" t="s">
        <v>1533</v>
      </c>
      <c r="E155" s="1" t="s">
        <v>1533</v>
      </c>
      <c r="F155" s="1">
        <v>1.22</v>
      </c>
      <c r="G155" s="1" t="s">
        <v>15138</v>
      </c>
      <c r="H155" s="3">
        <v>200</v>
      </c>
      <c r="I155" s="1" t="s">
        <v>1522</v>
      </c>
      <c r="J155" s="5" t="s">
        <v>7420</v>
      </c>
      <c r="K155" s="2">
        <f t="shared" si="2"/>
        <v>163.9344262295082</v>
      </c>
    </row>
    <row r="156" spans="1:11" x14ac:dyDescent="0.25">
      <c r="A156" s="1" t="s">
        <v>15062</v>
      </c>
      <c r="B156" s="1" t="s">
        <v>1533</v>
      </c>
      <c r="C156" s="1" t="s">
        <v>1533</v>
      </c>
      <c r="D156" s="1" t="s">
        <v>15139</v>
      </c>
      <c r="E156" s="1" t="s">
        <v>15140</v>
      </c>
      <c r="F156" s="1">
        <v>246.58</v>
      </c>
      <c r="G156" s="1" t="s">
        <v>15138</v>
      </c>
      <c r="H156" s="3">
        <v>39891.160000000003</v>
      </c>
      <c r="I156" s="1" t="s">
        <v>4</v>
      </c>
      <c r="J156" s="5" t="s">
        <v>7417</v>
      </c>
      <c r="K156" s="2">
        <f t="shared" si="2"/>
        <v>161.77775975342689</v>
      </c>
    </row>
    <row r="157" spans="1:11" x14ac:dyDescent="0.25">
      <c r="A157" s="1" t="s">
        <v>15074</v>
      </c>
      <c r="B157" s="1" t="s">
        <v>15164</v>
      </c>
      <c r="C157" s="1" t="s">
        <v>1533</v>
      </c>
      <c r="D157" s="1" t="s">
        <v>1533</v>
      </c>
      <c r="E157" s="1" t="s">
        <v>1533</v>
      </c>
      <c r="F157" s="1">
        <v>9</v>
      </c>
      <c r="G157" s="1" t="s">
        <v>15142</v>
      </c>
      <c r="H157" s="3">
        <v>1452.8</v>
      </c>
      <c r="I157" s="1" t="s">
        <v>4</v>
      </c>
      <c r="J157" s="5" t="s">
        <v>7418</v>
      </c>
      <c r="K157" s="2">
        <f t="shared" si="2"/>
        <v>161.42222222222222</v>
      </c>
    </row>
    <row r="158" spans="1:11" x14ac:dyDescent="0.25">
      <c r="A158" s="1" t="s">
        <v>15107</v>
      </c>
      <c r="B158" s="1" t="s">
        <v>15169</v>
      </c>
      <c r="C158" s="1" t="s">
        <v>1533</v>
      </c>
      <c r="D158" s="1" t="s">
        <v>1533</v>
      </c>
      <c r="E158" s="1" t="s">
        <v>1533</v>
      </c>
      <c r="F158" s="1">
        <v>4</v>
      </c>
      <c r="G158" s="1" t="s">
        <v>15138</v>
      </c>
      <c r="H158" s="3">
        <v>640</v>
      </c>
      <c r="I158" s="1" t="s">
        <v>1522</v>
      </c>
      <c r="J158" s="5" t="s">
        <v>7420</v>
      </c>
      <c r="K158" s="2">
        <f t="shared" si="2"/>
        <v>160</v>
      </c>
    </row>
    <row r="159" spans="1:11" x14ac:dyDescent="0.25">
      <c r="A159" s="1" t="s">
        <v>15069</v>
      </c>
      <c r="B159" s="1" t="s">
        <v>15174</v>
      </c>
      <c r="C159" s="1" t="s">
        <v>1533</v>
      </c>
      <c r="D159" s="1" t="s">
        <v>1533</v>
      </c>
      <c r="E159" s="1" t="s">
        <v>1533</v>
      </c>
      <c r="F159" s="1">
        <v>2</v>
      </c>
      <c r="G159" s="1" t="s">
        <v>15142</v>
      </c>
      <c r="H159" s="3">
        <v>319.89999999999998</v>
      </c>
      <c r="I159" s="1" t="s">
        <v>4</v>
      </c>
      <c r="J159" s="5" t="s">
        <v>7417</v>
      </c>
      <c r="K159" s="2">
        <f t="shared" si="2"/>
        <v>159.94999999999999</v>
      </c>
    </row>
    <row r="160" spans="1:11" x14ac:dyDescent="0.25">
      <c r="A160" s="5" t="s">
        <v>15069</v>
      </c>
      <c r="B160" s="5" t="s">
        <v>15151</v>
      </c>
      <c r="C160" s="5" t="s">
        <v>1533</v>
      </c>
      <c r="D160" s="5" t="s">
        <v>1533</v>
      </c>
      <c r="E160" s="5" t="s">
        <v>1533</v>
      </c>
      <c r="F160" s="5">
        <v>1</v>
      </c>
      <c r="G160" s="5" t="s">
        <v>15142</v>
      </c>
      <c r="H160" s="8">
        <v>159.9</v>
      </c>
      <c r="I160" s="5" t="s">
        <v>1522</v>
      </c>
      <c r="J160" s="5" t="s">
        <v>7416</v>
      </c>
      <c r="K160" s="2">
        <f t="shared" si="2"/>
        <v>159.9</v>
      </c>
    </row>
    <row r="161" spans="1:11" x14ac:dyDescent="0.25">
      <c r="A161" s="5" t="s">
        <v>15069</v>
      </c>
      <c r="B161" s="5" t="s">
        <v>15174</v>
      </c>
      <c r="C161" s="5" t="s">
        <v>1533</v>
      </c>
      <c r="D161" s="5" t="s">
        <v>1533</v>
      </c>
      <c r="E161" s="5" t="s">
        <v>1533</v>
      </c>
      <c r="F161" s="5">
        <v>1</v>
      </c>
      <c r="G161" s="5" t="s">
        <v>15142</v>
      </c>
      <c r="H161" s="8">
        <v>159.9</v>
      </c>
      <c r="I161" s="5" t="s">
        <v>4</v>
      </c>
      <c r="J161" s="5" t="s">
        <v>7416</v>
      </c>
      <c r="K161" s="2">
        <f t="shared" si="2"/>
        <v>159.9</v>
      </c>
    </row>
    <row r="162" spans="1:11" x14ac:dyDescent="0.25">
      <c r="A162" s="1" t="s">
        <v>15069</v>
      </c>
      <c r="B162" s="1" t="s">
        <v>15175</v>
      </c>
      <c r="C162" s="1" t="s">
        <v>1533</v>
      </c>
      <c r="D162" s="1" t="s">
        <v>1533</v>
      </c>
      <c r="E162" s="1" t="s">
        <v>1533</v>
      </c>
      <c r="F162" s="1">
        <v>1</v>
      </c>
      <c r="G162" s="1" t="s">
        <v>15142</v>
      </c>
      <c r="H162" s="3">
        <v>159.9</v>
      </c>
      <c r="I162" s="1" t="s">
        <v>4</v>
      </c>
      <c r="J162" s="5" t="s">
        <v>7418</v>
      </c>
      <c r="K162" s="2">
        <f t="shared" si="2"/>
        <v>159.9</v>
      </c>
    </row>
    <row r="163" spans="1:11" x14ac:dyDescent="0.25">
      <c r="A163" s="1" t="s">
        <v>15069</v>
      </c>
      <c r="B163" s="1" t="s">
        <v>15176</v>
      </c>
      <c r="C163" s="1" t="s">
        <v>1533</v>
      </c>
      <c r="D163" s="1" t="s">
        <v>1533</v>
      </c>
      <c r="E163" s="1" t="s">
        <v>1533</v>
      </c>
      <c r="F163" s="1">
        <v>1</v>
      </c>
      <c r="G163" s="1" t="s">
        <v>15142</v>
      </c>
      <c r="H163" s="3">
        <v>159.9</v>
      </c>
      <c r="I163" s="1" t="s">
        <v>4</v>
      </c>
      <c r="J163" s="5" t="s">
        <v>7418</v>
      </c>
      <c r="K163" s="2">
        <f t="shared" si="2"/>
        <v>159.9</v>
      </c>
    </row>
    <row r="164" spans="1:11" x14ac:dyDescent="0.25">
      <c r="A164" s="1" t="s">
        <v>15069</v>
      </c>
      <c r="B164" s="1" t="s">
        <v>15151</v>
      </c>
      <c r="C164" s="1" t="s">
        <v>1533</v>
      </c>
      <c r="D164" s="1" t="s">
        <v>1533</v>
      </c>
      <c r="E164" s="1" t="s">
        <v>1533</v>
      </c>
      <c r="F164" s="1">
        <v>3</v>
      </c>
      <c r="G164" s="1" t="s">
        <v>15142</v>
      </c>
      <c r="H164" s="3">
        <v>479.7</v>
      </c>
      <c r="I164" s="1" t="s">
        <v>4</v>
      </c>
      <c r="J164" s="5" t="s">
        <v>7419</v>
      </c>
      <c r="K164" s="2">
        <f t="shared" si="2"/>
        <v>159.9</v>
      </c>
    </row>
    <row r="165" spans="1:11" x14ac:dyDescent="0.25">
      <c r="A165" s="1" t="s">
        <v>15069</v>
      </c>
      <c r="B165" s="1" t="s">
        <v>15175</v>
      </c>
      <c r="C165" s="1" t="s">
        <v>1533</v>
      </c>
      <c r="D165" s="1" t="s">
        <v>1533</v>
      </c>
      <c r="E165" s="1" t="s">
        <v>1533</v>
      </c>
      <c r="F165" s="1">
        <v>3</v>
      </c>
      <c r="G165" s="1" t="s">
        <v>15142</v>
      </c>
      <c r="H165" s="3">
        <v>479.7</v>
      </c>
      <c r="I165" s="1" t="s">
        <v>4</v>
      </c>
      <c r="J165" s="5" t="s">
        <v>7419</v>
      </c>
      <c r="K165" s="2">
        <f t="shared" si="2"/>
        <v>159.9</v>
      </c>
    </row>
    <row r="166" spans="1:11" x14ac:dyDescent="0.25">
      <c r="A166" s="1" t="s">
        <v>15076</v>
      </c>
      <c r="B166" s="1" t="s">
        <v>1533</v>
      </c>
      <c r="C166" s="1" t="s">
        <v>1533</v>
      </c>
      <c r="D166" s="1" t="s">
        <v>15147</v>
      </c>
      <c r="E166" s="1" t="s">
        <v>1533</v>
      </c>
      <c r="F166" s="1">
        <v>4.1500000000000004</v>
      </c>
      <c r="G166" s="1" t="s">
        <v>15138</v>
      </c>
      <c r="H166" s="3">
        <v>662.39</v>
      </c>
      <c r="I166" s="1" t="s">
        <v>4</v>
      </c>
      <c r="J166" s="5" t="s">
        <v>7419</v>
      </c>
      <c r="K166" s="2">
        <f t="shared" si="2"/>
        <v>159.61204819277106</v>
      </c>
    </row>
    <row r="167" spans="1:11" x14ac:dyDescent="0.25">
      <c r="A167" s="1" t="s">
        <v>15089</v>
      </c>
      <c r="B167" s="1" t="s">
        <v>1533</v>
      </c>
      <c r="C167" s="1" t="s">
        <v>1533</v>
      </c>
      <c r="D167" s="1" t="s">
        <v>15147</v>
      </c>
      <c r="E167" s="1" t="s">
        <v>15144</v>
      </c>
      <c r="F167" s="1">
        <v>3.12</v>
      </c>
      <c r="G167" s="1" t="s">
        <v>15138</v>
      </c>
      <c r="H167" s="3">
        <v>497</v>
      </c>
      <c r="I167" s="1" t="s">
        <v>1522</v>
      </c>
      <c r="J167" s="5" t="s">
        <v>7419</v>
      </c>
      <c r="K167" s="2">
        <f t="shared" si="2"/>
        <v>159.2948717948718</v>
      </c>
    </row>
    <row r="168" spans="1:11" x14ac:dyDescent="0.25">
      <c r="A168" s="1" t="s">
        <v>15074</v>
      </c>
      <c r="B168" s="1" t="s">
        <v>15164</v>
      </c>
      <c r="C168" s="1" t="s">
        <v>1533</v>
      </c>
      <c r="D168" s="1" t="s">
        <v>1533</v>
      </c>
      <c r="E168" s="1" t="s">
        <v>1533</v>
      </c>
      <c r="F168" s="1">
        <v>34</v>
      </c>
      <c r="G168" s="1" t="s">
        <v>15142</v>
      </c>
      <c r="H168" s="3">
        <v>5352.4</v>
      </c>
      <c r="I168" s="1" t="s">
        <v>4</v>
      </c>
      <c r="J168" s="5" t="s">
        <v>7419</v>
      </c>
      <c r="K168" s="2">
        <f t="shared" si="2"/>
        <v>157.42352941176469</v>
      </c>
    </row>
    <row r="169" spans="1:11" x14ac:dyDescent="0.25">
      <c r="A169" s="1" t="s">
        <v>15064</v>
      </c>
      <c r="B169" s="1" t="s">
        <v>1533</v>
      </c>
      <c r="C169" s="1" t="s">
        <v>1533</v>
      </c>
      <c r="D169" s="1" t="s">
        <v>15147</v>
      </c>
      <c r="E169" s="1" t="s">
        <v>15156</v>
      </c>
      <c r="F169" s="1">
        <v>48.43</v>
      </c>
      <c r="G169" s="1" t="s">
        <v>15138</v>
      </c>
      <c r="H169" s="3">
        <v>7534.12</v>
      </c>
      <c r="I169" s="1" t="s">
        <v>4</v>
      </c>
      <c r="J169" s="5" t="s">
        <v>7419</v>
      </c>
      <c r="K169" s="2">
        <f t="shared" si="2"/>
        <v>155.56721040677266</v>
      </c>
    </row>
    <row r="170" spans="1:11" x14ac:dyDescent="0.25">
      <c r="A170" s="5" t="s">
        <v>15089</v>
      </c>
      <c r="B170" s="5" t="s">
        <v>1533</v>
      </c>
      <c r="C170" s="5" t="s">
        <v>1533</v>
      </c>
      <c r="D170" s="5" t="s">
        <v>15177</v>
      </c>
      <c r="E170" s="5" t="s">
        <v>15144</v>
      </c>
      <c r="F170" s="5">
        <v>9</v>
      </c>
      <c r="G170" s="5" t="s">
        <v>15138</v>
      </c>
      <c r="H170" s="8">
        <v>1400</v>
      </c>
      <c r="I170" s="5" t="s">
        <v>1522</v>
      </c>
      <c r="J170" s="5" t="s">
        <v>7416</v>
      </c>
      <c r="K170" s="2">
        <f t="shared" si="2"/>
        <v>155.55555555555554</v>
      </c>
    </row>
    <row r="171" spans="1:11" x14ac:dyDescent="0.25">
      <c r="A171" s="1" t="s">
        <v>15069</v>
      </c>
      <c r="B171" s="1" t="s">
        <v>15174</v>
      </c>
      <c r="C171" s="1" t="s">
        <v>1533</v>
      </c>
      <c r="D171" s="1" t="s">
        <v>1533</v>
      </c>
      <c r="E171" s="1" t="s">
        <v>1533</v>
      </c>
      <c r="F171" s="1">
        <v>4</v>
      </c>
      <c r="G171" s="1" t="s">
        <v>15142</v>
      </c>
      <c r="H171" s="3">
        <v>619.6</v>
      </c>
      <c r="I171" s="1" t="s">
        <v>4</v>
      </c>
      <c r="J171" s="5" t="s">
        <v>7420</v>
      </c>
      <c r="K171" s="2">
        <f t="shared" si="2"/>
        <v>154.9</v>
      </c>
    </row>
    <row r="172" spans="1:11" x14ac:dyDescent="0.25">
      <c r="A172" s="1" t="s">
        <v>15084</v>
      </c>
      <c r="B172" s="1" t="s">
        <v>1533</v>
      </c>
      <c r="C172" s="1" t="s">
        <v>1533</v>
      </c>
      <c r="D172" s="1" t="s">
        <v>15155</v>
      </c>
      <c r="E172" s="1" t="s">
        <v>15156</v>
      </c>
      <c r="F172" s="1">
        <v>0.34</v>
      </c>
      <c r="G172" s="1" t="s">
        <v>15138</v>
      </c>
      <c r="H172" s="3">
        <v>52</v>
      </c>
      <c r="I172" s="1" t="s">
        <v>1522</v>
      </c>
      <c r="J172" s="5" t="s">
        <v>7419</v>
      </c>
      <c r="K172" s="2">
        <f t="shared" si="2"/>
        <v>152.94117647058823</v>
      </c>
    </row>
    <row r="173" spans="1:11" x14ac:dyDescent="0.25">
      <c r="A173" s="1" t="s">
        <v>15112</v>
      </c>
      <c r="B173" s="1" t="s">
        <v>1533</v>
      </c>
      <c r="C173" s="1" t="s">
        <v>1533</v>
      </c>
      <c r="D173" s="1" t="s">
        <v>15155</v>
      </c>
      <c r="E173" s="1" t="s">
        <v>15149</v>
      </c>
      <c r="F173" s="1">
        <v>0.92</v>
      </c>
      <c r="G173" s="1" t="s">
        <v>15138</v>
      </c>
      <c r="H173" s="3">
        <v>140</v>
      </c>
      <c r="I173" s="1" t="s">
        <v>4</v>
      </c>
      <c r="J173" s="5" t="s">
        <v>7420</v>
      </c>
      <c r="K173" s="2">
        <f t="shared" si="2"/>
        <v>152.17391304347825</v>
      </c>
    </row>
    <row r="174" spans="1:11" x14ac:dyDescent="0.25">
      <c r="A174" s="1" t="s">
        <v>15069</v>
      </c>
      <c r="B174" s="1" t="s">
        <v>15174</v>
      </c>
      <c r="C174" s="1" t="s">
        <v>1533</v>
      </c>
      <c r="D174" s="1" t="s">
        <v>1533</v>
      </c>
      <c r="E174" s="1" t="s">
        <v>1533</v>
      </c>
      <c r="F174" s="1">
        <v>5</v>
      </c>
      <c r="G174" s="1" t="s">
        <v>15142</v>
      </c>
      <c r="H174" s="3">
        <v>759.5</v>
      </c>
      <c r="I174" s="1" t="s">
        <v>4</v>
      </c>
      <c r="J174" s="5" t="s">
        <v>7419</v>
      </c>
      <c r="K174" s="2">
        <f t="shared" si="2"/>
        <v>151.9</v>
      </c>
    </row>
    <row r="175" spans="1:11" x14ac:dyDescent="0.25">
      <c r="A175" s="1" t="s">
        <v>15064</v>
      </c>
      <c r="B175" s="1" t="s">
        <v>1533</v>
      </c>
      <c r="C175" s="1" t="s">
        <v>1533</v>
      </c>
      <c r="D175" s="1" t="s">
        <v>15147</v>
      </c>
      <c r="E175" s="1" t="s">
        <v>15178</v>
      </c>
      <c r="F175" s="1">
        <v>35.54</v>
      </c>
      <c r="G175" s="1" t="s">
        <v>15138</v>
      </c>
      <c r="H175" s="3">
        <v>5369.59</v>
      </c>
      <c r="I175" s="1" t="s">
        <v>4</v>
      </c>
      <c r="J175" s="5" t="s">
        <v>7420</v>
      </c>
      <c r="K175" s="2">
        <f t="shared" si="2"/>
        <v>151.08581879572313</v>
      </c>
    </row>
    <row r="176" spans="1:11" x14ac:dyDescent="0.25">
      <c r="A176" s="5" t="s">
        <v>15066</v>
      </c>
      <c r="B176" s="5" t="s">
        <v>1533</v>
      </c>
      <c r="C176" s="5" t="s">
        <v>1533</v>
      </c>
      <c r="D176" s="5" t="s">
        <v>15147</v>
      </c>
      <c r="E176" s="5" t="s">
        <v>15179</v>
      </c>
      <c r="F176" s="5">
        <v>35.479999999999997</v>
      </c>
      <c r="G176" s="5" t="s">
        <v>15138</v>
      </c>
      <c r="H176" s="8">
        <v>5353</v>
      </c>
      <c r="I176" s="1" t="s">
        <v>1522</v>
      </c>
      <c r="J176" s="5" t="s">
        <v>7417</v>
      </c>
      <c r="K176" s="2">
        <f t="shared" si="2"/>
        <v>150.87373167981963</v>
      </c>
    </row>
    <row r="177" spans="1:11" x14ac:dyDescent="0.25">
      <c r="A177" s="1" t="s">
        <v>15089</v>
      </c>
      <c r="B177" s="1" t="s">
        <v>1533</v>
      </c>
      <c r="C177" s="1" t="s">
        <v>1533</v>
      </c>
      <c r="D177" s="1" t="s">
        <v>15147</v>
      </c>
      <c r="E177" s="1" t="s">
        <v>15144</v>
      </c>
      <c r="F177" s="1">
        <v>0.47</v>
      </c>
      <c r="G177" s="1" t="s">
        <v>15138</v>
      </c>
      <c r="H177" s="3">
        <v>70</v>
      </c>
      <c r="I177" s="1" t="s">
        <v>4</v>
      </c>
      <c r="J177" s="5" t="s">
        <v>7418</v>
      </c>
      <c r="K177" s="2">
        <f t="shared" si="2"/>
        <v>148.93617021276597</v>
      </c>
    </row>
    <row r="178" spans="1:11" x14ac:dyDescent="0.25">
      <c r="A178" s="1" t="s">
        <v>15076</v>
      </c>
      <c r="B178" s="1" t="s">
        <v>1533</v>
      </c>
      <c r="C178" s="1" t="s">
        <v>1533</v>
      </c>
      <c r="D178" s="1" t="s">
        <v>15147</v>
      </c>
      <c r="E178" s="1" t="s">
        <v>1533</v>
      </c>
      <c r="F178" s="1">
        <v>4.2</v>
      </c>
      <c r="G178" s="1" t="s">
        <v>15138</v>
      </c>
      <c r="H178" s="3">
        <v>609.66999999999996</v>
      </c>
      <c r="I178" s="1" t="s">
        <v>4</v>
      </c>
      <c r="J178" s="5" t="s">
        <v>7417</v>
      </c>
      <c r="K178" s="2">
        <f t="shared" si="2"/>
        <v>145.15952380952379</v>
      </c>
    </row>
    <row r="179" spans="1:11" x14ac:dyDescent="0.25">
      <c r="A179" s="5" t="s">
        <v>15069</v>
      </c>
      <c r="B179" s="5" t="s">
        <v>15180</v>
      </c>
      <c r="C179" s="5" t="s">
        <v>1533</v>
      </c>
      <c r="D179" s="5" t="s">
        <v>1533</v>
      </c>
      <c r="E179" s="5" t="s">
        <v>1533</v>
      </c>
      <c r="F179" s="5">
        <v>2</v>
      </c>
      <c r="G179" s="5" t="s">
        <v>15142</v>
      </c>
      <c r="H179" s="8">
        <v>289.8</v>
      </c>
      <c r="I179" s="5" t="s">
        <v>4</v>
      </c>
      <c r="J179" s="5" t="s">
        <v>7416</v>
      </c>
      <c r="K179" s="2">
        <f t="shared" si="2"/>
        <v>144.9</v>
      </c>
    </row>
    <row r="180" spans="1:11" x14ac:dyDescent="0.25">
      <c r="A180" s="1" t="s">
        <v>15069</v>
      </c>
      <c r="B180" s="1" t="s">
        <v>15181</v>
      </c>
      <c r="C180" s="1" t="s">
        <v>1533</v>
      </c>
      <c r="D180" s="1" t="s">
        <v>1533</v>
      </c>
      <c r="E180" s="1" t="s">
        <v>1533</v>
      </c>
      <c r="F180" s="1">
        <v>2</v>
      </c>
      <c r="G180" s="1" t="s">
        <v>15142</v>
      </c>
      <c r="H180" s="3">
        <v>288.55</v>
      </c>
      <c r="I180" s="1" t="s">
        <v>4</v>
      </c>
      <c r="J180" s="5" t="s">
        <v>7418</v>
      </c>
      <c r="K180" s="2">
        <f t="shared" si="2"/>
        <v>144.27500000000001</v>
      </c>
    </row>
    <row r="181" spans="1:11" x14ac:dyDescent="0.25">
      <c r="A181" s="1" t="s">
        <v>15069</v>
      </c>
      <c r="B181" s="1" t="s">
        <v>15182</v>
      </c>
      <c r="C181" s="1" t="s">
        <v>1533</v>
      </c>
      <c r="D181" s="1" t="s">
        <v>1533</v>
      </c>
      <c r="E181" s="1" t="s">
        <v>1533</v>
      </c>
      <c r="F181" s="1">
        <v>5</v>
      </c>
      <c r="G181" s="1" t="s">
        <v>15142</v>
      </c>
      <c r="H181" s="3">
        <v>719.7</v>
      </c>
      <c r="I181" s="1" t="s">
        <v>4</v>
      </c>
      <c r="J181" s="5" t="s">
        <v>7420</v>
      </c>
      <c r="K181" s="2">
        <f t="shared" si="2"/>
        <v>143.94</v>
      </c>
    </row>
    <row r="182" spans="1:11" x14ac:dyDescent="0.25">
      <c r="A182" s="1" t="s">
        <v>15069</v>
      </c>
      <c r="B182" s="1" t="s">
        <v>15174</v>
      </c>
      <c r="C182" s="1" t="s">
        <v>1533</v>
      </c>
      <c r="D182" s="1" t="s">
        <v>1533</v>
      </c>
      <c r="E182" s="1" t="s">
        <v>1533</v>
      </c>
      <c r="F182" s="1">
        <v>7</v>
      </c>
      <c r="G182" s="1" t="s">
        <v>15142</v>
      </c>
      <c r="H182" s="3">
        <v>989.5</v>
      </c>
      <c r="I182" s="1" t="s">
        <v>4</v>
      </c>
      <c r="J182" s="5" t="s">
        <v>7418</v>
      </c>
      <c r="K182" s="2">
        <f t="shared" si="2"/>
        <v>141.35714285714286</v>
      </c>
    </row>
    <row r="183" spans="1:11" x14ac:dyDescent="0.25">
      <c r="A183" s="1" t="s">
        <v>15069</v>
      </c>
      <c r="B183" s="1" t="s">
        <v>15183</v>
      </c>
      <c r="C183" s="1" t="s">
        <v>1533</v>
      </c>
      <c r="D183" s="1" t="s">
        <v>1533</v>
      </c>
      <c r="E183" s="1" t="s">
        <v>1533</v>
      </c>
      <c r="F183" s="1">
        <v>1</v>
      </c>
      <c r="G183" s="1" t="s">
        <v>15142</v>
      </c>
      <c r="H183" s="3">
        <v>140</v>
      </c>
      <c r="I183" s="1" t="s">
        <v>4</v>
      </c>
      <c r="J183" s="5" t="s">
        <v>7419</v>
      </c>
      <c r="K183" s="2">
        <f t="shared" si="2"/>
        <v>140</v>
      </c>
    </row>
    <row r="184" spans="1:11" x14ac:dyDescent="0.25">
      <c r="A184" s="1" t="s">
        <v>15129</v>
      </c>
      <c r="B184" s="1" t="s">
        <v>15184</v>
      </c>
      <c r="C184" s="1" t="s">
        <v>1533</v>
      </c>
      <c r="D184" s="1" t="s">
        <v>1533</v>
      </c>
      <c r="E184" s="1" t="s">
        <v>1533</v>
      </c>
      <c r="F184" s="1">
        <v>0.03</v>
      </c>
      <c r="G184" s="1" t="s">
        <v>15138</v>
      </c>
      <c r="H184" s="3">
        <v>4.2</v>
      </c>
      <c r="I184" s="1" t="s">
        <v>4</v>
      </c>
      <c r="J184" s="5" t="s">
        <v>7420</v>
      </c>
      <c r="K184" s="2">
        <f t="shared" si="2"/>
        <v>140</v>
      </c>
    </row>
    <row r="185" spans="1:11" x14ac:dyDescent="0.25">
      <c r="A185" s="1" t="s">
        <v>15069</v>
      </c>
      <c r="B185" s="1" t="s">
        <v>15181</v>
      </c>
      <c r="C185" s="1" t="s">
        <v>1533</v>
      </c>
      <c r="D185" s="1" t="s">
        <v>1533</v>
      </c>
      <c r="E185" s="1" t="s">
        <v>1533</v>
      </c>
      <c r="F185" s="1">
        <v>3</v>
      </c>
      <c r="G185" s="1" t="s">
        <v>15142</v>
      </c>
      <c r="H185" s="3">
        <v>419.9</v>
      </c>
      <c r="I185" s="1" t="s">
        <v>4</v>
      </c>
      <c r="J185" s="5" t="s">
        <v>7419</v>
      </c>
      <c r="K185" s="2">
        <f t="shared" si="2"/>
        <v>139.96666666666667</v>
      </c>
    </row>
    <row r="186" spans="1:11" x14ac:dyDescent="0.25">
      <c r="A186" s="1" t="s">
        <v>15069</v>
      </c>
      <c r="B186" s="1" t="s">
        <v>15181</v>
      </c>
      <c r="C186" s="1" t="s">
        <v>1533</v>
      </c>
      <c r="D186" s="1" t="s">
        <v>1533</v>
      </c>
      <c r="E186" s="1" t="s">
        <v>1533</v>
      </c>
      <c r="F186" s="1">
        <v>2</v>
      </c>
      <c r="G186" s="1" t="s">
        <v>15142</v>
      </c>
      <c r="H186" s="3">
        <v>279.89999999999998</v>
      </c>
      <c r="I186" s="1" t="s">
        <v>4</v>
      </c>
      <c r="J186" s="5" t="s">
        <v>7417</v>
      </c>
      <c r="K186" s="2">
        <f t="shared" si="2"/>
        <v>139.94999999999999</v>
      </c>
    </row>
    <row r="187" spans="1:11" x14ac:dyDescent="0.25">
      <c r="A187" s="1" t="s">
        <v>15069</v>
      </c>
      <c r="B187" s="1" t="s">
        <v>15182</v>
      </c>
      <c r="C187" s="1" t="s">
        <v>1533</v>
      </c>
      <c r="D187" s="1" t="s">
        <v>1533</v>
      </c>
      <c r="E187" s="1" t="s">
        <v>1533</v>
      </c>
      <c r="F187" s="1">
        <v>2</v>
      </c>
      <c r="G187" s="1" t="s">
        <v>15142</v>
      </c>
      <c r="H187" s="3">
        <v>279.89999999999998</v>
      </c>
      <c r="I187" s="1" t="s">
        <v>4</v>
      </c>
      <c r="J187" s="5" t="s">
        <v>7419</v>
      </c>
      <c r="K187" s="2">
        <f t="shared" si="2"/>
        <v>139.94999999999999</v>
      </c>
    </row>
    <row r="188" spans="1:11" x14ac:dyDescent="0.25">
      <c r="A188" s="1" t="s">
        <v>15069</v>
      </c>
      <c r="B188" s="1" t="s">
        <v>15182</v>
      </c>
      <c r="C188" s="1" t="s">
        <v>1533</v>
      </c>
      <c r="D188" s="1" t="s">
        <v>1533</v>
      </c>
      <c r="E188" s="1" t="s">
        <v>1533</v>
      </c>
      <c r="F188" s="1">
        <v>1</v>
      </c>
      <c r="G188" s="1" t="s">
        <v>15142</v>
      </c>
      <c r="H188" s="3">
        <v>139.9</v>
      </c>
      <c r="I188" s="1" t="s">
        <v>4</v>
      </c>
      <c r="J188" s="5" t="s">
        <v>7417</v>
      </c>
      <c r="K188" s="2">
        <f t="shared" si="2"/>
        <v>139.9</v>
      </c>
    </row>
    <row r="189" spans="1:11" x14ac:dyDescent="0.25">
      <c r="A189" s="1" t="s">
        <v>15069</v>
      </c>
      <c r="B189" s="1" t="s">
        <v>15180</v>
      </c>
      <c r="C189" s="1" t="s">
        <v>1533</v>
      </c>
      <c r="D189" s="1" t="s">
        <v>1533</v>
      </c>
      <c r="E189" s="1" t="s">
        <v>1533</v>
      </c>
      <c r="F189" s="1">
        <v>1</v>
      </c>
      <c r="G189" s="1" t="s">
        <v>15142</v>
      </c>
      <c r="H189" s="3">
        <v>139.9</v>
      </c>
      <c r="I189" s="1" t="s">
        <v>4</v>
      </c>
      <c r="J189" s="5" t="s">
        <v>7417</v>
      </c>
      <c r="K189" s="2">
        <f t="shared" si="2"/>
        <v>139.9</v>
      </c>
    </row>
    <row r="190" spans="1:11" x14ac:dyDescent="0.25">
      <c r="A190" s="1" t="s">
        <v>15069</v>
      </c>
      <c r="B190" s="1" t="s">
        <v>15185</v>
      </c>
      <c r="C190" s="1" t="s">
        <v>1533</v>
      </c>
      <c r="D190" s="1" t="s">
        <v>1533</v>
      </c>
      <c r="E190" s="1" t="s">
        <v>1533</v>
      </c>
      <c r="F190" s="1">
        <v>1</v>
      </c>
      <c r="G190" s="1" t="s">
        <v>15142</v>
      </c>
      <c r="H190" s="3">
        <v>139.9</v>
      </c>
      <c r="I190" s="1" t="s">
        <v>4</v>
      </c>
      <c r="J190" s="5" t="s">
        <v>7417</v>
      </c>
      <c r="K190" s="2">
        <f t="shared" si="2"/>
        <v>139.9</v>
      </c>
    </row>
    <row r="191" spans="1:11" x14ac:dyDescent="0.25">
      <c r="A191" s="1" t="s">
        <v>15069</v>
      </c>
      <c r="B191" s="1" t="s">
        <v>15183</v>
      </c>
      <c r="C191" s="1" t="s">
        <v>1533</v>
      </c>
      <c r="D191" s="1" t="s">
        <v>1533</v>
      </c>
      <c r="E191" s="1" t="s">
        <v>1533</v>
      </c>
      <c r="F191" s="1">
        <v>1</v>
      </c>
      <c r="G191" s="1" t="s">
        <v>15142</v>
      </c>
      <c r="H191" s="3">
        <v>139.9</v>
      </c>
      <c r="I191" s="1" t="s">
        <v>4</v>
      </c>
      <c r="J191" s="5" t="s">
        <v>7418</v>
      </c>
      <c r="K191" s="2">
        <f t="shared" si="2"/>
        <v>139.9</v>
      </c>
    </row>
    <row r="192" spans="1:11" x14ac:dyDescent="0.25">
      <c r="A192" s="1" t="s">
        <v>15069</v>
      </c>
      <c r="B192" s="1" t="s">
        <v>15182</v>
      </c>
      <c r="C192" s="1" t="s">
        <v>1533</v>
      </c>
      <c r="D192" s="1" t="s">
        <v>1533</v>
      </c>
      <c r="E192" s="1" t="s">
        <v>1533</v>
      </c>
      <c r="F192" s="1">
        <v>1</v>
      </c>
      <c r="G192" s="1" t="s">
        <v>15142</v>
      </c>
      <c r="H192" s="3">
        <v>139.9</v>
      </c>
      <c r="I192" s="1" t="s">
        <v>4</v>
      </c>
      <c r="J192" s="5" t="s">
        <v>7418</v>
      </c>
      <c r="K192" s="2">
        <f t="shared" si="2"/>
        <v>139.9</v>
      </c>
    </row>
    <row r="193" spans="1:11" x14ac:dyDescent="0.25">
      <c r="A193" s="1" t="s">
        <v>15069</v>
      </c>
      <c r="B193" s="1" t="s">
        <v>15183</v>
      </c>
      <c r="C193" s="1" t="s">
        <v>1533</v>
      </c>
      <c r="D193" s="1" t="s">
        <v>1533</v>
      </c>
      <c r="E193" s="1" t="s">
        <v>1533</v>
      </c>
      <c r="F193" s="1">
        <v>2</v>
      </c>
      <c r="G193" s="1" t="s">
        <v>15142</v>
      </c>
      <c r="H193" s="3">
        <v>279.8</v>
      </c>
      <c r="I193" s="1" t="s">
        <v>4</v>
      </c>
      <c r="J193" s="5" t="s">
        <v>7420</v>
      </c>
      <c r="K193" s="2">
        <f t="shared" si="2"/>
        <v>139.9</v>
      </c>
    </row>
    <row r="194" spans="1:11" x14ac:dyDescent="0.25">
      <c r="A194" s="1" t="s">
        <v>15069</v>
      </c>
      <c r="B194" s="1" t="s">
        <v>15186</v>
      </c>
      <c r="C194" s="1" t="s">
        <v>1533</v>
      </c>
      <c r="D194" s="1" t="s">
        <v>1533</v>
      </c>
      <c r="E194" s="1" t="s">
        <v>1533</v>
      </c>
      <c r="F194" s="1">
        <v>2</v>
      </c>
      <c r="G194" s="1" t="s">
        <v>15142</v>
      </c>
      <c r="H194" s="3">
        <v>279.8</v>
      </c>
      <c r="I194" s="1" t="s">
        <v>4</v>
      </c>
      <c r="J194" s="5" t="s">
        <v>7420</v>
      </c>
      <c r="K194" s="2">
        <f t="shared" ref="K194:K257" si="3">H194/F194</f>
        <v>139.9</v>
      </c>
    </row>
    <row r="195" spans="1:11" x14ac:dyDescent="0.25">
      <c r="A195" s="1" t="s">
        <v>15069</v>
      </c>
      <c r="B195" s="1" t="s">
        <v>15151</v>
      </c>
      <c r="C195" s="1" t="s">
        <v>1533</v>
      </c>
      <c r="D195" s="1" t="s">
        <v>1533</v>
      </c>
      <c r="E195" s="1" t="s">
        <v>1533</v>
      </c>
      <c r="F195" s="1">
        <v>1</v>
      </c>
      <c r="G195" s="1" t="s">
        <v>15142</v>
      </c>
      <c r="H195" s="3">
        <v>139.9</v>
      </c>
      <c r="I195" s="1" t="s">
        <v>4</v>
      </c>
      <c r="J195" s="5" t="s">
        <v>7420</v>
      </c>
      <c r="K195" s="2">
        <f t="shared" si="3"/>
        <v>139.9</v>
      </c>
    </row>
    <row r="196" spans="1:11" x14ac:dyDescent="0.25">
      <c r="A196" s="5" t="s">
        <v>15069</v>
      </c>
      <c r="B196" s="5" t="s">
        <v>15181</v>
      </c>
      <c r="C196" s="5" t="s">
        <v>1533</v>
      </c>
      <c r="D196" s="5" t="s">
        <v>1533</v>
      </c>
      <c r="E196" s="5" t="s">
        <v>1533</v>
      </c>
      <c r="F196" s="5">
        <v>3</v>
      </c>
      <c r="G196" s="5" t="s">
        <v>15142</v>
      </c>
      <c r="H196" s="8">
        <v>404.8</v>
      </c>
      <c r="I196" s="5" t="s">
        <v>4</v>
      </c>
      <c r="J196" s="5" t="s">
        <v>7416</v>
      </c>
      <c r="K196" s="2">
        <f t="shared" si="3"/>
        <v>134.93333333333334</v>
      </c>
    </row>
    <row r="197" spans="1:11" x14ac:dyDescent="0.25">
      <c r="A197" s="1" t="s">
        <v>15069</v>
      </c>
      <c r="B197" s="1" t="s">
        <v>15186</v>
      </c>
      <c r="C197" s="1" t="s">
        <v>1533</v>
      </c>
      <c r="D197" s="1" t="s">
        <v>1533</v>
      </c>
      <c r="E197" s="1" t="s">
        <v>1533</v>
      </c>
      <c r="F197" s="1">
        <v>5</v>
      </c>
      <c r="G197" s="1" t="s">
        <v>15142</v>
      </c>
      <c r="H197" s="3">
        <v>669.7</v>
      </c>
      <c r="I197" s="1" t="s">
        <v>4</v>
      </c>
      <c r="J197" s="5" t="s">
        <v>7418</v>
      </c>
      <c r="K197" s="2">
        <f t="shared" si="3"/>
        <v>133.94</v>
      </c>
    </row>
    <row r="198" spans="1:11" x14ac:dyDescent="0.25">
      <c r="A198" s="1" t="s">
        <v>15066</v>
      </c>
      <c r="B198" s="1" t="s">
        <v>1533</v>
      </c>
      <c r="C198" s="1" t="s">
        <v>1533</v>
      </c>
      <c r="D198" s="1" t="s">
        <v>15147</v>
      </c>
      <c r="E198" s="1" t="s">
        <v>15144</v>
      </c>
      <c r="F198" s="1">
        <v>88.82</v>
      </c>
      <c r="G198" s="1" t="s">
        <v>15138</v>
      </c>
      <c r="H198" s="3">
        <v>11779.65</v>
      </c>
      <c r="I198" s="1" t="s">
        <v>4</v>
      </c>
      <c r="J198" s="5" t="s">
        <v>7419</v>
      </c>
      <c r="K198" s="2">
        <f t="shared" si="3"/>
        <v>132.623845980635</v>
      </c>
    </row>
    <row r="199" spans="1:11" x14ac:dyDescent="0.25">
      <c r="A199" s="1" t="s">
        <v>15076</v>
      </c>
      <c r="B199" s="1" t="s">
        <v>1533</v>
      </c>
      <c r="C199" s="1" t="s">
        <v>1533</v>
      </c>
      <c r="D199" s="1" t="s">
        <v>15147</v>
      </c>
      <c r="E199" s="1" t="s">
        <v>1533</v>
      </c>
      <c r="F199" s="1">
        <v>7.71</v>
      </c>
      <c r="G199" s="1" t="s">
        <v>15138</v>
      </c>
      <c r="H199" s="3">
        <v>1013.47</v>
      </c>
      <c r="I199" s="1" t="s">
        <v>4</v>
      </c>
      <c r="J199" s="5" t="s">
        <v>7420</v>
      </c>
      <c r="K199" s="2">
        <f t="shared" si="3"/>
        <v>131.44876783398183</v>
      </c>
    </row>
    <row r="200" spans="1:11" x14ac:dyDescent="0.25">
      <c r="A200" s="5" t="s">
        <v>15067</v>
      </c>
      <c r="B200" s="5" t="s">
        <v>15187</v>
      </c>
      <c r="C200" s="5" t="s">
        <v>1533</v>
      </c>
      <c r="D200" s="5" t="s">
        <v>1533</v>
      </c>
      <c r="E200" s="5" t="s">
        <v>1533</v>
      </c>
      <c r="F200" s="5">
        <v>2</v>
      </c>
      <c r="G200" s="5" t="s">
        <v>15142</v>
      </c>
      <c r="H200" s="8">
        <v>260</v>
      </c>
      <c r="I200" s="5" t="s">
        <v>1522</v>
      </c>
      <c r="J200" s="5" t="s">
        <v>7416</v>
      </c>
      <c r="K200" s="2">
        <f t="shared" si="3"/>
        <v>130</v>
      </c>
    </row>
    <row r="201" spans="1:11" x14ac:dyDescent="0.25">
      <c r="A201" s="5" t="s">
        <v>15067</v>
      </c>
      <c r="B201" s="5" t="s">
        <v>15187</v>
      </c>
      <c r="C201" s="5" t="s">
        <v>1533</v>
      </c>
      <c r="D201" s="5" t="s">
        <v>1533</v>
      </c>
      <c r="E201" s="5" t="s">
        <v>1533</v>
      </c>
      <c r="F201" s="5">
        <v>1</v>
      </c>
      <c r="G201" s="5" t="s">
        <v>15142</v>
      </c>
      <c r="H201" s="8">
        <v>130</v>
      </c>
      <c r="I201" s="1" t="s">
        <v>1522</v>
      </c>
      <c r="J201" s="5" t="s">
        <v>7417</v>
      </c>
      <c r="K201" s="2">
        <f t="shared" si="3"/>
        <v>130</v>
      </c>
    </row>
    <row r="202" spans="1:11" x14ac:dyDescent="0.25">
      <c r="A202" s="1" t="s">
        <v>15067</v>
      </c>
      <c r="B202" s="1" t="s">
        <v>15187</v>
      </c>
      <c r="C202" s="1" t="s">
        <v>1533</v>
      </c>
      <c r="D202" s="1" t="s">
        <v>1533</v>
      </c>
      <c r="E202" s="1" t="s">
        <v>1533</v>
      </c>
      <c r="F202" s="1">
        <v>2</v>
      </c>
      <c r="G202" s="1" t="s">
        <v>15142</v>
      </c>
      <c r="H202" s="3">
        <v>260</v>
      </c>
      <c r="I202" s="1" t="s">
        <v>1522</v>
      </c>
      <c r="J202" s="5" t="s">
        <v>7418</v>
      </c>
      <c r="K202" s="2">
        <f t="shared" si="3"/>
        <v>130</v>
      </c>
    </row>
    <row r="203" spans="1:11" x14ac:dyDescent="0.25">
      <c r="A203" s="1" t="s">
        <v>15064</v>
      </c>
      <c r="B203" s="1" t="s">
        <v>1533</v>
      </c>
      <c r="C203" s="1" t="s">
        <v>1533</v>
      </c>
      <c r="D203" s="1" t="s">
        <v>15147</v>
      </c>
      <c r="E203" s="1" t="s">
        <v>15178</v>
      </c>
      <c r="F203" s="1">
        <v>39.520000000000003</v>
      </c>
      <c r="G203" s="1" t="s">
        <v>15138</v>
      </c>
      <c r="H203" s="3">
        <v>5127.8</v>
      </c>
      <c r="I203" s="1" t="s">
        <v>4</v>
      </c>
      <c r="J203" s="5" t="s">
        <v>7417</v>
      </c>
      <c r="K203" s="2">
        <f t="shared" si="3"/>
        <v>129.75202429149797</v>
      </c>
    </row>
    <row r="204" spans="1:11" x14ac:dyDescent="0.25">
      <c r="A204" s="1" t="s">
        <v>15066</v>
      </c>
      <c r="B204" s="1" t="s">
        <v>1533</v>
      </c>
      <c r="C204" s="1" t="s">
        <v>1533</v>
      </c>
      <c r="D204" s="1" t="s">
        <v>15147</v>
      </c>
      <c r="E204" s="1" t="s">
        <v>15144</v>
      </c>
      <c r="F204" s="1">
        <v>11.24</v>
      </c>
      <c r="G204" s="1" t="s">
        <v>15138</v>
      </c>
      <c r="H204" s="3">
        <v>1440.4</v>
      </c>
      <c r="I204" s="1" t="s">
        <v>1522</v>
      </c>
      <c r="J204" s="5" t="s">
        <v>7420</v>
      </c>
      <c r="K204" s="2">
        <f t="shared" si="3"/>
        <v>128.14946619217082</v>
      </c>
    </row>
    <row r="205" spans="1:11" x14ac:dyDescent="0.25">
      <c r="A205" s="5" t="s">
        <v>15114</v>
      </c>
      <c r="B205" s="5" t="s">
        <v>15150</v>
      </c>
      <c r="C205" s="5" t="s">
        <v>1533</v>
      </c>
      <c r="D205" s="5" t="s">
        <v>1533</v>
      </c>
      <c r="E205" s="5" t="s">
        <v>1533</v>
      </c>
      <c r="F205" s="5">
        <v>3.29</v>
      </c>
      <c r="G205" s="5" t="s">
        <v>15138</v>
      </c>
      <c r="H205" s="8">
        <v>420</v>
      </c>
      <c r="I205" s="5" t="s">
        <v>4</v>
      </c>
      <c r="J205" s="5" t="s">
        <v>7416</v>
      </c>
      <c r="K205" s="2">
        <f t="shared" si="3"/>
        <v>127.65957446808511</v>
      </c>
    </row>
    <row r="206" spans="1:11" x14ac:dyDescent="0.25">
      <c r="A206" s="1" t="s">
        <v>15066</v>
      </c>
      <c r="B206" s="1" t="s">
        <v>1533</v>
      </c>
      <c r="C206" s="1" t="s">
        <v>1533</v>
      </c>
      <c r="D206" s="1" t="s">
        <v>15147</v>
      </c>
      <c r="E206" s="1" t="s">
        <v>15144</v>
      </c>
      <c r="F206" s="1">
        <v>20.61</v>
      </c>
      <c r="G206" s="1" t="s">
        <v>15138</v>
      </c>
      <c r="H206" s="3">
        <v>2628.8</v>
      </c>
      <c r="I206" s="1" t="s">
        <v>1522</v>
      </c>
      <c r="J206" s="5" t="s">
        <v>7418</v>
      </c>
      <c r="K206" s="2">
        <f t="shared" si="3"/>
        <v>127.54973313925281</v>
      </c>
    </row>
    <row r="207" spans="1:11" x14ac:dyDescent="0.25">
      <c r="A207" s="1" t="s">
        <v>15064</v>
      </c>
      <c r="B207" s="1" t="s">
        <v>1533</v>
      </c>
      <c r="C207" s="1" t="s">
        <v>1533</v>
      </c>
      <c r="D207" s="1" t="s">
        <v>15147</v>
      </c>
      <c r="E207" s="1" t="s">
        <v>15144</v>
      </c>
      <c r="F207" s="1">
        <v>29.41</v>
      </c>
      <c r="G207" s="1" t="s">
        <v>15138</v>
      </c>
      <c r="H207" s="3">
        <v>3743.11</v>
      </c>
      <c r="I207" s="1" t="s">
        <v>4</v>
      </c>
      <c r="J207" s="5" t="s">
        <v>7418</v>
      </c>
      <c r="K207" s="2">
        <f t="shared" si="3"/>
        <v>127.27337640258416</v>
      </c>
    </row>
    <row r="208" spans="1:11" x14ac:dyDescent="0.25">
      <c r="A208" s="5" t="s">
        <v>15069</v>
      </c>
      <c r="B208" s="5" t="s">
        <v>15182</v>
      </c>
      <c r="C208" s="5" t="s">
        <v>1533</v>
      </c>
      <c r="D208" s="5" t="s">
        <v>1533</v>
      </c>
      <c r="E208" s="5" t="s">
        <v>1533</v>
      </c>
      <c r="F208" s="5">
        <v>1</v>
      </c>
      <c r="G208" s="5" t="s">
        <v>15142</v>
      </c>
      <c r="H208" s="8">
        <v>125</v>
      </c>
      <c r="I208" s="5" t="s">
        <v>4</v>
      </c>
      <c r="J208" s="5" t="s">
        <v>7416</v>
      </c>
      <c r="K208" s="2">
        <f t="shared" si="3"/>
        <v>125</v>
      </c>
    </row>
    <row r="209" spans="1:11" x14ac:dyDescent="0.25">
      <c r="A209" s="5" t="s">
        <v>15088</v>
      </c>
      <c r="B209" s="5" t="s">
        <v>15163</v>
      </c>
      <c r="C209" s="5" t="s">
        <v>1533</v>
      </c>
      <c r="D209" s="5" t="s">
        <v>1533</v>
      </c>
      <c r="E209" s="5" t="s">
        <v>1533</v>
      </c>
      <c r="F209" s="5">
        <v>0.2</v>
      </c>
      <c r="G209" s="5" t="s">
        <v>15138</v>
      </c>
      <c r="H209" s="8">
        <v>25</v>
      </c>
      <c r="I209" s="1" t="s">
        <v>1522</v>
      </c>
      <c r="J209" s="5" t="s">
        <v>7417</v>
      </c>
      <c r="K209" s="2">
        <f t="shared" si="3"/>
        <v>125</v>
      </c>
    </row>
    <row r="210" spans="1:11" x14ac:dyDescent="0.25">
      <c r="A210" s="1" t="s">
        <v>15078</v>
      </c>
      <c r="B210" s="1" t="s">
        <v>15188</v>
      </c>
      <c r="C210" s="1" t="s">
        <v>1533</v>
      </c>
      <c r="D210" s="1" t="s">
        <v>1533</v>
      </c>
      <c r="E210" s="1" t="s">
        <v>1533</v>
      </c>
      <c r="F210" s="1">
        <v>2</v>
      </c>
      <c r="G210" s="1" t="s">
        <v>15142</v>
      </c>
      <c r="H210" s="3">
        <v>245</v>
      </c>
      <c r="I210" s="1" t="s">
        <v>1522</v>
      </c>
      <c r="J210" s="5" t="s">
        <v>7418</v>
      </c>
      <c r="K210" s="2">
        <f t="shared" si="3"/>
        <v>122.5</v>
      </c>
    </row>
    <row r="211" spans="1:11" x14ac:dyDescent="0.25">
      <c r="A211" s="5" t="s">
        <v>15076</v>
      </c>
      <c r="B211" s="5" t="s">
        <v>1533</v>
      </c>
      <c r="C211" s="5" t="s">
        <v>1533</v>
      </c>
      <c r="D211" s="5" t="s">
        <v>15147</v>
      </c>
      <c r="E211" s="5" t="s">
        <v>15178</v>
      </c>
      <c r="F211" s="5">
        <v>7.76</v>
      </c>
      <c r="G211" s="5" t="s">
        <v>15138</v>
      </c>
      <c r="H211" s="8">
        <v>950.28</v>
      </c>
      <c r="I211" s="5" t="s">
        <v>4</v>
      </c>
      <c r="J211" s="5" t="s">
        <v>7416</v>
      </c>
      <c r="K211" s="2">
        <f t="shared" si="3"/>
        <v>122.45876288659794</v>
      </c>
    </row>
    <row r="212" spans="1:11" x14ac:dyDescent="0.25">
      <c r="A212" s="1" t="s">
        <v>15079</v>
      </c>
      <c r="B212" s="1" t="s">
        <v>15151</v>
      </c>
      <c r="C212" s="1" t="s">
        <v>1533</v>
      </c>
      <c r="D212" s="1" t="s">
        <v>1533</v>
      </c>
      <c r="E212" s="1" t="s">
        <v>1533</v>
      </c>
      <c r="F212" s="1">
        <v>19.2</v>
      </c>
      <c r="G212" s="1" t="s">
        <v>15138</v>
      </c>
      <c r="H212" s="3">
        <v>2325</v>
      </c>
      <c r="I212" s="1" t="s">
        <v>4</v>
      </c>
      <c r="J212" s="5" t="s">
        <v>7420</v>
      </c>
      <c r="K212" s="2">
        <f t="shared" si="3"/>
        <v>121.09375</v>
      </c>
    </row>
    <row r="213" spans="1:11" x14ac:dyDescent="0.25">
      <c r="A213" s="1" t="s">
        <v>15064</v>
      </c>
      <c r="B213" s="1" t="s">
        <v>1533</v>
      </c>
      <c r="C213" s="1" t="s">
        <v>1533</v>
      </c>
      <c r="D213" s="1" t="s">
        <v>15147</v>
      </c>
      <c r="E213" s="1" t="s">
        <v>15166</v>
      </c>
      <c r="F213" s="1">
        <v>15.14</v>
      </c>
      <c r="G213" s="1" t="s">
        <v>15138</v>
      </c>
      <c r="H213" s="3">
        <v>1830.17</v>
      </c>
      <c r="I213" s="1" t="s">
        <v>1522</v>
      </c>
      <c r="J213" s="5" t="s">
        <v>7420</v>
      </c>
      <c r="K213" s="2">
        <f t="shared" si="3"/>
        <v>120.88309114927345</v>
      </c>
    </row>
    <row r="214" spans="1:11" x14ac:dyDescent="0.25">
      <c r="A214" s="1" t="s">
        <v>15069</v>
      </c>
      <c r="B214" s="1" t="s">
        <v>15186</v>
      </c>
      <c r="C214" s="1" t="s">
        <v>1533</v>
      </c>
      <c r="D214" s="1" t="s">
        <v>1533</v>
      </c>
      <c r="E214" s="1" t="s">
        <v>1533</v>
      </c>
      <c r="F214" s="1">
        <v>2</v>
      </c>
      <c r="G214" s="1" t="s">
        <v>15142</v>
      </c>
      <c r="H214" s="3">
        <v>239.8</v>
      </c>
      <c r="I214" s="1" t="s">
        <v>4</v>
      </c>
      <c r="J214" s="5" t="s">
        <v>7419</v>
      </c>
      <c r="K214" s="2">
        <f t="shared" si="3"/>
        <v>119.9</v>
      </c>
    </row>
    <row r="215" spans="1:11" x14ac:dyDescent="0.25">
      <c r="A215" s="1" t="s">
        <v>15069</v>
      </c>
      <c r="B215" s="1" t="s">
        <v>15181</v>
      </c>
      <c r="C215" s="1" t="s">
        <v>1533</v>
      </c>
      <c r="D215" s="1" t="s">
        <v>1533</v>
      </c>
      <c r="E215" s="1" t="s">
        <v>1533</v>
      </c>
      <c r="F215" s="1">
        <v>4</v>
      </c>
      <c r="G215" s="1" t="s">
        <v>15142</v>
      </c>
      <c r="H215" s="3">
        <v>479.6</v>
      </c>
      <c r="I215" s="1" t="s">
        <v>4</v>
      </c>
      <c r="J215" s="5" t="s">
        <v>7420</v>
      </c>
      <c r="K215" s="2">
        <f t="shared" si="3"/>
        <v>119.9</v>
      </c>
    </row>
    <row r="216" spans="1:11" x14ac:dyDescent="0.25">
      <c r="A216" s="5" t="s">
        <v>15064</v>
      </c>
      <c r="B216" s="5" t="s">
        <v>1533</v>
      </c>
      <c r="C216" s="5" t="s">
        <v>1533</v>
      </c>
      <c r="D216" s="5" t="s">
        <v>15147</v>
      </c>
      <c r="E216" s="5" t="s">
        <v>15178</v>
      </c>
      <c r="F216" s="5">
        <v>33.57</v>
      </c>
      <c r="G216" s="5" t="s">
        <v>15138</v>
      </c>
      <c r="H216" s="8">
        <v>3946.76</v>
      </c>
      <c r="I216" s="1" t="s">
        <v>1522</v>
      </c>
      <c r="J216" s="5" t="s">
        <v>7417</v>
      </c>
      <c r="K216" s="2">
        <f t="shared" si="3"/>
        <v>117.56806672624367</v>
      </c>
    </row>
    <row r="217" spans="1:11" x14ac:dyDescent="0.25">
      <c r="A217" s="1" t="s">
        <v>15129</v>
      </c>
      <c r="B217" s="1" t="s">
        <v>15184</v>
      </c>
      <c r="C217" s="1" t="s">
        <v>1533</v>
      </c>
      <c r="D217" s="1" t="s">
        <v>1533</v>
      </c>
      <c r="E217" s="1" t="s">
        <v>1533</v>
      </c>
      <c r="F217" s="1">
        <v>0.18</v>
      </c>
      <c r="G217" s="1" t="s">
        <v>15138</v>
      </c>
      <c r="H217" s="3">
        <v>21.15</v>
      </c>
      <c r="I217" s="1" t="s">
        <v>1522</v>
      </c>
      <c r="J217" s="5" t="s">
        <v>7420</v>
      </c>
      <c r="K217" s="2">
        <f t="shared" si="3"/>
        <v>117.5</v>
      </c>
    </row>
    <row r="218" spans="1:11" x14ac:dyDescent="0.25">
      <c r="A218" s="1" t="s">
        <v>15076</v>
      </c>
      <c r="B218" s="1" t="s">
        <v>1533</v>
      </c>
      <c r="C218" s="1" t="s">
        <v>1533</v>
      </c>
      <c r="D218" s="1" t="s">
        <v>15139</v>
      </c>
      <c r="E218" s="1" t="s">
        <v>1533</v>
      </c>
      <c r="F218" s="1">
        <v>9.58</v>
      </c>
      <c r="G218" s="1" t="s">
        <v>15138</v>
      </c>
      <c r="H218" s="3">
        <v>1100.52</v>
      </c>
      <c r="I218" s="1" t="s">
        <v>4</v>
      </c>
      <c r="J218" s="5" t="s">
        <v>7418</v>
      </c>
      <c r="K218" s="2">
        <f t="shared" si="3"/>
        <v>114.87682672233821</v>
      </c>
    </row>
    <row r="219" spans="1:11" x14ac:dyDescent="0.25">
      <c r="A219" s="1" t="s">
        <v>15076</v>
      </c>
      <c r="B219" s="1" t="s">
        <v>1533</v>
      </c>
      <c r="C219" s="1" t="s">
        <v>1533</v>
      </c>
      <c r="D219" s="1" t="s">
        <v>15147</v>
      </c>
      <c r="E219" s="1" t="s">
        <v>15189</v>
      </c>
      <c r="F219" s="1">
        <v>6.75</v>
      </c>
      <c r="G219" s="1" t="s">
        <v>15138</v>
      </c>
      <c r="H219" s="3">
        <v>742.5</v>
      </c>
      <c r="I219" s="1" t="s">
        <v>1522</v>
      </c>
      <c r="J219" s="5" t="s">
        <v>7420</v>
      </c>
      <c r="K219" s="2">
        <f t="shared" si="3"/>
        <v>110</v>
      </c>
    </row>
    <row r="220" spans="1:11" x14ac:dyDescent="0.25">
      <c r="A220" s="1" t="s">
        <v>15089</v>
      </c>
      <c r="B220" s="1" t="s">
        <v>1533</v>
      </c>
      <c r="C220" s="1" t="s">
        <v>1533</v>
      </c>
      <c r="D220" s="1" t="s">
        <v>15147</v>
      </c>
      <c r="E220" s="1" t="s">
        <v>15178</v>
      </c>
      <c r="F220" s="1">
        <v>4.8</v>
      </c>
      <c r="G220" s="1" t="s">
        <v>15138</v>
      </c>
      <c r="H220" s="3">
        <v>528</v>
      </c>
      <c r="I220" s="1" t="s">
        <v>4</v>
      </c>
      <c r="J220" s="5" t="s">
        <v>7419</v>
      </c>
      <c r="K220" s="2">
        <f t="shared" si="3"/>
        <v>110</v>
      </c>
    </row>
    <row r="221" spans="1:11" x14ac:dyDescent="0.25">
      <c r="A221" s="1" t="s">
        <v>15064</v>
      </c>
      <c r="B221" s="1" t="s">
        <v>1533</v>
      </c>
      <c r="C221" s="1" t="s">
        <v>1533</v>
      </c>
      <c r="D221" s="1" t="s">
        <v>15147</v>
      </c>
      <c r="E221" s="1" t="s">
        <v>15178</v>
      </c>
      <c r="F221" s="1">
        <v>20.22</v>
      </c>
      <c r="G221" s="1" t="s">
        <v>15138</v>
      </c>
      <c r="H221" s="3">
        <v>2205.13</v>
      </c>
      <c r="I221" s="1" t="s">
        <v>1522</v>
      </c>
      <c r="J221" s="5" t="s">
        <v>7419</v>
      </c>
      <c r="K221" s="2">
        <f t="shared" si="3"/>
        <v>109.05687438180021</v>
      </c>
    </row>
    <row r="222" spans="1:11" x14ac:dyDescent="0.25">
      <c r="A222" s="1" t="s">
        <v>15091</v>
      </c>
      <c r="B222" s="1" t="s">
        <v>15091</v>
      </c>
      <c r="C222" s="1" t="s">
        <v>1533</v>
      </c>
      <c r="D222" s="1" t="s">
        <v>1533</v>
      </c>
      <c r="E222" s="1" t="s">
        <v>1533</v>
      </c>
      <c r="F222" s="1">
        <v>7</v>
      </c>
      <c r="G222" s="1" t="s">
        <v>15142</v>
      </c>
      <c r="H222" s="3">
        <v>760</v>
      </c>
      <c r="I222" s="1" t="s">
        <v>1522</v>
      </c>
      <c r="J222" s="5" t="s">
        <v>7419</v>
      </c>
      <c r="K222" s="2">
        <f t="shared" si="3"/>
        <v>108.57142857142857</v>
      </c>
    </row>
    <row r="223" spans="1:11" x14ac:dyDescent="0.25">
      <c r="A223" s="5" t="s">
        <v>15066</v>
      </c>
      <c r="B223" s="5" t="s">
        <v>1533</v>
      </c>
      <c r="C223" s="5" t="s">
        <v>1533</v>
      </c>
      <c r="D223" s="5" t="s">
        <v>15147</v>
      </c>
      <c r="E223" s="5" t="s">
        <v>15144</v>
      </c>
      <c r="F223" s="5">
        <v>15.04</v>
      </c>
      <c r="G223" s="5" t="s">
        <v>15138</v>
      </c>
      <c r="H223" s="8">
        <v>1584.6</v>
      </c>
      <c r="I223" s="5" t="s">
        <v>1522</v>
      </c>
      <c r="J223" s="5" t="s">
        <v>7416</v>
      </c>
      <c r="K223" s="2">
        <f t="shared" si="3"/>
        <v>105.35904255319149</v>
      </c>
    </row>
    <row r="224" spans="1:11" x14ac:dyDescent="0.25">
      <c r="A224" s="1" t="s">
        <v>15069</v>
      </c>
      <c r="B224" s="1" t="s">
        <v>15190</v>
      </c>
      <c r="C224" s="1" t="s">
        <v>1533</v>
      </c>
      <c r="D224" s="1" t="s">
        <v>1533</v>
      </c>
      <c r="E224" s="1" t="s">
        <v>1533</v>
      </c>
      <c r="F224" s="1">
        <v>2</v>
      </c>
      <c r="G224" s="1" t="s">
        <v>15142</v>
      </c>
      <c r="H224" s="3">
        <v>204.9</v>
      </c>
      <c r="I224" s="1" t="s">
        <v>4</v>
      </c>
      <c r="J224" s="5" t="s">
        <v>7417</v>
      </c>
      <c r="K224" s="2">
        <f t="shared" si="3"/>
        <v>102.45</v>
      </c>
    </row>
    <row r="225" spans="1:11" x14ac:dyDescent="0.25">
      <c r="A225" s="1" t="s">
        <v>15079</v>
      </c>
      <c r="B225" s="1" t="s">
        <v>15151</v>
      </c>
      <c r="C225" s="1" t="s">
        <v>1533</v>
      </c>
      <c r="D225" s="1" t="s">
        <v>1533</v>
      </c>
      <c r="E225" s="1" t="s">
        <v>1533</v>
      </c>
      <c r="F225" s="1">
        <v>3.39</v>
      </c>
      <c r="G225" s="1" t="s">
        <v>15138</v>
      </c>
      <c r="H225" s="3">
        <v>344.89</v>
      </c>
      <c r="I225" s="1" t="s">
        <v>4</v>
      </c>
      <c r="J225" s="5" t="s">
        <v>7418</v>
      </c>
      <c r="K225" s="2">
        <f t="shared" si="3"/>
        <v>101.73746312684365</v>
      </c>
    </row>
    <row r="226" spans="1:11" x14ac:dyDescent="0.25">
      <c r="A226" s="1" t="s">
        <v>15072</v>
      </c>
      <c r="B226" s="1" t="s">
        <v>1533</v>
      </c>
      <c r="C226" s="1" t="s">
        <v>1533</v>
      </c>
      <c r="D226" s="1" t="s">
        <v>15147</v>
      </c>
      <c r="E226" s="1" t="s">
        <v>15172</v>
      </c>
      <c r="F226" s="1">
        <v>3.84</v>
      </c>
      <c r="G226" s="1" t="s">
        <v>15138</v>
      </c>
      <c r="H226" s="3">
        <v>384</v>
      </c>
      <c r="I226" s="1" t="s">
        <v>4</v>
      </c>
      <c r="J226" s="5" t="s">
        <v>7418</v>
      </c>
      <c r="K226" s="2">
        <f t="shared" si="3"/>
        <v>100</v>
      </c>
    </row>
    <row r="227" spans="1:11" ht="27" x14ac:dyDescent="0.25">
      <c r="A227" s="1" t="s">
        <v>15069</v>
      </c>
      <c r="B227" s="1" t="s">
        <v>15168</v>
      </c>
      <c r="C227" s="1" t="s">
        <v>1533</v>
      </c>
      <c r="D227" s="1" t="s">
        <v>1533</v>
      </c>
      <c r="E227" s="1" t="s">
        <v>1533</v>
      </c>
      <c r="F227" s="1">
        <v>2</v>
      </c>
      <c r="G227" s="1" t="s">
        <v>15142</v>
      </c>
      <c r="H227" s="3">
        <v>199.9</v>
      </c>
      <c r="I227" s="1" t="s">
        <v>4</v>
      </c>
      <c r="J227" s="5" t="s">
        <v>7419</v>
      </c>
      <c r="K227" s="2">
        <f t="shared" si="3"/>
        <v>99.95</v>
      </c>
    </row>
    <row r="228" spans="1:11" ht="27" x14ac:dyDescent="0.25">
      <c r="A228" s="1" t="s">
        <v>15069</v>
      </c>
      <c r="B228" s="1" t="s">
        <v>15168</v>
      </c>
      <c r="C228" s="1" t="s">
        <v>1533</v>
      </c>
      <c r="D228" s="1" t="s">
        <v>1533</v>
      </c>
      <c r="E228" s="1" t="s">
        <v>1533</v>
      </c>
      <c r="F228" s="1">
        <v>2</v>
      </c>
      <c r="G228" s="1" t="s">
        <v>15142</v>
      </c>
      <c r="H228" s="3">
        <v>199.8</v>
      </c>
      <c r="I228" s="1" t="s">
        <v>4</v>
      </c>
      <c r="J228" s="5" t="s">
        <v>7417</v>
      </c>
      <c r="K228" s="2">
        <f t="shared" si="3"/>
        <v>99.9</v>
      </c>
    </row>
    <row r="229" spans="1:11" ht="27" x14ac:dyDescent="0.25">
      <c r="A229" s="1" t="s">
        <v>15069</v>
      </c>
      <c r="B229" s="1" t="s">
        <v>15168</v>
      </c>
      <c r="C229" s="1" t="s">
        <v>1533</v>
      </c>
      <c r="D229" s="1" t="s">
        <v>1533</v>
      </c>
      <c r="E229" s="1" t="s">
        <v>1533</v>
      </c>
      <c r="F229" s="1">
        <v>2</v>
      </c>
      <c r="G229" s="1" t="s">
        <v>15142</v>
      </c>
      <c r="H229" s="3">
        <v>199.8</v>
      </c>
      <c r="I229" s="1" t="s">
        <v>4</v>
      </c>
      <c r="J229" s="5" t="s">
        <v>7418</v>
      </c>
      <c r="K229" s="2">
        <f t="shared" si="3"/>
        <v>99.9</v>
      </c>
    </row>
    <row r="230" spans="1:11" x14ac:dyDescent="0.25">
      <c r="A230" s="1" t="s">
        <v>15069</v>
      </c>
      <c r="B230" s="1" t="s">
        <v>15191</v>
      </c>
      <c r="C230" s="1" t="s">
        <v>1533</v>
      </c>
      <c r="D230" s="1" t="s">
        <v>1533</v>
      </c>
      <c r="E230" s="1" t="s">
        <v>1533</v>
      </c>
      <c r="F230" s="1">
        <v>1</v>
      </c>
      <c r="G230" s="1" t="s">
        <v>15142</v>
      </c>
      <c r="H230" s="3">
        <v>99.9</v>
      </c>
      <c r="I230" s="1" t="s">
        <v>4</v>
      </c>
      <c r="J230" s="5" t="s">
        <v>7418</v>
      </c>
      <c r="K230" s="2">
        <f t="shared" si="3"/>
        <v>99.9</v>
      </c>
    </row>
    <row r="231" spans="1:11" x14ac:dyDescent="0.25">
      <c r="A231" s="1" t="s">
        <v>15069</v>
      </c>
      <c r="B231" s="1" t="s">
        <v>15190</v>
      </c>
      <c r="C231" s="1" t="s">
        <v>1533</v>
      </c>
      <c r="D231" s="1" t="s">
        <v>1533</v>
      </c>
      <c r="E231" s="1" t="s">
        <v>1533</v>
      </c>
      <c r="F231" s="1">
        <v>1</v>
      </c>
      <c r="G231" s="1" t="s">
        <v>15142</v>
      </c>
      <c r="H231" s="3">
        <v>99.9</v>
      </c>
      <c r="I231" s="1" t="s">
        <v>4</v>
      </c>
      <c r="J231" s="5" t="s">
        <v>7418</v>
      </c>
      <c r="K231" s="2">
        <f t="shared" si="3"/>
        <v>99.9</v>
      </c>
    </row>
    <row r="232" spans="1:11" x14ac:dyDescent="0.25">
      <c r="A232" s="1" t="s">
        <v>15069</v>
      </c>
      <c r="B232" s="1" t="s">
        <v>15192</v>
      </c>
      <c r="C232" s="1" t="s">
        <v>1533</v>
      </c>
      <c r="D232" s="1" t="s">
        <v>1533</v>
      </c>
      <c r="E232" s="1" t="s">
        <v>1533</v>
      </c>
      <c r="F232" s="1">
        <v>1</v>
      </c>
      <c r="G232" s="1" t="s">
        <v>15142</v>
      </c>
      <c r="H232" s="3">
        <v>99.9</v>
      </c>
      <c r="I232" s="1" t="s">
        <v>4</v>
      </c>
      <c r="J232" s="5" t="s">
        <v>7420</v>
      </c>
      <c r="K232" s="2">
        <f t="shared" si="3"/>
        <v>99.9</v>
      </c>
    </row>
    <row r="233" spans="1:11" ht="27" x14ac:dyDescent="0.25">
      <c r="A233" s="1" t="s">
        <v>15069</v>
      </c>
      <c r="B233" s="1" t="s">
        <v>15168</v>
      </c>
      <c r="C233" s="1" t="s">
        <v>1533</v>
      </c>
      <c r="D233" s="1" t="s">
        <v>1533</v>
      </c>
      <c r="E233" s="1" t="s">
        <v>1533</v>
      </c>
      <c r="F233" s="1">
        <v>1</v>
      </c>
      <c r="G233" s="1" t="s">
        <v>15142</v>
      </c>
      <c r="H233" s="3">
        <v>99</v>
      </c>
      <c r="I233" s="1" t="s">
        <v>1522</v>
      </c>
      <c r="J233" s="5" t="s">
        <v>7419</v>
      </c>
      <c r="K233" s="2">
        <f t="shared" si="3"/>
        <v>99</v>
      </c>
    </row>
    <row r="234" spans="1:11" x14ac:dyDescent="0.25">
      <c r="A234" s="1" t="s">
        <v>15066</v>
      </c>
      <c r="B234" s="1" t="s">
        <v>1533</v>
      </c>
      <c r="C234" s="1" t="s">
        <v>1533</v>
      </c>
      <c r="D234" s="1" t="s">
        <v>15147</v>
      </c>
      <c r="E234" s="1" t="s">
        <v>15144</v>
      </c>
      <c r="F234" s="1">
        <v>12.09</v>
      </c>
      <c r="G234" s="1" t="s">
        <v>15138</v>
      </c>
      <c r="H234" s="3">
        <v>1168.2</v>
      </c>
      <c r="I234" s="1" t="s">
        <v>1522</v>
      </c>
      <c r="J234" s="5" t="s">
        <v>7419</v>
      </c>
      <c r="K234" s="2">
        <f t="shared" si="3"/>
        <v>96.625310173697272</v>
      </c>
    </row>
    <row r="235" spans="1:11" x14ac:dyDescent="0.25">
      <c r="A235" s="5" t="s">
        <v>15069</v>
      </c>
      <c r="B235" s="5" t="s">
        <v>15151</v>
      </c>
      <c r="C235" s="5" t="s">
        <v>1533</v>
      </c>
      <c r="D235" s="5" t="s">
        <v>1533</v>
      </c>
      <c r="E235" s="5" t="s">
        <v>1533</v>
      </c>
      <c r="F235" s="5">
        <v>6</v>
      </c>
      <c r="G235" s="5" t="s">
        <v>15142</v>
      </c>
      <c r="H235" s="8">
        <v>579.4</v>
      </c>
      <c r="I235" s="5" t="s">
        <v>4</v>
      </c>
      <c r="J235" s="5" t="s">
        <v>7416</v>
      </c>
      <c r="K235" s="2">
        <f t="shared" si="3"/>
        <v>96.566666666666663</v>
      </c>
    </row>
    <row r="236" spans="1:11" x14ac:dyDescent="0.25">
      <c r="A236" s="5" t="s">
        <v>15112</v>
      </c>
      <c r="B236" s="5" t="s">
        <v>1533</v>
      </c>
      <c r="C236" s="5" t="s">
        <v>1533</v>
      </c>
      <c r="D236" s="5" t="s">
        <v>15155</v>
      </c>
      <c r="E236" s="5" t="s">
        <v>15193</v>
      </c>
      <c r="F236" s="5">
        <v>1.22</v>
      </c>
      <c r="G236" s="5" t="s">
        <v>15138</v>
      </c>
      <c r="H236" s="8">
        <v>115</v>
      </c>
      <c r="I236" s="1" t="s">
        <v>1522</v>
      </c>
      <c r="J236" s="5" t="s">
        <v>7417</v>
      </c>
      <c r="K236" s="2">
        <f t="shared" si="3"/>
        <v>94.26229508196721</v>
      </c>
    </row>
    <row r="237" spans="1:11" x14ac:dyDescent="0.25">
      <c r="A237" s="5" t="s">
        <v>15076</v>
      </c>
      <c r="B237" s="5" t="s">
        <v>1533</v>
      </c>
      <c r="C237" s="5" t="s">
        <v>1533</v>
      </c>
      <c r="D237" s="5" t="s">
        <v>15177</v>
      </c>
      <c r="E237" s="5" t="s">
        <v>15189</v>
      </c>
      <c r="F237" s="5">
        <v>20</v>
      </c>
      <c r="G237" s="5" t="s">
        <v>15138</v>
      </c>
      <c r="H237" s="8">
        <v>1874.25</v>
      </c>
      <c r="I237" s="1" t="s">
        <v>1522</v>
      </c>
      <c r="J237" s="5" t="s">
        <v>7417</v>
      </c>
      <c r="K237" s="2">
        <f t="shared" si="3"/>
        <v>93.712500000000006</v>
      </c>
    </row>
    <row r="238" spans="1:11" x14ac:dyDescent="0.25">
      <c r="A238" s="5" t="s">
        <v>15064</v>
      </c>
      <c r="B238" s="5" t="s">
        <v>1533</v>
      </c>
      <c r="C238" s="5" t="s">
        <v>1533</v>
      </c>
      <c r="D238" s="5" t="s">
        <v>15155</v>
      </c>
      <c r="E238" s="5" t="s">
        <v>15156</v>
      </c>
      <c r="F238" s="5">
        <v>106.06</v>
      </c>
      <c r="G238" s="5" t="s">
        <v>15138</v>
      </c>
      <c r="H238" s="8">
        <v>9872.08</v>
      </c>
      <c r="I238" s="5" t="s">
        <v>1522</v>
      </c>
      <c r="J238" s="5" t="s">
        <v>7416</v>
      </c>
      <c r="K238" s="2">
        <f t="shared" si="3"/>
        <v>93.08014331510465</v>
      </c>
    </row>
    <row r="239" spans="1:11" x14ac:dyDescent="0.25">
      <c r="A239" s="1" t="s">
        <v>15069</v>
      </c>
      <c r="B239" s="1" t="s">
        <v>15194</v>
      </c>
      <c r="C239" s="1" t="s">
        <v>1533</v>
      </c>
      <c r="D239" s="1" t="s">
        <v>1533</v>
      </c>
      <c r="E239" s="1" t="s">
        <v>1533</v>
      </c>
      <c r="F239" s="1">
        <v>2</v>
      </c>
      <c r="G239" s="1" t="s">
        <v>15142</v>
      </c>
      <c r="H239" s="3">
        <v>184.9</v>
      </c>
      <c r="I239" s="1" t="s">
        <v>4</v>
      </c>
      <c r="J239" s="5" t="s">
        <v>7417</v>
      </c>
      <c r="K239" s="2">
        <f t="shared" si="3"/>
        <v>92.45</v>
      </c>
    </row>
    <row r="240" spans="1:11" x14ac:dyDescent="0.25">
      <c r="A240" s="1" t="s">
        <v>15072</v>
      </c>
      <c r="B240" s="1" t="s">
        <v>1533</v>
      </c>
      <c r="C240" s="1" t="s">
        <v>1533</v>
      </c>
      <c r="D240" s="1" t="s">
        <v>15147</v>
      </c>
      <c r="E240" s="1" t="s">
        <v>15195</v>
      </c>
      <c r="F240" s="1">
        <v>18.760000000000002</v>
      </c>
      <c r="G240" s="1" t="s">
        <v>15138</v>
      </c>
      <c r="H240" s="3">
        <v>1718</v>
      </c>
      <c r="I240" s="1" t="s">
        <v>1522</v>
      </c>
      <c r="J240" s="5" t="s">
        <v>7420</v>
      </c>
      <c r="K240" s="2">
        <f t="shared" si="3"/>
        <v>91.57782515991471</v>
      </c>
    </row>
    <row r="241" spans="1:11" x14ac:dyDescent="0.25">
      <c r="A241" s="1" t="s">
        <v>15111</v>
      </c>
      <c r="B241" s="1" t="s">
        <v>15196</v>
      </c>
      <c r="C241" s="1" t="s">
        <v>1533</v>
      </c>
      <c r="D241" s="1" t="s">
        <v>1533</v>
      </c>
      <c r="E241" s="1" t="s">
        <v>1533</v>
      </c>
      <c r="F241" s="1">
        <v>9</v>
      </c>
      <c r="G241" s="1" t="s">
        <v>15142</v>
      </c>
      <c r="H241" s="3">
        <v>810</v>
      </c>
      <c r="I241" s="1" t="s">
        <v>1522</v>
      </c>
      <c r="J241" s="5" t="s">
        <v>7419</v>
      </c>
      <c r="K241" s="2">
        <f t="shared" si="3"/>
        <v>90</v>
      </c>
    </row>
    <row r="242" spans="1:11" x14ac:dyDescent="0.25">
      <c r="A242" s="1" t="s">
        <v>15072</v>
      </c>
      <c r="B242" s="1" t="s">
        <v>1533</v>
      </c>
      <c r="C242" s="1" t="s">
        <v>1533</v>
      </c>
      <c r="D242" s="1" t="s">
        <v>15147</v>
      </c>
      <c r="E242" s="1" t="s">
        <v>15197</v>
      </c>
      <c r="F242" s="1">
        <v>19.2</v>
      </c>
      <c r="G242" s="1" t="s">
        <v>15138</v>
      </c>
      <c r="H242" s="3">
        <v>1728</v>
      </c>
      <c r="I242" s="1" t="s">
        <v>4</v>
      </c>
      <c r="J242" s="5" t="s">
        <v>7419</v>
      </c>
      <c r="K242" s="2">
        <f t="shared" si="3"/>
        <v>90</v>
      </c>
    </row>
    <row r="243" spans="1:11" x14ac:dyDescent="0.25">
      <c r="A243" s="1" t="s">
        <v>15079</v>
      </c>
      <c r="B243" s="1" t="s">
        <v>15151</v>
      </c>
      <c r="C243" s="1" t="s">
        <v>1533</v>
      </c>
      <c r="D243" s="1" t="s">
        <v>1533</v>
      </c>
      <c r="E243" s="1" t="s">
        <v>1533</v>
      </c>
      <c r="F243" s="1">
        <v>30.3</v>
      </c>
      <c r="G243" s="1" t="s">
        <v>15138</v>
      </c>
      <c r="H243" s="3">
        <v>2639.9</v>
      </c>
      <c r="I243" s="1" t="s">
        <v>4</v>
      </c>
      <c r="J243" s="5" t="s">
        <v>7417</v>
      </c>
      <c r="K243" s="2">
        <f t="shared" si="3"/>
        <v>87.125412541254121</v>
      </c>
    </row>
    <row r="244" spans="1:11" x14ac:dyDescent="0.25">
      <c r="A244" s="1" t="s">
        <v>15064</v>
      </c>
      <c r="B244" s="1" t="s">
        <v>1533</v>
      </c>
      <c r="C244" s="1" t="s">
        <v>1533</v>
      </c>
      <c r="D244" s="1" t="s">
        <v>15147</v>
      </c>
      <c r="E244" s="1" t="s">
        <v>15189</v>
      </c>
      <c r="F244" s="1">
        <v>103.98</v>
      </c>
      <c r="G244" s="1" t="s">
        <v>15138</v>
      </c>
      <c r="H244" s="3">
        <v>8896.49</v>
      </c>
      <c r="I244" s="1" t="s">
        <v>1522</v>
      </c>
      <c r="J244" s="5" t="s">
        <v>7418</v>
      </c>
      <c r="K244" s="2">
        <f t="shared" si="3"/>
        <v>85.55962685131756</v>
      </c>
    </row>
    <row r="245" spans="1:11" x14ac:dyDescent="0.25">
      <c r="A245" s="1" t="s">
        <v>15091</v>
      </c>
      <c r="B245" s="1" t="s">
        <v>15091</v>
      </c>
      <c r="C245" s="1" t="s">
        <v>1533</v>
      </c>
      <c r="D245" s="1" t="s">
        <v>1533</v>
      </c>
      <c r="E245" s="1" t="s">
        <v>1533</v>
      </c>
      <c r="F245" s="1">
        <v>7</v>
      </c>
      <c r="G245" s="1" t="s">
        <v>15142</v>
      </c>
      <c r="H245" s="3">
        <v>597</v>
      </c>
      <c r="I245" s="1" t="s">
        <v>1522</v>
      </c>
      <c r="J245" s="5" t="s">
        <v>7420</v>
      </c>
      <c r="K245" s="2">
        <f t="shared" si="3"/>
        <v>85.285714285714292</v>
      </c>
    </row>
    <row r="246" spans="1:11" x14ac:dyDescent="0.25">
      <c r="A246" s="1" t="s">
        <v>15072</v>
      </c>
      <c r="B246" s="1" t="s">
        <v>1533</v>
      </c>
      <c r="C246" s="1" t="s">
        <v>1533</v>
      </c>
      <c r="D246" s="1" t="s">
        <v>15147</v>
      </c>
      <c r="E246" s="1" t="s">
        <v>15198</v>
      </c>
      <c r="F246" s="1">
        <v>23.1</v>
      </c>
      <c r="G246" s="1" t="s">
        <v>15138</v>
      </c>
      <c r="H246" s="3">
        <v>1966.8</v>
      </c>
      <c r="I246" s="1" t="s">
        <v>1522</v>
      </c>
      <c r="J246" s="5" t="s">
        <v>7419</v>
      </c>
      <c r="K246" s="2">
        <f t="shared" si="3"/>
        <v>85.142857142857139</v>
      </c>
    </row>
    <row r="247" spans="1:11" x14ac:dyDescent="0.25">
      <c r="A247" s="1" t="s">
        <v>15070</v>
      </c>
      <c r="B247" s="1" t="s">
        <v>15145</v>
      </c>
      <c r="C247" s="1" t="s">
        <v>1533</v>
      </c>
      <c r="D247" s="1" t="s">
        <v>1533</v>
      </c>
      <c r="E247" s="1" t="s">
        <v>1533</v>
      </c>
      <c r="F247" s="1">
        <v>76.459999999999994</v>
      </c>
      <c r="G247" s="1" t="s">
        <v>15138</v>
      </c>
      <c r="H247" s="3">
        <v>6495.95</v>
      </c>
      <c r="I247" s="1" t="s">
        <v>1522</v>
      </c>
      <c r="J247" s="5" t="s">
        <v>7419</v>
      </c>
      <c r="K247" s="2">
        <f t="shared" si="3"/>
        <v>84.958801987967576</v>
      </c>
    </row>
    <row r="248" spans="1:11" x14ac:dyDescent="0.25">
      <c r="A248" s="1" t="s">
        <v>15072</v>
      </c>
      <c r="B248" s="1" t="s">
        <v>1533</v>
      </c>
      <c r="C248" s="1" t="s">
        <v>1533</v>
      </c>
      <c r="D248" s="1" t="s">
        <v>15147</v>
      </c>
      <c r="E248" s="1" t="s">
        <v>15198</v>
      </c>
      <c r="F248" s="1">
        <v>7.16</v>
      </c>
      <c r="G248" s="1" t="s">
        <v>15138</v>
      </c>
      <c r="H248" s="3">
        <v>595</v>
      </c>
      <c r="I248" s="1" t="s">
        <v>1522</v>
      </c>
      <c r="J248" s="5" t="s">
        <v>7418</v>
      </c>
      <c r="K248" s="2">
        <f t="shared" si="3"/>
        <v>83.100558659217882</v>
      </c>
    </row>
    <row r="249" spans="1:11" x14ac:dyDescent="0.25">
      <c r="A249" s="1" t="s">
        <v>15095</v>
      </c>
      <c r="B249" s="1" t="s">
        <v>1533</v>
      </c>
      <c r="C249" s="1" t="s">
        <v>1533</v>
      </c>
      <c r="D249" s="1" t="s">
        <v>15155</v>
      </c>
      <c r="E249" s="1" t="s">
        <v>15156</v>
      </c>
      <c r="F249" s="1">
        <v>1.02</v>
      </c>
      <c r="G249" s="1" t="s">
        <v>15157</v>
      </c>
      <c r="H249" s="3">
        <v>83</v>
      </c>
      <c r="I249" s="1" t="s">
        <v>4</v>
      </c>
      <c r="J249" s="5" t="s">
        <v>7420</v>
      </c>
      <c r="K249" s="2">
        <f t="shared" si="3"/>
        <v>81.372549019607845</v>
      </c>
    </row>
    <row r="250" spans="1:11" x14ac:dyDescent="0.25">
      <c r="A250" s="1" t="s">
        <v>15069</v>
      </c>
      <c r="B250" s="1" t="s">
        <v>15194</v>
      </c>
      <c r="C250" s="1" t="s">
        <v>1533</v>
      </c>
      <c r="D250" s="1" t="s">
        <v>1533</v>
      </c>
      <c r="E250" s="1" t="s">
        <v>1533</v>
      </c>
      <c r="F250" s="1">
        <v>3</v>
      </c>
      <c r="G250" s="1" t="s">
        <v>15142</v>
      </c>
      <c r="H250" s="3">
        <v>239.7</v>
      </c>
      <c r="I250" s="1" t="s">
        <v>4</v>
      </c>
      <c r="J250" s="5" t="s">
        <v>7420</v>
      </c>
      <c r="K250" s="2">
        <f t="shared" si="3"/>
        <v>79.899999999999991</v>
      </c>
    </row>
    <row r="251" spans="1:11" x14ac:dyDescent="0.25">
      <c r="A251" s="5" t="s">
        <v>15072</v>
      </c>
      <c r="B251" s="5" t="s">
        <v>1533</v>
      </c>
      <c r="C251" s="5" t="s">
        <v>1533</v>
      </c>
      <c r="D251" s="5" t="s">
        <v>15147</v>
      </c>
      <c r="E251" s="5" t="s">
        <v>15172</v>
      </c>
      <c r="F251" s="5">
        <v>0.54</v>
      </c>
      <c r="G251" s="5" t="s">
        <v>15138</v>
      </c>
      <c r="H251" s="8">
        <v>40</v>
      </c>
      <c r="I251" s="5" t="s">
        <v>4</v>
      </c>
      <c r="J251" s="5" t="s">
        <v>7416</v>
      </c>
      <c r="K251" s="2">
        <f t="shared" si="3"/>
        <v>74.074074074074076</v>
      </c>
    </row>
    <row r="252" spans="1:11" x14ac:dyDescent="0.25">
      <c r="A252" s="1" t="s">
        <v>15112</v>
      </c>
      <c r="B252" s="1" t="s">
        <v>1533</v>
      </c>
      <c r="C252" s="1" t="s">
        <v>1533</v>
      </c>
      <c r="D252" s="1" t="s">
        <v>15155</v>
      </c>
      <c r="E252" s="1" t="s">
        <v>15156</v>
      </c>
      <c r="F252" s="1">
        <v>6.19</v>
      </c>
      <c r="G252" s="1" t="s">
        <v>15138</v>
      </c>
      <c r="H252" s="3">
        <v>453.9</v>
      </c>
      <c r="I252" s="1" t="s">
        <v>1522</v>
      </c>
      <c r="J252" s="5" t="s">
        <v>7420</v>
      </c>
      <c r="K252" s="2">
        <f t="shared" si="3"/>
        <v>73.327948303715658</v>
      </c>
    </row>
    <row r="253" spans="1:11" x14ac:dyDescent="0.25">
      <c r="A253" s="5" t="s">
        <v>15083</v>
      </c>
      <c r="B253" s="5" t="s">
        <v>1533</v>
      </c>
      <c r="C253" s="5" t="s">
        <v>1533</v>
      </c>
      <c r="D253" s="5" t="s">
        <v>15155</v>
      </c>
      <c r="E253" s="5" t="s">
        <v>15144</v>
      </c>
      <c r="F253" s="5">
        <v>18.71</v>
      </c>
      <c r="G253" s="5" t="s">
        <v>15157</v>
      </c>
      <c r="H253" s="8">
        <v>1340</v>
      </c>
      <c r="I253" s="5" t="s">
        <v>1522</v>
      </c>
      <c r="J253" s="5" t="s">
        <v>7416</v>
      </c>
      <c r="K253" s="2">
        <f t="shared" si="3"/>
        <v>71.619454836985568</v>
      </c>
    </row>
    <row r="254" spans="1:11" x14ac:dyDescent="0.25">
      <c r="A254" s="5" t="s">
        <v>15070</v>
      </c>
      <c r="B254" s="5" t="s">
        <v>15145</v>
      </c>
      <c r="C254" s="5" t="s">
        <v>1533</v>
      </c>
      <c r="D254" s="5" t="s">
        <v>1533</v>
      </c>
      <c r="E254" s="5" t="s">
        <v>1533</v>
      </c>
      <c r="F254" s="5">
        <v>81.97</v>
      </c>
      <c r="G254" s="5" t="s">
        <v>15138</v>
      </c>
      <c r="H254" s="8">
        <v>5818.5</v>
      </c>
      <c r="I254" s="5" t="s">
        <v>1522</v>
      </c>
      <c r="J254" s="5" t="s">
        <v>7416</v>
      </c>
      <c r="K254" s="2">
        <f t="shared" si="3"/>
        <v>70.983286568256673</v>
      </c>
    </row>
    <row r="255" spans="1:11" x14ac:dyDescent="0.25">
      <c r="A255" s="1" t="s">
        <v>15072</v>
      </c>
      <c r="B255" s="1" t="s">
        <v>1533</v>
      </c>
      <c r="C255" s="1" t="s">
        <v>1533</v>
      </c>
      <c r="D255" s="1" t="s">
        <v>15147</v>
      </c>
      <c r="E255" s="1" t="s">
        <v>15172</v>
      </c>
      <c r="F255" s="1">
        <v>83.45</v>
      </c>
      <c r="G255" s="1" t="s">
        <v>15138</v>
      </c>
      <c r="H255" s="3">
        <v>5915.9</v>
      </c>
      <c r="I255" s="1" t="s">
        <v>4</v>
      </c>
      <c r="J255" s="5" t="s">
        <v>7420</v>
      </c>
      <c r="K255" s="2">
        <f t="shared" si="3"/>
        <v>70.891551827441575</v>
      </c>
    </row>
    <row r="256" spans="1:11" x14ac:dyDescent="0.25">
      <c r="A256" s="1" t="s">
        <v>15080</v>
      </c>
      <c r="B256" s="1" t="s">
        <v>15151</v>
      </c>
      <c r="C256" s="1" t="s">
        <v>1533</v>
      </c>
      <c r="D256" s="1" t="s">
        <v>1533</v>
      </c>
      <c r="E256" s="1" t="s">
        <v>1533</v>
      </c>
      <c r="F256" s="1">
        <v>1</v>
      </c>
      <c r="G256" s="1" t="s">
        <v>15142</v>
      </c>
      <c r="H256" s="3">
        <v>70</v>
      </c>
      <c r="I256" s="1" t="s">
        <v>4</v>
      </c>
      <c r="J256" s="5" t="s">
        <v>7417</v>
      </c>
      <c r="K256" s="2">
        <f t="shared" si="3"/>
        <v>70</v>
      </c>
    </row>
    <row r="257" spans="1:11" x14ac:dyDescent="0.25">
      <c r="A257" s="5" t="s">
        <v>15095</v>
      </c>
      <c r="B257" s="5" t="s">
        <v>1533</v>
      </c>
      <c r="C257" s="5" t="s">
        <v>1533</v>
      </c>
      <c r="D257" s="5" t="s">
        <v>15155</v>
      </c>
      <c r="E257" s="5" t="s">
        <v>15178</v>
      </c>
      <c r="F257" s="5">
        <v>30</v>
      </c>
      <c r="G257" s="5" t="s">
        <v>15157</v>
      </c>
      <c r="H257" s="8">
        <v>2097</v>
      </c>
      <c r="I257" s="1" t="s">
        <v>1522</v>
      </c>
      <c r="J257" s="5" t="s">
        <v>7417</v>
      </c>
      <c r="K257" s="2">
        <f t="shared" si="3"/>
        <v>69.900000000000006</v>
      </c>
    </row>
    <row r="258" spans="1:11" x14ac:dyDescent="0.25">
      <c r="A258" s="5" t="s">
        <v>15072</v>
      </c>
      <c r="B258" s="5" t="s">
        <v>1533</v>
      </c>
      <c r="C258" s="5" t="s">
        <v>1533</v>
      </c>
      <c r="D258" s="5" t="s">
        <v>15147</v>
      </c>
      <c r="E258" s="5" t="s">
        <v>15195</v>
      </c>
      <c r="F258" s="5">
        <v>5.23</v>
      </c>
      <c r="G258" s="5" t="s">
        <v>15138</v>
      </c>
      <c r="H258" s="8">
        <v>350.65</v>
      </c>
      <c r="I258" s="1" t="s">
        <v>1522</v>
      </c>
      <c r="J258" s="5" t="s">
        <v>7417</v>
      </c>
      <c r="K258" s="2">
        <f t="shared" ref="K258:K321" si="4">H258/F258</f>
        <v>67.045889101338418</v>
      </c>
    </row>
    <row r="259" spans="1:11" x14ac:dyDescent="0.25">
      <c r="A259" s="1" t="s">
        <v>15072</v>
      </c>
      <c r="B259" s="1" t="s">
        <v>1533</v>
      </c>
      <c r="C259" s="1" t="s">
        <v>1533</v>
      </c>
      <c r="D259" s="1" t="s">
        <v>15147</v>
      </c>
      <c r="E259" s="1" t="s">
        <v>15172</v>
      </c>
      <c r="F259" s="1">
        <v>18</v>
      </c>
      <c r="G259" s="1" t="s">
        <v>15138</v>
      </c>
      <c r="H259" s="3">
        <v>1200</v>
      </c>
      <c r="I259" s="1" t="s">
        <v>4</v>
      </c>
      <c r="J259" s="5" t="s">
        <v>7417</v>
      </c>
      <c r="K259" s="2">
        <f t="shared" si="4"/>
        <v>66.666666666666671</v>
      </c>
    </row>
    <row r="260" spans="1:11" x14ac:dyDescent="0.25">
      <c r="A260" s="5" t="s">
        <v>15093</v>
      </c>
      <c r="B260" s="5" t="s">
        <v>15199</v>
      </c>
      <c r="C260" s="5" t="s">
        <v>1533</v>
      </c>
      <c r="D260" s="5" t="s">
        <v>1533</v>
      </c>
      <c r="E260" s="5" t="s">
        <v>1533</v>
      </c>
      <c r="F260" s="5">
        <v>12</v>
      </c>
      <c r="G260" s="5" t="s">
        <v>15142</v>
      </c>
      <c r="H260" s="8">
        <v>778.8</v>
      </c>
      <c r="I260" s="5" t="s">
        <v>4</v>
      </c>
      <c r="J260" s="5" t="s">
        <v>7416</v>
      </c>
      <c r="K260" s="2">
        <f t="shared" si="4"/>
        <v>64.899999999999991</v>
      </c>
    </row>
    <row r="261" spans="1:11" x14ac:dyDescent="0.25">
      <c r="A261" s="1" t="s">
        <v>15119</v>
      </c>
      <c r="B261" s="1" t="s">
        <v>15200</v>
      </c>
      <c r="C261" s="1" t="s">
        <v>1533</v>
      </c>
      <c r="D261" s="1" t="s">
        <v>1533</v>
      </c>
      <c r="E261" s="1" t="s">
        <v>1533</v>
      </c>
      <c r="F261" s="1">
        <v>5</v>
      </c>
      <c r="G261" s="1" t="s">
        <v>15142</v>
      </c>
      <c r="H261" s="3">
        <v>319.5</v>
      </c>
      <c r="I261" s="1" t="s">
        <v>4</v>
      </c>
      <c r="J261" s="5" t="s">
        <v>7417</v>
      </c>
      <c r="K261" s="2">
        <f t="shared" si="4"/>
        <v>63.9</v>
      </c>
    </row>
    <row r="262" spans="1:11" x14ac:dyDescent="0.25">
      <c r="A262" s="1" t="s">
        <v>15069</v>
      </c>
      <c r="B262" s="1" t="s">
        <v>15201</v>
      </c>
      <c r="C262" s="1" t="s">
        <v>1533</v>
      </c>
      <c r="D262" s="1" t="s">
        <v>1533</v>
      </c>
      <c r="E262" s="1" t="s">
        <v>1533</v>
      </c>
      <c r="F262" s="1">
        <v>2</v>
      </c>
      <c r="G262" s="1" t="s">
        <v>15142</v>
      </c>
      <c r="H262" s="3">
        <v>119.8</v>
      </c>
      <c r="I262" s="1" t="s">
        <v>4</v>
      </c>
      <c r="J262" s="5" t="s">
        <v>7417</v>
      </c>
      <c r="K262" s="2">
        <f t="shared" si="4"/>
        <v>59.9</v>
      </c>
    </row>
    <row r="263" spans="1:11" x14ac:dyDescent="0.25">
      <c r="A263" s="1" t="s">
        <v>15069</v>
      </c>
      <c r="B263" s="1" t="s">
        <v>15201</v>
      </c>
      <c r="C263" s="1" t="s">
        <v>1533</v>
      </c>
      <c r="D263" s="1" t="s">
        <v>1533</v>
      </c>
      <c r="E263" s="1" t="s">
        <v>1533</v>
      </c>
      <c r="F263" s="1">
        <v>1</v>
      </c>
      <c r="G263" s="1" t="s">
        <v>15142</v>
      </c>
      <c r="H263" s="3">
        <v>59.9</v>
      </c>
      <c r="I263" s="1" t="s">
        <v>4</v>
      </c>
      <c r="J263" s="5" t="s">
        <v>7418</v>
      </c>
      <c r="K263" s="2">
        <f t="shared" si="4"/>
        <v>59.9</v>
      </c>
    </row>
    <row r="264" spans="1:11" x14ac:dyDescent="0.25">
      <c r="A264" s="1" t="s">
        <v>15127</v>
      </c>
      <c r="B264" s="1" t="s">
        <v>15202</v>
      </c>
      <c r="C264" s="1" t="s">
        <v>1533</v>
      </c>
      <c r="D264" s="1" t="s">
        <v>1533</v>
      </c>
      <c r="E264" s="1" t="s">
        <v>1533</v>
      </c>
      <c r="F264" s="1">
        <v>1</v>
      </c>
      <c r="G264" s="1" t="s">
        <v>15142</v>
      </c>
      <c r="H264" s="3">
        <v>59.9</v>
      </c>
      <c r="I264" s="1" t="s">
        <v>4</v>
      </c>
      <c r="J264" s="5" t="s">
        <v>7420</v>
      </c>
      <c r="K264" s="2">
        <f t="shared" si="4"/>
        <v>59.9</v>
      </c>
    </row>
    <row r="265" spans="1:11" x14ac:dyDescent="0.25">
      <c r="A265" s="1" t="s">
        <v>15124</v>
      </c>
      <c r="B265" s="1" t="s">
        <v>1533</v>
      </c>
      <c r="C265" s="1" t="s">
        <v>1533</v>
      </c>
      <c r="D265" s="1" t="s">
        <v>15155</v>
      </c>
      <c r="E265" s="1" t="s">
        <v>15156</v>
      </c>
      <c r="F265" s="1">
        <v>0.74</v>
      </c>
      <c r="G265" s="1" t="s">
        <v>15157</v>
      </c>
      <c r="H265" s="3">
        <v>40</v>
      </c>
      <c r="I265" s="1" t="s">
        <v>4</v>
      </c>
      <c r="J265" s="5" t="s">
        <v>7420</v>
      </c>
      <c r="K265" s="2">
        <f t="shared" si="4"/>
        <v>54.054054054054056</v>
      </c>
    </row>
    <row r="266" spans="1:11" x14ac:dyDescent="0.25">
      <c r="A266" s="5" t="s">
        <v>15091</v>
      </c>
      <c r="B266" s="5" t="s">
        <v>15091</v>
      </c>
      <c r="C266" s="5" t="s">
        <v>1533</v>
      </c>
      <c r="D266" s="5" t="s">
        <v>1533</v>
      </c>
      <c r="E266" s="5" t="s">
        <v>1533</v>
      </c>
      <c r="F266" s="5">
        <v>1</v>
      </c>
      <c r="G266" s="5" t="s">
        <v>15142</v>
      </c>
      <c r="H266" s="8">
        <v>50</v>
      </c>
      <c r="I266" s="5" t="s">
        <v>1522</v>
      </c>
      <c r="J266" s="5" t="s">
        <v>7416</v>
      </c>
      <c r="K266" s="2">
        <f t="shared" si="4"/>
        <v>50</v>
      </c>
    </row>
    <row r="267" spans="1:11" x14ac:dyDescent="0.25">
      <c r="A267" s="5" t="s">
        <v>15069</v>
      </c>
      <c r="B267" s="5" t="s">
        <v>15203</v>
      </c>
      <c r="C267" s="5" t="s">
        <v>1533</v>
      </c>
      <c r="D267" s="5" t="s">
        <v>1533</v>
      </c>
      <c r="E267" s="5" t="s">
        <v>1533</v>
      </c>
      <c r="F267" s="5">
        <v>2</v>
      </c>
      <c r="G267" s="5" t="s">
        <v>15142</v>
      </c>
      <c r="H267" s="8">
        <v>99.8</v>
      </c>
      <c r="I267" s="5" t="s">
        <v>4</v>
      </c>
      <c r="J267" s="5" t="s">
        <v>7416</v>
      </c>
      <c r="K267" s="2">
        <f t="shared" si="4"/>
        <v>49.9</v>
      </c>
    </row>
    <row r="268" spans="1:11" ht="27" x14ac:dyDescent="0.25">
      <c r="A268" s="1" t="s">
        <v>15069</v>
      </c>
      <c r="B268" s="1" t="s">
        <v>15203</v>
      </c>
      <c r="C268" s="1" t="s">
        <v>1533</v>
      </c>
      <c r="D268" s="1" t="s">
        <v>1533</v>
      </c>
      <c r="E268" s="1" t="s">
        <v>1533</v>
      </c>
      <c r="F268" s="1">
        <v>1</v>
      </c>
      <c r="G268" s="1" t="s">
        <v>15142</v>
      </c>
      <c r="H268" s="3">
        <v>49.9</v>
      </c>
      <c r="I268" s="1" t="s">
        <v>4</v>
      </c>
      <c r="J268" s="5" t="s">
        <v>7417</v>
      </c>
      <c r="K268" s="2">
        <f t="shared" si="4"/>
        <v>49.9</v>
      </c>
    </row>
    <row r="269" spans="1:11" ht="27" x14ac:dyDescent="0.25">
      <c r="A269" s="1" t="s">
        <v>15069</v>
      </c>
      <c r="B269" s="1" t="s">
        <v>15203</v>
      </c>
      <c r="C269" s="1" t="s">
        <v>1533</v>
      </c>
      <c r="D269" s="1" t="s">
        <v>1533</v>
      </c>
      <c r="E269" s="1" t="s">
        <v>1533</v>
      </c>
      <c r="F269" s="1">
        <v>5</v>
      </c>
      <c r="G269" s="1" t="s">
        <v>15142</v>
      </c>
      <c r="H269" s="3">
        <v>249.5</v>
      </c>
      <c r="I269" s="1" t="s">
        <v>4</v>
      </c>
      <c r="J269" s="5" t="s">
        <v>7419</v>
      </c>
      <c r="K269" s="2">
        <f t="shared" si="4"/>
        <v>49.9</v>
      </c>
    </row>
    <row r="270" spans="1:11" x14ac:dyDescent="0.25">
      <c r="A270" s="1" t="s">
        <v>15077</v>
      </c>
      <c r="B270" s="1" t="s">
        <v>15204</v>
      </c>
      <c r="C270" s="1" t="s">
        <v>1533</v>
      </c>
      <c r="D270" s="1" t="s">
        <v>1533</v>
      </c>
      <c r="E270" s="1" t="s">
        <v>1533</v>
      </c>
      <c r="F270" s="1">
        <v>12</v>
      </c>
      <c r="G270" s="1" t="s">
        <v>15142</v>
      </c>
      <c r="H270" s="3">
        <v>596.25</v>
      </c>
      <c r="I270" s="1" t="s">
        <v>4</v>
      </c>
      <c r="J270" s="5" t="s">
        <v>7418</v>
      </c>
      <c r="K270" s="2">
        <f t="shared" si="4"/>
        <v>49.6875</v>
      </c>
    </row>
    <row r="271" spans="1:11" ht="27" x14ac:dyDescent="0.25">
      <c r="A271" s="1" t="s">
        <v>15077</v>
      </c>
      <c r="B271" s="1" t="s">
        <v>15205</v>
      </c>
      <c r="C271" s="1" t="s">
        <v>1533</v>
      </c>
      <c r="D271" s="1" t="s">
        <v>1533</v>
      </c>
      <c r="E271" s="1" t="s">
        <v>1533</v>
      </c>
      <c r="F271" s="1">
        <v>10</v>
      </c>
      <c r="G271" s="1" t="s">
        <v>15142</v>
      </c>
      <c r="H271" s="3">
        <v>495</v>
      </c>
      <c r="I271" s="1" t="s">
        <v>4</v>
      </c>
      <c r="J271" s="5" t="s">
        <v>7419</v>
      </c>
      <c r="K271" s="2">
        <f t="shared" si="4"/>
        <v>49.5</v>
      </c>
    </row>
    <row r="272" spans="1:11" x14ac:dyDescent="0.25">
      <c r="A272" s="5" t="s">
        <v>15077</v>
      </c>
      <c r="B272" s="5" t="s">
        <v>15206</v>
      </c>
      <c r="C272" s="5" t="s">
        <v>1533</v>
      </c>
      <c r="D272" s="5" t="s">
        <v>1533</v>
      </c>
      <c r="E272" s="5" t="s">
        <v>1533</v>
      </c>
      <c r="F272" s="5">
        <v>6</v>
      </c>
      <c r="G272" s="5" t="s">
        <v>15142</v>
      </c>
      <c r="H272" s="8">
        <v>293.39999999999998</v>
      </c>
      <c r="I272" s="5" t="s">
        <v>4</v>
      </c>
      <c r="J272" s="5" t="s">
        <v>7416</v>
      </c>
      <c r="K272" s="2">
        <f t="shared" si="4"/>
        <v>48.9</v>
      </c>
    </row>
    <row r="273" spans="1:11" x14ac:dyDescent="0.25">
      <c r="A273" s="1" t="s">
        <v>15077</v>
      </c>
      <c r="B273" s="1" t="s">
        <v>15207</v>
      </c>
      <c r="C273" s="1" t="s">
        <v>1533</v>
      </c>
      <c r="D273" s="1" t="s">
        <v>1533</v>
      </c>
      <c r="E273" s="1" t="s">
        <v>1533</v>
      </c>
      <c r="F273" s="1">
        <v>10</v>
      </c>
      <c r="G273" s="1" t="s">
        <v>15142</v>
      </c>
      <c r="H273" s="3">
        <v>489</v>
      </c>
      <c r="I273" s="1" t="s">
        <v>4</v>
      </c>
      <c r="J273" s="5" t="s">
        <v>7417</v>
      </c>
      <c r="K273" s="2">
        <f t="shared" si="4"/>
        <v>48.9</v>
      </c>
    </row>
    <row r="274" spans="1:11" x14ac:dyDescent="0.25">
      <c r="A274" s="1" t="s">
        <v>15077</v>
      </c>
      <c r="B274" s="1" t="s">
        <v>15204</v>
      </c>
      <c r="C274" s="1" t="s">
        <v>1533</v>
      </c>
      <c r="D274" s="1" t="s">
        <v>1533</v>
      </c>
      <c r="E274" s="1" t="s">
        <v>1533</v>
      </c>
      <c r="F274" s="1">
        <v>6</v>
      </c>
      <c r="G274" s="1" t="s">
        <v>15142</v>
      </c>
      <c r="H274" s="3">
        <v>293.39999999999998</v>
      </c>
      <c r="I274" s="1" t="s">
        <v>4</v>
      </c>
      <c r="J274" s="5" t="s">
        <v>7417</v>
      </c>
      <c r="K274" s="2">
        <f t="shared" si="4"/>
        <v>48.9</v>
      </c>
    </row>
    <row r="275" spans="1:11" ht="27" x14ac:dyDescent="0.25">
      <c r="A275" s="1" t="s">
        <v>15077</v>
      </c>
      <c r="B275" s="1" t="s">
        <v>15208</v>
      </c>
      <c r="C275" s="1" t="s">
        <v>1533</v>
      </c>
      <c r="D275" s="1" t="s">
        <v>1533</v>
      </c>
      <c r="E275" s="1" t="s">
        <v>1533</v>
      </c>
      <c r="F275" s="1">
        <v>4</v>
      </c>
      <c r="G275" s="1" t="s">
        <v>15142</v>
      </c>
      <c r="H275" s="3">
        <v>195.6</v>
      </c>
      <c r="I275" s="1" t="s">
        <v>4</v>
      </c>
      <c r="J275" s="5" t="s">
        <v>7417</v>
      </c>
      <c r="K275" s="2">
        <f t="shared" si="4"/>
        <v>48.9</v>
      </c>
    </row>
    <row r="276" spans="1:11" x14ac:dyDescent="0.25">
      <c r="A276" s="1" t="s">
        <v>15077</v>
      </c>
      <c r="B276" s="1" t="s">
        <v>15206</v>
      </c>
      <c r="C276" s="1" t="s">
        <v>1533</v>
      </c>
      <c r="D276" s="1" t="s">
        <v>1533</v>
      </c>
      <c r="E276" s="1" t="s">
        <v>1533</v>
      </c>
      <c r="F276" s="1">
        <v>4</v>
      </c>
      <c r="G276" s="1" t="s">
        <v>15142</v>
      </c>
      <c r="H276" s="3">
        <v>195.6</v>
      </c>
      <c r="I276" s="1" t="s">
        <v>4</v>
      </c>
      <c r="J276" s="5" t="s">
        <v>7417</v>
      </c>
      <c r="K276" s="2">
        <f t="shared" si="4"/>
        <v>48.9</v>
      </c>
    </row>
    <row r="277" spans="1:11" x14ac:dyDescent="0.25">
      <c r="A277" s="1" t="s">
        <v>15077</v>
      </c>
      <c r="B277" s="1" t="s">
        <v>15209</v>
      </c>
      <c r="C277" s="1" t="s">
        <v>1533</v>
      </c>
      <c r="D277" s="1" t="s">
        <v>1533</v>
      </c>
      <c r="E277" s="1" t="s">
        <v>1533</v>
      </c>
      <c r="F277" s="1">
        <v>3</v>
      </c>
      <c r="G277" s="1" t="s">
        <v>15142</v>
      </c>
      <c r="H277" s="3">
        <v>146.69999999999999</v>
      </c>
      <c r="I277" s="1" t="s">
        <v>4</v>
      </c>
      <c r="J277" s="5" t="s">
        <v>7417</v>
      </c>
      <c r="K277" s="2">
        <f t="shared" si="4"/>
        <v>48.9</v>
      </c>
    </row>
    <row r="278" spans="1:11" ht="27" x14ac:dyDescent="0.25">
      <c r="A278" s="1" t="s">
        <v>15077</v>
      </c>
      <c r="B278" s="1" t="s">
        <v>15205</v>
      </c>
      <c r="C278" s="1" t="s">
        <v>1533</v>
      </c>
      <c r="D278" s="1" t="s">
        <v>1533</v>
      </c>
      <c r="E278" s="1" t="s">
        <v>1533</v>
      </c>
      <c r="F278" s="1">
        <v>1</v>
      </c>
      <c r="G278" s="1" t="s">
        <v>15142</v>
      </c>
      <c r="H278" s="3">
        <v>48.9</v>
      </c>
      <c r="I278" s="1" t="s">
        <v>4</v>
      </c>
      <c r="J278" s="5" t="s">
        <v>7417</v>
      </c>
      <c r="K278" s="2">
        <f t="shared" si="4"/>
        <v>48.9</v>
      </c>
    </row>
    <row r="279" spans="1:11" x14ac:dyDescent="0.25">
      <c r="A279" s="1" t="s">
        <v>15077</v>
      </c>
      <c r="B279" s="1" t="s">
        <v>15206</v>
      </c>
      <c r="C279" s="1" t="s">
        <v>1533</v>
      </c>
      <c r="D279" s="1" t="s">
        <v>1533</v>
      </c>
      <c r="E279" s="1" t="s">
        <v>1533</v>
      </c>
      <c r="F279" s="1">
        <v>3</v>
      </c>
      <c r="G279" s="1" t="s">
        <v>15142</v>
      </c>
      <c r="H279" s="3">
        <v>146.69999999999999</v>
      </c>
      <c r="I279" s="1" t="s">
        <v>4</v>
      </c>
      <c r="J279" s="5" t="s">
        <v>7418</v>
      </c>
      <c r="K279" s="2">
        <f t="shared" si="4"/>
        <v>48.9</v>
      </c>
    </row>
    <row r="280" spans="1:11" x14ac:dyDescent="0.25">
      <c r="A280" s="1" t="s">
        <v>15077</v>
      </c>
      <c r="B280" s="1" t="s">
        <v>15209</v>
      </c>
      <c r="C280" s="1" t="s">
        <v>1533</v>
      </c>
      <c r="D280" s="1" t="s">
        <v>1533</v>
      </c>
      <c r="E280" s="1" t="s">
        <v>1533</v>
      </c>
      <c r="F280" s="1">
        <v>2</v>
      </c>
      <c r="G280" s="1" t="s">
        <v>15142</v>
      </c>
      <c r="H280" s="3">
        <v>97.8</v>
      </c>
      <c r="I280" s="1" t="s">
        <v>4</v>
      </c>
      <c r="J280" s="5" t="s">
        <v>7418</v>
      </c>
      <c r="K280" s="2">
        <f t="shared" si="4"/>
        <v>48.9</v>
      </c>
    </row>
    <row r="281" spans="1:11" x14ac:dyDescent="0.25">
      <c r="A281" s="1" t="s">
        <v>15077</v>
      </c>
      <c r="B281" s="1" t="s">
        <v>15207</v>
      </c>
      <c r="C281" s="1" t="s">
        <v>1533</v>
      </c>
      <c r="D281" s="1" t="s">
        <v>1533</v>
      </c>
      <c r="E281" s="1" t="s">
        <v>1533</v>
      </c>
      <c r="F281" s="1">
        <v>6</v>
      </c>
      <c r="G281" s="1" t="s">
        <v>15142</v>
      </c>
      <c r="H281" s="3">
        <v>293.39999999999998</v>
      </c>
      <c r="I281" s="1" t="s">
        <v>4</v>
      </c>
      <c r="J281" s="5" t="s">
        <v>7419</v>
      </c>
      <c r="K281" s="2">
        <f t="shared" si="4"/>
        <v>48.9</v>
      </c>
    </row>
    <row r="282" spans="1:11" x14ac:dyDescent="0.25">
      <c r="A282" s="1" t="s">
        <v>15077</v>
      </c>
      <c r="B282" s="1" t="s">
        <v>15204</v>
      </c>
      <c r="C282" s="1" t="s">
        <v>1533</v>
      </c>
      <c r="D282" s="1" t="s">
        <v>1533</v>
      </c>
      <c r="E282" s="1" t="s">
        <v>1533</v>
      </c>
      <c r="F282" s="1">
        <v>6</v>
      </c>
      <c r="G282" s="1" t="s">
        <v>15142</v>
      </c>
      <c r="H282" s="3">
        <v>293.39999999999998</v>
      </c>
      <c r="I282" s="1" t="s">
        <v>4</v>
      </c>
      <c r="J282" s="5" t="s">
        <v>7419</v>
      </c>
      <c r="K282" s="2">
        <f t="shared" si="4"/>
        <v>48.9</v>
      </c>
    </row>
    <row r="283" spans="1:11" x14ac:dyDescent="0.25">
      <c r="A283" s="1" t="s">
        <v>15077</v>
      </c>
      <c r="B283" s="1" t="s">
        <v>15204</v>
      </c>
      <c r="C283" s="1" t="s">
        <v>1533</v>
      </c>
      <c r="D283" s="1" t="s">
        <v>1533</v>
      </c>
      <c r="E283" s="1" t="s">
        <v>1533</v>
      </c>
      <c r="F283" s="1">
        <v>3</v>
      </c>
      <c r="G283" s="1" t="s">
        <v>15142</v>
      </c>
      <c r="H283" s="3">
        <v>146.69999999999999</v>
      </c>
      <c r="I283" s="1" t="s">
        <v>4</v>
      </c>
      <c r="J283" s="5" t="s">
        <v>7420</v>
      </c>
      <c r="K283" s="2">
        <f t="shared" si="4"/>
        <v>48.9</v>
      </c>
    </row>
    <row r="284" spans="1:11" x14ac:dyDescent="0.25">
      <c r="A284" s="1" t="s">
        <v>15077</v>
      </c>
      <c r="B284" s="1" t="s">
        <v>15207</v>
      </c>
      <c r="C284" s="1" t="s">
        <v>1533</v>
      </c>
      <c r="D284" s="1" t="s">
        <v>1533</v>
      </c>
      <c r="E284" s="1" t="s">
        <v>1533</v>
      </c>
      <c r="F284" s="1">
        <v>9</v>
      </c>
      <c r="G284" s="1" t="s">
        <v>15142</v>
      </c>
      <c r="H284" s="3">
        <v>433.3</v>
      </c>
      <c r="I284" s="1" t="s">
        <v>4</v>
      </c>
      <c r="J284" s="5" t="s">
        <v>7418</v>
      </c>
      <c r="K284" s="2">
        <f t="shared" si="4"/>
        <v>48.144444444444446</v>
      </c>
    </row>
    <row r="285" spans="1:11" x14ac:dyDescent="0.25">
      <c r="A285" s="1" t="s">
        <v>15121</v>
      </c>
      <c r="B285" s="1" t="s">
        <v>1533</v>
      </c>
      <c r="C285" s="1" t="s">
        <v>1533</v>
      </c>
      <c r="D285" s="1" t="s">
        <v>15155</v>
      </c>
      <c r="E285" s="1" t="s">
        <v>15156</v>
      </c>
      <c r="F285" s="1">
        <v>0.77</v>
      </c>
      <c r="G285" s="1" t="s">
        <v>15157</v>
      </c>
      <c r="H285" s="3">
        <v>36</v>
      </c>
      <c r="I285" s="1" t="s">
        <v>4</v>
      </c>
      <c r="J285" s="5" t="s">
        <v>7420</v>
      </c>
      <c r="K285" s="2">
        <f t="shared" si="4"/>
        <v>46.753246753246749</v>
      </c>
    </row>
    <row r="286" spans="1:11" ht="27" x14ac:dyDescent="0.25">
      <c r="A286" s="1" t="s">
        <v>15077</v>
      </c>
      <c r="B286" s="1" t="s">
        <v>15208</v>
      </c>
      <c r="C286" s="1" t="s">
        <v>1533</v>
      </c>
      <c r="D286" s="1" t="s">
        <v>1533</v>
      </c>
      <c r="E286" s="1" t="s">
        <v>1533</v>
      </c>
      <c r="F286" s="1">
        <v>2</v>
      </c>
      <c r="G286" s="1" t="s">
        <v>15142</v>
      </c>
      <c r="H286" s="3">
        <v>91.8</v>
      </c>
      <c r="I286" s="1" t="s">
        <v>1522</v>
      </c>
      <c r="J286" s="5" t="s">
        <v>7419</v>
      </c>
      <c r="K286" s="2">
        <f t="shared" si="4"/>
        <v>45.9</v>
      </c>
    </row>
    <row r="287" spans="1:11" ht="27" x14ac:dyDescent="0.25">
      <c r="A287" s="1" t="s">
        <v>15077</v>
      </c>
      <c r="B287" s="1" t="s">
        <v>15208</v>
      </c>
      <c r="C287" s="1" t="s">
        <v>1533</v>
      </c>
      <c r="D287" s="1" t="s">
        <v>1533</v>
      </c>
      <c r="E287" s="1" t="s">
        <v>1533</v>
      </c>
      <c r="F287" s="1">
        <v>23</v>
      </c>
      <c r="G287" s="1" t="s">
        <v>15142</v>
      </c>
      <c r="H287" s="3">
        <v>1055.7</v>
      </c>
      <c r="I287" s="1" t="s">
        <v>4</v>
      </c>
      <c r="J287" s="5" t="s">
        <v>7419</v>
      </c>
      <c r="K287" s="2">
        <f t="shared" si="4"/>
        <v>45.9</v>
      </c>
    </row>
    <row r="288" spans="1:11" ht="27" x14ac:dyDescent="0.25">
      <c r="A288" s="1" t="s">
        <v>15077</v>
      </c>
      <c r="B288" s="1" t="s">
        <v>15205</v>
      </c>
      <c r="C288" s="1" t="s">
        <v>1533</v>
      </c>
      <c r="D288" s="1" t="s">
        <v>1533</v>
      </c>
      <c r="E288" s="1" t="s">
        <v>1533</v>
      </c>
      <c r="F288" s="1">
        <v>5</v>
      </c>
      <c r="G288" s="1" t="s">
        <v>15142</v>
      </c>
      <c r="H288" s="3">
        <v>229.5</v>
      </c>
      <c r="I288" s="1" t="s">
        <v>4</v>
      </c>
      <c r="J288" s="5" t="s">
        <v>7420</v>
      </c>
      <c r="K288" s="2">
        <f t="shared" si="4"/>
        <v>45.9</v>
      </c>
    </row>
    <row r="289" spans="1:11" ht="27" x14ac:dyDescent="0.25">
      <c r="A289" s="1" t="s">
        <v>15077</v>
      </c>
      <c r="B289" s="1" t="s">
        <v>15210</v>
      </c>
      <c r="C289" s="1" t="s">
        <v>1533</v>
      </c>
      <c r="D289" s="1" t="s">
        <v>1533</v>
      </c>
      <c r="E289" s="1" t="s">
        <v>1533</v>
      </c>
      <c r="F289" s="1">
        <v>2</v>
      </c>
      <c r="G289" s="1" t="s">
        <v>15142</v>
      </c>
      <c r="H289" s="3">
        <v>91.8</v>
      </c>
      <c r="I289" s="1" t="s">
        <v>4</v>
      </c>
      <c r="J289" s="5" t="s">
        <v>7420</v>
      </c>
      <c r="K289" s="2">
        <f t="shared" si="4"/>
        <v>45.9</v>
      </c>
    </row>
    <row r="290" spans="1:11" x14ac:dyDescent="0.25">
      <c r="A290" s="1" t="s">
        <v>15119</v>
      </c>
      <c r="B290" s="1" t="s">
        <v>15200</v>
      </c>
      <c r="C290" s="1" t="s">
        <v>1533</v>
      </c>
      <c r="D290" s="1" t="s">
        <v>1533</v>
      </c>
      <c r="E290" s="1" t="s">
        <v>1533</v>
      </c>
      <c r="F290" s="1">
        <v>4</v>
      </c>
      <c r="G290" s="1" t="s">
        <v>15142</v>
      </c>
      <c r="H290" s="3">
        <v>168.6</v>
      </c>
      <c r="I290" s="1" t="s">
        <v>4</v>
      </c>
      <c r="J290" s="5" t="s">
        <v>7418</v>
      </c>
      <c r="K290" s="2">
        <f t="shared" si="4"/>
        <v>42.15</v>
      </c>
    </row>
    <row r="291" spans="1:11" x14ac:dyDescent="0.25">
      <c r="A291" s="5" t="s">
        <v>15077</v>
      </c>
      <c r="B291" s="5" t="s">
        <v>15207</v>
      </c>
      <c r="C291" s="5" t="s">
        <v>1533</v>
      </c>
      <c r="D291" s="5" t="s">
        <v>1533</v>
      </c>
      <c r="E291" s="5" t="s">
        <v>1533</v>
      </c>
      <c r="F291" s="5">
        <v>28</v>
      </c>
      <c r="G291" s="5" t="s">
        <v>15142</v>
      </c>
      <c r="H291" s="8">
        <v>1144.2</v>
      </c>
      <c r="I291" s="5" t="s">
        <v>4</v>
      </c>
      <c r="J291" s="5" t="s">
        <v>7416</v>
      </c>
      <c r="K291" s="2">
        <f t="shared" si="4"/>
        <v>40.864285714285714</v>
      </c>
    </row>
    <row r="292" spans="1:11" x14ac:dyDescent="0.25">
      <c r="A292" s="1" t="s">
        <v>15124</v>
      </c>
      <c r="B292" s="1" t="s">
        <v>1533</v>
      </c>
      <c r="C292" s="1" t="s">
        <v>1533</v>
      </c>
      <c r="D292" s="1" t="s">
        <v>15155</v>
      </c>
      <c r="E292" s="1" t="s">
        <v>15156</v>
      </c>
      <c r="F292" s="1">
        <v>2.7</v>
      </c>
      <c r="G292" s="1" t="s">
        <v>15157</v>
      </c>
      <c r="H292" s="3">
        <v>108</v>
      </c>
      <c r="I292" s="1" t="s">
        <v>1522</v>
      </c>
      <c r="J292" s="5" t="s">
        <v>7419</v>
      </c>
      <c r="K292" s="2">
        <f t="shared" si="4"/>
        <v>40</v>
      </c>
    </row>
    <row r="293" spans="1:11" x14ac:dyDescent="0.25">
      <c r="A293" s="1" t="s">
        <v>15068</v>
      </c>
      <c r="B293" s="1" t="s">
        <v>15211</v>
      </c>
      <c r="C293" s="1" t="s">
        <v>1533</v>
      </c>
      <c r="D293" s="1" t="s">
        <v>1533</v>
      </c>
      <c r="E293" s="1" t="s">
        <v>1533</v>
      </c>
      <c r="F293" s="1">
        <v>2</v>
      </c>
      <c r="G293" s="1" t="s">
        <v>15142</v>
      </c>
      <c r="H293" s="3">
        <v>78</v>
      </c>
      <c r="I293" s="1" t="s">
        <v>4</v>
      </c>
      <c r="J293" s="5" t="s">
        <v>7420</v>
      </c>
      <c r="K293" s="2">
        <f t="shared" si="4"/>
        <v>39</v>
      </c>
    </row>
    <row r="294" spans="1:11" x14ac:dyDescent="0.25">
      <c r="A294" s="1" t="s">
        <v>15093</v>
      </c>
      <c r="B294" s="1" t="s">
        <v>15212</v>
      </c>
      <c r="C294" s="1" t="s">
        <v>1533</v>
      </c>
      <c r="D294" s="1" t="s">
        <v>1533</v>
      </c>
      <c r="E294" s="1" t="s">
        <v>1533</v>
      </c>
      <c r="F294" s="1">
        <v>18</v>
      </c>
      <c r="G294" s="1" t="s">
        <v>15142</v>
      </c>
      <c r="H294" s="3">
        <v>700.2</v>
      </c>
      <c r="I294" s="1" t="s">
        <v>4</v>
      </c>
      <c r="J294" s="5" t="s">
        <v>7418</v>
      </c>
      <c r="K294" s="2">
        <f t="shared" si="4"/>
        <v>38.900000000000006</v>
      </c>
    </row>
    <row r="295" spans="1:11" x14ac:dyDescent="0.25">
      <c r="A295" s="1" t="s">
        <v>15079</v>
      </c>
      <c r="B295" s="1" t="s">
        <v>15151</v>
      </c>
      <c r="C295" s="1" t="s">
        <v>1533</v>
      </c>
      <c r="D295" s="1" t="s">
        <v>1533</v>
      </c>
      <c r="E295" s="1" t="s">
        <v>1533</v>
      </c>
      <c r="F295" s="1">
        <v>7.99</v>
      </c>
      <c r="G295" s="1" t="s">
        <v>15138</v>
      </c>
      <c r="H295" s="3">
        <v>255.96</v>
      </c>
      <c r="I295" s="1" t="s">
        <v>4</v>
      </c>
      <c r="J295" s="5" t="s">
        <v>7419</v>
      </c>
      <c r="K295" s="2">
        <f t="shared" si="4"/>
        <v>32.035043804755944</v>
      </c>
    </row>
    <row r="296" spans="1:11" x14ac:dyDescent="0.25">
      <c r="A296" s="1" t="s">
        <v>15083</v>
      </c>
      <c r="B296" s="1" t="s">
        <v>1533</v>
      </c>
      <c r="C296" s="1" t="s">
        <v>1533</v>
      </c>
      <c r="D296" s="1" t="s">
        <v>15155</v>
      </c>
      <c r="E296" s="1" t="s">
        <v>1533</v>
      </c>
      <c r="F296" s="1">
        <v>14.38</v>
      </c>
      <c r="G296" s="1" t="s">
        <v>15157</v>
      </c>
      <c r="H296" s="3">
        <v>460</v>
      </c>
      <c r="I296" s="1" t="s">
        <v>1522</v>
      </c>
      <c r="J296" s="5" t="s">
        <v>7419</v>
      </c>
      <c r="K296" s="2">
        <f t="shared" si="4"/>
        <v>31.988873435326841</v>
      </c>
    </row>
    <row r="297" spans="1:11" x14ac:dyDescent="0.25">
      <c r="A297" s="1" t="s">
        <v>15083</v>
      </c>
      <c r="B297" s="1" t="s">
        <v>1533</v>
      </c>
      <c r="C297" s="1" t="s">
        <v>1533</v>
      </c>
      <c r="D297" s="1" t="s">
        <v>15155</v>
      </c>
      <c r="E297" s="1" t="s">
        <v>1533</v>
      </c>
      <c r="F297" s="1">
        <v>20.82</v>
      </c>
      <c r="G297" s="1" t="s">
        <v>15157</v>
      </c>
      <c r="H297" s="3">
        <v>640</v>
      </c>
      <c r="I297" s="1" t="s">
        <v>1522</v>
      </c>
      <c r="J297" s="5" t="s">
        <v>7418</v>
      </c>
      <c r="K297" s="2">
        <f t="shared" si="4"/>
        <v>30.739673390970221</v>
      </c>
    </row>
    <row r="298" spans="1:11" x14ac:dyDescent="0.25">
      <c r="A298" s="5" t="s">
        <v>15121</v>
      </c>
      <c r="B298" s="5" t="s">
        <v>1533</v>
      </c>
      <c r="C298" s="5" t="s">
        <v>1533</v>
      </c>
      <c r="D298" s="5" t="s">
        <v>15155</v>
      </c>
      <c r="E298" s="5" t="s">
        <v>15149</v>
      </c>
      <c r="F298" s="5">
        <v>9.8000000000000007</v>
      </c>
      <c r="G298" s="5" t="s">
        <v>15157</v>
      </c>
      <c r="H298" s="8">
        <v>289</v>
      </c>
      <c r="I298" s="5" t="s">
        <v>1522</v>
      </c>
      <c r="J298" s="5" t="s">
        <v>7416</v>
      </c>
      <c r="K298" s="2">
        <f t="shared" si="4"/>
        <v>29.489795918367346</v>
      </c>
    </row>
    <row r="299" spans="1:11" x14ac:dyDescent="0.25">
      <c r="A299" s="5" t="s">
        <v>15108</v>
      </c>
      <c r="B299" s="5" t="s">
        <v>15151</v>
      </c>
      <c r="C299" s="5" t="s">
        <v>1533</v>
      </c>
      <c r="D299" s="5" t="s">
        <v>1533</v>
      </c>
      <c r="E299" s="5" t="s">
        <v>1533</v>
      </c>
      <c r="F299" s="5">
        <v>32</v>
      </c>
      <c r="G299" s="5" t="s">
        <v>15142</v>
      </c>
      <c r="H299" s="8">
        <v>915.6</v>
      </c>
      <c r="I299" s="5" t="s">
        <v>1522</v>
      </c>
      <c r="J299" s="5" t="s">
        <v>7416</v>
      </c>
      <c r="K299" s="2">
        <f t="shared" si="4"/>
        <v>28.612500000000001</v>
      </c>
    </row>
    <row r="300" spans="1:11" x14ac:dyDescent="0.25">
      <c r="A300" s="1" t="s">
        <v>15098</v>
      </c>
      <c r="B300" s="1" t="s">
        <v>15151</v>
      </c>
      <c r="C300" s="1" t="s">
        <v>1533</v>
      </c>
      <c r="D300" s="1" t="s">
        <v>1533</v>
      </c>
      <c r="E300" s="1" t="s">
        <v>1533</v>
      </c>
      <c r="F300" s="1">
        <v>4</v>
      </c>
      <c r="G300" s="1" t="s">
        <v>15142</v>
      </c>
      <c r="H300" s="3">
        <v>107</v>
      </c>
      <c r="I300" s="1" t="s">
        <v>1522</v>
      </c>
      <c r="J300" s="5" t="s">
        <v>7418</v>
      </c>
      <c r="K300" s="2">
        <f t="shared" si="4"/>
        <v>26.75</v>
      </c>
    </row>
    <row r="301" spans="1:11" x14ac:dyDescent="0.25">
      <c r="A301" s="1" t="s">
        <v>15080</v>
      </c>
      <c r="B301" s="1" t="s">
        <v>15151</v>
      </c>
      <c r="C301" s="1" t="s">
        <v>1533</v>
      </c>
      <c r="D301" s="1" t="s">
        <v>1533</v>
      </c>
      <c r="E301" s="1" t="s">
        <v>1533</v>
      </c>
      <c r="F301" s="1">
        <v>3</v>
      </c>
      <c r="G301" s="1" t="s">
        <v>15142</v>
      </c>
      <c r="H301" s="3">
        <v>75</v>
      </c>
      <c r="I301" s="1" t="s">
        <v>1522</v>
      </c>
      <c r="J301" s="5" t="s">
        <v>7419</v>
      </c>
      <c r="K301" s="2">
        <f t="shared" si="4"/>
        <v>25</v>
      </c>
    </row>
    <row r="302" spans="1:11" x14ac:dyDescent="0.25">
      <c r="A302" s="1" t="s">
        <v>15103</v>
      </c>
      <c r="B302" s="1" t="s">
        <v>15151</v>
      </c>
      <c r="C302" s="1" t="s">
        <v>1533</v>
      </c>
      <c r="D302" s="1" t="s">
        <v>1533</v>
      </c>
      <c r="E302" s="1" t="s">
        <v>1533</v>
      </c>
      <c r="F302" s="1">
        <v>13</v>
      </c>
      <c r="G302" s="1" t="s">
        <v>15142</v>
      </c>
      <c r="H302" s="3">
        <v>317.2</v>
      </c>
      <c r="I302" s="1" t="s">
        <v>4</v>
      </c>
      <c r="J302" s="5" t="s">
        <v>7417</v>
      </c>
      <c r="K302" s="2">
        <f t="shared" si="4"/>
        <v>24.4</v>
      </c>
    </row>
    <row r="303" spans="1:11" x14ac:dyDescent="0.25">
      <c r="A303" s="1" t="s">
        <v>15120</v>
      </c>
      <c r="B303" s="1" t="s">
        <v>15141</v>
      </c>
      <c r="C303" s="1" t="s">
        <v>1533</v>
      </c>
      <c r="D303" s="1" t="s">
        <v>1533</v>
      </c>
      <c r="E303" s="1" t="s">
        <v>1533</v>
      </c>
      <c r="F303" s="1">
        <v>10</v>
      </c>
      <c r="G303" s="1" t="s">
        <v>15142</v>
      </c>
      <c r="H303" s="3">
        <v>240</v>
      </c>
      <c r="I303" s="1" t="s">
        <v>4</v>
      </c>
      <c r="J303" s="5" t="s">
        <v>7418</v>
      </c>
      <c r="K303" s="2">
        <f t="shared" si="4"/>
        <v>24</v>
      </c>
    </row>
    <row r="304" spans="1:11" x14ac:dyDescent="0.25">
      <c r="A304" s="5" t="s">
        <v>15094</v>
      </c>
      <c r="B304" s="5" t="s">
        <v>15213</v>
      </c>
      <c r="C304" s="5" t="s">
        <v>1533</v>
      </c>
      <c r="D304" s="5" t="s">
        <v>1533</v>
      </c>
      <c r="E304" s="5" t="s">
        <v>1533</v>
      </c>
      <c r="F304" s="5">
        <v>100</v>
      </c>
      <c r="G304" s="5" t="s">
        <v>15142</v>
      </c>
      <c r="H304" s="8">
        <v>2300</v>
      </c>
      <c r="I304" s="1" t="s">
        <v>1522</v>
      </c>
      <c r="J304" s="5" t="s">
        <v>7417</v>
      </c>
      <c r="K304" s="2">
        <f t="shared" si="4"/>
        <v>23</v>
      </c>
    </row>
    <row r="305" spans="1:11" x14ac:dyDescent="0.25">
      <c r="A305" s="1" t="s">
        <v>15101</v>
      </c>
      <c r="B305" s="1" t="s">
        <v>15214</v>
      </c>
      <c r="C305" s="1" t="s">
        <v>1533</v>
      </c>
      <c r="D305" s="1" t="s">
        <v>1533</v>
      </c>
      <c r="E305" s="1" t="s">
        <v>1533</v>
      </c>
      <c r="F305" s="1">
        <v>16</v>
      </c>
      <c r="G305" s="1" t="s">
        <v>15142</v>
      </c>
      <c r="H305" s="3">
        <v>336.96</v>
      </c>
      <c r="I305" s="1" t="s">
        <v>4</v>
      </c>
      <c r="J305" s="5" t="s">
        <v>7419</v>
      </c>
      <c r="K305" s="2">
        <f t="shared" si="4"/>
        <v>21.06</v>
      </c>
    </row>
    <row r="306" spans="1:11" ht="27" x14ac:dyDescent="0.25">
      <c r="A306" s="1" t="s">
        <v>15068</v>
      </c>
      <c r="B306" s="1" t="s">
        <v>15215</v>
      </c>
      <c r="C306" s="1" t="s">
        <v>1533</v>
      </c>
      <c r="D306" s="1" t="s">
        <v>1533</v>
      </c>
      <c r="E306" s="1" t="s">
        <v>1533</v>
      </c>
      <c r="F306" s="1">
        <v>58</v>
      </c>
      <c r="G306" s="1" t="s">
        <v>15142</v>
      </c>
      <c r="H306" s="3">
        <v>1154.2</v>
      </c>
      <c r="I306" s="1" t="s">
        <v>4</v>
      </c>
      <c r="J306" s="5" t="s">
        <v>7417</v>
      </c>
      <c r="K306" s="2">
        <f t="shared" si="4"/>
        <v>19.900000000000002</v>
      </c>
    </row>
    <row r="307" spans="1:11" x14ac:dyDescent="0.25">
      <c r="A307" s="5" t="s">
        <v>15068</v>
      </c>
      <c r="B307" s="5" t="s">
        <v>15216</v>
      </c>
      <c r="C307" s="5" t="s">
        <v>1533</v>
      </c>
      <c r="D307" s="5" t="s">
        <v>1533</v>
      </c>
      <c r="E307" s="5" t="s">
        <v>1533</v>
      </c>
      <c r="F307" s="5">
        <v>4</v>
      </c>
      <c r="G307" s="5" t="s">
        <v>15142</v>
      </c>
      <c r="H307" s="8">
        <v>79.599999999999994</v>
      </c>
      <c r="I307" s="5" t="s">
        <v>4</v>
      </c>
      <c r="J307" s="5" t="s">
        <v>7416</v>
      </c>
      <c r="K307" s="2">
        <f t="shared" si="4"/>
        <v>19.899999999999999</v>
      </c>
    </row>
    <row r="308" spans="1:11" x14ac:dyDescent="0.25">
      <c r="A308" s="1" t="s">
        <v>15068</v>
      </c>
      <c r="B308" s="1" t="s">
        <v>15217</v>
      </c>
      <c r="C308" s="1" t="s">
        <v>1533</v>
      </c>
      <c r="D308" s="1" t="s">
        <v>1533</v>
      </c>
      <c r="E308" s="1" t="s">
        <v>1533</v>
      </c>
      <c r="F308" s="1">
        <v>50</v>
      </c>
      <c r="G308" s="1" t="s">
        <v>15142</v>
      </c>
      <c r="H308" s="3">
        <v>995</v>
      </c>
      <c r="I308" s="1" t="s">
        <v>4</v>
      </c>
      <c r="J308" s="5" t="s">
        <v>7417</v>
      </c>
      <c r="K308" s="2">
        <f t="shared" si="4"/>
        <v>19.899999999999999</v>
      </c>
    </row>
    <row r="309" spans="1:11" x14ac:dyDescent="0.25">
      <c r="A309" s="1" t="s">
        <v>15068</v>
      </c>
      <c r="B309" s="1" t="s">
        <v>15218</v>
      </c>
      <c r="C309" s="1" t="s">
        <v>1533</v>
      </c>
      <c r="D309" s="1" t="s">
        <v>1533</v>
      </c>
      <c r="E309" s="1" t="s">
        <v>1533</v>
      </c>
      <c r="F309" s="1">
        <v>50</v>
      </c>
      <c r="G309" s="1" t="s">
        <v>15142</v>
      </c>
      <c r="H309" s="3">
        <v>995</v>
      </c>
      <c r="I309" s="1" t="s">
        <v>4</v>
      </c>
      <c r="J309" s="5" t="s">
        <v>7417</v>
      </c>
      <c r="K309" s="2">
        <f t="shared" si="4"/>
        <v>19.899999999999999</v>
      </c>
    </row>
    <row r="310" spans="1:11" x14ac:dyDescent="0.25">
      <c r="A310" s="1" t="s">
        <v>15068</v>
      </c>
      <c r="B310" s="1" t="s">
        <v>15217</v>
      </c>
      <c r="C310" s="1" t="s">
        <v>1533</v>
      </c>
      <c r="D310" s="1" t="s">
        <v>1533</v>
      </c>
      <c r="E310" s="1" t="s">
        <v>1533</v>
      </c>
      <c r="F310" s="1">
        <v>15</v>
      </c>
      <c r="G310" s="1" t="s">
        <v>15142</v>
      </c>
      <c r="H310" s="3">
        <v>298.5</v>
      </c>
      <c r="I310" s="1" t="s">
        <v>4</v>
      </c>
      <c r="J310" s="5" t="s">
        <v>7418</v>
      </c>
      <c r="K310" s="2">
        <f t="shared" si="4"/>
        <v>19.899999999999999</v>
      </c>
    </row>
    <row r="311" spans="1:11" x14ac:dyDescent="0.25">
      <c r="A311" s="1" t="s">
        <v>15068</v>
      </c>
      <c r="B311" s="1" t="s">
        <v>15218</v>
      </c>
      <c r="C311" s="1" t="s">
        <v>1533</v>
      </c>
      <c r="D311" s="1" t="s">
        <v>1533</v>
      </c>
      <c r="E311" s="1" t="s">
        <v>1533</v>
      </c>
      <c r="F311" s="1">
        <v>15</v>
      </c>
      <c r="G311" s="1" t="s">
        <v>15142</v>
      </c>
      <c r="H311" s="3">
        <v>298.5</v>
      </c>
      <c r="I311" s="1" t="s">
        <v>4</v>
      </c>
      <c r="J311" s="5" t="s">
        <v>7418</v>
      </c>
      <c r="K311" s="2">
        <f t="shared" si="4"/>
        <v>19.899999999999999</v>
      </c>
    </row>
    <row r="312" spans="1:11" ht="27" x14ac:dyDescent="0.25">
      <c r="A312" s="1" t="s">
        <v>15068</v>
      </c>
      <c r="B312" s="1" t="s">
        <v>15219</v>
      </c>
      <c r="C312" s="1" t="s">
        <v>1533</v>
      </c>
      <c r="D312" s="1" t="s">
        <v>1533</v>
      </c>
      <c r="E312" s="1" t="s">
        <v>1533</v>
      </c>
      <c r="F312" s="1">
        <v>1</v>
      </c>
      <c r="G312" s="1" t="s">
        <v>15142</v>
      </c>
      <c r="H312" s="3">
        <v>19.899999999999999</v>
      </c>
      <c r="I312" s="1" t="s">
        <v>4</v>
      </c>
      <c r="J312" s="5" t="s">
        <v>7418</v>
      </c>
      <c r="K312" s="2">
        <f t="shared" si="4"/>
        <v>19.899999999999999</v>
      </c>
    </row>
    <row r="313" spans="1:11" x14ac:dyDescent="0.25">
      <c r="A313" s="1" t="s">
        <v>15068</v>
      </c>
      <c r="B313" s="1" t="s">
        <v>15216</v>
      </c>
      <c r="C313" s="1" t="s">
        <v>1533</v>
      </c>
      <c r="D313" s="1" t="s">
        <v>1533</v>
      </c>
      <c r="E313" s="1" t="s">
        <v>1533</v>
      </c>
      <c r="F313" s="1">
        <v>4</v>
      </c>
      <c r="G313" s="1" t="s">
        <v>15142</v>
      </c>
      <c r="H313" s="3">
        <v>79.599999999999994</v>
      </c>
      <c r="I313" s="1" t="s">
        <v>4</v>
      </c>
      <c r="J313" s="5" t="s">
        <v>7419</v>
      </c>
      <c r="K313" s="2">
        <f t="shared" si="4"/>
        <v>19.899999999999999</v>
      </c>
    </row>
    <row r="314" spans="1:11" x14ac:dyDescent="0.25">
      <c r="A314" s="1" t="s">
        <v>15068</v>
      </c>
      <c r="B314" s="1" t="s">
        <v>15217</v>
      </c>
      <c r="C314" s="1" t="s">
        <v>1533</v>
      </c>
      <c r="D314" s="1" t="s">
        <v>1533</v>
      </c>
      <c r="E314" s="1" t="s">
        <v>1533</v>
      </c>
      <c r="F314" s="1">
        <v>1</v>
      </c>
      <c r="G314" s="1" t="s">
        <v>15142</v>
      </c>
      <c r="H314" s="3">
        <v>19.899999999999999</v>
      </c>
      <c r="I314" s="1" t="s">
        <v>4</v>
      </c>
      <c r="J314" s="5" t="s">
        <v>7419</v>
      </c>
      <c r="K314" s="2">
        <f t="shared" si="4"/>
        <v>19.899999999999999</v>
      </c>
    </row>
    <row r="315" spans="1:11" x14ac:dyDescent="0.25">
      <c r="A315" s="1" t="s">
        <v>15068</v>
      </c>
      <c r="B315" s="1" t="s">
        <v>15218</v>
      </c>
      <c r="C315" s="1" t="s">
        <v>1533</v>
      </c>
      <c r="D315" s="1" t="s">
        <v>1533</v>
      </c>
      <c r="E315" s="1" t="s">
        <v>1533</v>
      </c>
      <c r="F315" s="1">
        <v>1</v>
      </c>
      <c r="G315" s="1" t="s">
        <v>15142</v>
      </c>
      <c r="H315" s="3">
        <v>19.899999999999999</v>
      </c>
      <c r="I315" s="1" t="s">
        <v>4</v>
      </c>
      <c r="J315" s="5" t="s">
        <v>7419</v>
      </c>
      <c r="K315" s="2">
        <f t="shared" si="4"/>
        <v>19.899999999999999</v>
      </c>
    </row>
    <row r="316" spans="1:11" ht="27" x14ac:dyDescent="0.25">
      <c r="A316" s="1" t="s">
        <v>15068</v>
      </c>
      <c r="B316" s="1" t="s">
        <v>15215</v>
      </c>
      <c r="C316" s="1" t="s">
        <v>1533</v>
      </c>
      <c r="D316" s="1" t="s">
        <v>1533</v>
      </c>
      <c r="E316" s="1" t="s">
        <v>1533</v>
      </c>
      <c r="F316" s="1">
        <v>5</v>
      </c>
      <c r="G316" s="1" t="s">
        <v>15142</v>
      </c>
      <c r="H316" s="3">
        <v>99.5</v>
      </c>
      <c r="I316" s="1" t="s">
        <v>4</v>
      </c>
      <c r="J316" s="5" t="s">
        <v>7420</v>
      </c>
      <c r="K316" s="2">
        <f t="shared" si="4"/>
        <v>19.899999999999999</v>
      </c>
    </row>
    <row r="317" spans="1:11" x14ac:dyDescent="0.25">
      <c r="A317" s="1" t="s">
        <v>15068</v>
      </c>
      <c r="B317" s="1" t="s">
        <v>15217</v>
      </c>
      <c r="C317" s="1" t="s">
        <v>1533</v>
      </c>
      <c r="D317" s="1" t="s">
        <v>1533</v>
      </c>
      <c r="E317" s="1" t="s">
        <v>1533</v>
      </c>
      <c r="F317" s="1">
        <v>4</v>
      </c>
      <c r="G317" s="1" t="s">
        <v>15142</v>
      </c>
      <c r="H317" s="3">
        <v>79.599999999999994</v>
      </c>
      <c r="I317" s="1" t="s">
        <v>4</v>
      </c>
      <c r="J317" s="5" t="s">
        <v>7420</v>
      </c>
      <c r="K317" s="2">
        <f t="shared" si="4"/>
        <v>19.899999999999999</v>
      </c>
    </row>
    <row r="318" spans="1:11" x14ac:dyDescent="0.25">
      <c r="A318" s="1" t="s">
        <v>15068</v>
      </c>
      <c r="B318" s="1" t="s">
        <v>15218</v>
      </c>
      <c r="C318" s="1" t="s">
        <v>1533</v>
      </c>
      <c r="D318" s="1" t="s">
        <v>1533</v>
      </c>
      <c r="E318" s="1" t="s">
        <v>1533</v>
      </c>
      <c r="F318" s="1">
        <v>2</v>
      </c>
      <c r="G318" s="1" t="s">
        <v>15142</v>
      </c>
      <c r="H318" s="3">
        <v>39.799999999999997</v>
      </c>
      <c r="I318" s="1" t="s">
        <v>4</v>
      </c>
      <c r="J318" s="5" t="s">
        <v>7420</v>
      </c>
      <c r="K318" s="2">
        <f t="shared" si="4"/>
        <v>19.899999999999999</v>
      </c>
    </row>
    <row r="319" spans="1:11" x14ac:dyDescent="0.25">
      <c r="A319" s="1" t="s">
        <v>15120</v>
      </c>
      <c r="B319" s="1" t="s">
        <v>15141</v>
      </c>
      <c r="C319" s="1" t="s">
        <v>1533</v>
      </c>
      <c r="D319" s="1" t="s">
        <v>1533</v>
      </c>
      <c r="E319" s="1" t="s">
        <v>1533</v>
      </c>
      <c r="F319" s="1">
        <v>10</v>
      </c>
      <c r="G319" s="1" t="s">
        <v>15142</v>
      </c>
      <c r="H319" s="3">
        <v>190</v>
      </c>
      <c r="I319" s="1" t="s">
        <v>4</v>
      </c>
      <c r="J319" s="5" t="s">
        <v>7419</v>
      </c>
      <c r="K319" s="2">
        <f t="shared" si="4"/>
        <v>19</v>
      </c>
    </row>
    <row r="320" spans="1:11" x14ac:dyDescent="0.25">
      <c r="A320" s="1" t="s">
        <v>15080</v>
      </c>
      <c r="B320" s="1" t="s">
        <v>15220</v>
      </c>
      <c r="C320" s="1" t="s">
        <v>1533</v>
      </c>
      <c r="D320" s="1" t="s">
        <v>1533</v>
      </c>
      <c r="E320" s="1" t="s">
        <v>1533</v>
      </c>
      <c r="F320" s="1">
        <v>44</v>
      </c>
      <c r="G320" s="1" t="s">
        <v>15142</v>
      </c>
      <c r="H320" s="3">
        <v>787.6</v>
      </c>
      <c r="I320" s="1" t="s">
        <v>4</v>
      </c>
      <c r="J320" s="5" t="s">
        <v>7419</v>
      </c>
      <c r="K320" s="2">
        <f t="shared" si="4"/>
        <v>17.900000000000002</v>
      </c>
    </row>
    <row r="321" spans="1:11" ht="27" x14ac:dyDescent="0.25">
      <c r="A321" s="1" t="s">
        <v>15073</v>
      </c>
      <c r="B321" s="1" t="s">
        <v>15221</v>
      </c>
      <c r="C321" s="1" t="s">
        <v>1533</v>
      </c>
      <c r="D321" s="1" t="s">
        <v>1533</v>
      </c>
      <c r="E321" s="1" t="s">
        <v>1533</v>
      </c>
      <c r="F321" s="1">
        <v>6</v>
      </c>
      <c r="G321" s="1" t="s">
        <v>15142</v>
      </c>
      <c r="H321" s="3">
        <v>107.4</v>
      </c>
      <c r="I321" s="1" t="s">
        <v>4</v>
      </c>
      <c r="J321" s="5" t="s">
        <v>7419</v>
      </c>
      <c r="K321" s="2">
        <f t="shared" si="4"/>
        <v>17.900000000000002</v>
      </c>
    </row>
    <row r="322" spans="1:11" ht="27" x14ac:dyDescent="0.25">
      <c r="A322" s="1" t="s">
        <v>15073</v>
      </c>
      <c r="B322" s="1" t="s">
        <v>15222</v>
      </c>
      <c r="C322" s="1" t="s">
        <v>1533</v>
      </c>
      <c r="D322" s="1" t="s">
        <v>1533</v>
      </c>
      <c r="E322" s="1" t="s">
        <v>1533</v>
      </c>
      <c r="F322" s="1">
        <v>3</v>
      </c>
      <c r="G322" s="1" t="s">
        <v>15142</v>
      </c>
      <c r="H322" s="3">
        <v>53.7</v>
      </c>
      <c r="I322" s="1" t="s">
        <v>4</v>
      </c>
      <c r="J322" s="5" t="s">
        <v>7419</v>
      </c>
      <c r="K322" s="2">
        <f t="shared" ref="K322:K385" si="5">H322/F322</f>
        <v>17.900000000000002</v>
      </c>
    </row>
    <row r="323" spans="1:11" x14ac:dyDescent="0.25">
      <c r="A323" s="5" t="s">
        <v>15068</v>
      </c>
      <c r="B323" s="5" t="s">
        <v>15223</v>
      </c>
      <c r="C323" s="5" t="s">
        <v>1533</v>
      </c>
      <c r="D323" s="5" t="s">
        <v>1533</v>
      </c>
      <c r="E323" s="5" t="s">
        <v>1533</v>
      </c>
      <c r="F323" s="5">
        <v>14</v>
      </c>
      <c r="G323" s="5" t="s">
        <v>15142</v>
      </c>
      <c r="H323" s="8">
        <v>250.6</v>
      </c>
      <c r="I323" s="5" t="s">
        <v>4</v>
      </c>
      <c r="J323" s="5" t="s">
        <v>7416</v>
      </c>
      <c r="K323" s="2">
        <f t="shared" si="5"/>
        <v>17.899999999999999</v>
      </c>
    </row>
    <row r="324" spans="1:11" x14ac:dyDescent="0.25">
      <c r="A324" s="5" t="s">
        <v>15068</v>
      </c>
      <c r="B324" s="5" t="s">
        <v>15224</v>
      </c>
      <c r="C324" s="5" t="s">
        <v>1533</v>
      </c>
      <c r="D324" s="5" t="s">
        <v>1533</v>
      </c>
      <c r="E324" s="5" t="s">
        <v>1533</v>
      </c>
      <c r="F324" s="5">
        <v>14</v>
      </c>
      <c r="G324" s="5" t="s">
        <v>15142</v>
      </c>
      <c r="H324" s="8">
        <v>250.6</v>
      </c>
      <c r="I324" s="5" t="s">
        <v>4</v>
      </c>
      <c r="J324" s="5" t="s">
        <v>7416</v>
      </c>
      <c r="K324" s="2">
        <f t="shared" si="5"/>
        <v>17.899999999999999</v>
      </c>
    </row>
    <row r="325" spans="1:11" x14ac:dyDescent="0.25">
      <c r="A325" s="5" t="s">
        <v>15073</v>
      </c>
      <c r="B325" s="5" t="s">
        <v>15225</v>
      </c>
      <c r="C325" s="5" t="s">
        <v>1533</v>
      </c>
      <c r="D325" s="5" t="s">
        <v>1533</v>
      </c>
      <c r="E325" s="5" t="s">
        <v>1533</v>
      </c>
      <c r="F325" s="5">
        <v>8</v>
      </c>
      <c r="G325" s="5" t="s">
        <v>15142</v>
      </c>
      <c r="H325" s="8">
        <v>143.19999999999999</v>
      </c>
      <c r="I325" s="5" t="s">
        <v>4</v>
      </c>
      <c r="J325" s="5" t="s">
        <v>7416</v>
      </c>
      <c r="K325" s="2">
        <f t="shared" si="5"/>
        <v>17.899999999999999</v>
      </c>
    </row>
    <row r="326" spans="1:11" x14ac:dyDescent="0.25">
      <c r="A326" s="5" t="s">
        <v>15073</v>
      </c>
      <c r="B326" s="5" t="s">
        <v>15226</v>
      </c>
      <c r="C326" s="5" t="s">
        <v>1533</v>
      </c>
      <c r="D326" s="5" t="s">
        <v>1533</v>
      </c>
      <c r="E326" s="5" t="s">
        <v>1533</v>
      </c>
      <c r="F326" s="5">
        <v>1</v>
      </c>
      <c r="G326" s="5" t="s">
        <v>15142</v>
      </c>
      <c r="H326" s="8">
        <v>17.899999999999999</v>
      </c>
      <c r="I326" s="5" t="s">
        <v>4</v>
      </c>
      <c r="J326" s="5" t="s">
        <v>7416</v>
      </c>
      <c r="K326" s="2">
        <f t="shared" si="5"/>
        <v>17.899999999999999</v>
      </c>
    </row>
    <row r="327" spans="1:11" x14ac:dyDescent="0.25">
      <c r="A327" s="5" t="s">
        <v>15073</v>
      </c>
      <c r="B327" s="5" t="s">
        <v>15221</v>
      </c>
      <c r="C327" s="5" t="s">
        <v>1533</v>
      </c>
      <c r="D327" s="5" t="s">
        <v>1533</v>
      </c>
      <c r="E327" s="5" t="s">
        <v>1533</v>
      </c>
      <c r="F327" s="5">
        <v>10</v>
      </c>
      <c r="G327" s="5" t="s">
        <v>15142</v>
      </c>
      <c r="H327" s="8">
        <v>179</v>
      </c>
      <c r="I327" s="1" t="s">
        <v>1522</v>
      </c>
      <c r="J327" s="5" t="s">
        <v>7417</v>
      </c>
      <c r="K327" s="2">
        <f t="shared" si="5"/>
        <v>17.899999999999999</v>
      </c>
    </row>
    <row r="328" spans="1:11" x14ac:dyDescent="0.25">
      <c r="A328" s="5" t="s">
        <v>15073</v>
      </c>
      <c r="B328" s="5" t="s">
        <v>15227</v>
      </c>
      <c r="C328" s="5" t="s">
        <v>1533</v>
      </c>
      <c r="D328" s="5" t="s">
        <v>1533</v>
      </c>
      <c r="E328" s="5" t="s">
        <v>1533</v>
      </c>
      <c r="F328" s="5">
        <v>10</v>
      </c>
      <c r="G328" s="5" t="s">
        <v>15142</v>
      </c>
      <c r="H328" s="8">
        <v>179</v>
      </c>
      <c r="I328" s="1" t="s">
        <v>1522</v>
      </c>
      <c r="J328" s="5" t="s">
        <v>7417</v>
      </c>
      <c r="K328" s="2">
        <f t="shared" si="5"/>
        <v>17.899999999999999</v>
      </c>
    </row>
    <row r="329" spans="1:11" x14ac:dyDescent="0.25">
      <c r="A329" s="1" t="s">
        <v>15125</v>
      </c>
      <c r="B329" s="1" t="s">
        <v>15228</v>
      </c>
      <c r="C329" s="1" t="s">
        <v>1533</v>
      </c>
      <c r="D329" s="1" t="s">
        <v>1533</v>
      </c>
      <c r="E329" s="1" t="s">
        <v>1533</v>
      </c>
      <c r="F329" s="1">
        <v>2</v>
      </c>
      <c r="G329" s="1" t="s">
        <v>15142</v>
      </c>
      <c r="H329" s="3">
        <v>35.799999999999997</v>
      </c>
      <c r="I329" s="1" t="s">
        <v>1522</v>
      </c>
      <c r="J329" s="5" t="s">
        <v>7418</v>
      </c>
      <c r="K329" s="2">
        <f t="shared" si="5"/>
        <v>17.899999999999999</v>
      </c>
    </row>
    <row r="330" spans="1:11" ht="27" x14ac:dyDescent="0.25">
      <c r="A330" s="1" t="s">
        <v>15073</v>
      </c>
      <c r="B330" s="1" t="s">
        <v>15226</v>
      </c>
      <c r="C330" s="1" t="s">
        <v>1533</v>
      </c>
      <c r="D330" s="1" t="s">
        <v>1533</v>
      </c>
      <c r="E330" s="1" t="s">
        <v>1533</v>
      </c>
      <c r="F330" s="1">
        <v>15</v>
      </c>
      <c r="G330" s="1" t="s">
        <v>15142</v>
      </c>
      <c r="H330" s="3">
        <v>268.5</v>
      </c>
      <c r="I330" s="1" t="s">
        <v>1522</v>
      </c>
      <c r="J330" s="5" t="s">
        <v>7419</v>
      </c>
      <c r="K330" s="2">
        <f t="shared" si="5"/>
        <v>17.899999999999999</v>
      </c>
    </row>
    <row r="331" spans="1:11" x14ac:dyDescent="0.25">
      <c r="A331" s="1" t="s">
        <v>15068</v>
      </c>
      <c r="B331" s="1" t="s">
        <v>15229</v>
      </c>
      <c r="C331" s="1" t="s">
        <v>1533</v>
      </c>
      <c r="D331" s="1" t="s">
        <v>1533</v>
      </c>
      <c r="E331" s="1" t="s">
        <v>1533</v>
      </c>
      <c r="F331" s="1">
        <v>50</v>
      </c>
      <c r="G331" s="1" t="s">
        <v>15142</v>
      </c>
      <c r="H331" s="3">
        <v>895</v>
      </c>
      <c r="I331" s="1" t="s">
        <v>4</v>
      </c>
      <c r="J331" s="5" t="s">
        <v>7417</v>
      </c>
      <c r="K331" s="2">
        <f t="shared" si="5"/>
        <v>17.899999999999999</v>
      </c>
    </row>
    <row r="332" spans="1:11" ht="27" x14ac:dyDescent="0.25">
      <c r="A332" s="1" t="s">
        <v>15068</v>
      </c>
      <c r="B332" s="1" t="s">
        <v>15230</v>
      </c>
      <c r="C332" s="1" t="s">
        <v>1533</v>
      </c>
      <c r="D332" s="1" t="s">
        <v>1533</v>
      </c>
      <c r="E332" s="1" t="s">
        <v>1533</v>
      </c>
      <c r="F332" s="1">
        <v>50</v>
      </c>
      <c r="G332" s="1" t="s">
        <v>15142</v>
      </c>
      <c r="H332" s="3">
        <v>895</v>
      </c>
      <c r="I332" s="1" t="s">
        <v>4</v>
      </c>
      <c r="J332" s="5" t="s">
        <v>7417</v>
      </c>
      <c r="K332" s="2">
        <f t="shared" si="5"/>
        <v>17.899999999999999</v>
      </c>
    </row>
    <row r="333" spans="1:11" x14ac:dyDescent="0.25">
      <c r="A333" s="1" t="s">
        <v>15068</v>
      </c>
      <c r="B333" s="1" t="s">
        <v>15231</v>
      </c>
      <c r="C333" s="1" t="s">
        <v>1533</v>
      </c>
      <c r="D333" s="1" t="s">
        <v>1533</v>
      </c>
      <c r="E333" s="1" t="s">
        <v>1533</v>
      </c>
      <c r="F333" s="1">
        <v>50</v>
      </c>
      <c r="G333" s="1" t="s">
        <v>15142</v>
      </c>
      <c r="H333" s="3">
        <v>895</v>
      </c>
      <c r="I333" s="1" t="s">
        <v>4</v>
      </c>
      <c r="J333" s="5" t="s">
        <v>7417</v>
      </c>
      <c r="K333" s="2">
        <f t="shared" si="5"/>
        <v>17.899999999999999</v>
      </c>
    </row>
    <row r="334" spans="1:11" x14ac:dyDescent="0.25">
      <c r="A334" s="1" t="s">
        <v>15068</v>
      </c>
      <c r="B334" s="1" t="s">
        <v>15232</v>
      </c>
      <c r="C334" s="1" t="s">
        <v>1533</v>
      </c>
      <c r="D334" s="1" t="s">
        <v>1533</v>
      </c>
      <c r="E334" s="1" t="s">
        <v>1533</v>
      </c>
      <c r="F334" s="1">
        <v>28</v>
      </c>
      <c r="G334" s="1" t="s">
        <v>15142</v>
      </c>
      <c r="H334" s="3">
        <v>501.2</v>
      </c>
      <c r="I334" s="1" t="s">
        <v>4</v>
      </c>
      <c r="J334" s="5" t="s">
        <v>7417</v>
      </c>
      <c r="K334" s="2">
        <f t="shared" si="5"/>
        <v>17.899999999999999</v>
      </c>
    </row>
    <row r="335" spans="1:11" x14ac:dyDescent="0.25">
      <c r="A335" s="1" t="s">
        <v>15093</v>
      </c>
      <c r="B335" s="1" t="s">
        <v>15233</v>
      </c>
      <c r="C335" s="1" t="s">
        <v>1533</v>
      </c>
      <c r="D335" s="1" t="s">
        <v>1533</v>
      </c>
      <c r="E335" s="1" t="s">
        <v>1533</v>
      </c>
      <c r="F335" s="1">
        <v>20</v>
      </c>
      <c r="G335" s="1" t="s">
        <v>15142</v>
      </c>
      <c r="H335" s="3">
        <v>358</v>
      </c>
      <c r="I335" s="1" t="s">
        <v>4</v>
      </c>
      <c r="J335" s="5" t="s">
        <v>7417</v>
      </c>
      <c r="K335" s="2">
        <f t="shared" si="5"/>
        <v>17.899999999999999</v>
      </c>
    </row>
    <row r="336" spans="1:11" ht="27" x14ac:dyDescent="0.25">
      <c r="A336" s="1" t="s">
        <v>15073</v>
      </c>
      <c r="B336" s="1" t="s">
        <v>15234</v>
      </c>
      <c r="C336" s="1" t="s">
        <v>1533</v>
      </c>
      <c r="D336" s="1" t="s">
        <v>1533</v>
      </c>
      <c r="E336" s="1" t="s">
        <v>1533</v>
      </c>
      <c r="F336" s="1">
        <v>4</v>
      </c>
      <c r="G336" s="1" t="s">
        <v>15142</v>
      </c>
      <c r="H336" s="3">
        <v>71.599999999999994</v>
      </c>
      <c r="I336" s="1" t="s">
        <v>4</v>
      </c>
      <c r="J336" s="5" t="s">
        <v>7417</v>
      </c>
      <c r="K336" s="2">
        <f t="shared" si="5"/>
        <v>17.899999999999999</v>
      </c>
    </row>
    <row r="337" spans="1:11" ht="27" x14ac:dyDescent="0.25">
      <c r="A337" s="1" t="s">
        <v>15073</v>
      </c>
      <c r="B337" s="1" t="s">
        <v>15227</v>
      </c>
      <c r="C337" s="1" t="s">
        <v>1533</v>
      </c>
      <c r="D337" s="1" t="s">
        <v>1533</v>
      </c>
      <c r="E337" s="1" t="s">
        <v>1533</v>
      </c>
      <c r="F337" s="1">
        <v>4</v>
      </c>
      <c r="G337" s="1" t="s">
        <v>15142</v>
      </c>
      <c r="H337" s="3">
        <v>71.599999999999994</v>
      </c>
      <c r="I337" s="1" t="s">
        <v>4</v>
      </c>
      <c r="J337" s="5" t="s">
        <v>7417</v>
      </c>
      <c r="K337" s="2">
        <f t="shared" si="5"/>
        <v>17.899999999999999</v>
      </c>
    </row>
    <row r="338" spans="1:11" ht="27" x14ac:dyDescent="0.25">
      <c r="A338" s="1" t="s">
        <v>15073</v>
      </c>
      <c r="B338" s="1" t="s">
        <v>15235</v>
      </c>
      <c r="C338" s="1" t="s">
        <v>1533</v>
      </c>
      <c r="D338" s="1" t="s">
        <v>1533</v>
      </c>
      <c r="E338" s="1" t="s">
        <v>1533</v>
      </c>
      <c r="F338" s="1">
        <v>1</v>
      </c>
      <c r="G338" s="1" t="s">
        <v>15142</v>
      </c>
      <c r="H338" s="3">
        <v>17.899999999999999</v>
      </c>
      <c r="I338" s="1" t="s">
        <v>4</v>
      </c>
      <c r="J338" s="5" t="s">
        <v>7417</v>
      </c>
      <c r="K338" s="2">
        <f t="shared" si="5"/>
        <v>17.899999999999999</v>
      </c>
    </row>
    <row r="339" spans="1:11" ht="27" x14ac:dyDescent="0.25">
      <c r="A339" s="1" t="s">
        <v>15073</v>
      </c>
      <c r="B339" s="1" t="s">
        <v>15236</v>
      </c>
      <c r="C339" s="1" t="s">
        <v>1533</v>
      </c>
      <c r="D339" s="1" t="s">
        <v>1533</v>
      </c>
      <c r="E339" s="1" t="s">
        <v>1533</v>
      </c>
      <c r="F339" s="1">
        <v>1</v>
      </c>
      <c r="G339" s="1" t="s">
        <v>15142</v>
      </c>
      <c r="H339" s="3">
        <v>17.899999999999999</v>
      </c>
      <c r="I339" s="1" t="s">
        <v>4</v>
      </c>
      <c r="J339" s="5" t="s">
        <v>7417</v>
      </c>
      <c r="K339" s="2">
        <f t="shared" si="5"/>
        <v>17.899999999999999</v>
      </c>
    </row>
    <row r="340" spans="1:11" ht="27" x14ac:dyDescent="0.25">
      <c r="A340" s="1" t="s">
        <v>15073</v>
      </c>
      <c r="B340" s="1" t="s">
        <v>15237</v>
      </c>
      <c r="C340" s="1" t="s">
        <v>1533</v>
      </c>
      <c r="D340" s="1" t="s">
        <v>1533</v>
      </c>
      <c r="E340" s="1" t="s">
        <v>1533</v>
      </c>
      <c r="F340" s="1">
        <v>1</v>
      </c>
      <c r="G340" s="1" t="s">
        <v>15142</v>
      </c>
      <c r="H340" s="3">
        <v>17.899999999999999</v>
      </c>
      <c r="I340" s="1" t="s">
        <v>4</v>
      </c>
      <c r="J340" s="5" t="s">
        <v>7417</v>
      </c>
      <c r="K340" s="2">
        <f t="shared" si="5"/>
        <v>17.899999999999999</v>
      </c>
    </row>
    <row r="341" spans="1:11" ht="27" x14ac:dyDescent="0.25">
      <c r="A341" s="1" t="s">
        <v>15068</v>
      </c>
      <c r="B341" s="1" t="s">
        <v>15223</v>
      </c>
      <c r="C341" s="1" t="s">
        <v>1533</v>
      </c>
      <c r="D341" s="1" t="s">
        <v>1533</v>
      </c>
      <c r="E341" s="1" t="s">
        <v>1533</v>
      </c>
      <c r="F341" s="1">
        <v>15</v>
      </c>
      <c r="G341" s="1" t="s">
        <v>15142</v>
      </c>
      <c r="H341" s="3">
        <v>268.5</v>
      </c>
      <c r="I341" s="1" t="s">
        <v>4</v>
      </c>
      <c r="J341" s="5" t="s">
        <v>7418</v>
      </c>
      <c r="K341" s="2">
        <f t="shared" si="5"/>
        <v>17.899999999999999</v>
      </c>
    </row>
    <row r="342" spans="1:11" x14ac:dyDescent="0.25">
      <c r="A342" s="1" t="s">
        <v>15068</v>
      </c>
      <c r="B342" s="1" t="s">
        <v>15229</v>
      </c>
      <c r="C342" s="1" t="s">
        <v>1533</v>
      </c>
      <c r="D342" s="1" t="s">
        <v>1533</v>
      </c>
      <c r="E342" s="1" t="s">
        <v>1533</v>
      </c>
      <c r="F342" s="1">
        <v>15</v>
      </c>
      <c r="G342" s="1" t="s">
        <v>15142</v>
      </c>
      <c r="H342" s="3">
        <v>268.5</v>
      </c>
      <c r="I342" s="1" t="s">
        <v>4</v>
      </c>
      <c r="J342" s="5" t="s">
        <v>7418</v>
      </c>
      <c r="K342" s="2">
        <f t="shared" si="5"/>
        <v>17.899999999999999</v>
      </c>
    </row>
    <row r="343" spans="1:11" x14ac:dyDescent="0.25">
      <c r="A343" s="1" t="s">
        <v>15073</v>
      </c>
      <c r="B343" s="1" t="s">
        <v>15238</v>
      </c>
      <c r="C343" s="1" t="s">
        <v>1533</v>
      </c>
      <c r="D343" s="1" t="s">
        <v>1533</v>
      </c>
      <c r="E343" s="1" t="s">
        <v>1533</v>
      </c>
      <c r="F343" s="1">
        <v>4</v>
      </c>
      <c r="G343" s="1" t="s">
        <v>15142</v>
      </c>
      <c r="H343" s="3">
        <v>71.599999999999994</v>
      </c>
      <c r="I343" s="1" t="s">
        <v>4</v>
      </c>
      <c r="J343" s="5" t="s">
        <v>7418</v>
      </c>
      <c r="K343" s="2">
        <f t="shared" si="5"/>
        <v>17.899999999999999</v>
      </c>
    </row>
    <row r="344" spans="1:11" ht="27" x14ac:dyDescent="0.25">
      <c r="A344" s="1" t="s">
        <v>15073</v>
      </c>
      <c r="B344" s="1" t="s">
        <v>15235</v>
      </c>
      <c r="C344" s="1" t="s">
        <v>1533</v>
      </c>
      <c r="D344" s="1" t="s">
        <v>1533</v>
      </c>
      <c r="E344" s="1" t="s">
        <v>1533</v>
      </c>
      <c r="F344" s="1">
        <v>1</v>
      </c>
      <c r="G344" s="1" t="s">
        <v>15142</v>
      </c>
      <c r="H344" s="3">
        <v>17.899999999999999</v>
      </c>
      <c r="I344" s="1" t="s">
        <v>4</v>
      </c>
      <c r="J344" s="5" t="s">
        <v>7418</v>
      </c>
      <c r="K344" s="2">
        <f t="shared" si="5"/>
        <v>17.899999999999999</v>
      </c>
    </row>
    <row r="345" spans="1:11" ht="27" x14ac:dyDescent="0.25">
      <c r="A345" s="1" t="s">
        <v>15073</v>
      </c>
      <c r="B345" s="1" t="s">
        <v>15236</v>
      </c>
      <c r="C345" s="1" t="s">
        <v>1533</v>
      </c>
      <c r="D345" s="1" t="s">
        <v>1533</v>
      </c>
      <c r="E345" s="1" t="s">
        <v>1533</v>
      </c>
      <c r="F345" s="1">
        <v>7</v>
      </c>
      <c r="G345" s="1" t="s">
        <v>15142</v>
      </c>
      <c r="H345" s="3">
        <v>125.3</v>
      </c>
      <c r="I345" s="1" t="s">
        <v>4</v>
      </c>
      <c r="J345" s="5" t="s">
        <v>7419</v>
      </c>
      <c r="K345" s="2">
        <f t="shared" si="5"/>
        <v>17.899999999999999</v>
      </c>
    </row>
    <row r="346" spans="1:11" ht="27" x14ac:dyDescent="0.25">
      <c r="A346" s="1" t="s">
        <v>15073</v>
      </c>
      <c r="B346" s="1" t="s">
        <v>15225</v>
      </c>
      <c r="C346" s="1" t="s">
        <v>1533</v>
      </c>
      <c r="D346" s="1" t="s">
        <v>1533</v>
      </c>
      <c r="E346" s="1" t="s">
        <v>1533</v>
      </c>
      <c r="F346" s="1">
        <v>5</v>
      </c>
      <c r="G346" s="1" t="s">
        <v>15142</v>
      </c>
      <c r="H346" s="3">
        <v>89.5</v>
      </c>
      <c r="I346" s="1" t="s">
        <v>4</v>
      </c>
      <c r="J346" s="5" t="s">
        <v>7419</v>
      </c>
      <c r="K346" s="2">
        <f t="shared" si="5"/>
        <v>17.899999999999999</v>
      </c>
    </row>
    <row r="347" spans="1:11" ht="27" x14ac:dyDescent="0.25">
      <c r="A347" s="1" t="s">
        <v>15073</v>
      </c>
      <c r="B347" s="1" t="s">
        <v>15234</v>
      </c>
      <c r="C347" s="1" t="s">
        <v>1533</v>
      </c>
      <c r="D347" s="1" t="s">
        <v>1533</v>
      </c>
      <c r="E347" s="1" t="s">
        <v>1533</v>
      </c>
      <c r="F347" s="1">
        <v>5</v>
      </c>
      <c r="G347" s="1" t="s">
        <v>15142</v>
      </c>
      <c r="H347" s="3">
        <v>89.5</v>
      </c>
      <c r="I347" s="1" t="s">
        <v>4</v>
      </c>
      <c r="J347" s="5" t="s">
        <v>7419</v>
      </c>
      <c r="K347" s="2">
        <f t="shared" si="5"/>
        <v>17.899999999999999</v>
      </c>
    </row>
    <row r="348" spans="1:11" ht="27" x14ac:dyDescent="0.25">
      <c r="A348" s="1" t="s">
        <v>15073</v>
      </c>
      <c r="B348" s="1" t="s">
        <v>15227</v>
      </c>
      <c r="C348" s="1" t="s">
        <v>1533</v>
      </c>
      <c r="D348" s="1" t="s">
        <v>1533</v>
      </c>
      <c r="E348" s="1" t="s">
        <v>1533</v>
      </c>
      <c r="F348" s="1">
        <v>1</v>
      </c>
      <c r="G348" s="1" t="s">
        <v>15142</v>
      </c>
      <c r="H348" s="3">
        <v>17.899999999999999</v>
      </c>
      <c r="I348" s="1" t="s">
        <v>4</v>
      </c>
      <c r="J348" s="5" t="s">
        <v>7419</v>
      </c>
      <c r="K348" s="2">
        <f t="shared" si="5"/>
        <v>17.899999999999999</v>
      </c>
    </row>
    <row r="349" spans="1:11" x14ac:dyDescent="0.25">
      <c r="A349" s="1" t="s">
        <v>15068</v>
      </c>
      <c r="B349" s="1" t="s">
        <v>15229</v>
      </c>
      <c r="C349" s="1" t="s">
        <v>1533</v>
      </c>
      <c r="D349" s="1" t="s">
        <v>1533</v>
      </c>
      <c r="E349" s="1" t="s">
        <v>1533</v>
      </c>
      <c r="F349" s="1">
        <v>1</v>
      </c>
      <c r="G349" s="1" t="s">
        <v>15142</v>
      </c>
      <c r="H349" s="3">
        <v>17.899999999999999</v>
      </c>
      <c r="I349" s="1" t="s">
        <v>4</v>
      </c>
      <c r="J349" s="5" t="s">
        <v>7419</v>
      </c>
      <c r="K349" s="2">
        <f t="shared" si="5"/>
        <v>17.899999999999999</v>
      </c>
    </row>
    <row r="350" spans="1:11" x14ac:dyDescent="0.25">
      <c r="A350" s="1" t="s">
        <v>15068</v>
      </c>
      <c r="B350" s="1" t="s">
        <v>15232</v>
      </c>
      <c r="C350" s="1" t="s">
        <v>1533</v>
      </c>
      <c r="D350" s="1" t="s">
        <v>1533</v>
      </c>
      <c r="E350" s="1" t="s">
        <v>1533</v>
      </c>
      <c r="F350" s="1">
        <v>51</v>
      </c>
      <c r="G350" s="1" t="s">
        <v>15142</v>
      </c>
      <c r="H350" s="3">
        <v>912.9</v>
      </c>
      <c r="I350" s="1" t="s">
        <v>4</v>
      </c>
      <c r="J350" s="5" t="s">
        <v>7420</v>
      </c>
      <c r="K350" s="2">
        <f t="shared" si="5"/>
        <v>17.899999999999999</v>
      </c>
    </row>
    <row r="351" spans="1:11" ht="27" x14ac:dyDescent="0.25">
      <c r="A351" s="1" t="s">
        <v>15073</v>
      </c>
      <c r="B351" s="1" t="s">
        <v>15225</v>
      </c>
      <c r="C351" s="1" t="s">
        <v>1533</v>
      </c>
      <c r="D351" s="1" t="s">
        <v>1533</v>
      </c>
      <c r="E351" s="1" t="s">
        <v>1533</v>
      </c>
      <c r="F351" s="1">
        <v>8</v>
      </c>
      <c r="G351" s="1" t="s">
        <v>15142</v>
      </c>
      <c r="H351" s="3">
        <v>143.19999999999999</v>
      </c>
      <c r="I351" s="1" t="s">
        <v>4</v>
      </c>
      <c r="J351" s="5" t="s">
        <v>7420</v>
      </c>
      <c r="K351" s="2">
        <f t="shared" si="5"/>
        <v>17.899999999999999</v>
      </c>
    </row>
    <row r="352" spans="1:11" x14ac:dyDescent="0.25">
      <c r="A352" s="1" t="s">
        <v>15125</v>
      </c>
      <c r="B352" s="1" t="s">
        <v>15228</v>
      </c>
      <c r="C352" s="1" t="s">
        <v>1533</v>
      </c>
      <c r="D352" s="1" t="s">
        <v>1533</v>
      </c>
      <c r="E352" s="1" t="s">
        <v>1533</v>
      </c>
      <c r="F352" s="1">
        <v>4</v>
      </c>
      <c r="G352" s="1" t="s">
        <v>15142</v>
      </c>
      <c r="H352" s="3">
        <v>71.599999999999994</v>
      </c>
      <c r="I352" s="1" t="s">
        <v>4</v>
      </c>
      <c r="J352" s="5" t="s">
        <v>7420</v>
      </c>
      <c r="K352" s="2">
        <f t="shared" si="5"/>
        <v>17.899999999999999</v>
      </c>
    </row>
    <row r="353" spans="1:11" ht="27" x14ac:dyDescent="0.25">
      <c r="A353" s="1" t="s">
        <v>15068</v>
      </c>
      <c r="B353" s="1" t="s">
        <v>15230</v>
      </c>
      <c r="C353" s="1" t="s">
        <v>1533</v>
      </c>
      <c r="D353" s="1" t="s">
        <v>1533</v>
      </c>
      <c r="E353" s="1" t="s">
        <v>1533</v>
      </c>
      <c r="F353" s="1">
        <v>4</v>
      </c>
      <c r="G353" s="1" t="s">
        <v>15142</v>
      </c>
      <c r="H353" s="3">
        <v>71.599999999999994</v>
      </c>
      <c r="I353" s="1" t="s">
        <v>4</v>
      </c>
      <c r="J353" s="5" t="s">
        <v>7420</v>
      </c>
      <c r="K353" s="2">
        <f t="shared" si="5"/>
        <v>17.899999999999999</v>
      </c>
    </row>
    <row r="354" spans="1:11" x14ac:dyDescent="0.25">
      <c r="A354" s="1" t="s">
        <v>15068</v>
      </c>
      <c r="B354" s="1" t="s">
        <v>15231</v>
      </c>
      <c r="C354" s="1" t="s">
        <v>1533</v>
      </c>
      <c r="D354" s="1" t="s">
        <v>1533</v>
      </c>
      <c r="E354" s="1" t="s">
        <v>1533</v>
      </c>
      <c r="F354" s="1">
        <v>4</v>
      </c>
      <c r="G354" s="1" t="s">
        <v>15142</v>
      </c>
      <c r="H354" s="3">
        <v>71.599999999999994</v>
      </c>
      <c r="I354" s="1" t="s">
        <v>4</v>
      </c>
      <c r="J354" s="5" t="s">
        <v>7420</v>
      </c>
      <c r="K354" s="2">
        <f t="shared" si="5"/>
        <v>17.899999999999999</v>
      </c>
    </row>
    <row r="355" spans="1:11" ht="27" x14ac:dyDescent="0.25">
      <c r="A355" s="1" t="s">
        <v>15073</v>
      </c>
      <c r="B355" s="1" t="s">
        <v>15234</v>
      </c>
      <c r="C355" s="1" t="s">
        <v>1533</v>
      </c>
      <c r="D355" s="1" t="s">
        <v>1533</v>
      </c>
      <c r="E355" s="1" t="s">
        <v>1533</v>
      </c>
      <c r="F355" s="1">
        <v>1</v>
      </c>
      <c r="G355" s="1" t="s">
        <v>15142</v>
      </c>
      <c r="H355" s="3">
        <v>17.899999999999999</v>
      </c>
      <c r="I355" s="1" t="s">
        <v>4</v>
      </c>
      <c r="J355" s="5" t="s">
        <v>7420</v>
      </c>
      <c r="K355" s="2">
        <f t="shared" si="5"/>
        <v>17.899999999999999</v>
      </c>
    </row>
    <row r="356" spans="1:11" x14ac:dyDescent="0.25">
      <c r="A356" s="1" t="s">
        <v>15073</v>
      </c>
      <c r="B356" s="1" t="s">
        <v>15239</v>
      </c>
      <c r="C356" s="1" t="s">
        <v>1533</v>
      </c>
      <c r="D356" s="1" t="s">
        <v>1533</v>
      </c>
      <c r="E356" s="1" t="s">
        <v>1533</v>
      </c>
      <c r="F356" s="1">
        <v>124</v>
      </c>
      <c r="G356" s="1" t="s">
        <v>15142</v>
      </c>
      <c r="H356" s="3">
        <v>2187.6</v>
      </c>
      <c r="I356" s="1" t="s">
        <v>4</v>
      </c>
      <c r="J356" s="5" t="s">
        <v>7417</v>
      </c>
      <c r="K356" s="2">
        <f t="shared" si="5"/>
        <v>17.641935483870967</v>
      </c>
    </row>
    <row r="357" spans="1:11" x14ac:dyDescent="0.25">
      <c r="A357" s="1" t="s">
        <v>15093</v>
      </c>
      <c r="B357" s="1" t="s">
        <v>15233</v>
      </c>
      <c r="C357" s="1" t="s">
        <v>1533</v>
      </c>
      <c r="D357" s="1" t="s">
        <v>1533</v>
      </c>
      <c r="E357" s="1" t="s">
        <v>1533</v>
      </c>
      <c r="F357" s="1">
        <v>13</v>
      </c>
      <c r="G357" s="1" t="s">
        <v>15142</v>
      </c>
      <c r="H357" s="3">
        <v>219.7</v>
      </c>
      <c r="I357" s="1" t="s">
        <v>4</v>
      </c>
      <c r="J357" s="5" t="s">
        <v>7418</v>
      </c>
      <c r="K357" s="2">
        <f t="shared" si="5"/>
        <v>16.899999999999999</v>
      </c>
    </row>
    <row r="358" spans="1:11" x14ac:dyDescent="0.25">
      <c r="A358" s="5" t="s">
        <v>15117</v>
      </c>
      <c r="B358" s="5" t="s">
        <v>1533</v>
      </c>
      <c r="C358" s="5" t="s">
        <v>1533</v>
      </c>
      <c r="D358" s="5" t="s">
        <v>15155</v>
      </c>
      <c r="E358" s="5" t="s">
        <v>15144</v>
      </c>
      <c r="F358" s="5">
        <v>7.9</v>
      </c>
      <c r="G358" s="5" t="s">
        <v>15157</v>
      </c>
      <c r="H358" s="8">
        <v>130</v>
      </c>
      <c r="I358" s="5" t="s">
        <v>1522</v>
      </c>
      <c r="J358" s="5" t="s">
        <v>7416</v>
      </c>
      <c r="K358" s="2">
        <f t="shared" si="5"/>
        <v>16.455696202531644</v>
      </c>
    </row>
    <row r="359" spans="1:11" x14ac:dyDescent="0.25">
      <c r="A359" s="5" t="s">
        <v>15071</v>
      </c>
      <c r="B359" s="5" t="s">
        <v>15240</v>
      </c>
      <c r="C359" s="5" t="s">
        <v>1533</v>
      </c>
      <c r="D359" s="5" t="s">
        <v>1533</v>
      </c>
      <c r="E359" s="5" t="s">
        <v>1533</v>
      </c>
      <c r="F359" s="5">
        <v>105</v>
      </c>
      <c r="G359" s="5" t="s">
        <v>15142</v>
      </c>
      <c r="H359" s="8">
        <v>1701</v>
      </c>
      <c r="I359" s="1" t="s">
        <v>1522</v>
      </c>
      <c r="J359" s="5" t="s">
        <v>7417</v>
      </c>
      <c r="K359" s="2">
        <f t="shared" si="5"/>
        <v>16.2</v>
      </c>
    </row>
    <row r="360" spans="1:11" ht="27" x14ac:dyDescent="0.25">
      <c r="A360" s="1" t="s">
        <v>15071</v>
      </c>
      <c r="B360" s="1" t="s">
        <v>15240</v>
      </c>
      <c r="C360" s="1" t="s">
        <v>1533</v>
      </c>
      <c r="D360" s="1" t="s">
        <v>1533</v>
      </c>
      <c r="E360" s="1" t="s">
        <v>1533</v>
      </c>
      <c r="F360" s="1">
        <v>14</v>
      </c>
      <c r="G360" s="1" t="s">
        <v>15142</v>
      </c>
      <c r="H360" s="3">
        <v>226.8</v>
      </c>
      <c r="I360" s="1" t="s">
        <v>1522</v>
      </c>
      <c r="J360" s="5" t="s">
        <v>7418</v>
      </c>
      <c r="K360" s="2">
        <f t="shared" si="5"/>
        <v>16.2</v>
      </c>
    </row>
    <row r="361" spans="1:11" ht="27" x14ac:dyDescent="0.25">
      <c r="A361" s="1" t="s">
        <v>15071</v>
      </c>
      <c r="B361" s="1" t="s">
        <v>15240</v>
      </c>
      <c r="C361" s="1" t="s">
        <v>1533</v>
      </c>
      <c r="D361" s="1" t="s">
        <v>1533</v>
      </c>
      <c r="E361" s="1" t="s">
        <v>1533</v>
      </c>
      <c r="F361" s="1">
        <v>100</v>
      </c>
      <c r="G361" s="1" t="s">
        <v>15142</v>
      </c>
      <c r="H361" s="3">
        <v>1620</v>
      </c>
      <c r="I361" s="1" t="s">
        <v>1522</v>
      </c>
      <c r="J361" s="5" t="s">
        <v>7420</v>
      </c>
      <c r="K361" s="2">
        <f t="shared" si="5"/>
        <v>16.2</v>
      </c>
    </row>
    <row r="362" spans="1:11" x14ac:dyDescent="0.25">
      <c r="A362" s="5" t="s">
        <v>15117</v>
      </c>
      <c r="B362" s="5" t="s">
        <v>1533</v>
      </c>
      <c r="C362" s="5" t="s">
        <v>1533</v>
      </c>
      <c r="D362" s="5" t="s">
        <v>15155</v>
      </c>
      <c r="E362" s="5" t="s">
        <v>15144</v>
      </c>
      <c r="F362" s="5">
        <v>7.2</v>
      </c>
      <c r="G362" s="5" t="s">
        <v>15157</v>
      </c>
      <c r="H362" s="8">
        <v>115.2</v>
      </c>
      <c r="I362" s="1" t="s">
        <v>1522</v>
      </c>
      <c r="J362" s="5" t="s">
        <v>7417</v>
      </c>
      <c r="K362" s="2">
        <f t="shared" si="5"/>
        <v>16</v>
      </c>
    </row>
    <row r="363" spans="1:11" x14ac:dyDescent="0.25">
      <c r="A363" s="5" t="s">
        <v>15071</v>
      </c>
      <c r="B363" s="5" t="s">
        <v>15241</v>
      </c>
      <c r="C363" s="5" t="s">
        <v>1533</v>
      </c>
      <c r="D363" s="5" t="s">
        <v>1533</v>
      </c>
      <c r="E363" s="5" t="s">
        <v>1533</v>
      </c>
      <c r="F363" s="5">
        <v>30</v>
      </c>
      <c r="G363" s="5" t="s">
        <v>15142</v>
      </c>
      <c r="H363" s="8">
        <v>475.5</v>
      </c>
      <c r="I363" s="1" t="s">
        <v>1522</v>
      </c>
      <c r="J363" s="5" t="s">
        <v>7417</v>
      </c>
      <c r="K363" s="2">
        <f t="shared" si="5"/>
        <v>15.85</v>
      </c>
    </row>
    <row r="364" spans="1:11" x14ac:dyDescent="0.25">
      <c r="A364" s="1" t="s">
        <v>15092</v>
      </c>
      <c r="B364" s="1" t="s">
        <v>15151</v>
      </c>
      <c r="C364" s="1" t="s">
        <v>1533</v>
      </c>
      <c r="D364" s="1" t="s">
        <v>1533</v>
      </c>
      <c r="E364" s="1" t="s">
        <v>1533</v>
      </c>
      <c r="F364" s="1">
        <v>55</v>
      </c>
      <c r="G364" s="1" t="s">
        <v>15142</v>
      </c>
      <c r="H364" s="3">
        <v>858</v>
      </c>
      <c r="I364" s="1" t="s">
        <v>4</v>
      </c>
      <c r="J364" s="5" t="s">
        <v>7419</v>
      </c>
      <c r="K364" s="2">
        <f t="shared" si="5"/>
        <v>15.6</v>
      </c>
    </row>
    <row r="365" spans="1:11" x14ac:dyDescent="0.25">
      <c r="A365" s="5" t="s">
        <v>15073</v>
      </c>
      <c r="B365" s="5" t="s">
        <v>15242</v>
      </c>
      <c r="C365" s="5" t="s">
        <v>1533</v>
      </c>
      <c r="D365" s="5" t="s">
        <v>1533</v>
      </c>
      <c r="E365" s="5" t="s">
        <v>1533</v>
      </c>
      <c r="F365" s="5">
        <v>15</v>
      </c>
      <c r="G365" s="5" t="s">
        <v>15142</v>
      </c>
      <c r="H365" s="8">
        <v>228.5</v>
      </c>
      <c r="I365" s="1" t="s">
        <v>1522</v>
      </c>
      <c r="J365" s="5" t="s">
        <v>7417</v>
      </c>
      <c r="K365" s="2">
        <f t="shared" si="5"/>
        <v>15.233333333333333</v>
      </c>
    </row>
    <row r="366" spans="1:11" x14ac:dyDescent="0.25">
      <c r="A366" s="5" t="s">
        <v>15061</v>
      </c>
      <c r="B366" s="5" t="s">
        <v>15243</v>
      </c>
      <c r="C366" s="5" t="s">
        <v>1533</v>
      </c>
      <c r="D366" s="5" t="s">
        <v>1533</v>
      </c>
      <c r="E366" s="5" t="s">
        <v>1533</v>
      </c>
      <c r="F366" s="5">
        <v>6</v>
      </c>
      <c r="G366" s="5" t="s">
        <v>15142</v>
      </c>
      <c r="H366" s="8">
        <v>90</v>
      </c>
      <c r="I366" s="1" t="s">
        <v>1522</v>
      </c>
      <c r="J366" s="5" t="s">
        <v>7417</v>
      </c>
      <c r="K366" s="2">
        <f t="shared" si="5"/>
        <v>15</v>
      </c>
    </row>
    <row r="367" spans="1:11" x14ac:dyDescent="0.25">
      <c r="A367" s="1" t="s">
        <v>15123</v>
      </c>
      <c r="B367" s="1" t="s">
        <v>15244</v>
      </c>
      <c r="C367" s="1" t="s">
        <v>1533</v>
      </c>
      <c r="D367" s="1" t="s">
        <v>1533</v>
      </c>
      <c r="E367" s="1" t="s">
        <v>1533</v>
      </c>
      <c r="F367" s="1">
        <v>12</v>
      </c>
      <c r="G367" s="1" t="s">
        <v>15142</v>
      </c>
      <c r="H367" s="3">
        <v>180</v>
      </c>
      <c r="I367" s="1" t="s">
        <v>4</v>
      </c>
      <c r="J367" s="5" t="s">
        <v>7420</v>
      </c>
      <c r="K367" s="2">
        <f t="shared" si="5"/>
        <v>15</v>
      </c>
    </row>
    <row r="368" spans="1:11" ht="27" x14ac:dyDescent="0.25">
      <c r="A368" s="1" t="s">
        <v>15067</v>
      </c>
      <c r="B368" s="1" t="s">
        <v>15245</v>
      </c>
      <c r="C368" s="1" t="s">
        <v>1533</v>
      </c>
      <c r="D368" s="1" t="s">
        <v>1533</v>
      </c>
      <c r="E368" s="1" t="s">
        <v>1533</v>
      </c>
      <c r="F368" s="1">
        <v>2</v>
      </c>
      <c r="G368" s="1" t="s">
        <v>15142</v>
      </c>
      <c r="H368" s="3">
        <v>29.78</v>
      </c>
      <c r="I368" s="1" t="s">
        <v>1522</v>
      </c>
      <c r="J368" s="5" t="s">
        <v>7420</v>
      </c>
      <c r="K368" s="2">
        <f t="shared" si="5"/>
        <v>14.89</v>
      </c>
    </row>
    <row r="369" spans="1:11" ht="27" x14ac:dyDescent="0.25">
      <c r="A369" s="1" t="s">
        <v>15068</v>
      </c>
      <c r="B369" s="1" t="s">
        <v>15246</v>
      </c>
      <c r="C369" s="1" t="s">
        <v>1533</v>
      </c>
      <c r="D369" s="1" t="s">
        <v>1533</v>
      </c>
      <c r="E369" s="1" t="s">
        <v>1533</v>
      </c>
      <c r="F369" s="1">
        <v>36</v>
      </c>
      <c r="G369" s="1" t="s">
        <v>15142</v>
      </c>
      <c r="H369" s="3">
        <v>516.45000000000005</v>
      </c>
      <c r="I369" s="1" t="s">
        <v>4</v>
      </c>
      <c r="J369" s="5" t="s">
        <v>7420</v>
      </c>
      <c r="K369" s="2">
        <f t="shared" si="5"/>
        <v>14.345833333333335</v>
      </c>
    </row>
    <row r="370" spans="1:11" x14ac:dyDescent="0.25">
      <c r="A370" s="1" t="s">
        <v>15101</v>
      </c>
      <c r="B370" s="1" t="s">
        <v>15247</v>
      </c>
      <c r="C370" s="1" t="s">
        <v>1533</v>
      </c>
      <c r="D370" s="1" t="s">
        <v>1533</v>
      </c>
      <c r="E370" s="1" t="s">
        <v>1533</v>
      </c>
      <c r="F370" s="1">
        <v>7</v>
      </c>
      <c r="G370" s="1" t="s">
        <v>15142</v>
      </c>
      <c r="H370" s="3">
        <v>98.3</v>
      </c>
      <c r="I370" s="1" t="s">
        <v>4</v>
      </c>
      <c r="J370" s="5" t="s">
        <v>7420</v>
      </c>
      <c r="K370" s="2">
        <f t="shared" si="5"/>
        <v>14.042857142857143</v>
      </c>
    </row>
    <row r="371" spans="1:11" x14ac:dyDescent="0.25">
      <c r="A371" s="1" t="s">
        <v>15093</v>
      </c>
      <c r="B371" s="1" t="s">
        <v>15233</v>
      </c>
      <c r="C371" s="1" t="s">
        <v>1533</v>
      </c>
      <c r="D371" s="1" t="s">
        <v>1533</v>
      </c>
      <c r="E371" s="1" t="s">
        <v>1533</v>
      </c>
      <c r="F371" s="1">
        <v>27</v>
      </c>
      <c r="G371" s="1" t="s">
        <v>15142</v>
      </c>
      <c r="H371" s="3">
        <v>357.7</v>
      </c>
      <c r="I371" s="1" t="s">
        <v>4</v>
      </c>
      <c r="J371" s="5" t="s">
        <v>7419</v>
      </c>
      <c r="K371" s="2">
        <f t="shared" si="5"/>
        <v>13.248148148148148</v>
      </c>
    </row>
    <row r="372" spans="1:11" ht="27" x14ac:dyDescent="0.25">
      <c r="A372" s="1" t="s">
        <v>15068</v>
      </c>
      <c r="B372" s="1" t="s">
        <v>15248</v>
      </c>
      <c r="C372" s="1" t="s">
        <v>1533</v>
      </c>
      <c r="D372" s="1" t="s">
        <v>1533</v>
      </c>
      <c r="E372" s="1" t="s">
        <v>1533</v>
      </c>
      <c r="F372" s="1">
        <v>16</v>
      </c>
      <c r="G372" s="1" t="s">
        <v>15142</v>
      </c>
      <c r="H372" s="3">
        <v>202.3</v>
      </c>
      <c r="I372" s="1" t="s">
        <v>4</v>
      </c>
      <c r="J372" s="5" t="s">
        <v>7420</v>
      </c>
      <c r="K372" s="2">
        <f t="shared" si="5"/>
        <v>12.643750000000001</v>
      </c>
    </row>
    <row r="373" spans="1:11" x14ac:dyDescent="0.25">
      <c r="A373" s="5" t="s">
        <v>15073</v>
      </c>
      <c r="B373" s="5" t="s">
        <v>15239</v>
      </c>
      <c r="C373" s="5" t="s">
        <v>1533</v>
      </c>
      <c r="D373" s="5" t="s">
        <v>1533</v>
      </c>
      <c r="E373" s="5" t="s">
        <v>1533</v>
      </c>
      <c r="F373" s="5">
        <v>20</v>
      </c>
      <c r="G373" s="5" t="s">
        <v>15142</v>
      </c>
      <c r="H373" s="8">
        <v>242</v>
      </c>
      <c r="I373" s="5" t="s">
        <v>4</v>
      </c>
      <c r="J373" s="5" t="s">
        <v>7416</v>
      </c>
      <c r="K373" s="2">
        <f t="shared" si="5"/>
        <v>12.1</v>
      </c>
    </row>
    <row r="374" spans="1:11" x14ac:dyDescent="0.25">
      <c r="A374" s="5" t="s">
        <v>15071</v>
      </c>
      <c r="B374" s="5" t="s">
        <v>15249</v>
      </c>
      <c r="C374" s="5" t="s">
        <v>1533</v>
      </c>
      <c r="D374" s="5" t="s">
        <v>1533</v>
      </c>
      <c r="E374" s="5" t="s">
        <v>1533</v>
      </c>
      <c r="F374" s="5">
        <v>30</v>
      </c>
      <c r="G374" s="5" t="s">
        <v>15142</v>
      </c>
      <c r="H374" s="8">
        <v>358.5</v>
      </c>
      <c r="I374" s="1" t="s">
        <v>1522</v>
      </c>
      <c r="J374" s="5" t="s">
        <v>7417</v>
      </c>
      <c r="K374" s="2">
        <f t="shared" si="5"/>
        <v>11.95</v>
      </c>
    </row>
    <row r="375" spans="1:11" x14ac:dyDescent="0.25">
      <c r="A375" s="5" t="s">
        <v>15068</v>
      </c>
      <c r="B375" s="5" t="s">
        <v>15250</v>
      </c>
      <c r="C375" s="5" t="s">
        <v>1533</v>
      </c>
      <c r="D375" s="5" t="s">
        <v>1533</v>
      </c>
      <c r="E375" s="5" t="s">
        <v>1533</v>
      </c>
      <c r="F375" s="5">
        <v>11</v>
      </c>
      <c r="G375" s="5" t="s">
        <v>15142</v>
      </c>
      <c r="H375" s="8">
        <v>130.9</v>
      </c>
      <c r="I375" s="5" t="s">
        <v>1522</v>
      </c>
      <c r="J375" s="5" t="s">
        <v>7416</v>
      </c>
      <c r="K375" s="2">
        <f t="shared" si="5"/>
        <v>11.9</v>
      </c>
    </row>
    <row r="376" spans="1:11" x14ac:dyDescent="0.25">
      <c r="A376" s="5" t="s">
        <v>15101</v>
      </c>
      <c r="B376" s="5" t="s">
        <v>15251</v>
      </c>
      <c r="C376" s="5" t="s">
        <v>1533</v>
      </c>
      <c r="D376" s="5" t="s">
        <v>1533</v>
      </c>
      <c r="E376" s="5" t="s">
        <v>1533</v>
      </c>
      <c r="F376" s="5">
        <v>3</v>
      </c>
      <c r="G376" s="5" t="s">
        <v>15142</v>
      </c>
      <c r="H376" s="8">
        <v>35.700000000000003</v>
      </c>
      <c r="I376" s="5" t="s">
        <v>1522</v>
      </c>
      <c r="J376" s="5" t="s">
        <v>7416</v>
      </c>
      <c r="K376" s="2">
        <f t="shared" si="5"/>
        <v>11.9</v>
      </c>
    </row>
    <row r="377" spans="1:11" x14ac:dyDescent="0.25">
      <c r="A377" s="5" t="s">
        <v>15101</v>
      </c>
      <c r="B377" s="5" t="s">
        <v>15252</v>
      </c>
      <c r="C377" s="5" t="s">
        <v>1533</v>
      </c>
      <c r="D377" s="5" t="s">
        <v>1533</v>
      </c>
      <c r="E377" s="5" t="s">
        <v>1533</v>
      </c>
      <c r="F377" s="5">
        <v>2</v>
      </c>
      <c r="G377" s="5" t="s">
        <v>15142</v>
      </c>
      <c r="H377" s="8">
        <v>23.8</v>
      </c>
      <c r="I377" s="5" t="s">
        <v>1522</v>
      </c>
      <c r="J377" s="5" t="s">
        <v>7416</v>
      </c>
      <c r="K377" s="2">
        <f t="shared" si="5"/>
        <v>11.9</v>
      </c>
    </row>
    <row r="378" spans="1:11" x14ac:dyDescent="0.25">
      <c r="A378" s="5" t="s">
        <v>15101</v>
      </c>
      <c r="B378" s="5" t="s">
        <v>15253</v>
      </c>
      <c r="C378" s="5" t="s">
        <v>1533</v>
      </c>
      <c r="D378" s="5" t="s">
        <v>1533</v>
      </c>
      <c r="E378" s="5" t="s">
        <v>1533</v>
      </c>
      <c r="F378" s="5">
        <v>2</v>
      </c>
      <c r="G378" s="5" t="s">
        <v>15142</v>
      </c>
      <c r="H378" s="8">
        <v>23.8</v>
      </c>
      <c r="I378" s="5" t="s">
        <v>1522</v>
      </c>
      <c r="J378" s="5" t="s">
        <v>7416</v>
      </c>
      <c r="K378" s="2">
        <f t="shared" si="5"/>
        <v>11.9</v>
      </c>
    </row>
    <row r="379" spans="1:11" x14ac:dyDescent="0.25">
      <c r="A379" s="5" t="s">
        <v>15101</v>
      </c>
      <c r="B379" s="5" t="s">
        <v>15254</v>
      </c>
      <c r="C379" s="5" t="s">
        <v>1533</v>
      </c>
      <c r="D379" s="5" t="s">
        <v>1533</v>
      </c>
      <c r="E379" s="5" t="s">
        <v>1533</v>
      </c>
      <c r="F379" s="5">
        <v>1</v>
      </c>
      <c r="G379" s="5" t="s">
        <v>15142</v>
      </c>
      <c r="H379" s="8">
        <v>11.9</v>
      </c>
      <c r="I379" s="5" t="s">
        <v>1522</v>
      </c>
      <c r="J379" s="5" t="s">
        <v>7416</v>
      </c>
      <c r="K379" s="2">
        <f t="shared" si="5"/>
        <v>11.9</v>
      </c>
    </row>
    <row r="380" spans="1:11" x14ac:dyDescent="0.25">
      <c r="A380" s="5" t="s">
        <v>15068</v>
      </c>
      <c r="B380" s="5" t="s">
        <v>15246</v>
      </c>
      <c r="C380" s="5" t="s">
        <v>1533</v>
      </c>
      <c r="D380" s="5" t="s">
        <v>1533</v>
      </c>
      <c r="E380" s="5" t="s">
        <v>1533</v>
      </c>
      <c r="F380" s="5">
        <v>11</v>
      </c>
      <c r="G380" s="5" t="s">
        <v>15142</v>
      </c>
      <c r="H380" s="8">
        <v>130.9</v>
      </c>
      <c r="I380" s="5" t="s">
        <v>4</v>
      </c>
      <c r="J380" s="5" t="s">
        <v>7416</v>
      </c>
      <c r="K380" s="2">
        <f t="shared" si="5"/>
        <v>11.9</v>
      </c>
    </row>
    <row r="381" spans="1:11" x14ac:dyDescent="0.25">
      <c r="A381" s="5" t="s">
        <v>15068</v>
      </c>
      <c r="B381" s="5" t="s">
        <v>15250</v>
      </c>
      <c r="C381" s="5" t="s">
        <v>1533</v>
      </c>
      <c r="D381" s="5" t="s">
        <v>1533</v>
      </c>
      <c r="E381" s="5" t="s">
        <v>1533</v>
      </c>
      <c r="F381" s="5">
        <v>4</v>
      </c>
      <c r="G381" s="5" t="s">
        <v>15142</v>
      </c>
      <c r="H381" s="8">
        <v>47.6</v>
      </c>
      <c r="I381" s="5" t="s">
        <v>4</v>
      </c>
      <c r="J381" s="5" t="s">
        <v>7416</v>
      </c>
      <c r="K381" s="2">
        <f t="shared" si="5"/>
        <v>11.9</v>
      </c>
    </row>
    <row r="382" spans="1:11" x14ac:dyDescent="0.25">
      <c r="A382" s="5" t="s">
        <v>15073</v>
      </c>
      <c r="B382" s="5" t="s">
        <v>15255</v>
      </c>
      <c r="C382" s="5" t="s">
        <v>1533</v>
      </c>
      <c r="D382" s="5" t="s">
        <v>1533</v>
      </c>
      <c r="E382" s="5" t="s">
        <v>1533</v>
      </c>
      <c r="F382" s="5">
        <v>2</v>
      </c>
      <c r="G382" s="5" t="s">
        <v>15142</v>
      </c>
      <c r="H382" s="8">
        <v>23.8</v>
      </c>
      <c r="I382" s="5" t="s">
        <v>4</v>
      </c>
      <c r="J382" s="5" t="s">
        <v>7416</v>
      </c>
      <c r="K382" s="2">
        <f t="shared" si="5"/>
        <v>11.9</v>
      </c>
    </row>
    <row r="383" spans="1:11" x14ac:dyDescent="0.25">
      <c r="A383" s="5" t="s">
        <v>15073</v>
      </c>
      <c r="B383" s="5" t="s">
        <v>15256</v>
      </c>
      <c r="C383" s="5" t="s">
        <v>1533</v>
      </c>
      <c r="D383" s="5" t="s">
        <v>1533</v>
      </c>
      <c r="E383" s="5" t="s">
        <v>1533</v>
      </c>
      <c r="F383" s="5">
        <v>2</v>
      </c>
      <c r="G383" s="5" t="s">
        <v>15142</v>
      </c>
      <c r="H383" s="8">
        <v>23.8</v>
      </c>
      <c r="I383" s="5" t="s">
        <v>4</v>
      </c>
      <c r="J383" s="5" t="s">
        <v>7416</v>
      </c>
      <c r="K383" s="2">
        <f t="shared" si="5"/>
        <v>11.9</v>
      </c>
    </row>
    <row r="384" spans="1:11" x14ac:dyDescent="0.25">
      <c r="A384" s="5" t="s">
        <v>15073</v>
      </c>
      <c r="B384" s="5" t="s">
        <v>15257</v>
      </c>
      <c r="C384" s="5" t="s">
        <v>1533</v>
      </c>
      <c r="D384" s="5" t="s">
        <v>1533</v>
      </c>
      <c r="E384" s="5" t="s">
        <v>1533</v>
      </c>
      <c r="F384" s="5">
        <v>2</v>
      </c>
      <c r="G384" s="5" t="s">
        <v>15142</v>
      </c>
      <c r="H384" s="8">
        <v>23.8</v>
      </c>
      <c r="I384" s="5" t="s">
        <v>4</v>
      </c>
      <c r="J384" s="5" t="s">
        <v>7416</v>
      </c>
      <c r="K384" s="2">
        <f t="shared" si="5"/>
        <v>11.9</v>
      </c>
    </row>
    <row r="385" spans="1:11" x14ac:dyDescent="0.25">
      <c r="A385" s="5" t="s">
        <v>15068</v>
      </c>
      <c r="B385" s="5" t="s">
        <v>15248</v>
      </c>
      <c r="C385" s="5" t="s">
        <v>1533</v>
      </c>
      <c r="D385" s="5" t="s">
        <v>1533</v>
      </c>
      <c r="E385" s="5" t="s">
        <v>1533</v>
      </c>
      <c r="F385" s="5">
        <v>2</v>
      </c>
      <c r="G385" s="5" t="s">
        <v>15142</v>
      </c>
      <c r="H385" s="8">
        <v>23.8</v>
      </c>
      <c r="I385" s="5" t="s">
        <v>4</v>
      </c>
      <c r="J385" s="5" t="s">
        <v>7416</v>
      </c>
      <c r="K385" s="2">
        <f t="shared" si="5"/>
        <v>11.9</v>
      </c>
    </row>
    <row r="386" spans="1:11" x14ac:dyDescent="0.25">
      <c r="A386" s="5" t="s">
        <v>15068</v>
      </c>
      <c r="B386" s="5" t="s">
        <v>15258</v>
      </c>
      <c r="C386" s="5" t="s">
        <v>1533</v>
      </c>
      <c r="D386" s="5" t="s">
        <v>1533</v>
      </c>
      <c r="E386" s="5" t="s">
        <v>1533</v>
      </c>
      <c r="F386" s="5">
        <v>1</v>
      </c>
      <c r="G386" s="5" t="s">
        <v>15142</v>
      </c>
      <c r="H386" s="8">
        <v>11.9</v>
      </c>
      <c r="I386" s="5" t="s">
        <v>4</v>
      </c>
      <c r="J386" s="5" t="s">
        <v>7416</v>
      </c>
      <c r="K386" s="2">
        <f t="shared" ref="K386:K449" si="6">H386/F386</f>
        <v>11.9</v>
      </c>
    </row>
    <row r="387" spans="1:11" x14ac:dyDescent="0.25">
      <c r="A387" s="5" t="s">
        <v>15068</v>
      </c>
      <c r="B387" s="5" t="s">
        <v>15259</v>
      </c>
      <c r="C387" s="5" t="s">
        <v>1533</v>
      </c>
      <c r="D387" s="5" t="s">
        <v>1533</v>
      </c>
      <c r="E387" s="5" t="s">
        <v>1533</v>
      </c>
      <c r="F387" s="5">
        <v>3</v>
      </c>
      <c r="G387" s="5" t="s">
        <v>15142</v>
      </c>
      <c r="H387" s="8">
        <v>35.700000000000003</v>
      </c>
      <c r="I387" s="1" t="s">
        <v>1522</v>
      </c>
      <c r="J387" s="5" t="s">
        <v>7417</v>
      </c>
      <c r="K387" s="2">
        <f t="shared" si="6"/>
        <v>11.9</v>
      </c>
    </row>
    <row r="388" spans="1:11" x14ac:dyDescent="0.25">
      <c r="A388" s="5" t="s">
        <v>15068</v>
      </c>
      <c r="B388" s="5" t="s">
        <v>15246</v>
      </c>
      <c r="C388" s="5" t="s">
        <v>1533</v>
      </c>
      <c r="D388" s="5" t="s">
        <v>1533</v>
      </c>
      <c r="E388" s="5" t="s">
        <v>1533</v>
      </c>
      <c r="F388" s="5">
        <v>3</v>
      </c>
      <c r="G388" s="5" t="s">
        <v>15142</v>
      </c>
      <c r="H388" s="8">
        <v>35.700000000000003</v>
      </c>
      <c r="I388" s="1" t="s">
        <v>1522</v>
      </c>
      <c r="J388" s="5" t="s">
        <v>7417</v>
      </c>
      <c r="K388" s="2">
        <f t="shared" si="6"/>
        <v>11.9</v>
      </c>
    </row>
    <row r="389" spans="1:11" ht="27" x14ac:dyDescent="0.25">
      <c r="A389" s="1" t="s">
        <v>15071</v>
      </c>
      <c r="B389" s="1" t="s">
        <v>15260</v>
      </c>
      <c r="C389" s="1" t="s">
        <v>1533</v>
      </c>
      <c r="D389" s="1" t="s">
        <v>1533</v>
      </c>
      <c r="E389" s="1" t="s">
        <v>1533</v>
      </c>
      <c r="F389" s="1">
        <v>40</v>
      </c>
      <c r="G389" s="1" t="s">
        <v>15142</v>
      </c>
      <c r="H389" s="3">
        <v>476</v>
      </c>
      <c r="I389" s="1" t="s">
        <v>1522</v>
      </c>
      <c r="J389" s="5" t="s">
        <v>7418</v>
      </c>
      <c r="K389" s="2">
        <f t="shared" si="6"/>
        <v>11.9</v>
      </c>
    </row>
    <row r="390" spans="1:11" ht="27" x14ac:dyDescent="0.25">
      <c r="A390" s="1" t="s">
        <v>15071</v>
      </c>
      <c r="B390" s="1" t="s">
        <v>15261</v>
      </c>
      <c r="C390" s="1" t="s">
        <v>1533</v>
      </c>
      <c r="D390" s="1" t="s">
        <v>1533</v>
      </c>
      <c r="E390" s="1" t="s">
        <v>1533</v>
      </c>
      <c r="F390" s="1">
        <v>15</v>
      </c>
      <c r="G390" s="1" t="s">
        <v>15142</v>
      </c>
      <c r="H390" s="3">
        <v>178.5</v>
      </c>
      <c r="I390" s="1" t="s">
        <v>1522</v>
      </c>
      <c r="J390" s="5" t="s">
        <v>7418</v>
      </c>
      <c r="K390" s="2">
        <f t="shared" si="6"/>
        <v>11.9</v>
      </c>
    </row>
    <row r="391" spans="1:11" ht="27" x14ac:dyDescent="0.25">
      <c r="A391" s="1" t="s">
        <v>15068</v>
      </c>
      <c r="B391" s="1" t="s">
        <v>15246</v>
      </c>
      <c r="C391" s="1" t="s">
        <v>1533</v>
      </c>
      <c r="D391" s="1" t="s">
        <v>1533</v>
      </c>
      <c r="E391" s="1" t="s">
        <v>1533</v>
      </c>
      <c r="F391" s="1">
        <v>50</v>
      </c>
      <c r="G391" s="1" t="s">
        <v>15142</v>
      </c>
      <c r="H391" s="3">
        <v>595</v>
      </c>
      <c r="I391" s="1" t="s">
        <v>4</v>
      </c>
      <c r="J391" s="5" t="s">
        <v>7417</v>
      </c>
      <c r="K391" s="2">
        <f t="shared" si="6"/>
        <v>11.9</v>
      </c>
    </row>
    <row r="392" spans="1:11" ht="27" x14ac:dyDescent="0.25">
      <c r="A392" s="1" t="s">
        <v>15068</v>
      </c>
      <c r="B392" s="1" t="s">
        <v>15259</v>
      </c>
      <c r="C392" s="1" t="s">
        <v>1533</v>
      </c>
      <c r="D392" s="1" t="s">
        <v>1533</v>
      </c>
      <c r="E392" s="1" t="s">
        <v>1533</v>
      </c>
      <c r="F392" s="1">
        <v>38</v>
      </c>
      <c r="G392" s="1" t="s">
        <v>15142</v>
      </c>
      <c r="H392" s="3">
        <v>452.2</v>
      </c>
      <c r="I392" s="1" t="s">
        <v>4</v>
      </c>
      <c r="J392" s="5" t="s">
        <v>7417</v>
      </c>
      <c r="K392" s="2">
        <f t="shared" si="6"/>
        <v>11.9</v>
      </c>
    </row>
    <row r="393" spans="1:11" x14ac:dyDescent="0.25">
      <c r="A393" s="1" t="s">
        <v>15101</v>
      </c>
      <c r="B393" s="1" t="s">
        <v>15214</v>
      </c>
      <c r="C393" s="1" t="s">
        <v>1533</v>
      </c>
      <c r="D393" s="1" t="s">
        <v>1533</v>
      </c>
      <c r="E393" s="1" t="s">
        <v>1533</v>
      </c>
      <c r="F393" s="1">
        <v>22</v>
      </c>
      <c r="G393" s="1" t="s">
        <v>15142</v>
      </c>
      <c r="H393" s="3">
        <v>261.8</v>
      </c>
      <c r="I393" s="1" t="s">
        <v>4</v>
      </c>
      <c r="J393" s="5" t="s">
        <v>7417</v>
      </c>
      <c r="K393" s="2">
        <f t="shared" si="6"/>
        <v>11.9</v>
      </c>
    </row>
    <row r="394" spans="1:11" x14ac:dyDescent="0.25">
      <c r="A394" s="1" t="s">
        <v>15068</v>
      </c>
      <c r="B394" s="1" t="s">
        <v>15262</v>
      </c>
      <c r="C394" s="1" t="s">
        <v>1533</v>
      </c>
      <c r="D394" s="1" t="s">
        <v>1533</v>
      </c>
      <c r="E394" s="1" t="s">
        <v>1533</v>
      </c>
      <c r="F394" s="1">
        <v>10</v>
      </c>
      <c r="G394" s="1" t="s">
        <v>15142</v>
      </c>
      <c r="H394" s="3">
        <v>119</v>
      </c>
      <c r="I394" s="1" t="s">
        <v>4</v>
      </c>
      <c r="J394" s="5" t="s">
        <v>7417</v>
      </c>
      <c r="K394" s="2">
        <f t="shared" si="6"/>
        <v>11.9</v>
      </c>
    </row>
    <row r="395" spans="1:11" x14ac:dyDescent="0.25">
      <c r="A395" s="1" t="s">
        <v>15068</v>
      </c>
      <c r="B395" s="1" t="s">
        <v>15263</v>
      </c>
      <c r="C395" s="1" t="s">
        <v>1533</v>
      </c>
      <c r="D395" s="1" t="s">
        <v>1533</v>
      </c>
      <c r="E395" s="1" t="s">
        <v>1533</v>
      </c>
      <c r="F395" s="1">
        <v>6</v>
      </c>
      <c r="G395" s="1" t="s">
        <v>15142</v>
      </c>
      <c r="H395" s="3">
        <v>71.400000000000006</v>
      </c>
      <c r="I395" s="1" t="s">
        <v>4</v>
      </c>
      <c r="J395" s="5" t="s">
        <v>7417</v>
      </c>
      <c r="K395" s="2">
        <f t="shared" si="6"/>
        <v>11.9</v>
      </c>
    </row>
    <row r="396" spans="1:11" x14ac:dyDescent="0.25">
      <c r="A396" s="1" t="s">
        <v>15068</v>
      </c>
      <c r="B396" s="1" t="s">
        <v>15258</v>
      </c>
      <c r="C396" s="1" t="s">
        <v>1533</v>
      </c>
      <c r="D396" s="1" t="s">
        <v>1533</v>
      </c>
      <c r="E396" s="1" t="s">
        <v>1533</v>
      </c>
      <c r="F396" s="1">
        <v>5</v>
      </c>
      <c r="G396" s="1" t="s">
        <v>15142</v>
      </c>
      <c r="H396" s="3">
        <v>59.5</v>
      </c>
      <c r="I396" s="1" t="s">
        <v>4</v>
      </c>
      <c r="J396" s="5" t="s">
        <v>7417</v>
      </c>
      <c r="K396" s="2">
        <f t="shared" si="6"/>
        <v>11.9</v>
      </c>
    </row>
    <row r="397" spans="1:11" ht="27" x14ac:dyDescent="0.25">
      <c r="A397" s="1" t="s">
        <v>15068</v>
      </c>
      <c r="B397" s="1" t="s">
        <v>15264</v>
      </c>
      <c r="C397" s="1" t="s">
        <v>1533</v>
      </c>
      <c r="D397" s="1" t="s">
        <v>1533</v>
      </c>
      <c r="E397" s="1" t="s">
        <v>1533</v>
      </c>
      <c r="F397" s="1">
        <v>1</v>
      </c>
      <c r="G397" s="1" t="s">
        <v>15142</v>
      </c>
      <c r="H397" s="3">
        <v>11.9</v>
      </c>
      <c r="I397" s="1" t="s">
        <v>4</v>
      </c>
      <c r="J397" s="5" t="s">
        <v>7417</v>
      </c>
      <c r="K397" s="2">
        <f t="shared" si="6"/>
        <v>11.9</v>
      </c>
    </row>
    <row r="398" spans="1:11" ht="27" x14ac:dyDescent="0.25">
      <c r="A398" s="1" t="s">
        <v>15073</v>
      </c>
      <c r="B398" s="1" t="s">
        <v>15265</v>
      </c>
      <c r="C398" s="1" t="s">
        <v>1533</v>
      </c>
      <c r="D398" s="1" t="s">
        <v>1533</v>
      </c>
      <c r="E398" s="1" t="s">
        <v>1533</v>
      </c>
      <c r="F398" s="1">
        <v>34</v>
      </c>
      <c r="G398" s="1" t="s">
        <v>15142</v>
      </c>
      <c r="H398" s="3">
        <v>404.6</v>
      </c>
      <c r="I398" s="1" t="s">
        <v>4</v>
      </c>
      <c r="J398" s="5" t="s">
        <v>7418</v>
      </c>
      <c r="K398" s="2">
        <f t="shared" si="6"/>
        <v>11.9</v>
      </c>
    </row>
    <row r="399" spans="1:11" x14ac:dyDescent="0.25">
      <c r="A399" s="1" t="s">
        <v>15068</v>
      </c>
      <c r="B399" s="1" t="s">
        <v>15263</v>
      </c>
      <c r="C399" s="1" t="s">
        <v>1533</v>
      </c>
      <c r="D399" s="1" t="s">
        <v>1533</v>
      </c>
      <c r="E399" s="1" t="s">
        <v>1533</v>
      </c>
      <c r="F399" s="1">
        <v>5</v>
      </c>
      <c r="G399" s="1" t="s">
        <v>15142</v>
      </c>
      <c r="H399" s="3">
        <v>59.5</v>
      </c>
      <c r="I399" s="1" t="s">
        <v>4</v>
      </c>
      <c r="J399" s="5" t="s">
        <v>7418</v>
      </c>
      <c r="K399" s="2">
        <f t="shared" si="6"/>
        <v>11.9</v>
      </c>
    </row>
    <row r="400" spans="1:11" ht="27" x14ac:dyDescent="0.25">
      <c r="A400" s="1" t="s">
        <v>15068</v>
      </c>
      <c r="B400" s="1" t="s">
        <v>15246</v>
      </c>
      <c r="C400" s="1" t="s">
        <v>1533</v>
      </c>
      <c r="D400" s="1" t="s">
        <v>1533</v>
      </c>
      <c r="E400" s="1" t="s">
        <v>1533</v>
      </c>
      <c r="F400" s="1">
        <v>5</v>
      </c>
      <c r="G400" s="1" t="s">
        <v>15142</v>
      </c>
      <c r="H400" s="3">
        <v>59.5</v>
      </c>
      <c r="I400" s="1" t="s">
        <v>4</v>
      </c>
      <c r="J400" s="5" t="s">
        <v>7418</v>
      </c>
      <c r="K400" s="2">
        <f t="shared" si="6"/>
        <v>11.9</v>
      </c>
    </row>
    <row r="401" spans="1:11" x14ac:dyDescent="0.25">
      <c r="A401" s="1" t="s">
        <v>15101</v>
      </c>
      <c r="B401" s="1" t="s">
        <v>15251</v>
      </c>
      <c r="C401" s="1" t="s">
        <v>1533</v>
      </c>
      <c r="D401" s="1" t="s">
        <v>1533</v>
      </c>
      <c r="E401" s="1" t="s">
        <v>1533</v>
      </c>
      <c r="F401" s="1">
        <v>3</v>
      </c>
      <c r="G401" s="1" t="s">
        <v>15142</v>
      </c>
      <c r="H401" s="3">
        <v>35.700000000000003</v>
      </c>
      <c r="I401" s="1" t="s">
        <v>4</v>
      </c>
      <c r="J401" s="5" t="s">
        <v>7418</v>
      </c>
      <c r="K401" s="2">
        <f t="shared" si="6"/>
        <v>11.9</v>
      </c>
    </row>
    <row r="402" spans="1:11" x14ac:dyDescent="0.25">
      <c r="A402" s="1" t="s">
        <v>15068</v>
      </c>
      <c r="B402" s="1" t="s">
        <v>15250</v>
      </c>
      <c r="C402" s="1" t="s">
        <v>1533</v>
      </c>
      <c r="D402" s="1" t="s">
        <v>1533</v>
      </c>
      <c r="E402" s="1" t="s">
        <v>1533</v>
      </c>
      <c r="F402" s="1">
        <v>3</v>
      </c>
      <c r="G402" s="1" t="s">
        <v>15142</v>
      </c>
      <c r="H402" s="3">
        <v>35.700000000000003</v>
      </c>
      <c r="I402" s="1" t="s">
        <v>4</v>
      </c>
      <c r="J402" s="5" t="s">
        <v>7418</v>
      </c>
      <c r="K402" s="2">
        <f t="shared" si="6"/>
        <v>11.9</v>
      </c>
    </row>
    <row r="403" spans="1:11" x14ac:dyDescent="0.25">
      <c r="A403" s="1" t="s">
        <v>15125</v>
      </c>
      <c r="B403" s="1" t="s">
        <v>15228</v>
      </c>
      <c r="C403" s="1" t="s">
        <v>1533</v>
      </c>
      <c r="D403" s="1" t="s">
        <v>1533</v>
      </c>
      <c r="E403" s="1" t="s">
        <v>1533</v>
      </c>
      <c r="F403" s="1">
        <v>2</v>
      </c>
      <c r="G403" s="1" t="s">
        <v>15142</v>
      </c>
      <c r="H403" s="3">
        <v>23.8</v>
      </c>
      <c r="I403" s="1" t="s">
        <v>4</v>
      </c>
      <c r="J403" s="5" t="s">
        <v>7418</v>
      </c>
      <c r="K403" s="2">
        <f t="shared" si="6"/>
        <v>11.9</v>
      </c>
    </row>
    <row r="404" spans="1:11" x14ac:dyDescent="0.25">
      <c r="A404" s="1" t="s">
        <v>15101</v>
      </c>
      <c r="B404" s="1" t="s">
        <v>15214</v>
      </c>
      <c r="C404" s="1" t="s">
        <v>1533</v>
      </c>
      <c r="D404" s="1" t="s">
        <v>1533</v>
      </c>
      <c r="E404" s="1" t="s">
        <v>1533</v>
      </c>
      <c r="F404" s="1">
        <v>1</v>
      </c>
      <c r="G404" s="1" t="s">
        <v>15142</v>
      </c>
      <c r="H404" s="3">
        <v>11.9</v>
      </c>
      <c r="I404" s="1" t="s">
        <v>4</v>
      </c>
      <c r="J404" s="5" t="s">
        <v>7418</v>
      </c>
      <c r="K404" s="2">
        <f t="shared" si="6"/>
        <v>11.9</v>
      </c>
    </row>
    <row r="405" spans="1:11" x14ac:dyDescent="0.25">
      <c r="A405" s="1" t="s">
        <v>15101</v>
      </c>
      <c r="B405" s="1" t="s">
        <v>15254</v>
      </c>
      <c r="C405" s="1" t="s">
        <v>1533</v>
      </c>
      <c r="D405" s="1" t="s">
        <v>1533</v>
      </c>
      <c r="E405" s="1" t="s">
        <v>1533</v>
      </c>
      <c r="F405" s="1">
        <v>1</v>
      </c>
      <c r="G405" s="1" t="s">
        <v>15142</v>
      </c>
      <c r="H405" s="3">
        <v>11.9</v>
      </c>
      <c r="I405" s="1" t="s">
        <v>4</v>
      </c>
      <c r="J405" s="5" t="s">
        <v>7418</v>
      </c>
      <c r="K405" s="2">
        <f t="shared" si="6"/>
        <v>11.9</v>
      </c>
    </row>
    <row r="406" spans="1:11" x14ac:dyDescent="0.25">
      <c r="A406" s="1" t="s">
        <v>15101</v>
      </c>
      <c r="B406" s="1" t="s">
        <v>15252</v>
      </c>
      <c r="C406" s="1" t="s">
        <v>1533</v>
      </c>
      <c r="D406" s="1" t="s">
        <v>1533</v>
      </c>
      <c r="E406" s="1" t="s">
        <v>1533</v>
      </c>
      <c r="F406" s="1">
        <v>1</v>
      </c>
      <c r="G406" s="1" t="s">
        <v>15142</v>
      </c>
      <c r="H406" s="3">
        <v>11.9</v>
      </c>
      <c r="I406" s="1" t="s">
        <v>4</v>
      </c>
      <c r="J406" s="5" t="s">
        <v>7418</v>
      </c>
      <c r="K406" s="2">
        <f t="shared" si="6"/>
        <v>11.9</v>
      </c>
    </row>
    <row r="407" spans="1:11" x14ac:dyDescent="0.25">
      <c r="A407" s="1" t="s">
        <v>15101</v>
      </c>
      <c r="B407" s="1" t="s">
        <v>15253</v>
      </c>
      <c r="C407" s="1" t="s">
        <v>1533</v>
      </c>
      <c r="D407" s="1" t="s">
        <v>1533</v>
      </c>
      <c r="E407" s="1" t="s">
        <v>1533</v>
      </c>
      <c r="F407" s="1">
        <v>1</v>
      </c>
      <c r="G407" s="1" t="s">
        <v>15142</v>
      </c>
      <c r="H407" s="3">
        <v>11.9</v>
      </c>
      <c r="I407" s="1" t="s">
        <v>4</v>
      </c>
      <c r="J407" s="5" t="s">
        <v>7418</v>
      </c>
      <c r="K407" s="2">
        <f t="shared" si="6"/>
        <v>11.9</v>
      </c>
    </row>
    <row r="408" spans="1:11" x14ac:dyDescent="0.25">
      <c r="A408" s="1" t="s">
        <v>15101</v>
      </c>
      <c r="B408" s="1" t="s">
        <v>15266</v>
      </c>
      <c r="C408" s="1" t="s">
        <v>1533</v>
      </c>
      <c r="D408" s="1" t="s">
        <v>1533</v>
      </c>
      <c r="E408" s="1" t="s">
        <v>1533</v>
      </c>
      <c r="F408" s="1">
        <v>1</v>
      </c>
      <c r="G408" s="1" t="s">
        <v>15142</v>
      </c>
      <c r="H408" s="3">
        <v>11.9</v>
      </c>
      <c r="I408" s="1" t="s">
        <v>4</v>
      </c>
      <c r="J408" s="5" t="s">
        <v>7418</v>
      </c>
      <c r="K408" s="2">
        <f t="shared" si="6"/>
        <v>11.9</v>
      </c>
    </row>
    <row r="409" spans="1:11" x14ac:dyDescent="0.25">
      <c r="A409" s="1" t="s">
        <v>15101</v>
      </c>
      <c r="B409" s="1" t="s">
        <v>15267</v>
      </c>
      <c r="C409" s="1" t="s">
        <v>1533</v>
      </c>
      <c r="D409" s="1" t="s">
        <v>1533</v>
      </c>
      <c r="E409" s="1" t="s">
        <v>1533</v>
      </c>
      <c r="F409" s="1">
        <v>1</v>
      </c>
      <c r="G409" s="1" t="s">
        <v>15142</v>
      </c>
      <c r="H409" s="3">
        <v>11.9</v>
      </c>
      <c r="I409" s="1" t="s">
        <v>4</v>
      </c>
      <c r="J409" s="5" t="s">
        <v>7418</v>
      </c>
      <c r="K409" s="2">
        <f t="shared" si="6"/>
        <v>11.9</v>
      </c>
    </row>
    <row r="410" spans="1:11" x14ac:dyDescent="0.25">
      <c r="A410" s="1" t="s">
        <v>15101</v>
      </c>
      <c r="B410" s="1" t="s">
        <v>15268</v>
      </c>
      <c r="C410" s="1" t="s">
        <v>1533</v>
      </c>
      <c r="D410" s="1" t="s">
        <v>1533</v>
      </c>
      <c r="E410" s="1" t="s">
        <v>1533</v>
      </c>
      <c r="F410" s="1">
        <v>1</v>
      </c>
      <c r="G410" s="1" t="s">
        <v>15142</v>
      </c>
      <c r="H410" s="3">
        <v>11.9</v>
      </c>
      <c r="I410" s="1" t="s">
        <v>4</v>
      </c>
      <c r="J410" s="5" t="s">
        <v>7418</v>
      </c>
      <c r="K410" s="2">
        <f t="shared" si="6"/>
        <v>11.9</v>
      </c>
    </row>
    <row r="411" spans="1:11" x14ac:dyDescent="0.25">
      <c r="A411" s="1" t="s">
        <v>15101</v>
      </c>
      <c r="B411" s="1" t="s">
        <v>15269</v>
      </c>
      <c r="C411" s="1" t="s">
        <v>1533</v>
      </c>
      <c r="D411" s="1" t="s">
        <v>1533</v>
      </c>
      <c r="E411" s="1" t="s">
        <v>1533</v>
      </c>
      <c r="F411" s="1">
        <v>1</v>
      </c>
      <c r="G411" s="1" t="s">
        <v>15142</v>
      </c>
      <c r="H411" s="3">
        <v>11.9</v>
      </c>
      <c r="I411" s="1" t="s">
        <v>4</v>
      </c>
      <c r="J411" s="5" t="s">
        <v>7418</v>
      </c>
      <c r="K411" s="2">
        <f t="shared" si="6"/>
        <v>11.9</v>
      </c>
    </row>
    <row r="412" spans="1:11" x14ac:dyDescent="0.25">
      <c r="A412" s="1" t="s">
        <v>15101</v>
      </c>
      <c r="B412" s="1" t="s">
        <v>15270</v>
      </c>
      <c r="C412" s="1" t="s">
        <v>1533</v>
      </c>
      <c r="D412" s="1" t="s">
        <v>1533</v>
      </c>
      <c r="E412" s="1" t="s">
        <v>1533</v>
      </c>
      <c r="F412" s="1">
        <v>1</v>
      </c>
      <c r="G412" s="1" t="s">
        <v>15142</v>
      </c>
      <c r="H412" s="3">
        <v>11.9</v>
      </c>
      <c r="I412" s="1" t="s">
        <v>4</v>
      </c>
      <c r="J412" s="5" t="s">
        <v>7418</v>
      </c>
      <c r="K412" s="2">
        <f t="shared" si="6"/>
        <v>11.9</v>
      </c>
    </row>
    <row r="413" spans="1:11" x14ac:dyDescent="0.25">
      <c r="A413" s="1" t="s">
        <v>15101</v>
      </c>
      <c r="B413" s="1" t="s">
        <v>15271</v>
      </c>
      <c r="C413" s="1" t="s">
        <v>1533</v>
      </c>
      <c r="D413" s="1" t="s">
        <v>1533</v>
      </c>
      <c r="E413" s="1" t="s">
        <v>1533</v>
      </c>
      <c r="F413" s="1">
        <v>1</v>
      </c>
      <c r="G413" s="1" t="s">
        <v>15142</v>
      </c>
      <c r="H413" s="3">
        <v>11.9</v>
      </c>
      <c r="I413" s="1" t="s">
        <v>4</v>
      </c>
      <c r="J413" s="5" t="s">
        <v>7418</v>
      </c>
      <c r="K413" s="2">
        <f t="shared" si="6"/>
        <v>11.9</v>
      </c>
    </row>
    <row r="414" spans="1:11" x14ac:dyDescent="0.25">
      <c r="A414" s="1" t="s">
        <v>15068</v>
      </c>
      <c r="B414" s="1" t="s">
        <v>15258</v>
      </c>
      <c r="C414" s="1" t="s">
        <v>1533</v>
      </c>
      <c r="D414" s="1" t="s">
        <v>1533</v>
      </c>
      <c r="E414" s="1" t="s">
        <v>1533</v>
      </c>
      <c r="F414" s="1">
        <v>1</v>
      </c>
      <c r="G414" s="1" t="s">
        <v>15142</v>
      </c>
      <c r="H414" s="3">
        <v>11.9</v>
      </c>
      <c r="I414" s="1" t="s">
        <v>4</v>
      </c>
      <c r="J414" s="5" t="s">
        <v>7418</v>
      </c>
      <c r="K414" s="2">
        <f t="shared" si="6"/>
        <v>11.9</v>
      </c>
    </row>
    <row r="415" spans="1:11" ht="27" x14ac:dyDescent="0.25">
      <c r="A415" s="1" t="s">
        <v>15068</v>
      </c>
      <c r="B415" s="1" t="s">
        <v>15272</v>
      </c>
      <c r="C415" s="1" t="s">
        <v>1533</v>
      </c>
      <c r="D415" s="1" t="s">
        <v>1533</v>
      </c>
      <c r="E415" s="1" t="s">
        <v>1533</v>
      </c>
      <c r="F415" s="1">
        <v>1</v>
      </c>
      <c r="G415" s="1" t="s">
        <v>15142</v>
      </c>
      <c r="H415" s="3">
        <v>11.9</v>
      </c>
      <c r="I415" s="1" t="s">
        <v>4</v>
      </c>
      <c r="J415" s="5" t="s">
        <v>7418</v>
      </c>
      <c r="K415" s="2">
        <f t="shared" si="6"/>
        <v>11.9</v>
      </c>
    </row>
    <row r="416" spans="1:11" ht="27" x14ac:dyDescent="0.25">
      <c r="A416" s="1" t="s">
        <v>15068</v>
      </c>
      <c r="B416" s="1" t="s">
        <v>15248</v>
      </c>
      <c r="C416" s="1" t="s">
        <v>1533</v>
      </c>
      <c r="D416" s="1" t="s">
        <v>1533</v>
      </c>
      <c r="E416" s="1" t="s">
        <v>1533</v>
      </c>
      <c r="F416" s="1">
        <v>16</v>
      </c>
      <c r="G416" s="1" t="s">
        <v>15142</v>
      </c>
      <c r="H416" s="3">
        <v>190.4</v>
      </c>
      <c r="I416" s="1" t="s">
        <v>4</v>
      </c>
      <c r="J416" s="5" t="s">
        <v>7419</v>
      </c>
      <c r="K416" s="2">
        <f t="shared" si="6"/>
        <v>11.9</v>
      </c>
    </row>
    <row r="417" spans="1:11" x14ac:dyDescent="0.25">
      <c r="A417" s="1" t="s">
        <v>15068</v>
      </c>
      <c r="B417" s="1" t="s">
        <v>15250</v>
      </c>
      <c r="C417" s="1" t="s">
        <v>1533</v>
      </c>
      <c r="D417" s="1" t="s">
        <v>1533</v>
      </c>
      <c r="E417" s="1" t="s">
        <v>1533</v>
      </c>
      <c r="F417" s="1">
        <v>10</v>
      </c>
      <c r="G417" s="1" t="s">
        <v>15142</v>
      </c>
      <c r="H417" s="3">
        <v>119</v>
      </c>
      <c r="I417" s="1" t="s">
        <v>4</v>
      </c>
      <c r="J417" s="5" t="s">
        <v>7419</v>
      </c>
      <c r="K417" s="2">
        <f t="shared" si="6"/>
        <v>11.9</v>
      </c>
    </row>
    <row r="418" spans="1:11" ht="27" x14ac:dyDescent="0.25">
      <c r="A418" s="1" t="s">
        <v>15068</v>
      </c>
      <c r="B418" s="1" t="s">
        <v>15246</v>
      </c>
      <c r="C418" s="1" t="s">
        <v>1533</v>
      </c>
      <c r="D418" s="1" t="s">
        <v>1533</v>
      </c>
      <c r="E418" s="1" t="s">
        <v>1533</v>
      </c>
      <c r="F418" s="1">
        <v>6</v>
      </c>
      <c r="G418" s="1" t="s">
        <v>15142</v>
      </c>
      <c r="H418" s="3">
        <v>71.400000000000006</v>
      </c>
      <c r="I418" s="1" t="s">
        <v>4</v>
      </c>
      <c r="J418" s="5" t="s">
        <v>7419</v>
      </c>
      <c r="K418" s="2">
        <f t="shared" si="6"/>
        <v>11.9</v>
      </c>
    </row>
    <row r="419" spans="1:11" ht="27" x14ac:dyDescent="0.25">
      <c r="A419" s="1" t="s">
        <v>15073</v>
      </c>
      <c r="B419" s="1" t="s">
        <v>15257</v>
      </c>
      <c r="C419" s="1" t="s">
        <v>1533</v>
      </c>
      <c r="D419" s="1" t="s">
        <v>1533</v>
      </c>
      <c r="E419" s="1" t="s">
        <v>1533</v>
      </c>
      <c r="F419" s="1">
        <v>4</v>
      </c>
      <c r="G419" s="1" t="s">
        <v>15142</v>
      </c>
      <c r="H419" s="3">
        <v>47.6</v>
      </c>
      <c r="I419" s="1" t="s">
        <v>4</v>
      </c>
      <c r="J419" s="5" t="s">
        <v>7419</v>
      </c>
      <c r="K419" s="2">
        <f t="shared" si="6"/>
        <v>11.9</v>
      </c>
    </row>
    <row r="420" spans="1:11" ht="27" x14ac:dyDescent="0.25">
      <c r="A420" s="1" t="s">
        <v>15068</v>
      </c>
      <c r="B420" s="1" t="s">
        <v>15264</v>
      </c>
      <c r="C420" s="1" t="s">
        <v>1533</v>
      </c>
      <c r="D420" s="1" t="s">
        <v>1533</v>
      </c>
      <c r="E420" s="1" t="s">
        <v>1533</v>
      </c>
      <c r="F420" s="1">
        <v>4</v>
      </c>
      <c r="G420" s="1" t="s">
        <v>15142</v>
      </c>
      <c r="H420" s="3">
        <v>47.6</v>
      </c>
      <c r="I420" s="1" t="s">
        <v>4</v>
      </c>
      <c r="J420" s="5" t="s">
        <v>7419</v>
      </c>
      <c r="K420" s="2">
        <f t="shared" si="6"/>
        <v>11.9</v>
      </c>
    </row>
    <row r="421" spans="1:11" x14ac:dyDescent="0.25">
      <c r="A421" s="1" t="s">
        <v>15068</v>
      </c>
      <c r="B421" s="1" t="s">
        <v>15263</v>
      </c>
      <c r="C421" s="1" t="s">
        <v>1533</v>
      </c>
      <c r="D421" s="1" t="s">
        <v>1533</v>
      </c>
      <c r="E421" s="1" t="s">
        <v>1533</v>
      </c>
      <c r="F421" s="1">
        <v>2</v>
      </c>
      <c r="G421" s="1" t="s">
        <v>15142</v>
      </c>
      <c r="H421" s="3">
        <v>23.8</v>
      </c>
      <c r="I421" s="1" t="s">
        <v>4</v>
      </c>
      <c r="J421" s="5" t="s">
        <v>7419</v>
      </c>
      <c r="K421" s="2">
        <f t="shared" si="6"/>
        <v>11.9</v>
      </c>
    </row>
    <row r="422" spans="1:11" x14ac:dyDescent="0.25">
      <c r="A422" s="1" t="s">
        <v>15068</v>
      </c>
      <c r="B422" s="1" t="s">
        <v>15258</v>
      </c>
      <c r="C422" s="1" t="s">
        <v>1533</v>
      </c>
      <c r="D422" s="1" t="s">
        <v>1533</v>
      </c>
      <c r="E422" s="1" t="s">
        <v>1533</v>
      </c>
      <c r="F422" s="1">
        <v>2</v>
      </c>
      <c r="G422" s="1" t="s">
        <v>15142</v>
      </c>
      <c r="H422" s="3">
        <v>23.8</v>
      </c>
      <c r="I422" s="1" t="s">
        <v>4</v>
      </c>
      <c r="J422" s="5" t="s">
        <v>7419</v>
      </c>
      <c r="K422" s="2">
        <f t="shared" si="6"/>
        <v>11.9</v>
      </c>
    </row>
    <row r="423" spans="1:11" x14ac:dyDescent="0.25">
      <c r="A423" s="1" t="s">
        <v>15101</v>
      </c>
      <c r="B423" s="1" t="s">
        <v>15252</v>
      </c>
      <c r="C423" s="1" t="s">
        <v>1533</v>
      </c>
      <c r="D423" s="1" t="s">
        <v>1533</v>
      </c>
      <c r="E423" s="1" t="s">
        <v>1533</v>
      </c>
      <c r="F423" s="1">
        <v>1</v>
      </c>
      <c r="G423" s="1" t="s">
        <v>15142</v>
      </c>
      <c r="H423" s="3">
        <v>11.9</v>
      </c>
      <c r="I423" s="1" t="s">
        <v>4</v>
      </c>
      <c r="J423" s="5" t="s">
        <v>7419</v>
      </c>
      <c r="K423" s="2">
        <f t="shared" si="6"/>
        <v>11.9</v>
      </c>
    </row>
    <row r="424" spans="1:11" ht="27" x14ac:dyDescent="0.25">
      <c r="A424" s="1" t="s">
        <v>15068</v>
      </c>
      <c r="B424" s="1" t="s">
        <v>15272</v>
      </c>
      <c r="C424" s="1" t="s">
        <v>1533</v>
      </c>
      <c r="D424" s="1" t="s">
        <v>1533</v>
      </c>
      <c r="E424" s="1" t="s">
        <v>1533</v>
      </c>
      <c r="F424" s="1">
        <v>1</v>
      </c>
      <c r="G424" s="1" t="s">
        <v>15142</v>
      </c>
      <c r="H424" s="3">
        <v>11.9</v>
      </c>
      <c r="I424" s="1" t="s">
        <v>4</v>
      </c>
      <c r="J424" s="5" t="s">
        <v>7419</v>
      </c>
      <c r="K424" s="2">
        <f t="shared" si="6"/>
        <v>11.9</v>
      </c>
    </row>
    <row r="425" spans="1:11" x14ac:dyDescent="0.25">
      <c r="A425" s="1" t="s">
        <v>15068</v>
      </c>
      <c r="B425" s="1" t="s">
        <v>15263</v>
      </c>
      <c r="C425" s="1" t="s">
        <v>1533</v>
      </c>
      <c r="D425" s="1" t="s">
        <v>1533</v>
      </c>
      <c r="E425" s="1" t="s">
        <v>1533</v>
      </c>
      <c r="F425" s="1">
        <v>43</v>
      </c>
      <c r="G425" s="1" t="s">
        <v>15142</v>
      </c>
      <c r="H425" s="3">
        <v>511.7</v>
      </c>
      <c r="I425" s="1" t="s">
        <v>4</v>
      </c>
      <c r="J425" s="5" t="s">
        <v>7420</v>
      </c>
      <c r="K425" s="2">
        <f t="shared" si="6"/>
        <v>11.9</v>
      </c>
    </row>
    <row r="426" spans="1:11" x14ac:dyDescent="0.25">
      <c r="A426" s="1" t="s">
        <v>15068</v>
      </c>
      <c r="B426" s="1" t="s">
        <v>15258</v>
      </c>
      <c r="C426" s="1" t="s">
        <v>1533</v>
      </c>
      <c r="D426" s="1" t="s">
        <v>1533</v>
      </c>
      <c r="E426" s="1" t="s">
        <v>1533</v>
      </c>
      <c r="F426" s="1">
        <v>34</v>
      </c>
      <c r="G426" s="1" t="s">
        <v>15142</v>
      </c>
      <c r="H426" s="3">
        <v>404.6</v>
      </c>
      <c r="I426" s="1" t="s">
        <v>4</v>
      </c>
      <c r="J426" s="5" t="s">
        <v>7420</v>
      </c>
      <c r="K426" s="2">
        <f t="shared" si="6"/>
        <v>11.9</v>
      </c>
    </row>
    <row r="427" spans="1:11" ht="27" x14ac:dyDescent="0.25">
      <c r="A427" s="1" t="s">
        <v>15068</v>
      </c>
      <c r="B427" s="1" t="s">
        <v>15259</v>
      </c>
      <c r="C427" s="1" t="s">
        <v>1533</v>
      </c>
      <c r="D427" s="1" t="s">
        <v>1533</v>
      </c>
      <c r="E427" s="1" t="s">
        <v>1533</v>
      </c>
      <c r="F427" s="1">
        <v>7</v>
      </c>
      <c r="G427" s="1" t="s">
        <v>15142</v>
      </c>
      <c r="H427" s="3">
        <v>83.3</v>
      </c>
      <c r="I427" s="1" t="s">
        <v>4</v>
      </c>
      <c r="J427" s="5" t="s">
        <v>7420</v>
      </c>
      <c r="K427" s="2">
        <f t="shared" si="6"/>
        <v>11.9</v>
      </c>
    </row>
    <row r="428" spans="1:11" x14ac:dyDescent="0.25">
      <c r="A428" s="1" t="s">
        <v>15101</v>
      </c>
      <c r="B428" s="1" t="s">
        <v>15251</v>
      </c>
      <c r="C428" s="1" t="s">
        <v>1533</v>
      </c>
      <c r="D428" s="1" t="s">
        <v>1533</v>
      </c>
      <c r="E428" s="1" t="s">
        <v>1533</v>
      </c>
      <c r="F428" s="1">
        <v>5</v>
      </c>
      <c r="G428" s="1" t="s">
        <v>15142</v>
      </c>
      <c r="H428" s="3">
        <v>59.5</v>
      </c>
      <c r="I428" s="1" t="s">
        <v>4</v>
      </c>
      <c r="J428" s="5" t="s">
        <v>7420</v>
      </c>
      <c r="K428" s="2">
        <f t="shared" si="6"/>
        <v>11.9</v>
      </c>
    </row>
    <row r="429" spans="1:11" x14ac:dyDescent="0.25">
      <c r="A429" s="1" t="s">
        <v>15101</v>
      </c>
      <c r="B429" s="1" t="s">
        <v>15252</v>
      </c>
      <c r="C429" s="1" t="s">
        <v>1533</v>
      </c>
      <c r="D429" s="1" t="s">
        <v>1533</v>
      </c>
      <c r="E429" s="1" t="s">
        <v>1533</v>
      </c>
      <c r="F429" s="1">
        <v>4</v>
      </c>
      <c r="G429" s="1" t="s">
        <v>15142</v>
      </c>
      <c r="H429" s="3">
        <v>47.6</v>
      </c>
      <c r="I429" s="1" t="s">
        <v>4</v>
      </c>
      <c r="J429" s="5" t="s">
        <v>7420</v>
      </c>
      <c r="K429" s="2">
        <f t="shared" si="6"/>
        <v>11.9</v>
      </c>
    </row>
    <row r="430" spans="1:11" x14ac:dyDescent="0.25">
      <c r="A430" s="1" t="s">
        <v>15101</v>
      </c>
      <c r="B430" s="1" t="s">
        <v>15253</v>
      </c>
      <c r="C430" s="1" t="s">
        <v>1533</v>
      </c>
      <c r="D430" s="1" t="s">
        <v>1533</v>
      </c>
      <c r="E430" s="1" t="s">
        <v>1533</v>
      </c>
      <c r="F430" s="1">
        <v>2</v>
      </c>
      <c r="G430" s="1" t="s">
        <v>15142</v>
      </c>
      <c r="H430" s="3">
        <v>23.8</v>
      </c>
      <c r="I430" s="1" t="s">
        <v>4</v>
      </c>
      <c r="J430" s="5" t="s">
        <v>7420</v>
      </c>
      <c r="K430" s="2">
        <f t="shared" si="6"/>
        <v>11.9</v>
      </c>
    </row>
    <row r="431" spans="1:11" x14ac:dyDescent="0.25">
      <c r="A431" s="1" t="s">
        <v>15101</v>
      </c>
      <c r="B431" s="1" t="s">
        <v>15266</v>
      </c>
      <c r="C431" s="1" t="s">
        <v>1533</v>
      </c>
      <c r="D431" s="1" t="s">
        <v>1533</v>
      </c>
      <c r="E431" s="1" t="s">
        <v>1533</v>
      </c>
      <c r="F431" s="1">
        <v>2</v>
      </c>
      <c r="G431" s="1" t="s">
        <v>15142</v>
      </c>
      <c r="H431" s="3">
        <v>23.8</v>
      </c>
      <c r="I431" s="1" t="s">
        <v>4</v>
      </c>
      <c r="J431" s="5" t="s">
        <v>7420</v>
      </c>
      <c r="K431" s="2">
        <f t="shared" si="6"/>
        <v>11.9</v>
      </c>
    </row>
    <row r="432" spans="1:11" x14ac:dyDescent="0.25">
      <c r="A432" s="1" t="s">
        <v>15101</v>
      </c>
      <c r="B432" s="1" t="s">
        <v>15267</v>
      </c>
      <c r="C432" s="1" t="s">
        <v>1533</v>
      </c>
      <c r="D432" s="1" t="s">
        <v>1533</v>
      </c>
      <c r="E432" s="1" t="s">
        <v>1533</v>
      </c>
      <c r="F432" s="1">
        <v>2</v>
      </c>
      <c r="G432" s="1" t="s">
        <v>15142</v>
      </c>
      <c r="H432" s="3">
        <v>23.8</v>
      </c>
      <c r="I432" s="1" t="s">
        <v>4</v>
      </c>
      <c r="J432" s="5" t="s">
        <v>7420</v>
      </c>
      <c r="K432" s="2">
        <f t="shared" si="6"/>
        <v>11.9</v>
      </c>
    </row>
    <row r="433" spans="1:11" x14ac:dyDescent="0.25">
      <c r="A433" s="1" t="s">
        <v>15101</v>
      </c>
      <c r="B433" s="1" t="s">
        <v>15268</v>
      </c>
      <c r="C433" s="1" t="s">
        <v>1533</v>
      </c>
      <c r="D433" s="1" t="s">
        <v>1533</v>
      </c>
      <c r="E433" s="1" t="s">
        <v>1533</v>
      </c>
      <c r="F433" s="1">
        <v>2</v>
      </c>
      <c r="G433" s="1" t="s">
        <v>15142</v>
      </c>
      <c r="H433" s="3">
        <v>23.8</v>
      </c>
      <c r="I433" s="1" t="s">
        <v>4</v>
      </c>
      <c r="J433" s="5" t="s">
        <v>7420</v>
      </c>
      <c r="K433" s="2">
        <f t="shared" si="6"/>
        <v>11.9</v>
      </c>
    </row>
    <row r="434" spans="1:11" x14ac:dyDescent="0.25">
      <c r="A434" s="1" t="s">
        <v>15101</v>
      </c>
      <c r="B434" s="1" t="s">
        <v>15269</v>
      </c>
      <c r="C434" s="1" t="s">
        <v>1533</v>
      </c>
      <c r="D434" s="1" t="s">
        <v>1533</v>
      </c>
      <c r="E434" s="1" t="s">
        <v>1533</v>
      </c>
      <c r="F434" s="1">
        <v>2</v>
      </c>
      <c r="G434" s="1" t="s">
        <v>15142</v>
      </c>
      <c r="H434" s="3">
        <v>23.8</v>
      </c>
      <c r="I434" s="1" t="s">
        <v>4</v>
      </c>
      <c r="J434" s="5" t="s">
        <v>7420</v>
      </c>
      <c r="K434" s="2">
        <f t="shared" si="6"/>
        <v>11.9</v>
      </c>
    </row>
    <row r="435" spans="1:11" x14ac:dyDescent="0.25">
      <c r="A435" s="1" t="s">
        <v>15101</v>
      </c>
      <c r="B435" s="1" t="s">
        <v>15270</v>
      </c>
      <c r="C435" s="1" t="s">
        <v>1533</v>
      </c>
      <c r="D435" s="1" t="s">
        <v>1533</v>
      </c>
      <c r="E435" s="1" t="s">
        <v>1533</v>
      </c>
      <c r="F435" s="1">
        <v>2</v>
      </c>
      <c r="G435" s="1" t="s">
        <v>15142</v>
      </c>
      <c r="H435" s="3">
        <v>23.8</v>
      </c>
      <c r="I435" s="1" t="s">
        <v>4</v>
      </c>
      <c r="J435" s="5" t="s">
        <v>7420</v>
      </c>
      <c r="K435" s="2">
        <f t="shared" si="6"/>
        <v>11.9</v>
      </c>
    </row>
    <row r="436" spans="1:11" x14ac:dyDescent="0.25">
      <c r="A436" s="1" t="s">
        <v>15101</v>
      </c>
      <c r="B436" s="1" t="s">
        <v>15273</v>
      </c>
      <c r="C436" s="1" t="s">
        <v>1533</v>
      </c>
      <c r="D436" s="1" t="s">
        <v>1533</v>
      </c>
      <c r="E436" s="1" t="s">
        <v>1533</v>
      </c>
      <c r="F436" s="1">
        <v>2</v>
      </c>
      <c r="G436" s="1" t="s">
        <v>15142</v>
      </c>
      <c r="H436" s="3">
        <v>23.8</v>
      </c>
      <c r="I436" s="1" t="s">
        <v>4</v>
      </c>
      <c r="J436" s="5" t="s">
        <v>7420</v>
      </c>
      <c r="K436" s="2">
        <f t="shared" si="6"/>
        <v>11.9</v>
      </c>
    </row>
    <row r="437" spans="1:11" x14ac:dyDescent="0.25">
      <c r="A437" s="1" t="s">
        <v>15101</v>
      </c>
      <c r="B437" s="1" t="s">
        <v>15274</v>
      </c>
      <c r="C437" s="1" t="s">
        <v>1533</v>
      </c>
      <c r="D437" s="1" t="s">
        <v>1533</v>
      </c>
      <c r="E437" s="1" t="s">
        <v>1533</v>
      </c>
      <c r="F437" s="1">
        <v>2</v>
      </c>
      <c r="G437" s="1" t="s">
        <v>15142</v>
      </c>
      <c r="H437" s="3">
        <v>23.8</v>
      </c>
      <c r="I437" s="1" t="s">
        <v>4</v>
      </c>
      <c r="J437" s="5" t="s">
        <v>7420</v>
      </c>
      <c r="K437" s="2">
        <f t="shared" si="6"/>
        <v>11.9</v>
      </c>
    </row>
    <row r="438" spans="1:11" x14ac:dyDescent="0.25">
      <c r="A438" s="1" t="s">
        <v>15101</v>
      </c>
      <c r="B438" s="1" t="s">
        <v>15275</v>
      </c>
      <c r="C438" s="1" t="s">
        <v>1533</v>
      </c>
      <c r="D438" s="1" t="s">
        <v>1533</v>
      </c>
      <c r="E438" s="1" t="s">
        <v>1533</v>
      </c>
      <c r="F438" s="1">
        <v>2</v>
      </c>
      <c r="G438" s="1" t="s">
        <v>15142</v>
      </c>
      <c r="H438" s="3">
        <v>23.8</v>
      </c>
      <c r="I438" s="1" t="s">
        <v>4</v>
      </c>
      <c r="J438" s="5" t="s">
        <v>7420</v>
      </c>
      <c r="K438" s="2">
        <f t="shared" si="6"/>
        <v>11.9</v>
      </c>
    </row>
    <row r="439" spans="1:11" ht="27" x14ac:dyDescent="0.25">
      <c r="A439" s="1" t="s">
        <v>15068</v>
      </c>
      <c r="B439" s="1" t="s">
        <v>15272</v>
      </c>
      <c r="C439" s="1" t="s">
        <v>1533</v>
      </c>
      <c r="D439" s="1" t="s">
        <v>1533</v>
      </c>
      <c r="E439" s="1" t="s">
        <v>1533</v>
      </c>
      <c r="F439" s="1">
        <v>2</v>
      </c>
      <c r="G439" s="1" t="s">
        <v>15142</v>
      </c>
      <c r="H439" s="3">
        <v>23.8</v>
      </c>
      <c r="I439" s="1" t="s">
        <v>4</v>
      </c>
      <c r="J439" s="5" t="s">
        <v>7420</v>
      </c>
      <c r="K439" s="2">
        <f t="shared" si="6"/>
        <v>11.9</v>
      </c>
    </row>
    <row r="440" spans="1:11" ht="27" x14ac:dyDescent="0.25">
      <c r="A440" s="1" t="s">
        <v>15073</v>
      </c>
      <c r="B440" s="1" t="s">
        <v>15276</v>
      </c>
      <c r="C440" s="1" t="s">
        <v>1533</v>
      </c>
      <c r="D440" s="1" t="s">
        <v>1533</v>
      </c>
      <c r="E440" s="1" t="s">
        <v>1533</v>
      </c>
      <c r="F440" s="1">
        <v>1</v>
      </c>
      <c r="G440" s="1" t="s">
        <v>15142</v>
      </c>
      <c r="H440" s="3">
        <v>11.9</v>
      </c>
      <c r="I440" s="1" t="s">
        <v>4</v>
      </c>
      <c r="J440" s="5" t="s">
        <v>7420</v>
      </c>
      <c r="K440" s="2">
        <f t="shared" si="6"/>
        <v>11.9</v>
      </c>
    </row>
    <row r="441" spans="1:11" x14ac:dyDescent="0.25">
      <c r="A441" s="1" t="s">
        <v>15101</v>
      </c>
      <c r="B441" s="1" t="s">
        <v>15271</v>
      </c>
      <c r="C441" s="1" t="s">
        <v>1533</v>
      </c>
      <c r="D441" s="1" t="s">
        <v>1533</v>
      </c>
      <c r="E441" s="1" t="s">
        <v>1533</v>
      </c>
      <c r="F441" s="1">
        <v>1</v>
      </c>
      <c r="G441" s="1" t="s">
        <v>15142</v>
      </c>
      <c r="H441" s="3">
        <v>11.9</v>
      </c>
      <c r="I441" s="1" t="s">
        <v>4</v>
      </c>
      <c r="J441" s="5" t="s">
        <v>7420</v>
      </c>
      <c r="K441" s="2">
        <f t="shared" si="6"/>
        <v>11.9</v>
      </c>
    </row>
    <row r="442" spans="1:11" x14ac:dyDescent="0.25">
      <c r="A442" s="5" t="s">
        <v>15068</v>
      </c>
      <c r="B442" s="5" t="s">
        <v>15250</v>
      </c>
      <c r="C442" s="5" t="s">
        <v>1533</v>
      </c>
      <c r="D442" s="5" t="s">
        <v>1533</v>
      </c>
      <c r="E442" s="5" t="s">
        <v>1533</v>
      </c>
      <c r="F442" s="5">
        <v>9</v>
      </c>
      <c r="G442" s="5" t="s">
        <v>15142</v>
      </c>
      <c r="H442" s="8">
        <v>107.1</v>
      </c>
      <c r="I442" s="1" t="s">
        <v>1522</v>
      </c>
      <c r="J442" s="5" t="s">
        <v>7417</v>
      </c>
      <c r="K442" s="2">
        <f t="shared" si="6"/>
        <v>11.899999999999999</v>
      </c>
    </row>
    <row r="443" spans="1:11" x14ac:dyDescent="0.25">
      <c r="A443" s="1" t="s">
        <v>15068</v>
      </c>
      <c r="B443" s="1" t="s">
        <v>15250</v>
      </c>
      <c r="C443" s="1" t="s">
        <v>1533</v>
      </c>
      <c r="D443" s="1" t="s">
        <v>1533</v>
      </c>
      <c r="E443" s="1" t="s">
        <v>1533</v>
      </c>
      <c r="F443" s="1">
        <v>52</v>
      </c>
      <c r="G443" s="1" t="s">
        <v>15142</v>
      </c>
      <c r="H443" s="3">
        <v>618.79999999999995</v>
      </c>
      <c r="I443" s="1" t="s">
        <v>4</v>
      </c>
      <c r="J443" s="5" t="s">
        <v>7417</v>
      </c>
      <c r="K443" s="2">
        <f t="shared" si="6"/>
        <v>11.899999999999999</v>
      </c>
    </row>
    <row r="444" spans="1:11" x14ac:dyDescent="0.25">
      <c r="A444" s="1" t="s">
        <v>15068</v>
      </c>
      <c r="B444" s="1" t="s">
        <v>15250</v>
      </c>
      <c r="C444" s="1" t="s">
        <v>1533</v>
      </c>
      <c r="D444" s="1" t="s">
        <v>1533</v>
      </c>
      <c r="E444" s="1" t="s">
        <v>1533</v>
      </c>
      <c r="F444" s="1">
        <v>47</v>
      </c>
      <c r="G444" s="1" t="s">
        <v>15142</v>
      </c>
      <c r="H444" s="3">
        <v>559.29999999999995</v>
      </c>
      <c r="I444" s="1" t="s">
        <v>4</v>
      </c>
      <c r="J444" s="5" t="s">
        <v>7420</v>
      </c>
      <c r="K444" s="2">
        <f t="shared" si="6"/>
        <v>11.899999999999999</v>
      </c>
    </row>
    <row r="445" spans="1:11" x14ac:dyDescent="0.25">
      <c r="A445" s="1" t="s">
        <v>15101</v>
      </c>
      <c r="B445" s="1" t="s">
        <v>15214</v>
      </c>
      <c r="C445" s="1" t="s">
        <v>1533</v>
      </c>
      <c r="D445" s="1" t="s">
        <v>1533</v>
      </c>
      <c r="E445" s="1" t="s">
        <v>1533</v>
      </c>
      <c r="F445" s="1">
        <v>9</v>
      </c>
      <c r="G445" s="1" t="s">
        <v>15142</v>
      </c>
      <c r="H445" s="3">
        <v>107.1</v>
      </c>
      <c r="I445" s="1" t="s">
        <v>4</v>
      </c>
      <c r="J445" s="5" t="s">
        <v>7420</v>
      </c>
      <c r="K445" s="2">
        <f t="shared" si="6"/>
        <v>11.899999999999999</v>
      </c>
    </row>
    <row r="446" spans="1:11" x14ac:dyDescent="0.25">
      <c r="A446" s="1" t="s">
        <v>15101</v>
      </c>
      <c r="B446" s="1" t="s">
        <v>15254</v>
      </c>
      <c r="C446" s="1" t="s">
        <v>1533</v>
      </c>
      <c r="D446" s="1" t="s">
        <v>1533</v>
      </c>
      <c r="E446" s="1" t="s">
        <v>1533</v>
      </c>
      <c r="F446" s="1">
        <v>9</v>
      </c>
      <c r="G446" s="1" t="s">
        <v>15142</v>
      </c>
      <c r="H446" s="3">
        <v>107.1</v>
      </c>
      <c r="I446" s="1" t="s">
        <v>4</v>
      </c>
      <c r="J446" s="5" t="s">
        <v>7420</v>
      </c>
      <c r="K446" s="2">
        <f t="shared" si="6"/>
        <v>11.899999999999999</v>
      </c>
    </row>
    <row r="447" spans="1:11" x14ac:dyDescent="0.25">
      <c r="A447" s="5" t="s">
        <v>15067</v>
      </c>
      <c r="B447" s="5" t="s">
        <v>15245</v>
      </c>
      <c r="C447" s="5" t="s">
        <v>1533</v>
      </c>
      <c r="D447" s="5" t="s">
        <v>1533</v>
      </c>
      <c r="E447" s="5" t="s">
        <v>1533</v>
      </c>
      <c r="F447" s="5">
        <v>24</v>
      </c>
      <c r="G447" s="5" t="s">
        <v>15142</v>
      </c>
      <c r="H447" s="8">
        <v>276.48</v>
      </c>
      <c r="I447" s="1" t="s">
        <v>1522</v>
      </c>
      <c r="J447" s="5" t="s">
        <v>7417</v>
      </c>
      <c r="K447" s="2">
        <f t="shared" si="6"/>
        <v>11.520000000000001</v>
      </c>
    </row>
    <row r="448" spans="1:11" x14ac:dyDescent="0.25">
      <c r="A448" s="5" t="s">
        <v>15067</v>
      </c>
      <c r="B448" s="5" t="s">
        <v>15277</v>
      </c>
      <c r="C448" s="5" t="s">
        <v>1533</v>
      </c>
      <c r="D448" s="5" t="s">
        <v>1533</v>
      </c>
      <c r="E448" s="5" t="s">
        <v>1533</v>
      </c>
      <c r="F448" s="5">
        <v>110</v>
      </c>
      <c r="G448" s="5" t="s">
        <v>15142</v>
      </c>
      <c r="H448" s="8">
        <v>1267.2</v>
      </c>
      <c r="I448" s="5" t="s">
        <v>1522</v>
      </c>
      <c r="J448" s="5" t="s">
        <v>7416</v>
      </c>
      <c r="K448" s="2">
        <f t="shared" si="6"/>
        <v>11.52</v>
      </c>
    </row>
    <row r="449" spans="1:11" x14ac:dyDescent="0.25">
      <c r="A449" s="5" t="s">
        <v>15067</v>
      </c>
      <c r="B449" s="5" t="s">
        <v>15277</v>
      </c>
      <c r="C449" s="5" t="s">
        <v>1533</v>
      </c>
      <c r="D449" s="5" t="s">
        <v>1533</v>
      </c>
      <c r="E449" s="5" t="s">
        <v>1533</v>
      </c>
      <c r="F449" s="5">
        <v>75</v>
      </c>
      <c r="G449" s="5" t="s">
        <v>15142</v>
      </c>
      <c r="H449" s="8">
        <v>864</v>
      </c>
      <c r="I449" s="1" t="s">
        <v>1522</v>
      </c>
      <c r="J449" s="5" t="s">
        <v>7417</v>
      </c>
      <c r="K449" s="2">
        <f t="shared" si="6"/>
        <v>11.52</v>
      </c>
    </row>
    <row r="450" spans="1:11" ht="27" x14ac:dyDescent="0.25">
      <c r="A450" s="1" t="s">
        <v>15067</v>
      </c>
      <c r="B450" s="1" t="s">
        <v>15277</v>
      </c>
      <c r="C450" s="1" t="s">
        <v>1533</v>
      </c>
      <c r="D450" s="1" t="s">
        <v>1533</v>
      </c>
      <c r="E450" s="1" t="s">
        <v>1533</v>
      </c>
      <c r="F450" s="1">
        <v>50</v>
      </c>
      <c r="G450" s="1" t="s">
        <v>15142</v>
      </c>
      <c r="H450" s="3">
        <v>576</v>
      </c>
      <c r="I450" s="1" t="s">
        <v>1522</v>
      </c>
      <c r="J450" s="5" t="s">
        <v>7418</v>
      </c>
      <c r="K450" s="2">
        <f t="shared" ref="K450:K513" si="7">H450/F450</f>
        <v>11.52</v>
      </c>
    </row>
    <row r="451" spans="1:11" ht="27" x14ac:dyDescent="0.25">
      <c r="A451" s="1" t="s">
        <v>15067</v>
      </c>
      <c r="B451" s="1" t="s">
        <v>15245</v>
      </c>
      <c r="C451" s="1" t="s">
        <v>1533</v>
      </c>
      <c r="D451" s="1" t="s">
        <v>1533</v>
      </c>
      <c r="E451" s="1" t="s">
        <v>1533</v>
      </c>
      <c r="F451" s="1">
        <v>21</v>
      </c>
      <c r="G451" s="1" t="s">
        <v>15142</v>
      </c>
      <c r="H451" s="3">
        <v>241.92</v>
      </c>
      <c r="I451" s="1" t="s">
        <v>1522</v>
      </c>
      <c r="J451" s="5" t="s">
        <v>7418</v>
      </c>
      <c r="K451" s="2">
        <f t="shared" si="7"/>
        <v>11.52</v>
      </c>
    </row>
    <row r="452" spans="1:11" ht="27" x14ac:dyDescent="0.25">
      <c r="A452" s="1" t="s">
        <v>15067</v>
      </c>
      <c r="B452" s="1" t="s">
        <v>15277</v>
      </c>
      <c r="C452" s="1" t="s">
        <v>1533</v>
      </c>
      <c r="D452" s="1" t="s">
        <v>1533</v>
      </c>
      <c r="E452" s="1" t="s">
        <v>1533</v>
      </c>
      <c r="F452" s="1">
        <v>80</v>
      </c>
      <c r="G452" s="1" t="s">
        <v>15142</v>
      </c>
      <c r="H452" s="3">
        <v>921.6</v>
      </c>
      <c r="I452" s="1" t="s">
        <v>1522</v>
      </c>
      <c r="J452" s="5" t="s">
        <v>7419</v>
      </c>
      <c r="K452" s="2">
        <f t="shared" si="7"/>
        <v>11.52</v>
      </c>
    </row>
    <row r="453" spans="1:11" ht="27" x14ac:dyDescent="0.25">
      <c r="A453" s="1" t="s">
        <v>15067</v>
      </c>
      <c r="B453" s="1" t="s">
        <v>15245</v>
      </c>
      <c r="C453" s="1" t="s">
        <v>1533</v>
      </c>
      <c r="D453" s="1" t="s">
        <v>1533</v>
      </c>
      <c r="E453" s="1" t="s">
        <v>1533</v>
      </c>
      <c r="F453" s="1">
        <v>20</v>
      </c>
      <c r="G453" s="1" t="s">
        <v>15142</v>
      </c>
      <c r="H453" s="3">
        <v>230.4</v>
      </c>
      <c r="I453" s="1" t="s">
        <v>1522</v>
      </c>
      <c r="J453" s="5" t="s">
        <v>7419</v>
      </c>
      <c r="K453" s="2">
        <f t="shared" si="7"/>
        <v>11.52</v>
      </c>
    </row>
    <row r="454" spans="1:11" x14ac:dyDescent="0.25">
      <c r="A454" s="5" t="s">
        <v>15067</v>
      </c>
      <c r="B454" s="5" t="s">
        <v>15278</v>
      </c>
      <c r="C454" s="5" t="s">
        <v>1533</v>
      </c>
      <c r="D454" s="5" t="s">
        <v>1533</v>
      </c>
      <c r="E454" s="5" t="s">
        <v>1533</v>
      </c>
      <c r="F454" s="5">
        <v>76</v>
      </c>
      <c r="G454" s="5" t="s">
        <v>15142</v>
      </c>
      <c r="H454" s="8">
        <v>867.92</v>
      </c>
      <c r="I454" s="5" t="s">
        <v>1522</v>
      </c>
      <c r="J454" s="5" t="s">
        <v>7416</v>
      </c>
      <c r="K454" s="2">
        <f t="shared" si="7"/>
        <v>11.42</v>
      </c>
    </row>
    <row r="455" spans="1:11" x14ac:dyDescent="0.25">
      <c r="A455" s="5" t="s">
        <v>15067</v>
      </c>
      <c r="B455" s="5" t="s">
        <v>15278</v>
      </c>
      <c r="C455" s="5" t="s">
        <v>1533</v>
      </c>
      <c r="D455" s="5" t="s">
        <v>1533</v>
      </c>
      <c r="E455" s="5" t="s">
        <v>1533</v>
      </c>
      <c r="F455" s="5">
        <v>30</v>
      </c>
      <c r="G455" s="5" t="s">
        <v>15142</v>
      </c>
      <c r="H455" s="8">
        <v>342.6</v>
      </c>
      <c r="I455" s="1" t="s">
        <v>1522</v>
      </c>
      <c r="J455" s="5" t="s">
        <v>7417</v>
      </c>
      <c r="K455" s="2">
        <f t="shared" si="7"/>
        <v>11.42</v>
      </c>
    </row>
    <row r="456" spans="1:11" ht="27" x14ac:dyDescent="0.25">
      <c r="A456" s="1" t="s">
        <v>15067</v>
      </c>
      <c r="B456" s="1" t="s">
        <v>15278</v>
      </c>
      <c r="C456" s="1" t="s">
        <v>1533</v>
      </c>
      <c r="D456" s="1" t="s">
        <v>1533</v>
      </c>
      <c r="E456" s="1" t="s">
        <v>1533</v>
      </c>
      <c r="F456" s="1">
        <v>97</v>
      </c>
      <c r="G456" s="1" t="s">
        <v>15142</v>
      </c>
      <c r="H456" s="3">
        <v>1107.74</v>
      </c>
      <c r="I456" s="1" t="s">
        <v>1522</v>
      </c>
      <c r="J456" s="5" t="s">
        <v>7418</v>
      </c>
      <c r="K456" s="2">
        <f t="shared" si="7"/>
        <v>11.42</v>
      </c>
    </row>
    <row r="457" spans="1:11" ht="27" x14ac:dyDescent="0.25">
      <c r="A457" s="1" t="s">
        <v>15067</v>
      </c>
      <c r="B457" s="1" t="s">
        <v>15278</v>
      </c>
      <c r="C457" s="1" t="s">
        <v>1533</v>
      </c>
      <c r="D457" s="1" t="s">
        <v>1533</v>
      </c>
      <c r="E457" s="1" t="s">
        <v>1533</v>
      </c>
      <c r="F457" s="1">
        <v>60</v>
      </c>
      <c r="G457" s="1" t="s">
        <v>15142</v>
      </c>
      <c r="H457" s="3">
        <v>685.2</v>
      </c>
      <c r="I457" s="1" t="s">
        <v>1522</v>
      </c>
      <c r="J457" s="5" t="s">
        <v>7419</v>
      </c>
      <c r="K457" s="2">
        <f t="shared" si="7"/>
        <v>11.42</v>
      </c>
    </row>
    <row r="458" spans="1:11" x14ac:dyDescent="0.25">
      <c r="A458" s="1" t="s">
        <v>15092</v>
      </c>
      <c r="B458" s="1" t="s">
        <v>15151</v>
      </c>
      <c r="C458" s="1" t="s">
        <v>1533</v>
      </c>
      <c r="D458" s="1" t="s">
        <v>1533</v>
      </c>
      <c r="E458" s="1" t="s">
        <v>1533</v>
      </c>
      <c r="F458" s="1">
        <v>32</v>
      </c>
      <c r="G458" s="1" t="s">
        <v>15142</v>
      </c>
      <c r="H458" s="3">
        <v>360</v>
      </c>
      <c r="I458" s="1" t="s">
        <v>4</v>
      </c>
      <c r="J458" s="5" t="s">
        <v>7417</v>
      </c>
      <c r="K458" s="2">
        <f t="shared" si="7"/>
        <v>11.25</v>
      </c>
    </row>
    <row r="459" spans="1:11" ht="27" x14ac:dyDescent="0.25">
      <c r="A459" s="1" t="s">
        <v>15073</v>
      </c>
      <c r="B459" s="1" t="s">
        <v>15255</v>
      </c>
      <c r="C459" s="1" t="s">
        <v>1533</v>
      </c>
      <c r="D459" s="1" t="s">
        <v>1533</v>
      </c>
      <c r="E459" s="1" t="s">
        <v>1533</v>
      </c>
      <c r="F459" s="1">
        <v>34</v>
      </c>
      <c r="G459" s="1" t="s">
        <v>15142</v>
      </c>
      <c r="H459" s="3">
        <v>372.6</v>
      </c>
      <c r="I459" s="1" t="s">
        <v>4</v>
      </c>
      <c r="J459" s="5" t="s">
        <v>7419</v>
      </c>
      <c r="K459" s="2">
        <f t="shared" si="7"/>
        <v>10.958823529411765</v>
      </c>
    </row>
    <row r="460" spans="1:11" x14ac:dyDescent="0.25">
      <c r="A460" s="5" t="s">
        <v>15073</v>
      </c>
      <c r="B460" s="5" t="s">
        <v>15242</v>
      </c>
      <c r="C460" s="5" t="s">
        <v>1533</v>
      </c>
      <c r="D460" s="5" t="s">
        <v>1533</v>
      </c>
      <c r="E460" s="5" t="s">
        <v>1533</v>
      </c>
      <c r="F460" s="5">
        <v>4</v>
      </c>
      <c r="G460" s="5" t="s">
        <v>15142</v>
      </c>
      <c r="H460" s="8">
        <v>43.6</v>
      </c>
      <c r="I460" s="5" t="s">
        <v>4</v>
      </c>
      <c r="J460" s="5" t="s">
        <v>7416</v>
      </c>
      <c r="K460" s="2">
        <f t="shared" si="7"/>
        <v>10.9</v>
      </c>
    </row>
    <row r="461" spans="1:11" x14ac:dyDescent="0.25">
      <c r="A461" s="1" t="s">
        <v>15073</v>
      </c>
      <c r="B461" s="1" t="s">
        <v>15256</v>
      </c>
      <c r="C461" s="1" t="s">
        <v>1533</v>
      </c>
      <c r="D461" s="1" t="s">
        <v>1533</v>
      </c>
      <c r="E461" s="1" t="s">
        <v>1533</v>
      </c>
      <c r="F461" s="1">
        <v>40</v>
      </c>
      <c r="G461" s="1" t="s">
        <v>15142</v>
      </c>
      <c r="H461" s="3">
        <v>436</v>
      </c>
      <c r="I461" s="1" t="s">
        <v>4</v>
      </c>
      <c r="J461" s="5" t="s">
        <v>7417</v>
      </c>
      <c r="K461" s="2">
        <f t="shared" si="7"/>
        <v>10.9</v>
      </c>
    </row>
    <row r="462" spans="1:11" x14ac:dyDescent="0.25">
      <c r="A462" s="1" t="s">
        <v>15073</v>
      </c>
      <c r="B462" s="1" t="s">
        <v>15279</v>
      </c>
      <c r="C462" s="1" t="s">
        <v>1533</v>
      </c>
      <c r="D462" s="1" t="s">
        <v>1533</v>
      </c>
      <c r="E462" s="1" t="s">
        <v>1533</v>
      </c>
      <c r="F462" s="1">
        <v>6</v>
      </c>
      <c r="G462" s="1" t="s">
        <v>15142</v>
      </c>
      <c r="H462" s="3">
        <v>63.4</v>
      </c>
      <c r="I462" s="1" t="s">
        <v>4</v>
      </c>
      <c r="J462" s="5" t="s">
        <v>7419</v>
      </c>
      <c r="K462" s="2">
        <f t="shared" si="7"/>
        <v>10.566666666666666</v>
      </c>
    </row>
    <row r="463" spans="1:11" ht="27" x14ac:dyDescent="0.25">
      <c r="A463" s="1" t="s">
        <v>15067</v>
      </c>
      <c r="B463" s="1" t="s">
        <v>15280</v>
      </c>
      <c r="C463" s="1" t="s">
        <v>1533</v>
      </c>
      <c r="D463" s="1" t="s">
        <v>1533</v>
      </c>
      <c r="E463" s="1" t="s">
        <v>1533</v>
      </c>
      <c r="F463" s="1">
        <v>28</v>
      </c>
      <c r="G463" s="1" t="s">
        <v>15142</v>
      </c>
      <c r="H463" s="3">
        <v>291.2</v>
      </c>
      <c r="I463" s="1" t="s">
        <v>1522</v>
      </c>
      <c r="J463" s="5" t="s">
        <v>7420</v>
      </c>
      <c r="K463" s="2">
        <f t="shared" si="7"/>
        <v>10.4</v>
      </c>
    </row>
    <row r="464" spans="1:11" x14ac:dyDescent="0.25">
      <c r="A464" s="1" t="s">
        <v>15073</v>
      </c>
      <c r="B464" s="1" t="s">
        <v>15281</v>
      </c>
      <c r="C464" s="1" t="s">
        <v>1533</v>
      </c>
      <c r="D464" s="1" t="s">
        <v>1533</v>
      </c>
      <c r="E464" s="1" t="s">
        <v>1533</v>
      </c>
      <c r="F464" s="1">
        <v>32</v>
      </c>
      <c r="G464" s="1" t="s">
        <v>15142</v>
      </c>
      <c r="H464" s="3">
        <v>332.8</v>
      </c>
      <c r="I464" s="1" t="s">
        <v>4</v>
      </c>
      <c r="J464" s="5" t="s">
        <v>7420</v>
      </c>
      <c r="K464" s="2">
        <f t="shared" si="7"/>
        <v>10.4</v>
      </c>
    </row>
    <row r="465" spans="1:11" x14ac:dyDescent="0.25">
      <c r="A465" s="1" t="s">
        <v>15080</v>
      </c>
      <c r="B465" s="1" t="s">
        <v>15151</v>
      </c>
      <c r="C465" s="1" t="s">
        <v>1533</v>
      </c>
      <c r="D465" s="1" t="s">
        <v>1533</v>
      </c>
      <c r="E465" s="1" t="s">
        <v>1533</v>
      </c>
      <c r="F465" s="1">
        <v>200</v>
      </c>
      <c r="G465" s="1" t="s">
        <v>15142</v>
      </c>
      <c r="H465" s="3">
        <v>2070</v>
      </c>
      <c r="I465" s="1" t="s">
        <v>4</v>
      </c>
      <c r="J465" s="5" t="s">
        <v>7418</v>
      </c>
      <c r="K465" s="2">
        <f t="shared" si="7"/>
        <v>10.35</v>
      </c>
    </row>
    <row r="466" spans="1:11" x14ac:dyDescent="0.25">
      <c r="A466" s="1" t="s">
        <v>15080</v>
      </c>
      <c r="B466" s="1" t="s">
        <v>15151</v>
      </c>
      <c r="C466" s="1" t="s">
        <v>1533</v>
      </c>
      <c r="D466" s="1" t="s">
        <v>1533</v>
      </c>
      <c r="E466" s="1" t="s">
        <v>1533</v>
      </c>
      <c r="F466" s="1">
        <v>200</v>
      </c>
      <c r="G466" s="1" t="s">
        <v>15142</v>
      </c>
      <c r="H466" s="3">
        <v>2070</v>
      </c>
      <c r="I466" s="1" t="s">
        <v>4</v>
      </c>
      <c r="J466" s="5" t="s">
        <v>7420</v>
      </c>
      <c r="K466" s="2">
        <f t="shared" si="7"/>
        <v>10.35</v>
      </c>
    </row>
    <row r="467" spans="1:11" x14ac:dyDescent="0.25">
      <c r="A467" s="5" t="s">
        <v>15073</v>
      </c>
      <c r="B467" s="5" t="s">
        <v>15282</v>
      </c>
      <c r="C467" s="5" t="s">
        <v>1533</v>
      </c>
      <c r="D467" s="5" t="s">
        <v>1533</v>
      </c>
      <c r="E467" s="5" t="s">
        <v>1533</v>
      </c>
      <c r="F467" s="5">
        <v>22</v>
      </c>
      <c r="G467" s="5" t="s">
        <v>15142</v>
      </c>
      <c r="H467" s="8">
        <v>224.07</v>
      </c>
      <c r="I467" s="5" t="s">
        <v>1522</v>
      </c>
      <c r="J467" s="5" t="s">
        <v>7416</v>
      </c>
      <c r="K467" s="2">
        <f t="shared" si="7"/>
        <v>10.185</v>
      </c>
    </row>
    <row r="468" spans="1:11" ht="27" x14ac:dyDescent="0.25">
      <c r="A468" s="1" t="s">
        <v>15073</v>
      </c>
      <c r="B468" s="1" t="s">
        <v>15255</v>
      </c>
      <c r="C468" s="1" t="s">
        <v>1533</v>
      </c>
      <c r="D468" s="1" t="s">
        <v>1533</v>
      </c>
      <c r="E468" s="1" t="s">
        <v>1533</v>
      </c>
      <c r="F468" s="1">
        <v>62</v>
      </c>
      <c r="G468" s="1" t="s">
        <v>15142</v>
      </c>
      <c r="H468" s="3">
        <v>629.79999999999995</v>
      </c>
      <c r="I468" s="1" t="s">
        <v>4</v>
      </c>
      <c r="J468" s="5" t="s">
        <v>7420</v>
      </c>
      <c r="K468" s="2">
        <f t="shared" si="7"/>
        <v>10.158064516129032</v>
      </c>
    </row>
    <row r="469" spans="1:11" x14ac:dyDescent="0.25">
      <c r="A469" s="1" t="s">
        <v>15098</v>
      </c>
      <c r="B469" s="1" t="s">
        <v>15283</v>
      </c>
      <c r="C469" s="1" t="s">
        <v>1533</v>
      </c>
      <c r="D469" s="1" t="s">
        <v>1533</v>
      </c>
      <c r="E469" s="1" t="s">
        <v>1533</v>
      </c>
      <c r="F469" s="1">
        <v>4</v>
      </c>
      <c r="G469" s="1" t="s">
        <v>15142</v>
      </c>
      <c r="H469" s="3">
        <v>40</v>
      </c>
      <c r="I469" s="1" t="s">
        <v>1522</v>
      </c>
      <c r="J469" s="5" t="s">
        <v>7419</v>
      </c>
      <c r="K469" s="2">
        <f t="shared" si="7"/>
        <v>10</v>
      </c>
    </row>
    <row r="470" spans="1:11" x14ac:dyDescent="0.25">
      <c r="A470" s="5" t="s">
        <v>15073</v>
      </c>
      <c r="B470" s="5" t="s">
        <v>15279</v>
      </c>
      <c r="C470" s="5" t="s">
        <v>1533</v>
      </c>
      <c r="D470" s="5" t="s">
        <v>1533</v>
      </c>
      <c r="E470" s="5" t="s">
        <v>1533</v>
      </c>
      <c r="F470" s="5">
        <v>8</v>
      </c>
      <c r="G470" s="5" t="s">
        <v>15142</v>
      </c>
      <c r="H470" s="8">
        <v>79.2</v>
      </c>
      <c r="I470" s="5" t="s">
        <v>1522</v>
      </c>
      <c r="J470" s="5" t="s">
        <v>7416</v>
      </c>
      <c r="K470" s="2">
        <f t="shared" si="7"/>
        <v>9.9</v>
      </c>
    </row>
    <row r="471" spans="1:11" x14ac:dyDescent="0.25">
      <c r="A471" s="5" t="s">
        <v>15073</v>
      </c>
      <c r="B471" s="5" t="s">
        <v>15284</v>
      </c>
      <c r="C471" s="5" t="s">
        <v>1533</v>
      </c>
      <c r="D471" s="5" t="s">
        <v>1533</v>
      </c>
      <c r="E471" s="5" t="s">
        <v>1533</v>
      </c>
      <c r="F471" s="5">
        <v>6</v>
      </c>
      <c r="G471" s="5" t="s">
        <v>15142</v>
      </c>
      <c r="H471" s="8">
        <v>59.4</v>
      </c>
      <c r="I471" s="5" t="s">
        <v>1522</v>
      </c>
      <c r="J471" s="5" t="s">
        <v>7416</v>
      </c>
      <c r="K471" s="2">
        <f t="shared" si="7"/>
        <v>9.9</v>
      </c>
    </row>
    <row r="472" spans="1:11" x14ac:dyDescent="0.25">
      <c r="A472" s="5" t="s">
        <v>15073</v>
      </c>
      <c r="B472" s="5" t="s">
        <v>15285</v>
      </c>
      <c r="C472" s="5" t="s">
        <v>1533</v>
      </c>
      <c r="D472" s="5" t="s">
        <v>1533</v>
      </c>
      <c r="E472" s="5" t="s">
        <v>1533</v>
      </c>
      <c r="F472" s="5">
        <v>2</v>
      </c>
      <c r="G472" s="5" t="s">
        <v>15142</v>
      </c>
      <c r="H472" s="8">
        <v>19.8</v>
      </c>
      <c r="I472" s="5" t="s">
        <v>1522</v>
      </c>
      <c r="J472" s="5" t="s">
        <v>7416</v>
      </c>
      <c r="K472" s="2">
        <f t="shared" si="7"/>
        <v>9.9</v>
      </c>
    </row>
    <row r="473" spans="1:11" x14ac:dyDescent="0.25">
      <c r="A473" s="5" t="s">
        <v>15068</v>
      </c>
      <c r="B473" s="5" t="s">
        <v>15286</v>
      </c>
      <c r="C473" s="5" t="s">
        <v>1533</v>
      </c>
      <c r="D473" s="5" t="s">
        <v>1533</v>
      </c>
      <c r="E473" s="5" t="s">
        <v>1533</v>
      </c>
      <c r="F473" s="5">
        <v>1</v>
      </c>
      <c r="G473" s="5" t="s">
        <v>15142</v>
      </c>
      <c r="H473" s="8">
        <v>9.9</v>
      </c>
      <c r="I473" s="5" t="s">
        <v>1522</v>
      </c>
      <c r="J473" s="5" t="s">
        <v>7416</v>
      </c>
      <c r="K473" s="2">
        <f t="shared" si="7"/>
        <v>9.9</v>
      </c>
    </row>
    <row r="474" spans="1:11" x14ac:dyDescent="0.25">
      <c r="A474" s="5" t="s">
        <v>15073</v>
      </c>
      <c r="B474" s="5" t="s">
        <v>15285</v>
      </c>
      <c r="C474" s="5" t="s">
        <v>1533</v>
      </c>
      <c r="D474" s="5" t="s">
        <v>1533</v>
      </c>
      <c r="E474" s="5" t="s">
        <v>1533</v>
      </c>
      <c r="F474" s="5">
        <v>29</v>
      </c>
      <c r="G474" s="5" t="s">
        <v>15142</v>
      </c>
      <c r="H474" s="8">
        <v>287.10000000000002</v>
      </c>
      <c r="I474" s="5" t="s">
        <v>4</v>
      </c>
      <c r="J474" s="5" t="s">
        <v>7416</v>
      </c>
      <c r="K474" s="2">
        <f t="shared" si="7"/>
        <v>9.9</v>
      </c>
    </row>
    <row r="475" spans="1:11" x14ac:dyDescent="0.25">
      <c r="A475" s="5" t="s">
        <v>15073</v>
      </c>
      <c r="B475" s="5" t="s">
        <v>15282</v>
      </c>
      <c r="C475" s="5" t="s">
        <v>1533</v>
      </c>
      <c r="D475" s="5" t="s">
        <v>1533</v>
      </c>
      <c r="E475" s="5" t="s">
        <v>1533</v>
      </c>
      <c r="F475" s="5">
        <v>28</v>
      </c>
      <c r="G475" s="5" t="s">
        <v>15142</v>
      </c>
      <c r="H475" s="8">
        <v>277.2</v>
      </c>
      <c r="I475" s="5" t="s">
        <v>4</v>
      </c>
      <c r="J475" s="5" t="s">
        <v>7416</v>
      </c>
      <c r="K475" s="2">
        <f t="shared" si="7"/>
        <v>9.9</v>
      </c>
    </row>
    <row r="476" spans="1:11" x14ac:dyDescent="0.25">
      <c r="A476" s="5" t="s">
        <v>15073</v>
      </c>
      <c r="B476" s="5" t="s">
        <v>15221</v>
      </c>
      <c r="C476" s="5" t="s">
        <v>1533</v>
      </c>
      <c r="D476" s="5" t="s">
        <v>1533</v>
      </c>
      <c r="E476" s="5" t="s">
        <v>1533</v>
      </c>
      <c r="F476" s="5">
        <v>11</v>
      </c>
      <c r="G476" s="5" t="s">
        <v>15142</v>
      </c>
      <c r="H476" s="8">
        <v>108.9</v>
      </c>
      <c r="I476" s="5" t="s">
        <v>4</v>
      </c>
      <c r="J476" s="5" t="s">
        <v>7416</v>
      </c>
      <c r="K476" s="2">
        <f t="shared" si="7"/>
        <v>9.9</v>
      </c>
    </row>
    <row r="477" spans="1:11" x14ac:dyDescent="0.25">
      <c r="A477" s="5" t="s">
        <v>15073</v>
      </c>
      <c r="B477" s="5" t="s">
        <v>15287</v>
      </c>
      <c r="C477" s="5" t="s">
        <v>1533</v>
      </c>
      <c r="D477" s="5" t="s">
        <v>1533</v>
      </c>
      <c r="E477" s="5" t="s">
        <v>1533</v>
      </c>
      <c r="F477" s="5">
        <v>5</v>
      </c>
      <c r="G477" s="5" t="s">
        <v>15142</v>
      </c>
      <c r="H477" s="8">
        <v>49.5</v>
      </c>
      <c r="I477" s="5" t="s">
        <v>4</v>
      </c>
      <c r="J477" s="5" t="s">
        <v>7416</v>
      </c>
      <c r="K477" s="2">
        <f t="shared" si="7"/>
        <v>9.9</v>
      </c>
    </row>
    <row r="478" spans="1:11" x14ac:dyDescent="0.25">
      <c r="A478" s="5" t="s">
        <v>15068</v>
      </c>
      <c r="B478" s="5" t="s">
        <v>15288</v>
      </c>
      <c r="C478" s="5" t="s">
        <v>1533</v>
      </c>
      <c r="D478" s="5" t="s">
        <v>1533</v>
      </c>
      <c r="E478" s="5" t="s">
        <v>1533</v>
      </c>
      <c r="F478" s="5">
        <v>5</v>
      </c>
      <c r="G478" s="5" t="s">
        <v>15142</v>
      </c>
      <c r="H478" s="8">
        <v>49.5</v>
      </c>
      <c r="I478" s="5" t="s">
        <v>4</v>
      </c>
      <c r="J478" s="5" t="s">
        <v>7416</v>
      </c>
      <c r="K478" s="2">
        <f t="shared" si="7"/>
        <v>9.9</v>
      </c>
    </row>
    <row r="479" spans="1:11" x14ac:dyDescent="0.25">
      <c r="A479" s="5" t="s">
        <v>15073</v>
      </c>
      <c r="B479" s="5" t="s">
        <v>15281</v>
      </c>
      <c r="C479" s="5" t="s">
        <v>1533</v>
      </c>
      <c r="D479" s="5" t="s">
        <v>1533</v>
      </c>
      <c r="E479" s="5" t="s">
        <v>1533</v>
      </c>
      <c r="F479" s="5">
        <v>4</v>
      </c>
      <c r="G479" s="5" t="s">
        <v>15142</v>
      </c>
      <c r="H479" s="8">
        <v>39.6</v>
      </c>
      <c r="I479" s="5" t="s">
        <v>4</v>
      </c>
      <c r="J479" s="5" t="s">
        <v>7416</v>
      </c>
      <c r="K479" s="2">
        <f t="shared" si="7"/>
        <v>9.9</v>
      </c>
    </row>
    <row r="480" spans="1:11" x14ac:dyDescent="0.25">
      <c r="A480" s="5" t="s">
        <v>15068</v>
      </c>
      <c r="B480" s="5" t="s">
        <v>15289</v>
      </c>
      <c r="C480" s="5" t="s">
        <v>1533</v>
      </c>
      <c r="D480" s="5" t="s">
        <v>1533</v>
      </c>
      <c r="E480" s="5" t="s">
        <v>1533</v>
      </c>
      <c r="F480" s="5">
        <v>3</v>
      </c>
      <c r="G480" s="5" t="s">
        <v>15142</v>
      </c>
      <c r="H480" s="8">
        <v>29.7</v>
      </c>
      <c r="I480" s="5" t="s">
        <v>4</v>
      </c>
      <c r="J480" s="5" t="s">
        <v>7416</v>
      </c>
      <c r="K480" s="2">
        <f t="shared" si="7"/>
        <v>9.9</v>
      </c>
    </row>
    <row r="481" spans="1:11" x14ac:dyDescent="0.25">
      <c r="A481" s="5" t="s">
        <v>15073</v>
      </c>
      <c r="B481" s="5" t="s">
        <v>15284</v>
      </c>
      <c r="C481" s="5" t="s">
        <v>1533</v>
      </c>
      <c r="D481" s="5" t="s">
        <v>1533</v>
      </c>
      <c r="E481" s="5" t="s">
        <v>1533</v>
      </c>
      <c r="F481" s="5">
        <v>2</v>
      </c>
      <c r="G481" s="5" t="s">
        <v>15142</v>
      </c>
      <c r="H481" s="8">
        <v>19.8</v>
      </c>
      <c r="I481" s="5" t="s">
        <v>4</v>
      </c>
      <c r="J481" s="5" t="s">
        <v>7416</v>
      </c>
      <c r="K481" s="2">
        <f t="shared" si="7"/>
        <v>9.9</v>
      </c>
    </row>
    <row r="482" spans="1:11" x14ac:dyDescent="0.25">
      <c r="A482" s="5" t="s">
        <v>15073</v>
      </c>
      <c r="B482" s="5" t="s">
        <v>15265</v>
      </c>
      <c r="C482" s="5" t="s">
        <v>1533</v>
      </c>
      <c r="D482" s="5" t="s">
        <v>1533</v>
      </c>
      <c r="E482" s="5" t="s">
        <v>1533</v>
      </c>
      <c r="F482" s="5">
        <v>1</v>
      </c>
      <c r="G482" s="5" t="s">
        <v>15142</v>
      </c>
      <c r="H482" s="8">
        <v>9.9</v>
      </c>
      <c r="I482" s="5" t="s">
        <v>4</v>
      </c>
      <c r="J482" s="5" t="s">
        <v>7416</v>
      </c>
      <c r="K482" s="2">
        <f t="shared" si="7"/>
        <v>9.9</v>
      </c>
    </row>
    <row r="483" spans="1:11" x14ac:dyDescent="0.25">
      <c r="A483" s="5" t="s">
        <v>15068</v>
      </c>
      <c r="B483" s="5" t="s">
        <v>15290</v>
      </c>
      <c r="C483" s="5" t="s">
        <v>1533</v>
      </c>
      <c r="D483" s="5" t="s">
        <v>1533</v>
      </c>
      <c r="E483" s="5" t="s">
        <v>1533</v>
      </c>
      <c r="F483" s="5">
        <v>1</v>
      </c>
      <c r="G483" s="5" t="s">
        <v>15142</v>
      </c>
      <c r="H483" s="8">
        <v>9.9</v>
      </c>
      <c r="I483" s="5" t="s">
        <v>4</v>
      </c>
      <c r="J483" s="5" t="s">
        <v>7416</v>
      </c>
      <c r="K483" s="2">
        <f t="shared" si="7"/>
        <v>9.9</v>
      </c>
    </row>
    <row r="484" spans="1:11" x14ac:dyDescent="0.25">
      <c r="A484" s="5" t="s">
        <v>15068</v>
      </c>
      <c r="B484" s="5" t="s">
        <v>15291</v>
      </c>
      <c r="C484" s="5" t="s">
        <v>1533</v>
      </c>
      <c r="D484" s="5" t="s">
        <v>1533</v>
      </c>
      <c r="E484" s="5" t="s">
        <v>1533</v>
      </c>
      <c r="F484" s="5">
        <v>1</v>
      </c>
      <c r="G484" s="5" t="s">
        <v>15142</v>
      </c>
      <c r="H484" s="8">
        <v>9.9</v>
      </c>
      <c r="I484" s="5" t="s">
        <v>4</v>
      </c>
      <c r="J484" s="5" t="s">
        <v>7416</v>
      </c>
      <c r="K484" s="2">
        <f t="shared" si="7"/>
        <v>9.9</v>
      </c>
    </row>
    <row r="485" spans="1:11" x14ac:dyDescent="0.25">
      <c r="A485" s="5" t="s">
        <v>15073</v>
      </c>
      <c r="B485" s="5" t="s">
        <v>15281</v>
      </c>
      <c r="C485" s="5" t="s">
        <v>1533</v>
      </c>
      <c r="D485" s="5" t="s">
        <v>1533</v>
      </c>
      <c r="E485" s="5" t="s">
        <v>1533</v>
      </c>
      <c r="F485" s="5">
        <v>10</v>
      </c>
      <c r="G485" s="5" t="s">
        <v>15142</v>
      </c>
      <c r="H485" s="8">
        <v>99</v>
      </c>
      <c r="I485" s="1" t="s">
        <v>1522</v>
      </c>
      <c r="J485" s="5" t="s">
        <v>7417</v>
      </c>
      <c r="K485" s="2">
        <f t="shared" si="7"/>
        <v>9.9</v>
      </c>
    </row>
    <row r="486" spans="1:11" x14ac:dyDescent="0.25">
      <c r="A486" s="5" t="s">
        <v>15073</v>
      </c>
      <c r="B486" s="5" t="s">
        <v>15284</v>
      </c>
      <c r="C486" s="5" t="s">
        <v>1533</v>
      </c>
      <c r="D486" s="5" t="s">
        <v>1533</v>
      </c>
      <c r="E486" s="5" t="s">
        <v>1533</v>
      </c>
      <c r="F486" s="5">
        <v>10</v>
      </c>
      <c r="G486" s="5" t="s">
        <v>15142</v>
      </c>
      <c r="H486" s="8">
        <v>99</v>
      </c>
      <c r="I486" s="1" t="s">
        <v>1522</v>
      </c>
      <c r="J486" s="5" t="s">
        <v>7417</v>
      </c>
      <c r="K486" s="2">
        <f t="shared" si="7"/>
        <v>9.9</v>
      </c>
    </row>
    <row r="487" spans="1:11" x14ac:dyDescent="0.25">
      <c r="A487" s="5" t="s">
        <v>15073</v>
      </c>
      <c r="B487" s="5" t="s">
        <v>15239</v>
      </c>
      <c r="C487" s="5" t="s">
        <v>1533</v>
      </c>
      <c r="D487" s="5" t="s">
        <v>1533</v>
      </c>
      <c r="E487" s="5" t="s">
        <v>1533</v>
      </c>
      <c r="F487" s="5">
        <v>10</v>
      </c>
      <c r="G487" s="5" t="s">
        <v>15142</v>
      </c>
      <c r="H487" s="8">
        <v>99</v>
      </c>
      <c r="I487" s="1" t="s">
        <v>1522</v>
      </c>
      <c r="J487" s="5" t="s">
        <v>7417</v>
      </c>
      <c r="K487" s="2">
        <f t="shared" si="7"/>
        <v>9.9</v>
      </c>
    </row>
    <row r="488" spans="1:11" x14ac:dyDescent="0.25">
      <c r="A488" s="5" t="s">
        <v>15073</v>
      </c>
      <c r="B488" s="5" t="s">
        <v>15279</v>
      </c>
      <c r="C488" s="5" t="s">
        <v>1533</v>
      </c>
      <c r="D488" s="5" t="s">
        <v>1533</v>
      </c>
      <c r="E488" s="5" t="s">
        <v>1533</v>
      </c>
      <c r="F488" s="5">
        <v>10</v>
      </c>
      <c r="G488" s="5" t="s">
        <v>15142</v>
      </c>
      <c r="H488" s="8">
        <v>99</v>
      </c>
      <c r="I488" s="1" t="s">
        <v>1522</v>
      </c>
      <c r="J488" s="5" t="s">
        <v>7417</v>
      </c>
      <c r="K488" s="2">
        <f t="shared" si="7"/>
        <v>9.9</v>
      </c>
    </row>
    <row r="489" spans="1:11" x14ac:dyDescent="0.25">
      <c r="A489" s="5" t="s">
        <v>15068</v>
      </c>
      <c r="B489" s="5" t="s">
        <v>15290</v>
      </c>
      <c r="C489" s="5" t="s">
        <v>1533</v>
      </c>
      <c r="D489" s="5" t="s">
        <v>1533</v>
      </c>
      <c r="E489" s="5" t="s">
        <v>1533</v>
      </c>
      <c r="F489" s="5">
        <v>10</v>
      </c>
      <c r="G489" s="5" t="s">
        <v>15142</v>
      </c>
      <c r="H489" s="8">
        <v>99</v>
      </c>
      <c r="I489" s="1" t="s">
        <v>1522</v>
      </c>
      <c r="J489" s="5" t="s">
        <v>7417</v>
      </c>
      <c r="K489" s="2">
        <f t="shared" si="7"/>
        <v>9.9</v>
      </c>
    </row>
    <row r="490" spans="1:11" x14ac:dyDescent="0.25">
      <c r="A490" s="5" t="s">
        <v>15068</v>
      </c>
      <c r="B490" s="5" t="s">
        <v>15288</v>
      </c>
      <c r="C490" s="5" t="s">
        <v>1533</v>
      </c>
      <c r="D490" s="5" t="s">
        <v>1533</v>
      </c>
      <c r="E490" s="5" t="s">
        <v>1533</v>
      </c>
      <c r="F490" s="5">
        <v>10</v>
      </c>
      <c r="G490" s="5" t="s">
        <v>15142</v>
      </c>
      <c r="H490" s="8">
        <v>99</v>
      </c>
      <c r="I490" s="1" t="s">
        <v>1522</v>
      </c>
      <c r="J490" s="5" t="s">
        <v>7417</v>
      </c>
      <c r="K490" s="2">
        <f t="shared" si="7"/>
        <v>9.9</v>
      </c>
    </row>
    <row r="491" spans="1:11" x14ac:dyDescent="0.25">
      <c r="A491" s="5" t="s">
        <v>15068</v>
      </c>
      <c r="B491" s="5" t="s">
        <v>15286</v>
      </c>
      <c r="C491" s="5" t="s">
        <v>1533</v>
      </c>
      <c r="D491" s="5" t="s">
        <v>1533</v>
      </c>
      <c r="E491" s="5" t="s">
        <v>1533</v>
      </c>
      <c r="F491" s="5">
        <v>10</v>
      </c>
      <c r="G491" s="5" t="s">
        <v>15142</v>
      </c>
      <c r="H491" s="8">
        <v>99</v>
      </c>
      <c r="I491" s="1" t="s">
        <v>1522</v>
      </c>
      <c r="J491" s="5" t="s">
        <v>7417</v>
      </c>
      <c r="K491" s="2">
        <f t="shared" si="7"/>
        <v>9.9</v>
      </c>
    </row>
    <row r="492" spans="1:11" x14ac:dyDescent="0.25">
      <c r="A492" s="5" t="s">
        <v>15068</v>
      </c>
      <c r="B492" s="5" t="s">
        <v>15291</v>
      </c>
      <c r="C492" s="5" t="s">
        <v>1533</v>
      </c>
      <c r="D492" s="5" t="s">
        <v>1533</v>
      </c>
      <c r="E492" s="5" t="s">
        <v>1533</v>
      </c>
      <c r="F492" s="5">
        <v>10</v>
      </c>
      <c r="G492" s="5" t="s">
        <v>15142</v>
      </c>
      <c r="H492" s="8">
        <v>99</v>
      </c>
      <c r="I492" s="1" t="s">
        <v>1522</v>
      </c>
      <c r="J492" s="5" t="s">
        <v>7417</v>
      </c>
      <c r="K492" s="2">
        <f t="shared" si="7"/>
        <v>9.9</v>
      </c>
    </row>
    <row r="493" spans="1:11" x14ac:dyDescent="0.25">
      <c r="A493" s="5" t="s">
        <v>15073</v>
      </c>
      <c r="B493" s="5" t="s">
        <v>15282</v>
      </c>
      <c r="C493" s="5" t="s">
        <v>1533</v>
      </c>
      <c r="D493" s="5" t="s">
        <v>1533</v>
      </c>
      <c r="E493" s="5" t="s">
        <v>1533</v>
      </c>
      <c r="F493" s="5">
        <v>7</v>
      </c>
      <c r="G493" s="5" t="s">
        <v>15142</v>
      </c>
      <c r="H493" s="8">
        <v>69.3</v>
      </c>
      <c r="I493" s="1" t="s">
        <v>1522</v>
      </c>
      <c r="J493" s="5" t="s">
        <v>7417</v>
      </c>
      <c r="K493" s="2">
        <f t="shared" si="7"/>
        <v>9.9</v>
      </c>
    </row>
    <row r="494" spans="1:11" x14ac:dyDescent="0.25">
      <c r="A494" s="5" t="s">
        <v>15073</v>
      </c>
      <c r="B494" s="5" t="s">
        <v>15285</v>
      </c>
      <c r="C494" s="5" t="s">
        <v>1533</v>
      </c>
      <c r="D494" s="5" t="s">
        <v>1533</v>
      </c>
      <c r="E494" s="5" t="s">
        <v>1533</v>
      </c>
      <c r="F494" s="5">
        <v>5</v>
      </c>
      <c r="G494" s="5" t="s">
        <v>15142</v>
      </c>
      <c r="H494" s="8">
        <v>49.5</v>
      </c>
      <c r="I494" s="1" t="s">
        <v>1522</v>
      </c>
      <c r="J494" s="5" t="s">
        <v>7417</v>
      </c>
      <c r="K494" s="2">
        <f t="shared" si="7"/>
        <v>9.9</v>
      </c>
    </row>
    <row r="495" spans="1:11" ht="27" x14ac:dyDescent="0.25">
      <c r="A495" s="1" t="s">
        <v>15073</v>
      </c>
      <c r="B495" s="1" t="s">
        <v>15255</v>
      </c>
      <c r="C495" s="1" t="s">
        <v>1533</v>
      </c>
      <c r="D495" s="1" t="s">
        <v>1533</v>
      </c>
      <c r="E495" s="1" t="s">
        <v>1533</v>
      </c>
      <c r="F495" s="1">
        <v>100</v>
      </c>
      <c r="G495" s="1" t="s">
        <v>15142</v>
      </c>
      <c r="H495" s="3">
        <v>990</v>
      </c>
      <c r="I495" s="1" t="s">
        <v>1522</v>
      </c>
      <c r="J495" s="5" t="s">
        <v>7420</v>
      </c>
      <c r="K495" s="2">
        <f t="shared" si="7"/>
        <v>9.9</v>
      </c>
    </row>
    <row r="496" spans="1:11" ht="27" x14ac:dyDescent="0.25">
      <c r="A496" s="1" t="s">
        <v>15068</v>
      </c>
      <c r="B496" s="1" t="s">
        <v>15291</v>
      </c>
      <c r="C496" s="1" t="s">
        <v>1533</v>
      </c>
      <c r="D496" s="1" t="s">
        <v>1533</v>
      </c>
      <c r="E496" s="1" t="s">
        <v>1533</v>
      </c>
      <c r="F496" s="1">
        <v>100</v>
      </c>
      <c r="G496" s="1" t="s">
        <v>15142</v>
      </c>
      <c r="H496" s="3">
        <v>990</v>
      </c>
      <c r="I496" s="1" t="s">
        <v>1522</v>
      </c>
      <c r="J496" s="5" t="s">
        <v>7420</v>
      </c>
      <c r="K496" s="2">
        <f t="shared" si="7"/>
        <v>9.9</v>
      </c>
    </row>
    <row r="497" spans="1:11" ht="27" x14ac:dyDescent="0.25">
      <c r="A497" s="1" t="s">
        <v>15068</v>
      </c>
      <c r="B497" s="1" t="s">
        <v>15292</v>
      </c>
      <c r="C497" s="1" t="s">
        <v>1533</v>
      </c>
      <c r="D497" s="1" t="s">
        <v>1533</v>
      </c>
      <c r="E497" s="1" t="s">
        <v>1533</v>
      </c>
      <c r="F497" s="1">
        <v>20</v>
      </c>
      <c r="G497" s="1" t="s">
        <v>15142</v>
      </c>
      <c r="H497" s="3">
        <v>198</v>
      </c>
      <c r="I497" s="1" t="s">
        <v>1522</v>
      </c>
      <c r="J497" s="5" t="s">
        <v>7420</v>
      </c>
      <c r="K497" s="2">
        <f t="shared" si="7"/>
        <v>9.9</v>
      </c>
    </row>
    <row r="498" spans="1:11" x14ac:dyDescent="0.25">
      <c r="A498" s="1" t="s">
        <v>15068</v>
      </c>
      <c r="B498" s="1" t="s">
        <v>15286</v>
      </c>
      <c r="C498" s="1" t="s">
        <v>1533</v>
      </c>
      <c r="D498" s="1" t="s">
        <v>1533</v>
      </c>
      <c r="E498" s="1" t="s">
        <v>1533</v>
      </c>
      <c r="F498" s="1">
        <v>25</v>
      </c>
      <c r="G498" s="1" t="s">
        <v>15142</v>
      </c>
      <c r="H498" s="3">
        <v>247.5</v>
      </c>
      <c r="I498" s="1" t="s">
        <v>4</v>
      </c>
      <c r="J498" s="5" t="s">
        <v>7417</v>
      </c>
      <c r="K498" s="2">
        <f t="shared" si="7"/>
        <v>9.9</v>
      </c>
    </row>
    <row r="499" spans="1:11" x14ac:dyDescent="0.25">
      <c r="A499" s="1" t="s">
        <v>15068</v>
      </c>
      <c r="B499" s="1" t="s">
        <v>15289</v>
      </c>
      <c r="C499" s="1" t="s">
        <v>1533</v>
      </c>
      <c r="D499" s="1" t="s">
        <v>1533</v>
      </c>
      <c r="E499" s="1" t="s">
        <v>1533</v>
      </c>
      <c r="F499" s="1">
        <v>10</v>
      </c>
      <c r="G499" s="1" t="s">
        <v>15142</v>
      </c>
      <c r="H499" s="3">
        <v>99</v>
      </c>
      <c r="I499" s="1" t="s">
        <v>4</v>
      </c>
      <c r="J499" s="5" t="s">
        <v>7417</v>
      </c>
      <c r="K499" s="2">
        <f t="shared" si="7"/>
        <v>9.9</v>
      </c>
    </row>
    <row r="500" spans="1:11" ht="27" x14ac:dyDescent="0.25">
      <c r="A500" s="1" t="s">
        <v>15073</v>
      </c>
      <c r="B500" s="1" t="s">
        <v>15265</v>
      </c>
      <c r="C500" s="1" t="s">
        <v>1533</v>
      </c>
      <c r="D500" s="1" t="s">
        <v>1533</v>
      </c>
      <c r="E500" s="1" t="s">
        <v>1533</v>
      </c>
      <c r="F500" s="1">
        <v>7</v>
      </c>
      <c r="G500" s="1" t="s">
        <v>15142</v>
      </c>
      <c r="H500" s="3">
        <v>69.3</v>
      </c>
      <c r="I500" s="1" t="s">
        <v>4</v>
      </c>
      <c r="J500" s="5" t="s">
        <v>7417</v>
      </c>
      <c r="K500" s="2">
        <f t="shared" si="7"/>
        <v>9.9</v>
      </c>
    </row>
    <row r="501" spans="1:11" x14ac:dyDescent="0.25">
      <c r="A501" s="1" t="s">
        <v>15073</v>
      </c>
      <c r="B501" s="1" t="s">
        <v>15279</v>
      </c>
      <c r="C501" s="1" t="s">
        <v>1533</v>
      </c>
      <c r="D501" s="1" t="s">
        <v>1533</v>
      </c>
      <c r="E501" s="1" t="s">
        <v>1533</v>
      </c>
      <c r="F501" s="1">
        <v>5</v>
      </c>
      <c r="G501" s="1" t="s">
        <v>15142</v>
      </c>
      <c r="H501" s="3">
        <v>49.5</v>
      </c>
      <c r="I501" s="1" t="s">
        <v>4</v>
      </c>
      <c r="J501" s="5" t="s">
        <v>7417</v>
      </c>
      <c r="K501" s="2">
        <f t="shared" si="7"/>
        <v>9.9</v>
      </c>
    </row>
    <row r="502" spans="1:11" x14ac:dyDescent="0.25">
      <c r="A502" s="1" t="s">
        <v>15073</v>
      </c>
      <c r="B502" s="1" t="s">
        <v>15281</v>
      </c>
      <c r="C502" s="1" t="s">
        <v>1533</v>
      </c>
      <c r="D502" s="1" t="s">
        <v>1533</v>
      </c>
      <c r="E502" s="1" t="s">
        <v>1533</v>
      </c>
      <c r="F502" s="1">
        <v>4</v>
      </c>
      <c r="G502" s="1" t="s">
        <v>15142</v>
      </c>
      <c r="H502" s="3">
        <v>39.6</v>
      </c>
      <c r="I502" s="1" t="s">
        <v>4</v>
      </c>
      <c r="J502" s="5" t="s">
        <v>7417</v>
      </c>
      <c r="K502" s="2">
        <f t="shared" si="7"/>
        <v>9.9</v>
      </c>
    </row>
    <row r="503" spans="1:11" ht="27" x14ac:dyDescent="0.25">
      <c r="A503" s="1" t="s">
        <v>15073</v>
      </c>
      <c r="B503" s="1" t="s">
        <v>15293</v>
      </c>
      <c r="C503" s="1" t="s">
        <v>1533</v>
      </c>
      <c r="D503" s="1" t="s">
        <v>1533</v>
      </c>
      <c r="E503" s="1" t="s">
        <v>1533</v>
      </c>
      <c r="F503" s="1">
        <v>3</v>
      </c>
      <c r="G503" s="1" t="s">
        <v>15142</v>
      </c>
      <c r="H503" s="3">
        <v>29.7</v>
      </c>
      <c r="I503" s="1" t="s">
        <v>4</v>
      </c>
      <c r="J503" s="5" t="s">
        <v>7417</v>
      </c>
      <c r="K503" s="2">
        <f t="shared" si="7"/>
        <v>9.9</v>
      </c>
    </row>
    <row r="504" spans="1:11" ht="27" x14ac:dyDescent="0.25">
      <c r="A504" s="1" t="s">
        <v>15073</v>
      </c>
      <c r="B504" s="1" t="s">
        <v>15285</v>
      </c>
      <c r="C504" s="1" t="s">
        <v>1533</v>
      </c>
      <c r="D504" s="1" t="s">
        <v>1533</v>
      </c>
      <c r="E504" s="1" t="s">
        <v>1533</v>
      </c>
      <c r="F504" s="1">
        <v>1</v>
      </c>
      <c r="G504" s="1" t="s">
        <v>15142</v>
      </c>
      <c r="H504" s="3">
        <v>9.9</v>
      </c>
      <c r="I504" s="1" t="s">
        <v>4</v>
      </c>
      <c r="J504" s="5" t="s">
        <v>7417</v>
      </c>
      <c r="K504" s="2">
        <f t="shared" si="7"/>
        <v>9.9</v>
      </c>
    </row>
    <row r="505" spans="1:11" ht="27" x14ac:dyDescent="0.25">
      <c r="A505" s="1" t="s">
        <v>15068</v>
      </c>
      <c r="B505" s="1" t="s">
        <v>15291</v>
      </c>
      <c r="C505" s="1" t="s">
        <v>1533</v>
      </c>
      <c r="D505" s="1" t="s">
        <v>1533</v>
      </c>
      <c r="E505" s="1" t="s">
        <v>1533</v>
      </c>
      <c r="F505" s="1">
        <v>10</v>
      </c>
      <c r="G505" s="1" t="s">
        <v>15142</v>
      </c>
      <c r="H505" s="3">
        <v>99</v>
      </c>
      <c r="I505" s="1" t="s">
        <v>4</v>
      </c>
      <c r="J505" s="5" t="s">
        <v>7418</v>
      </c>
      <c r="K505" s="2">
        <f t="shared" si="7"/>
        <v>9.9</v>
      </c>
    </row>
    <row r="506" spans="1:11" x14ac:dyDescent="0.25">
      <c r="A506" s="1" t="s">
        <v>15073</v>
      </c>
      <c r="B506" s="1" t="s">
        <v>15281</v>
      </c>
      <c r="C506" s="1" t="s">
        <v>1533</v>
      </c>
      <c r="D506" s="1" t="s">
        <v>1533</v>
      </c>
      <c r="E506" s="1" t="s">
        <v>1533</v>
      </c>
      <c r="F506" s="1">
        <v>4</v>
      </c>
      <c r="G506" s="1" t="s">
        <v>15142</v>
      </c>
      <c r="H506" s="3">
        <v>39.6</v>
      </c>
      <c r="I506" s="1" t="s">
        <v>4</v>
      </c>
      <c r="J506" s="5" t="s">
        <v>7418</v>
      </c>
      <c r="K506" s="2">
        <f t="shared" si="7"/>
        <v>9.9</v>
      </c>
    </row>
    <row r="507" spans="1:11" ht="27" x14ac:dyDescent="0.25">
      <c r="A507" s="1" t="s">
        <v>15073</v>
      </c>
      <c r="B507" s="1" t="s">
        <v>15242</v>
      </c>
      <c r="C507" s="1" t="s">
        <v>1533</v>
      </c>
      <c r="D507" s="1" t="s">
        <v>1533</v>
      </c>
      <c r="E507" s="1" t="s">
        <v>1533</v>
      </c>
      <c r="F507" s="1">
        <v>4</v>
      </c>
      <c r="G507" s="1" t="s">
        <v>15142</v>
      </c>
      <c r="H507" s="3">
        <v>39.6</v>
      </c>
      <c r="I507" s="1" t="s">
        <v>4</v>
      </c>
      <c r="J507" s="5" t="s">
        <v>7418</v>
      </c>
      <c r="K507" s="2">
        <f t="shared" si="7"/>
        <v>9.9</v>
      </c>
    </row>
    <row r="508" spans="1:11" ht="27" x14ac:dyDescent="0.25">
      <c r="A508" s="1" t="s">
        <v>15073</v>
      </c>
      <c r="B508" s="1" t="s">
        <v>15285</v>
      </c>
      <c r="C508" s="1" t="s">
        <v>1533</v>
      </c>
      <c r="D508" s="1" t="s">
        <v>1533</v>
      </c>
      <c r="E508" s="1" t="s">
        <v>1533</v>
      </c>
      <c r="F508" s="1">
        <v>4</v>
      </c>
      <c r="G508" s="1" t="s">
        <v>15142</v>
      </c>
      <c r="H508" s="3">
        <v>39.6</v>
      </c>
      <c r="I508" s="1" t="s">
        <v>4</v>
      </c>
      <c r="J508" s="5" t="s">
        <v>7418</v>
      </c>
      <c r="K508" s="2">
        <f t="shared" si="7"/>
        <v>9.9</v>
      </c>
    </row>
    <row r="509" spans="1:11" ht="27" x14ac:dyDescent="0.25">
      <c r="A509" s="1" t="s">
        <v>15073</v>
      </c>
      <c r="B509" s="1" t="s">
        <v>15255</v>
      </c>
      <c r="C509" s="1" t="s">
        <v>1533</v>
      </c>
      <c r="D509" s="1" t="s">
        <v>1533</v>
      </c>
      <c r="E509" s="1" t="s">
        <v>1533</v>
      </c>
      <c r="F509" s="1">
        <v>3</v>
      </c>
      <c r="G509" s="1" t="s">
        <v>15142</v>
      </c>
      <c r="H509" s="3">
        <v>29.7</v>
      </c>
      <c r="I509" s="1" t="s">
        <v>4</v>
      </c>
      <c r="J509" s="5" t="s">
        <v>7418</v>
      </c>
      <c r="K509" s="2">
        <f t="shared" si="7"/>
        <v>9.9</v>
      </c>
    </row>
    <row r="510" spans="1:11" x14ac:dyDescent="0.25">
      <c r="A510" s="1" t="s">
        <v>15068</v>
      </c>
      <c r="B510" s="1" t="s">
        <v>15286</v>
      </c>
      <c r="C510" s="1" t="s">
        <v>1533</v>
      </c>
      <c r="D510" s="1" t="s">
        <v>1533</v>
      </c>
      <c r="E510" s="1" t="s">
        <v>1533</v>
      </c>
      <c r="F510" s="1">
        <v>179</v>
      </c>
      <c r="G510" s="1" t="s">
        <v>15142</v>
      </c>
      <c r="H510" s="3">
        <v>1772.1</v>
      </c>
      <c r="I510" s="1" t="s">
        <v>4</v>
      </c>
      <c r="J510" s="5" t="s">
        <v>7419</v>
      </c>
      <c r="K510" s="2">
        <f t="shared" si="7"/>
        <v>9.9</v>
      </c>
    </row>
    <row r="511" spans="1:11" x14ac:dyDescent="0.25">
      <c r="A511" s="1" t="s">
        <v>15068</v>
      </c>
      <c r="B511" s="1" t="s">
        <v>15289</v>
      </c>
      <c r="C511" s="1" t="s">
        <v>1533</v>
      </c>
      <c r="D511" s="1" t="s">
        <v>1533</v>
      </c>
      <c r="E511" s="1" t="s">
        <v>1533</v>
      </c>
      <c r="F511" s="1">
        <v>23</v>
      </c>
      <c r="G511" s="1" t="s">
        <v>15142</v>
      </c>
      <c r="H511" s="3">
        <v>227.7</v>
      </c>
      <c r="I511" s="1" t="s">
        <v>4</v>
      </c>
      <c r="J511" s="5" t="s">
        <v>7419</v>
      </c>
      <c r="K511" s="2">
        <f t="shared" si="7"/>
        <v>9.9</v>
      </c>
    </row>
    <row r="512" spans="1:11" ht="27" x14ac:dyDescent="0.25">
      <c r="A512" s="1" t="s">
        <v>15073</v>
      </c>
      <c r="B512" s="1" t="s">
        <v>15242</v>
      </c>
      <c r="C512" s="1" t="s">
        <v>1533</v>
      </c>
      <c r="D512" s="1" t="s">
        <v>1533</v>
      </c>
      <c r="E512" s="1" t="s">
        <v>1533</v>
      </c>
      <c r="F512" s="1">
        <v>15</v>
      </c>
      <c r="G512" s="1" t="s">
        <v>15142</v>
      </c>
      <c r="H512" s="3">
        <v>148.5</v>
      </c>
      <c r="I512" s="1" t="s">
        <v>4</v>
      </c>
      <c r="J512" s="5" t="s">
        <v>7419</v>
      </c>
      <c r="K512" s="2">
        <f t="shared" si="7"/>
        <v>9.9</v>
      </c>
    </row>
    <row r="513" spans="1:11" ht="27" x14ac:dyDescent="0.25">
      <c r="A513" s="1" t="s">
        <v>15073</v>
      </c>
      <c r="B513" s="1" t="s">
        <v>15285</v>
      </c>
      <c r="C513" s="1" t="s">
        <v>1533</v>
      </c>
      <c r="D513" s="1" t="s">
        <v>1533</v>
      </c>
      <c r="E513" s="1" t="s">
        <v>1533</v>
      </c>
      <c r="F513" s="1">
        <v>15</v>
      </c>
      <c r="G513" s="1" t="s">
        <v>15142</v>
      </c>
      <c r="H513" s="3">
        <v>148.5</v>
      </c>
      <c r="I513" s="1" t="s">
        <v>4</v>
      </c>
      <c r="J513" s="5" t="s">
        <v>7419</v>
      </c>
      <c r="K513" s="2">
        <f t="shared" si="7"/>
        <v>9.9</v>
      </c>
    </row>
    <row r="514" spans="1:11" ht="27" x14ac:dyDescent="0.25">
      <c r="A514" s="1" t="s">
        <v>15068</v>
      </c>
      <c r="B514" s="1" t="s">
        <v>15290</v>
      </c>
      <c r="C514" s="1" t="s">
        <v>1533</v>
      </c>
      <c r="D514" s="1" t="s">
        <v>1533</v>
      </c>
      <c r="E514" s="1" t="s">
        <v>1533</v>
      </c>
      <c r="F514" s="1">
        <v>15</v>
      </c>
      <c r="G514" s="1" t="s">
        <v>15142</v>
      </c>
      <c r="H514" s="3">
        <v>148.5</v>
      </c>
      <c r="I514" s="1" t="s">
        <v>4</v>
      </c>
      <c r="J514" s="5" t="s">
        <v>7419</v>
      </c>
      <c r="K514" s="2">
        <f t="shared" ref="K514:K577" si="8">H514/F514</f>
        <v>9.9</v>
      </c>
    </row>
    <row r="515" spans="1:11" ht="27" x14ac:dyDescent="0.25">
      <c r="A515" s="1" t="s">
        <v>15073</v>
      </c>
      <c r="B515" s="1" t="s">
        <v>15265</v>
      </c>
      <c r="C515" s="1" t="s">
        <v>1533</v>
      </c>
      <c r="D515" s="1" t="s">
        <v>1533</v>
      </c>
      <c r="E515" s="1" t="s">
        <v>1533</v>
      </c>
      <c r="F515" s="1">
        <v>10</v>
      </c>
      <c r="G515" s="1" t="s">
        <v>15142</v>
      </c>
      <c r="H515" s="3">
        <v>99</v>
      </c>
      <c r="I515" s="1" t="s">
        <v>4</v>
      </c>
      <c r="J515" s="5" t="s">
        <v>7419</v>
      </c>
      <c r="K515" s="2">
        <f t="shared" si="8"/>
        <v>9.9</v>
      </c>
    </row>
    <row r="516" spans="1:11" ht="27" x14ac:dyDescent="0.25">
      <c r="A516" s="1" t="s">
        <v>15068</v>
      </c>
      <c r="B516" s="1" t="s">
        <v>15288</v>
      </c>
      <c r="C516" s="1" t="s">
        <v>1533</v>
      </c>
      <c r="D516" s="1" t="s">
        <v>1533</v>
      </c>
      <c r="E516" s="1" t="s">
        <v>1533</v>
      </c>
      <c r="F516" s="1">
        <v>4</v>
      </c>
      <c r="G516" s="1" t="s">
        <v>15142</v>
      </c>
      <c r="H516" s="3">
        <v>39.6</v>
      </c>
      <c r="I516" s="1" t="s">
        <v>4</v>
      </c>
      <c r="J516" s="5" t="s">
        <v>7419</v>
      </c>
      <c r="K516" s="2">
        <f t="shared" si="8"/>
        <v>9.9</v>
      </c>
    </row>
    <row r="517" spans="1:11" ht="27" x14ac:dyDescent="0.25">
      <c r="A517" s="1" t="s">
        <v>15073</v>
      </c>
      <c r="B517" s="1" t="s">
        <v>15293</v>
      </c>
      <c r="C517" s="1" t="s">
        <v>1533</v>
      </c>
      <c r="D517" s="1" t="s">
        <v>1533</v>
      </c>
      <c r="E517" s="1" t="s">
        <v>1533</v>
      </c>
      <c r="F517" s="1">
        <v>3</v>
      </c>
      <c r="G517" s="1" t="s">
        <v>15142</v>
      </c>
      <c r="H517" s="3">
        <v>29.7</v>
      </c>
      <c r="I517" s="1" t="s">
        <v>4</v>
      </c>
      <c r="J517" s="5" t="s">
        <v>7419</v>
      </c>
      <c r="K517" s="2">
        <f t="shared" si="8"/>
        <v>9.9</v>
      </c>
    </row>
    <row r="518" spans="1:11" ht="27" x14ac:dyDescent="0.25">
      <c r="A518" s="1" t="s">
        <v>15073</v>
      </c>
      <c r="B518" s="1" t="s">
        <v>15287</v>
      </c>
      <c r="C518" s="1" t="s">
        <v>1533</v>
      </c>
      <c r="D518" s="1" t="s">
        <v>1533</v>
      </c>
      <c r="E518" s="1" t="s">
        <v>1533</v>
      </c>
      <c r="F518" s="1">
        <v>2</v>
      </c>
      <c r="G518" s="1" t="s">
        <v>15142</v>
      </c>
      <c r="H518" s="3">
        <v>19.8</v>
      </c>
      <c r="I518" s="1" t="s">
        <v>4</v>
      </c>
      <c r="J518" s="5" t="s">
        <v>7419</v>
      </c>
      <c r="K518" s="2">
        <f t="shared" si="8"/>
        <v>9.9</v>
      </c>
    </row>
    <row r="519" spans="1:11" x14ac:dyDescent="0.25">
      <c r="A519" s="1" t="s">
        <v>15073</v>
      </c>
      <c r="B519" s="1" t="s">
        <v>15239</v>
      </c>
      <c r="C519" s="1" t="s">
        <v>1533</v>
      </c>
      <c r="D519" s="1" t="s">
        <v>1533</v>
      </c>
      <c r="E519" s="1" t="s">
        <v>1533</v>
      </c>
      <c r="F519" s="1">
        <v>2</v>
      </c>
      <c r="G519" s="1" t="s">
        <v>15142</v>
      </c>
      <c r="H519" s="3">
        <v>19.8</v>
      </c>
      <c r="I519" s="1" t="s">
        <v>4</v>
      </c>
      <c r="J519" s="5" t="s">
        <v>7419</v>
      </c>
      <c r="K519" s="2">
        <f t="shared" si="8"/>
        <v>9.9</v>
      </c>
    </row>
    <row r="520" spans="1:11" ht="27" x14ac:dyDescent="0.25">
      <c r="A520" s="1" t="s">
        <v>15068</v>
      </c>
      <c r="B520" s="1" t="s">
        <v>15291</v>
      </c>
      <c r="C520" s="1" t="s">
        <v>1533</v>
      </c>
      <c r="D520" s="1" t="s">
        <v>1533</v>
      </c>
      <c r="E520" s="1" t="s">
        <v>1533</v>
      </c>
      <c r="F520" s="1">
        <v>2</v>
      </c>
      <c r="G520" s="1" t="s">
        <v>15142</v>
      </c>
      <c r="H520" s="3">
        <v>19.8</v>
      </c>
      <c r="I520" s="1" t="s">
        <v>4</v>
      </c>
      <c r="J520" s="5" t="s">
        <v>7419</v>
      </c>
      <c r="K520" s="2">
        <f t="shared" si="8"/>
        <v>9.9</v>
      </c>
    </row>
    <row r="521" spans="1:11" x14ac:dyDescent="0.25">
      <c r="A521" s="1" t="s">
        <v>15068</v>
      </c>
      <c r="B521" s="1" t="s">
        <v>15294</v>
      </c>
      <c r="C521" s="1" t="s">
        <v>1533</v>
      </c>
      <c r="D521" s="1" t="s">
        <v>1533</v>
      </c>
      <c r="E521" s="1" t="s">
        <v>1533</v>
      </c>
      <c r="F521" s="1">
        <v>1</v>
      </c>
      <c r="G521" s="1" t="s">
        <v>15142</v>
      </c>
      <c r="H521" s="3">
        <v>9.9</v>
      </c>
      <c r="I521" s="1" t="s">
        <v>4</v>
      </c>
      <c r="J521" s="5" t="s">
        <v>7419</v>
      </c>
      <c r="K521" s="2">
        <f t="shared" si="8"/>
        <v>9.9</v>
      </c>
    </row>
    <row r="522" spans="1:11" ht="27" x14ac:dyDescent="0.25">
      <c r="A522" s="1" t="s">
        <v>15068</v>
      </c>
      <c r="B522" s="1" t="s">
        <v>15288</v>
      </c>
      <c r="C522" s="1" t="s">
        <v>1533</v>
      </c>
      <c r="D522" s="1" t="s">
        <v>1533</v>
      </c>
      <c r="E522" s="1" t="s">
        <v>1533</v>
      </c>
      <c r="F522" s="1">
        <v>60</v>
      </c>
      <c r="G522" s="1" t="s">
        <v>15142</v>
      </c>
      <c r="H522" s="3">
        <v>594</v>
      </c>
      <c r="I522" s="1" t="s">
        <v>4</v>
      </c>
      <c r="J522" s="5" t="s">
        <v>7420</v>
      </c>
      <c r="K522" s="2">
        <f t="shared" si="8"/>
        <v>9.9</v>
      </c>
    </row>
    <row r="523" spans="1:11" x14ac:dyDescent="0.25">
      <c r="A523" s="1" t="s">
        <v>15068</v>
      </c>
      <c r="B523" s="1" t="s">
        <v>15286</v>
      </c>
      <c r="C523" s="1" t="s">
        <v>1533</v>
      </c>
      <c r="D523" s="1" t="s">
        <v>1533</v>
      </c>
      <c r="E523" s="1" t="s">
        <v>1533</v>
      </c>
      <c r="F523" s="1">
        <v>39</v>
      </c>
      <c r="G523" s="1" t="s">
        <v>15142</v>
      </c>
      <c r="H523" s="3">
        <v>386.1</v>
      </c>
      <c r="I523" s="1" t="s">
        <v>4</v>
      </c>
      <c r="J523" s="5" t="s">
        <v>7420</v>
      </c>
      <c r="K523" s="2">
        <f t="shared" si="8"/>
        <v>9.9</v>
      </c>
    </row>
    <row r="524" spans="1:11" ht="27" x14ac:dyDescent="0.25">
      <c r="A524" s="1" t="s">
        <v>15073</v>
      </c>
      <c r="B524" s="1" t="s">
        <v>15265</v>
      </c>
      <c r="C524" s="1" t="s">
        <v>1533</v>
      </c>
      <c r="D524" s="1" t="s">
        <v>1533</v>
      </c>
      <c r="E524" s="1" t="s">
        <v>1533</v>
      </c>
      <c r="F524" s="1">
        <v>39</v>
      </c>
      <c r="G524" s="1" t="s">
        <v>15142</v>
      </c>
      <c r="H524" s="3">
        <v>386.1</v>
      </c>
      <c r="I524" s="1" t="s">
        <v>4</v>
      </c>
      <c r="J524" s="5" t="s">
        <v>7420</v>
      </c>
      <c r="K524" s="2">
        <f t="shared" si="8"/>
        <v>9.9</v>
      </c>
    </row>
    <row r="525" spans="1:11" ht="27" x14ac:dyDescent="0.25">
      <c r="A525" s="1" t="s">
        <v>15068</v>
      </c>
      <c r="B525" s="1" t="s">
        <v>15291</v>
      </c>
      <c r="C525" s="1" t="s">
        <v>1533</v>
      </c>
      <c r="D525" s="1" t="s">
        <v>1533</v>
      </c>
      <c r="E525" s="1" t="s">
        <v>1533</v>
      </c>
      <c r="F525" s="1">
        <v>29</v>
      </c>
      <c r="G525" s="1" t="s">
        <v>15142</v>
      </c>
      <c r="H525" s="3">
        <v>287.10000000000002</v>
      </c>
      <c r="I525" s="1" t="s">
        <v>4</v>
      </c>
      <c r="J525" s="5" t="s">
        <v>7420</v>
      </c>
      <c r="K525" s="2">
        <f t="shared" si="8"/>
        <v>9.9</v>
      </c>
    </row>
    <row r="526" spans="1:11" ht="27" x14ac:dyDescent="0.25">
      <c r="A526" s="1" t="s">
        <v>15073</v>
      </c>
      <c r="B526" s="1" t="s">
        <v>15242</v>
      </c>
      <c r="C526" s="1" t="s">
        <v>1533</v>
      </c>
      <c r="D526" s="1" t="s">
        <v>1533</v>
      </c>
      <c r="E526" s="1" t="s">
        <v>1533</v>
      </c>
      <c r="F526" s="1">
        <v>23</v>
      </c>
      <c r="G526" s="1" t="s">
        <v>15142</v>
      </c>
      <c r="H526" s="3">
        <v>227.7</v>
      </c>
      <c r="I526" s="1" t="s">
        <v>4</v>
      </c>
      <c r="J526" s="5" t="s">
        <v>7420</v>
      </c>
      <c r="K526" s="2">
        <f t="shared" si="8"/>
        <v>9.9</v>
      </c>
    </row>
    <row r="527" spans="1:11" ht="27" x14ac:dyDescent="0.25">
      <c r="A527" s="1" t="s">
        <v>15073</v>
      </c>
      <c r="B527" s="1" t="s">
        <v>15285</v>
      </c>
      <c r="C527" s="1" t="s">
        <v>1533</v>
      </c>
      <c r="D527" s="1" t="s">
        <v>1533</v>
      </c>
      <c r="E527" s="1" t="s">
        <v>1533</v>
      </c>
      <c r="F527" s="1">
        <v>23</v>
      </c>
      <c r="G527" s="1" t="s">
        <v>15142</v>
      </c>
      <c r="H527" s="3">
        <v>227.7</v>
      </c>
      <c r="I527" s="1" t="s">
        <v>4</v>
      </c>
      <c r="J527" s="5" t="s">
        <v>7420</v>
      </c>
      <c r="K527" s="2">
        <f t="shared" si="8"/>
        <v>9.9</v>
      </c>
    </row>
    <row r="528" spans="1:11" x14ac:dyDescent="0.25">
      <c r="A528" s="1" t="s">
        <v>15073</v>
      </c>
      <c r="B528" s="1" t="s">
        <v>15256</v>
      </c>
      <c r="C528" s="1" t="s">
        <v>1533</v>
      </c>
      <c r="D528" s="1" t="s">
        <v>1533</v>
      </c>
      <c r="E528" s="1" t="s">
        <v>1533</v>
      </c>
      <c r="F528" s="1">
        <v>22</v>
      </c>
      <c r="G528" s="1" t="s">
        <v>15142</v>
      </c>
      <c r="H528" s="3">
        <v>217.8</v>
      </c>
      <c r="I528" s="1" t="s">
        <v>4</v>
      </c>
      <c r="J528" s="5" t="s">
        <v>7420</v>
      </c>
      <c r="K528" s="2">
        <f t="shared" si="8"/>
        <v>9.9</v>
      </c>
    </row>
    <row r="529" spans="1:11" x14ac:dyDescent="0.25">
      <c r="A529" s="1" t="s">
        <v>15068</v>
      </c>
      <c r="B529" s="1" t="s">
        <v>15262</v>
      </c>
      <c r="C529" s="1" t="s">
        <v>1533</v>
      </c>
      <c r="D529" s="1" t="s">
        <v>1533</v>
      </c>
      <c r="E529" s="1" t="s">
        <v>1533</v>
      </c>
      <c r="F529" s="1">
        <v>10</v>
      </c>
      <c r="G529" s="1" t="s">
        <v>15142</v>
      </c>
      <c r="H529" s="3">
        <v>99</v>
      </c>
      <c r="I529" s="1" t="s">
        <v>4</v>
      </c>
      <c r="J529" s="5" t="s">
        <v>7420</v>
      </c>
      <c r="K529" s="2">
        <f t="shared" si="8"/>
        <v>9.9</v>
      </c>
    </row>
    <row r="530" spans="1:11" x14ac:dyDescent="0.25">
      <c r="A530" s="1" t="s">
        <v>15068</v>
      </c>
      <c r="B530" s="1" t="s">
        <v>15289</v>
      </c>
      <c r="C530" s="1" t="s">
        <v>1533</v>
      </c>
      <c r="D530" s="1" t="s">
        <v>1533</v>
      </c>
      <c r="E530" s="1" t="s">
        <v>1533</v>
      </c>
      <c r="F530" s="1">
        <v>6</v>
      </c>
      <c r="G530" s="1" t="s">
        <v>15142</v>
      </c>
      <c r="H530" s="3">
        <v>59.4</v>
      </c>
      <c r="I530" s="1" t="s">
        <v>4</v>
      </c>
      <c r="J530" s="5" t="s">
        <v>7420</v>
      </c>
      <c r="K530" s="2">
        <f t="shared" si="8"/>
        <v>9.9</v>
      </c>
    </row>
    <row r="531" spans="1:11" x14ac:dyDescent="0.25">
      <c r="A531" s="1" t="s">
        <v>15068</v>
      </c>
      <c r="B531" s="1" t="s">
        <v>15294</v>
      </c>
      <c r="C531" s="1" t="s">
        <v>1533</v>
      </c>
      <c r="D531" s="1" t="s">
        <v>1533</v>
      </c>
      <c r="E531" s="1" t="s">
        <v>1533</v>
      </c>
      <c r="F531" s="1">
        <v>3</v>
      </c>
      <c r="G531" s="1" t="s">
        <v>15142</v>
      </c>
      <c r="H531" s="3">
        <v>29.7</v>
      </c>
      <c r="I531" s="1" t="s">
        <v>4</v>
      </c>
      <c r="J531" s="5" t="s">
        <v>7420</v>
      </c>
      <c r="K531" s="2">
        <f t="shared" si="8"/>
        <v>9.9</v>
      </c>
    </row>
    <row r="532" spans="1:11" ht="27" x14ac:dyDescent="0.25">
      <c r="A532" s="1" t="s">
        <v>15073</v>
      </c>
      <c r="B532" s="1" t="s">
        <v>15282</v>
      </c>
      <c r="C532" s="1" t="s">
        <v>1533</v>
      </c>
      <c r="D532" s="1" t="s">
        <v>1533</v>
      </c>
      <c r="E532" s="1" t="s">
        <v>1533</v>
      </c>
      <c r="F532" s="1">
        <v>3</v>
      </c>
      <c r="G532" s="1" t="s">
        <v>15142</v>
      </c>
      <c r="H532" s="3">
        <v>29.7</v>
      </c>
      <c r="I532" s="1" t="s">
        <v>4</v>
      </c>
      <c r="J532" s="5" t="s">
        <v>7420</v>
      </c>
      <c r="K532" s="2">
        <f t="shared" si="8"/>
        <v>9.9</v>
      </c>
    </row>
    <row r="533" spans="1:11" x14ac:dyDescent="0.25">
      <c r="A533" s="1" t="s">
        <v>15073</v>
      </c>
      <c r="B533" s="1" t="s">
        <v>15284</v>
      </c>
      <c r="C533" s="1" t="s">
        <v>1533</v>
      </c>
      <c r="D533" s="1" t="s">
        <v>1533</v>
      </c>
      <c r="E533" s="1" t="s">
        <v>1533</v>
      </c>
      <c r="F533" s="1">
        <v>1</v>
      </c>
      <c r="G533" s="1" t="s">
        <v>15142</v>
      </c>
      <c r="H533" s="3">
        <v>9.9</v>
      </c>
      <c r="I533" s="1" t="s">
        <v>4</v>
      </c>
      <c r="J533" s="5" t="s">
        <v>7420</v>
      </c>
      <c r="K533" s="2">
        <f t="shared" si="8"/>
        <v>9.9</v>
      </c>
    </row>
    <row r="534" spans="1:11" x14ac:dyDescent="0.25">
      <c r="A534" s="5" t="s">
        <v>15068</v>
      </c>
      <c r="B534" s="5" t="s">
        <v>15286</v>
      </c>
      <c r="C534" s="5" t="s">
        <v>1533</v>
      </c>
      <c r="D534" s="5" t="s">
        <v>1533</v>
      </c>
      <c r="E534" s="5" t="s">
        <v>1533</v>
      </c>
      <c r="F534" s="5">
        <v>31</v>
      </c>
      <c r="G534" s="5" t="s">
        <v>15142</v>
      </c>
      <c r="H534" s="8">
        <v>306.89999999999998</v>
      </c>
      <c r="I534" s="5" t="s">
        <v>4</v>
      </c>
      <c r="J534" s="5" t="s">
        <v>7416</v>
      </c>
      <c r="K534" s="2">
        <f t="shared" si="8"/>
        <v>9.8999999999999986</v>
      </c>
    </row>
    <row r="535" spans="1:11" ht="27" x14ac:dyDescent="0.25">
      <c r="A535" s="1" t="s">
        <v>15068</v>
      </c>
      <c r="B535" s="1" t="s">
        <v>15290</v>
      </c>
      <c r="C535" s="1" t="s">
        <v>1533</v>
      </c>
      <c r="D535" s="1" t="s">
        <v>1533</v>
      </c>
      <c r="E535" s="1" t="s">
        <v>1533</v>
      </c>
      <c r="F535" s="1">
        <v>41</v>
      </c>
      <c r="G535" s="1" t="s">
        <v>15142</v>
      </c>
      <c r="H535" s="3">
        <v>405.9</v>
      </c>
      <c r="I535" s="1" t="s">
        <v>4</v>
      </c>
      <c r="J535" s="5" t="s">
        <v>7417</v>
      </c>
      <c r="K535" s="2">
        <f t="shared" si="8"/>
        <v>9.8999999999999986</v>
      </c>
    </row>
    <row r="536" spans="1:11" ht="27" x14ac:dyDescent="0.25">
      <c r="A536" s="1" t="s">
        <v>15068</v>
      </c>
      <c r="B536" s="1" t="s">
        <v>15288</v>
      </c>
      <c r="C536" s="1" t="s">
        <v>1533</v>
      </c>
      <c r="D536" s="1" t="s">
        <v>1533</v>
      </c>
      <c r="E536" s="1" t="s">
        <v>1533</v>
      </c>
      <c r="F536" s="1">
        <v>41</v>
      </c>
      <c r="G536" s="1" t="s">
        <v>15142</v>
      </c>
      <c r="H536" s="3">
        <v>405.9</v>
      </c>
      <c r="I536" s="1" t="s">
        <v>4</v>
      </c>
      <c r="J536" s="5" t="s">
        <v>7417</v>
      </c>
      <c r="K536" s="2">
        <f t="shared" si="8"/>
        <v>9.8999999999999986</v>
      </c>
    </row>
    <row r="537" spans="1:11" ht="27" x14ac:dyDescent="0.25">
      <c r="A537" s="1" t="s">
        <v>15068</v>
      </c>
      <c r="B537" s="1" t="s">
        <v>15291</v>
      </c>
      <c r="C537" s="1" t="s">
        <v>1533</v>
      </c>
      <c r="D537" s="1" t="s">
        <v>1533</v>
      </c>
      <c r="E537" s="1" t="s">
        <v>1533</v>
      </c>
      <c r="F537" s="1">
        <v>26</v>
      </c>
      <c r="G537" s="1" t="s">
        <v>15142</v>
      </c>
      <c r="H537" s="3">
        <v>257.39999999999998</v>
      </c>
      <c r="I537" s="1" t="s">
        <v>4</v>
      </c>
      <c r="J537" s="5" t="s">
        <v>7417</v>
      </c>
      <c r="K537" s="2">
        <f t="shared" si="8"/>
        <v>9.8999999999999986</v>
      </c>
    </row>
    <row r="538" spans="1:11" ht="27" x14ac:dyDescent="0.25">
      <c r="A538" s="1" t="s">
        <v>15073</v>
      </c>
      <c r="B538" s="1" t="s">
        <v>15255</v>
      </c>
      <c r="C538" s="1" t="s">
        <v>1533</v>
      </c>
      <c r="D538" s="1" t="s">
        <v>1533</v>
      </c>
      <c r="E538" s="1" t="s">
        <v>1533</v>
      </c>
      <c r="F538" s="1">
        <v>13</v>
      </c>
      <c r="G538" s="1" t="s">
        <v>15142</v>
      </c>
      <c r="H538" s="3">
        <v>128.69999999999999</v>
      </c>
      <c r="I538" s="1" t="s">
        <v>4</v>
      </c>
      <c r="J538" s="5" t="s">
        <v>7417</v>
      </c>
      <c r="K538" s="2">
        <f t="shared" si="8"/>
        <v>9.8999999999999986</v>
      </c>
    </row>
    <row r="539" spans="1:11" ht="27" x14ac:dyDescent="0.25">
      <c r="A539" s="1" t="s">
        <v>15068</v>
      </c>
      <c r="B539" s="1" t="s">
        <v>15290</v>
      </c>
      <c r="C539" s="1" t="s">
        <v>1533</v>
      </c>
      <c r="D539" s="1" t="s">
        <v>1533</v>
      </c>
      <c r="E539" s="1" t="s">
        <v>1533</v>
      </c>
      <c r="F539" s="1">
        <v>67</v>
      </c>
      <c r="G539" s="1" t="s">
        <v>15142</v>
      </c>
      <c r="H539" s="3">
        <v>663.3</v>
      </c>
      <c r="I539" s="1" t="s">
        <v>4</v>
      </c>
      <c r="J539" s="5" t="s">
        <v>7420</v>
      </c>
      <c r="K539" s="2">
        <f t="shared" si="8"/>
        <v>9.8999999999999986</v>
      </c>
    </row>
    <row r="540" spans="1:11" x14ac:dyDescent="0.25">
      <c r="A540" s="1" t="s">
        <v>15073</v>
      </c>
      <c r="B540" s="1" t="s">
        <v>15239</v>
      </c>
      <c r="C540" s="1" t="s">
        <v>1533</v>
      </c>
      <c r="D540" s="1" t="s">
        <v>1533</v>
      </c>
      <c r="E540" s="1" t="s">
        <v>1533</v>
      </c>
      <c r="F540" s="1">
        <v>62</v>
      </c>
      <c r="G540" s="1" t="s">
        <v>15142</v>
      </c>
      <c r="H540" s="3">
        <v>613.79999999999995</v>
      </c>
      <c r="I540" s="1" t="s">
        <v>4</v>
      </c>
      <c r="J540" s="5" t="s">
        <v>7420</v>
      </c>
      <c r="K540" s="2">
        <f t="shared" si="8"/>
        <v>9.8999999999999986</v>
      </c>
    </row>
    <row r="541" spans="1:11" ht="27" x14ac:dyDescent="0.25">
      <c r="A541" s="1" t="s">
        <v>15067</v>
      </c>
      <c r="B541" s="1" t="s">
        <v>15295</v>
      </c>
      <c r="C541" s="1" t="s">
        <v>1533</v>
      </c>
      <c r="D541" s="1" t="s">
        <v>1533</v>
      </c>
      <c r="E541" s="1" t="s">
        <v>1533</v>
      </c>
      <c r="F541" s="1">
        <v>20</v>
      </c>
      <c r="G541" s="1" t="s">
        <v>15142</v>
      </c>
      <c r="H541" s="3">
        <v>192</v>
      </c>
      <c r="I541" s="1" t="s">
        <v>1522</v>
      </c>
      <c r="J541" s="5" t="s">
        <v>7418</v>
      </c>
      <c r="K541" s="2">
        <f t="shared" si="8"/>
        <v>9.6</v>
      </c>
    </row>
    <row r="542" spans="1:11" x14ac:dyDescent="0.25">
      <c r="A542" s="5" t="s">
        <v>15067</v>
      </c>
      <c r="B542" s="5" t="s">
        <v>15280</v>
      </c>
      <c r="C542" s="5" t="s">
        <v>1533</v>
      </c>
      <c r="D542" s="5" t="s">
        <v>1533</v>
      </c>
      <c r="E542" s="5" t="s">
        <v>1533</v>
      </c>
      <c r="F542" s="5">
        <v>28</v>
      </c>
      <c r="G542" s="5" t="s">
        <v>15142</v>
      </c>
      <c r="H542" s="8">
        <v>266</v>
      </c>
      <c r="I542" s="5" t="s">
        <v>1522</v>
      </c>
      <c r="J542" s="5" t="s">
        <v>7416</v>
      </c>
      <c r="K542" s="2">
        <f t="shared" si="8"/>
        <v>9.5</v>
      </c>
    </row>
    <row r="543" spans="1:11" x14ac:dyDescent="0.25">
      <c r="A543" s="5" t="s">
        <v>15067</v>
      </c>
      <c r="B543" s="5" t="s">
        <v>15296</v>
      </c>
      <c r="C543" s="5" t="s">
        <v>1533</v>
      </c>
      <c r="D543" s="5" t="s">
        <v>1533</v>
      </c>
      <c r="E543" s="5" t="s">
        <v>1533</v>
      </c>
      <c r="F543" s="5">
        <v>28</v>
      </c>
      <c r="G543" s="5" t="s">
        <v>15142</v>
      </c>
      <c r="H543" s="8">
        <v>266</v>
      </c>
      <c r="I543" s="5" t="s">
        <v>1522</v>
      </c>
      <c r="J543" s="5" t="s">
        <v>7416</v>
      </c>
      <c r="K543" s="2">
        <f t="shared" si="8"/>
        <v>9.5</v>
      </c>
    </row>
    <row r="544" spans="1:11" x14ac:dyDescent="0.25">
      <c r="A544" s="5" t="s">
        <v>15067</v>
      </c>
      <c r="B544" s="5" t="s">
        <v>15297</v>
      </c>
      <c r="C544" s="5" t="s">
        <v>1533</v>
      </c>
      <c r="D544" s="5" t="s">
        <v>1533</v>
      </c>
      <c r="E544" s="5" t="s">
        <v>1533</v>
      </c>
      <c r="F544" s="5">
        <v>28</v>
      </c>
      <c r="G544" s="5" t="s">
        <v>15142</v>
      </c>
      <c r="H544" s="8">
        <v>266</v>
      </c>
      <c r="I544" s="5" t="s">
        <v>1522</v>
      </c>
      <c r="J544" s="5" t="s">
        <v>7416</v>
      </c>
      <c r="K544" s="2">
        <f t="shared" si="8"/>
        <v>9.5</v>
      </c>
    </row>
    <row r="545" spans="1:11" x14ac:dyDescent="0.25">
      <c r="A545" s="5" t="s">
        <v>15067</v>
      </c>
      <c r="B545" s="5" t="s">
        <v>15297</v>
      </c>
      <c r="C545" s="5" t="s">
        <v>1533</v>
      </c>
      <c r="D545" s="5" t="s">
        <v>1533</v>
      </c>
      <c r="E545" s="5" t="s">
        <v>1533</v>
      </c>
      <c r="F545" s="5">
        <v>28</v>
      </c>
      <c r="G545" s="5" t="s">
        <v>15142</v>
      </c>
      <c r="H545" s="8">
        <v>266</v>
      </c>
      <c r="I545" s="1" t="s">
        <v>1522</v>
      </c>
      <c r="J545" s="5" t="s">
        <v>7417</v>
      </c>
      <c r="K545" s="2">
        <f t="shared" si="8"/>
        <v>9.5</v>
      </c>
    </row>
    <row r="546" spans="1:11" ht="40.5" x14ac:dyDescent="0.25">
      <c r="A546" s="1" t="s">
        <v>15067</v>
      </c>
      <c r="B546" s="1" t="s">
        <v>15296</v>
      </c>
      <c r="C546" s="1" t="s">
        <v>1533</v>
      </c>
      <c r="D546" s="1" t="s">
        <v>1533</v>
      </c>
      <c r="E546" s="1" t="s">
        <v>1533</v>
      </c>
      <c r="F546" s="1">
        <v>35</v>
      </c>
      <c r="G546" s="1" t="s">
        <v>15142</v>
      </c>
      <c r="H546" s="3">
        <v>332.5</v>
      </c>
      <c r="I546" s="1" t="s">
        <v>1522</v>
      </c>
      <c r="J546" s="5" t="s">
        <v>7418</v>
      </c>
      <c r="K546" s="2">
        <f t="shared" si="8"/>
        <v>9.5</v>
      </c>
    </row>
    <row r="547" spans="1:11" ht="27" x14ac:dyDescent="0.25">
      <c r="A547" s="1" t="s">
        <v>15067</v>
      </c>
      <c r="B547" s="1" t="s">
        <v>15298</v>
      </c>
      <c r="C547" s="1" t="s">
        <v>1533</v>
      </c>
      <c r="D547" s="1" t="s">
        <v>1533</v>
      </c>
      <c r="E547" s="1" t="s">
        <v>1533</v>
      </c>
      <c r="F547" s="1">
        <v>28</v>
      </c>
      <c r="G547" s="1" t="s">
        <v>15142</v>
      </c>
      <c r="H547" s="3">
        <v>266</v>
      </c>
      <c r="I547" s="1" t="s">
        <v>1522</v>
      </c>
      <c r="J547" s="5" t="s">
        <v>7418</v>
      </c>
      <c r="K547" s="2">
        <f t="shared" si="8"/>
        <v>9.5</v>
      </c>
    </row>
    <row r="548" spans="1:11" ht="27" x14ac:dyDescent="0.25">
      <c r="A548" s="1" t="s">
        <v>15067</v>
      </c>
      <c r="B548" s="1" t="s">
        <v>15280</v>
      </c>
      <c r="C548" s="1" t="s">
        <v>1533</v>
      </c>
      <c r="D548" s="1" t="s">
        <v>1533</v>
      </c>
      <c r="E548" s="1" t="s">
        <v>1533</v>
      </c>
      <c r="F548" s="1">
        <v>28</v>
      </c>
      <c r="G548" s="1" t="s">
        <v>15142</v>
      </c>
      <c r="H548" s="3">
        <v>266</v>
      </c>
      <c r="I548" s="1" t="s">
        <v>1522</v>
      </c>
      <c r="J548" s="5" t="s">
        <v>7418</v>
      </c>
      <c r="K548" s="2">
        <f t="shared" si="8"/>
        <v>9.5</v>
      </c>
    </row>
    <row r="549" spans="1:11" ht="40.5" x14ac:dyDescent="0.25">
      <c r="A549" s="1" t="s">
        <v>15067</v>
      </c>
      <c r="B549" s="1" t="s">
        <v>15296</v>
      </c>
      <c r="C549" s="1" t="s">
        <v>1533</v>
      </c>
      <c r="D549" s="1" t="s">
        <v>1533</v>
      </c>
      <c r="E549" s="1" t="s">
        <v>1533</v>
      </c>
      <c r="F549" s="1">
        <v>84</v>
      </c>
      <c r="G549" s="1" t="s">
        <v>15142</v>
      </c>
      <c r="H549" s="3">
        <v>798</v>
      </c>
      <c r="I549" s="1" t="s">
        <v>1522</v>
      </c>
      <c r="J549" s="5" t="s">
        <v>7419</v>
      </c>
      <c r="K549" s="2">
        <f t="shared" si="8"/>
        <v>9.5</v>
      </c>
    </row>
    <row r="550" spans="1:11" ht="27" x14ac:dyDescent="0.25">
      <c r="A550" s="1" t="s">
        <v>15067</v>
      </c>
      <c r="B550" s="1" t="s">
        <v>15280</v>
      </c>
      <c r="C550" s="1" t="s">
        <v>1533</v>
      </c>
      <c r="D550" s="1" t="s">
        <v>1533</v>
      </c>
      <c r="E550" s="1" t="s">
        <v>1533</v>
      </c>
      <c r="F550" s="1">
        <v>35</v>
      </c>
      <c r="G550" s="1" t="s">
        <v>15142</v>
      </c>
      <c r="H550" s="3">
        <v>332.5</v>
      </c>
      <c r="I550" s="1" t="s">
        <v>1522</v>
      </c>
      <c r="J550" s="5" t="s">
        <v>7419</v>
      </c>
      <c r="K550" s="2">
        <f t="shared" si="8"/>
        <v>9.5</v>
      </c>
    </row>
    <row r="551" spans="1:11" ht="27" x14ac:dyDescent="0.25">
      <c r="A551" s="1" t="s">
        <v>15067</v>
      </c>
      <c r="B551" s="1" t="s">
        <v>15297</v>
      </c>
      <c r="C551" s="1" t="s">
        <v>1533</v>
      </c>
      <c r="D551" s="1" t="s">
        <v>1533</v>
      </c>
      <c r="E551" s="1" t="s">
        <v>1533</v>
      </c>
      <c r="F551" s="1">
        <v>28</v>
      </c>
      <c r="G551" s="1" t="s">
        <v>15142</v>
      </c>
      <c r="H551" s="3">
        <v>266</v>
      </c>
      <c r="I551" s="1" t="s">
        <v>1522</v>
      </c>
      <c r="J551" s="5" t="s">
        <v>7419</v>
      </c>
      <c r="K551" s="2">
        <f t="shared" si="8"/>
        <v>9.5</v>
      </c>
    </row>
    <row r="552" spans="1:11" ht="40.5" x14ac:dyDescent="0.25">
      <c r="A552" s="1" t="s">
        <v>15067</v>
      </c>
      <c r="B552" s="1" t="s">
        <v>15299</v>
      </c>
      <c r="C552" s="1" t="s">
        <v>1533</v>
      </c>
      <c r="D552" s="1" t="s">
        <v>1533</v>
      </c>
      <c r="E552" s="1" t="s">
        <v>1533</v>
      </c>
      <c r="F552" s="1">
        <v>5</v>
      </c>
      <c r="G552" s="1" t="s">
        <v>15142</v>
      </c>
      <c r="H552" s="3">
        <v>42.75</v>
      </c>
      <c r="I552" s="1" t="s">
        <v>1522</v>
      </c>
      <c r="J552" s="5" t="s">
        <v>7418</v>
      </c>
      <c r="K552" s="2">
        <f t="shared" si="8"/>
        <v>8.5500000000000007</v>
      </c>
    </row>
    <row r="553" spans="1:11" ht="40.5" x14ac:dyDescent="0.25">
      <c r="A553" s="1" t="s">
        <v>15067</v>
      </c>
      <c r="B553" s="1" t="s">
        <v>15299</v>
      </c>
      <c r="C553" s="1" t="s">
        <v>1533</v>
      </c>
      <c r="D553" s="1" t="s">
        <v>1533</v>
      </c>
      <c r="E553" s="1" t="s">
        <v>1533</v>
      </c>
      <c r="F553" s="1">
        <v>28</v>
      </c>
      <c r="G553" s="1" t="s">
        <v>15142</v>
      </c>
      <c r="H553" s="3">
        <v>239.4</v>
      </c>
      <c r="I553" s="1" t="s">
        <v>1522</v>
      </c>
      <c r="J553" s="5" t="s">
        <v>7419</v>
      </c>
      <c r="K553" s="2">
        <f t="shared" si="8"/>
        <v>8.5500000000000007</v>
      </c>
    </row>
    <row r="554" spans="1:11" x14ac:dyDescent="0.25">
      <c r="A554" s="5" t="s">
        <v>15098</v>
      </c>
      <c r="B554" s="5" t="s">
        <v>15283</v>
      </c>
      <c r="C554" s="5" t="s">
        <v>1533</v>
      </c>
      <c r="D554" s="5" t="s">
        <v>1533</v>
      </c>
      <c r="E554" s="5" t="s">
        <v>1533</v>
      </c>
      <c r="F554" s="5">
        <v>7</v>
      </c>
      <c r="G554" s="5" t="s">
        <v>15142</v>
      </c>
      <c r="H554" s="8">
        <v>56</v>
      </c>
      <c r="I554" s="5" t="s">
        <v>1522</v>
      </c>
      <c r="J554" s="5" t="s">
        <v>7416</v>
      </c>
      <c r="K554" s="2">
        <f t="shared" si="8"/>
        <v>8</v>
      </c>
    </row>
    <row r="555" spans="1:11" x14ac:dyDescent="0.25">
      <c r="A555" s="1" t="s">
        <v>15117</v>
      </c>
      <c r="B555" s="1" t="s">
        <v>1533</v>
      </c>
      <c r="C555" s="1" t="s">
        <v>1533</v>
      </c>
      <c r="D555" s="1" t="s">
        <v>15155</v>
      </c>
      <c r="E555" s="1" t="s">
        <v>15144</v>
      </c>
      <c r="F555" s="1">
        <v>5.31</v>
      </c>
      <c r="G555" s="1" t="s">
        <v>15157</v>
      </c>
      <c r="H555" s="3">
        <v>42</v>
      </c>
      <c r="I555" s="1" t="s">
        <v>1522</v>
      </c>
      <c r="J555" s="5" t="s">
        <v>7418</v>
      </c>
      <c r="K555" s="2">
        <f t="shared" si="8"/>
        <v>7.9096045197740121</v>
      </c>
    </row>
    <row r="556" spans="1:11" x14ac:dyDescent="0.25">
      <c r="A556" s="1" t="s">
        <v>15080</v>
      </c>
      <c r="B556" s="1" t="s">
        <v>15300</v>
      </c>
      <c r="C556" s="1" t="s">
        <v>1533</v>
      </c>
      <c r="D556" s="1" t="s">
        <v>1533</v>
      </c>
      <c r="E556" s="1" t="s">
        <v>1533</v>
      </c>
      <c r="F556" s="1">
        <v>120</v>
      </c>
      <c r="G556" s="1" t="s">
        <v>15142</v>
      </c>
      <c r="H556" s="3">
        <v>930</v>
      </c>
      <c r="I556" s="1" t="s">
        <v>4</v>
      </c>
      <c r="J556" s="5" t="s">
        <v>7417</v>
      </c>
      <c r="K556" s="2">
        <f t="shared" si="8"/>
        <v>7.75</v>
      </c>
    </row>
    <row r="557" spans="1:11" x14ac:dyDescent="0.25">
      <c r="A557" s="1" t="s">
        <v>15117</v>
      </c>
      <c r="B557" s="1" t="s">
        <v>1533</v>
      </c>
      <c r="C557" s="1" t="s">
        <v>1533</v>
      </c>
      <c r="D557" s="1" t="s">
        <v>15155</v>
      </c>
      <c r="E557" s="1" t="s">
        <v>15144</v>
      </c>
      <c r="F557" s="1">
        <v>29.56</v>
      </c>
      <c r="G557" s="1" t="s">
        <v>15157</v>
      </c>
      <c r="H557" s="3">
        <v>226.95</v>
      </c>
      <c r="I557" s="1" t="s">
        <v>1522</v>
      </c>
      <c r="J557" s="5" t="s">
        <v>7419</v>
      </c>
      <c r="K557" s="2">
        <f t="shared" si="8"/>
        <v>7.6776048714479028</v>
      </c>
    </row>
    <row r="558" spans="1:11" x14ac:dyDescent="0.25">
      <c r="A558" s="5" t="s">
        <v>15105</v>
      </c>
      <c r="B558" s="5" t="s">
        <v>15301</v>
      </c>
      <c r="C558" s="5" t="s">
        <v>1533</v>
      </c>
      <c r="D558" s="5" t="s">
        <v>1533</v>
      </c>
      <c r="E558" s="5" t="s">
        <v>1533</v>
      </c>
      <c r="F558" s="5">
        <v>134</v>
      </c>
      <c r="G558" s="5" t="s">
        <v>15157</v>
      </c>
      <c r="H558" s="8">
        <v>1005</v>
      </c>
      <c r="I558" s="1" t="s">
        <v>1522</v>
      </c>
      <c r="J558" s="5" t="s">
        <v>7417</v>
      </c>
      <c r="K558" s="2">
        <f t="shared" si="8"/>
        <v>7.5</v>
      </c>
    </row>
    <row r="559" spans="1:11" x14ac:dyDescent="0.25">
      <c r="A559" s="1" t="s">
        <v>15105</v>
      </c>
      <c r="B559" s="1" t="s">
        <v>15301</v>
      </c>
      <c r="C559" s="1" t="s">
        <v>1533</v>
      </c>
      <c r="D559" s="1" t="s">
        <v>1533</v>
      </c>
      <c r="E559" s="1" t="s">
        <v>1533</v>
      </c>
      <c r="F559" s="1">
        <v>30</v>
      </c>
      <c r="G559" s="1" t="s">
        <v>15157</v>
      </c>
      <c r="H559" s="3">
        <v>225</v>
      </c>
      <c r="I559" s="1" t="s">
        <v>1522</v>
      </c>
      <c r="J559" s="5" t="s">
        <v>7418</v>
      </c>
      <c r="K559" s="2">
        <f t="shared" si="8"/>
        <v>7.5</v>
      </c>
    </row>
    <row r="560" spans="1:11" x14ac:dyDescent="0.25">
      <c r="A560" s="5" t="s">
        <v>15071</v>
      </c>
      <c r="B560" s="5" t="s">
        <v>15302</v>
      </c>
      <c r="C560" s="5" t="s">
        <v>1533</v>
      </c>
      <c r="D560" s="5" t="s">
        <v>1533</v>
      </c>
      <c r="E560" s="5" t="s">
        <v>1533</v>
      </c>
      <c r="F560" s="5">
        <v>26</v>
      </c>
      <c r="G560" s="5" t="s">
        <v>15142</v>
      </c>
      <c r="H560" s="8">
        <v>192.4</v>
      </c>
      <c r="I560" s="1" t="s">
        <v>1522</v>
      </c>
      <c r="J560" s="5" t="s">
        <v>7417</v>
      </c>
      <c r="K560" s="2">
        <f t="shared" si="8"/>
        <v>7.4</v>
      </c>
    </row>
    <row r="561" spans="1:11" ht="40.5" x14ac:dyDescent="0.25">
      <c r="A561" s="1" t="s">
        <v>15067</v>
      </c>
      <c r="B561" s="1" t="s">
        <v>15303</v>
      </c>
      <c r="C561" s="1" t="s">
        <v>1533</v>
      </c>
      <c r="D561" s="1" t="s">
        <v>1533</v>
      </c>
      <c r="E561" s="1" t="s">
        <v>1533</v>
      </c>
      <c r="F561" s="1">
        <v>19</v>
      </c>
      <c r="G561" s="1" t="s">
        <v>15142</v>
      </c>
      <c r="H561" s="3">
        <v>135.85</v>
      </c>
      <c r="I561" s="1" t="s">
        <v>1522</v>
      </c>
      <c r="J561" s="5" t="s">
        <v>7420</v>
      </c>
      <c r="K561" s="2">
        <f t="shared" si="8"/>
        <v>7.1499999999999995</v>
      </c>
    </row>
    <row r="562" spans="1:11" ht="27" x14ac:dyDescent="0.25">
      <c r="A562" s="1" t="s">
        <v>15067</v>
      </c>
      <c r="B562" s="1" t="s">
        <v>15304</v>
      </c>
      <c r="C562" s="1" t="s">
        <v>1533</v>
      </c>
      <c r="D562" s="1" t="s">
        <v>1533</v>
      </c>
      <c r="E562" s="1" t="s">
        <v>1533</v>
      </c>
      <c r="F562" s="1">
        <v>19</v>
      </c>
      <c r="G562" s="1" t="s">
        <v>15142</v>
      </c>
      <c r="H562" s="3">
        <v>135.85</v>
      </c>
      <c r="I562" s="1" t="s">
        <v>1522</v>
      </c>
      <c r="J562" s="5" t="s">
        <v>7420</v>
      </c>
      <c r="K562" s="2">
        <f t="shared" si="8"/>
        <v>7.1499999999999995</v>
      </c>
    </row>
    <row r="563" spans="1:11" x14ac:dyDescent="0.25">
      <c r="A563" s="5" t="s">
        <v>15098</v>
      </c>
      <c r="B563" s="5" t="s">
        <v>15305</v>
      </c>
      <c r="C563" s="5" t="s">
        <v>1533</v>
      </c>
      <c r="D563" s="5" t="s">
        <v>1533</v>
      </c>
      <c r="E563" s="5" t="s">
        <v>1533</v>
      </c>
      <c r="F563" s="5">
        <v>50</v>
      </c>
      <c r="G563" s="5" t="s">
        <v>15142</v>
      </c>
      <c r="H563" s="8">
        <v>320</v>
      </c>
      <c r="I563" s="5" t="s">
        <v>4</v>
      </c>
      <c r="J563" s="5" t="s">
        <v>7416</v>
      </c>
      <c r="K563" s="2">
        <f t="shared" si="8"/>
        <v>6.4</v>
      </c>
    </row>
    <row r="564" spans="1:11" x14ac:dyDescent="0.25">
      <c r="A564" s="1" t="s">
        <v>15098</v>
      </c>
      <c r="B564" s="1" t="s">
        <v>15305</v>
      </c>
      <c r="C564" s="1" t="s">
        <v>1533</v>
      </c>
      <c r="D564" s="1" t="s">
        <v>1533</v>
      </c>
      <c r="E564" s="1" t="s">
        <v>1533</v>
      </c>
      <c r="F564" s="1">
        <v>50</v>
      </c>
      <c r="G564" s="1" t="s">
        <v>15142</v>
      </c>
      <c r="H564" s="3">
        <v>320</v>
      </c>
      <c r="I564" s="1" t="s">
        <v>4</v>
      </c>
      <c r="J564" s="5" t="s">
        <v>7418</v>
      </c>
      <c r="K564" s="2">
        <f t="shared" si="8"/>
        <v>6.4</v>
      </c>
    </row>
    <row r="565" spans="1:11" x14ac:dyDescent="0.25">
      <c r="A565" s="1" t="s">
        <v>15098</v>
      </c>
      <c r="B565" s="1" t="s">
        <v>15305</v>
      </c>
      <c r="C565" s="1" t="s">
        <v>1533</v>
      </c>
      <c r="D565" s="1" t="s">
        <v>1533</v>
      </c>
      <c r="E565" s="1" t="s">
        <v>1533</v>
      </c>
      <c r="F565" s="1">
        <v>50</v>
      </c>
      <c r="G565" s="1" t="s">
        <v>15142</v>
      </c>
      <c r="H565" s="3">
        <v>320</v>
      </c>
      <c r="I565" s="1" t="s">
        <v>4</v>
      </c>
      <c r="J565" s="5" t="s">
        <v>7420</v>
      </c>
      <c r="K565" s="2">
        <f t="shared" si="8"/>
        <v>6.4</v>
      </c>
    </row>
    <row r="566" spans="1:11" x14ac:dyDescent="0.25">
      <c r="A566" s="1" t="s">
        <v>15071</v>
      </c>
      <c r="B566" s="1" t="s">
        <v>15302</v>
      </c>
      <c r="C566" s="1" t="s">
        <v>1533</v>
      </c>
      <c r="D566" s="1" t="s">
        <v>1533</v>
      </c>
      <c r="E566" s="1" t="s">
        <v>1533</v>
      </c>
      <c r="F566" s="1">
        <v>60</v>
      </c>
      <c r="G566" s="1" t="s">
        <v>15142</v>
      </c>
      <c r="H566" s="3">
        <v>380</v>
      </c>
      <c r="I566" s="1" t="s">
        <v>1522</v>
      </c>
      <c r="J566" s="5" t="s">
        <v>7418</v>
      </c>
      <c r="K566" s="2">
        <f t="shared" si="8"/>
        <v>6.333333333333333</v>
      </c>
    </row>
    <row r="567" spans="1:11" ht="27" x14ac:dyDescent="0.25">
      <c r="A567" s="1" t="s">
        <v>15067</v>
      </c>
      <c r="B567" s="1" t="s">
        <v>15306</v>
      </c>
      <c r="C567" s="1" t="s">
        <v>1533</v>
      </c>
      <c r="D567" s="1" t="s">
        <v>1533</v>
      </c>
      <c r="E567" s="1" t="s">
        <v>1533</v>
      </c>
      <c r="F567" s="1">
        <v>53</v>
      </c>
      <c r="G567" s="1" t="s">
        <v>15142</v>
      </c>
      <c r="H567" s="3">
        <v>330.72</v>
      </c>
      <c r="I567" s="1" t="s">
        <v>1522</v>
      </c>
      <c r="J567" s="5" t="s">
        <v>7420</v>
      </c>
      <c r="K567" s="2">
        <f t="shared" si="8"/>
        <v>6.24</v>
      </c>
    </row>
    <row r="568" spans="1:11" x14ac:dyDescent="0.25">
      <c r="A568" s="5" t="s">
        <v>15067</v>
      </c>
      <c r="B568" s="5" t="s">
        <v>15303</v>
      </c>
      <c r="C568" s="5" t="s">
        <v>1533</v>
      </c>
      <c r="D568" s="5" t="s">
        <v>1533</v>
      </c>
      <c r="E568" s="5" t="s">
        <v>1533</v>
      </c>
      <c r="F568" s="5">
        <v>19</v>
      </c>
      <c r="G568" s="5" t="s">
        <v>15142</v>
      </c>
      <c r="H568" s="8">
        <v>116.47</v>
      </c>
      <c r="I568" s="5" t="s">
        <v>1522</v>
      </c>
      <c r="J568" s="5" t="s">
        <v>7416</v>
      </c>
      <c r="K568" s="2">
        <f t="shared" si="8"/>
        <v>6.13</v>
      </c>
    </row>
    <row r="569" spans="1:11" x14ac:dyDescent="0.25">
      <c r="A569" s="5" t="s">
        <v>15067</v>
      </c>
      <c r="B569" s="5" t="s">
        <v>15304</v>
      </c>
      <c r="C569" s="5" t="s">
        <v>1533</v>
      </c>
      <c r="D569" s="5" t="s">
        <v>1533</v>
      </c>
      <c r="E569" s="5" t="s">
        <v>1533</v>
      </c>
      <c r="F569" s="5">
        <v>19</v>
      </c>
      <c r="G569" s="5" t="s">
        <v>15142</v>
      </c>
      <c r="H569" s="8">
        <v>116.47</v>
      </c>
      <c r="I569" s="5" t="s">
        <v>1522</v>
      </c>
      <c r="J569" s="5" t="s">
        <v>7416</v>
      </c>
      <c r="K569" s="2">
        <f t="shared" si="8"/>
        <v>6.13</v>
      </c>
    </row>
    <row r="570" spans="1:11" ht="40.5" x14ac:dyDescent="0.25">
      <c r="A570" s="1" t="s">
        <v>15067</v>
      </c>
      <c r="B570" s="1" t="s">
        <v>15303</v>
      </c>
      <c r="C570" s="1" t="s">
        <v>1533</v>
      </c>
      <c r="D570" s="1" t="s">
        <v>1533</v>
      </c>
      <c r="E570" s="1" t="s">
        <v>1533</v>
      </c>
      <c r="F570" s="1">
        <v>19</v>
      </c>
      <c r="G570" s="1" t="s">
        <v>15142</v>
      </c>
      <c r="H570" s="3">
        <v>116.47</v>
      </c>
      <c r="I570" s="1" t="s">
        <v>1522</v>
      </c>
      <c r="J570" s="5" t="s">
        <v>7418</v>
      </c>
      <c r="K570" s="2">
        <f t="shared" si="8"/>
        <v>6.13</v>
      </c>
    </row>
    <row r="571" spans="1:11" ht="27" x14ac:dyDescent="0.25">
      <c r="A571" s="1" t="s">
        <v>15067</v>
      </c>
      <c r="B571" s="1" t="s">
        <v>15304</v>
      </c>
      <c r="C571" s="1" t="s">
        <v>1533</v>
      </c>
      <c r="D571" s="1" t="s">
        <v>1533</v>
      </c>
      <c r="E571" s="1" t="s">
        <v>1533</v>
      </c>
      <c r="F571" s="1">
        <v>19</v>
      </c>
      <c r="G571" s="1" t="s">
        <v>15142</v>
      </c>
      <c r="H571" s="3">
        <v>116.47</v>
      </c>
      <c r="I571" s="1" t="s">
        <v>1522</v>
      </c>
      <c r="J571" s="5" t="s">
        <v>7418</v>
      </c>
      <c r="K571" s="2">
        <f t="shared" si="8"/>
        <v>6.13</v>
      </c>
    </row>
    <row r="572" spans="1:11" ht="27" x14ac:dyDescent="0.25">
      <c r="A572" s="1" t="s">
        <v>15067</v>
      </c>
      <c r="B572" s="1" t="s">
        <v>15304</v>
      </c>
      <c r="C572" s="1" t="s">
        <v>1533</v>
      </c>
      <c r="D572" s="1" t="s">
        <v>1533</v>
      </c>
      <c r="E572" s="1" t="s">
        <v>1533</v>
      </c>
      <c r="F572" s="1">
        <v>41</v>
      </c>
      <c r="G572" s="1" t="s">
        <v>15142</v>
      </c>
      <c r="H572" s="3">
        <v>251.33</v>
      </c>
      <c r="I572" s="1" t="s">
        <v>1522</v>
      </c>
      <c r="J572" s="5" t="s">
        <v>7419</v>
      </c>
      <c r="K572" s="2">
        <f t="shared" si="8"/>
        <v>6.13</v>
      </c>
    </row>
    <row r="573" spans="1:11" ht="40.5" x14ac:dyDescent="0.25">
      <c r="A573" s="1" t="s">
        <v>15067</v>
      </c>
      <c r="B573" s="1" t="s">
        <v>15303</v>
      </c>
      <c r="C573" s="1" t="s">
        <v>1533</v>
      </c>
      <c r="D573" s="1" t="s">
        <v>1533</v>
      </c>
      <c r="E573" s="1" t="s">
        <v>1533</v>
      </c>
      <c r="F573" s="1">
        <v>38</v>
      </c>
      <c r="G573" s="1" t="s">
        <v>15142</v>
      </c>
      <c r="H573" s="3">
        <v>232.94</v>
      </c>
      <c r="I573" s="1" t="s">
        <v>1522</v>
      </c>
      <c r="J573" s="5" t="s">
        <v>7419</v>
      </c>
      <c r="K573" s="2">
        <f t="shared" si="8"/>
        <v>6.13</v>
      </c>
    </row>
    <row r="574" spans="1:11" x14ac:dyDescent="0.25">
      <c r="A574" s="5" t="s">
        <v>15092</v>
      </c>
      <c r="B574" s="5" t="s">
        <v>15151</v>
      </c>
      <c r="C574" s="5" t="s">
        <v>1533</v>
      </c>
      <c r="D574" s="5" t="s">
        <v>1533</v>
      </c>
      <c r="E574" s="5" t="s">
        <v>1533</v>
      </c>
      <c r="F574" s="5">
        <v>210</v>
      </c>
      <c r="G574" s="5" t="s">
        <v>15142</v>
      </c>
      <c r="H574" s="8">
        <v>1260</v>
      </c>
      <c r="I574" s="5" t="s">
        <v>4</v>
      </c>
      <c r="J574" s="5" t="s">
        <v>7416</v>
      </c>
      <c r="K574" s="2">
        <f t="shared" si="8"/>
        <v>6</v>
      </c>
    </row>
    <row r="575" spans="1:11" ht="27" x14ac:dyDescent="0.25">
      <c r="A575" s="1" t="s">
        <v>15067</v>
      </c>
      <c r="B575" s="1" t="s">
        <v>15307</v>
      </c>
      <c r="C575" s="1" t="s">
        <v>1533</v>
      </c>
      <c r="D575" s="1" t="s">
        <v>1533</v>
      </c>
      <c r="E575" s="1" t="s">
        <v>1533</v>
      </c>
      <c r="F575" s="1">
        <v>22</v>
      </c>
      <c r="G575" s="1" t="s">
        <v>15142</v>
      </c>
      <c r="H575" s="3">
        <v>132</v>
      </c>
      <c r="I575" s="1" t="s">
        <v>1522</v>
      </c>
      <c r="J575" s="5" t="s">
        <v>7420</v>
      </c>
      <c r="K575" s="2">
        <f t="shared" si="8"/>
        <v>6</v>
      </c>
    </row>
    <row r="576" spans="1:11" x14ac:dyDescent="0.25">
      <c r="A576" s="5" t="s">
        <v>15067</v>
      </c>
      <c r="B576" s="5" t="s">
        <v>15308</v>
      </c>
      <c r="C576" s="5" t="s">
        <v>1533</v>
      </c>
      <c r="D576" s="5" t="s">
        <v>1533</v>
      </c>
      <c r="E576" s="5" t="s">
        <v>1533</v>
      </c>
      <c r="F576" s="5">
        <v>16</v>
      </c>
      <c r="G576" s="5" t="s">
        <v>15142</v>
      </c>
      <c r="H576" s="8">
        <v>92.16</v>
      </c>
      <c r="I576" s="5" t="s">
        <v>1522</v>
      </c>
      <c r="J576" s="5" t="s">
        <v>7416</v>
      </c>
      <c r="K576" s="2">
        <f t="shared" si="8"/>
        <v>5.76</v>
      </c>
    </row>
    <row r="577" spans="1:11" ht="27" x14ac:dyDescent="0.25">
      <c r="A577" s="1" t="s">
        <v>15067</v>
      </c>
      <c r="B577" s="1" t="s">
        <v>15308</v>
      </c>
      <c r="C577" s="1" t="s">
        <v>1533</v>
      </c>
      <c r="D577" s="1" t="s">
        <v>1533</v>
      </c>
      <c r="E577" s="1" t="s">
        <v>1533</v>
      </c>
      <c r="F577" s="1">
        <v>10</v>
      </c>
      <c r="G577" s="1" t="s">
        <v>15142</v>
      </c>
      <c r="H577" s="3">
        <v>57.6</v>
      </c>
      <c r="I577" s="1" t="s">
        <v>1522</v>
      </c>
      <c r="J577" s="5" t="s">
        <v>7418</v>
      </c>
      <c r="K577" s="2">
        <f t="shared" si="8"/>
        <v>5.76</v>
      </c>
    </row>
    <row r="578" spans="1:11" ht="27" x14ac:dyDescent="0.25">
      <c r="A578" s="1" t="s">
        <v>15067</v>
      </c>
      <c r="B578" s="1" t="s">
        <v>15308</v>
      </c>
      <c r="C578" s="1" t="s">
        <v>1533</v>
      </c>
      <c r="D578" s="1" t="s">
        <v>1533</v>
      </c>
      <c r="E578" s="1" t="s">
        <v>1533</v>
      </c>
      <c r="F578" s="1">
        <v>46</v>
      </c>
      <c r="G578" s="1" t="s">
        <v>15142</v>
      </c>
      <c r="H578" s="3">
        <v>264.95999999999998</v>
      </c>
      <c r="I578" s="1" t="s">
        <v>1522</v>
      </c>
      <c r="J578" s="5" t="s">
        <v>7419</v>
      </c>
      <c r="K578" s="2">
        <f t="shared" ref="K578:K641" si="9">H578/F578</f>
        <v>5.76</v>
      </c>
    </row>
    <row r="579" spans="1:11" x14ac:dyDescent="0.25">
      <c r="A579" s="5" t="s">
        <v>15067</v>
      </c>
      <c r="B579" s="5" t="s">
        <v>15309</v>
      </c>
      <c r="C579" s="5" t="s">
        <v>1533</v>
      </c>
      <c r="D579" s="5" t="s">
        <v>1533</v>
      </c>
      <c r="E579" s="5" t="s">
        <v>1533</v>
      </c>
      <c r="F579" s="5">
        <v>222</v>
      </c>
      <c r="G579" s="5" t="s">
        <v>15142</v>
      </c>
      <c r="H579" s="8">
        <v>1265.4000000000001</v>
      </c>
      <c r="I579" s="1" t="s">
        <v>1522</v>
      </c>
      <c r="J579" s="5" t="s">
        <v>7417</v>
      </c>
      <c r="K579" s="2">
        <f t="shared" si="9"/>
        <v>5.7</v>
      </c>
    </row>
    <row r="580" spans="1:11" x14ac:dyDescent="0.25">
      <c r="A580" s="5" t="s">
        <v>15067</v>
      </c>
      <c r="B580" s="5" t="s">
        <v>15306</v>
      </c>
      <c r="C580" s="5" t="s">
        <v>1533</v>
      </c>
      <c r="D580" s="5" t="s">
        <v>1533</v>
      </c>
      <c r="E580" s="5" t="s">
        <v>1533</v>
      </c>
      <c r="F580" s="5">
        <v>106</v>
      </c>
      <c r="G580" s="5" t="s">
        <v>15142</v>
      </c>
      <c r="H580" s="8">
        <v>604.20000000000005</v>
      </c>
      <c r="I580" s="1" t="s">
        <v>1522</v>
      </c>
      <c r="J580" s="5" t="s">
        <v>7417</v>
      </c>
      <c r="K580" s="2">
        <f t="shared" si="9"/>
        <v>5.7</v>
      </c>
    </row>
    <row r="581" spans="1:11" ht="40.5" x14ac:dyDescent="0.25">
      <c r="A581" s="1" t="s">
        <v>15067</v>
      </c>
      <c r="B581" s="1" t="s">
        <v>15309</v>
      </c>
      <c r="C581" s="1" t="s">
        <v>1533</v>
      </c>
      <c r="D581" s="1" t="s">
        <v>1533</v>
      </c>
      <c r="E581" s="1" t="s">
        <v>1533</v>
      </c>
      <c r="F581" s="1">
        <v>177</v>
      </c>
      <c r="G581" s="1" t="s">
        <v>15142</v>
      </c>
      <c r="H581" s="3">
        <v>1008.9</v>
      </c>
      <c r="I581" s="1" t="s">
        <v>1522</v>
      </c>
      <c r="J581" s="5" t="s">
        <v>7418</v>
      </c>
      <c r="K581" s="2">
        <f t="shared" si="9"/>
        <v>5.7</v>
      </c>
    </row>
    <row r="582" spans="1:11" ht="40.5" x14ac:dyDescent="0.25">
      <c r="A582" s="1" t="s">
        <v>15067</v>
      </c>
      <c r="B582" s="1" t="s">
        <v>15309</v>
      </c>
      <c r="C582" s="1" t="s">
        <v>1533</v>
      </c>
      <c r="D582" s="1" t="s">
        <v>1533</v>
      </c>
      <c r="E582" s="1" t="s">
        <v>1533</v>
      </c>
      <c r="F582" s="1">
        <v>191</v>
      </c>
      <c r="G582" s="1" t="s">
        <v>15142</v>
      </c>
      <c r="H582" s="3">
        <v>1088.7</v>
      </c>
      <c r="I582" s="1" t="s">
        <v>1522</v>
      </c>
      <c r="J582" s="5" t="s">
        <v>7419</v>
      </c>
      <c r="K582" s="2">
        <f t="shared" si="9"/>
        <v>5.7</v>
      </c>
    </row>
    <row r="583" spans="1:11" x14ac:dyDescent="0.25">
      <c r="A583" s="5" t="s">
        <v>15067</v>
      </c>
      <c r="B583" s="5" t="s">
        <v>15309</v>
      </c>
      <c r="C583" s="5" t="s">
        <v>1533</v>
      </c>
      <c r="D583" s="5" t="s">
        <v>1533</v>
      </c>
      <c r="E583" s="5" t="s">
        <v>1533</v>
      </c>
      <c r="F583" s="5">
        <v>104</v>
      </c>
      <c r="G583" s="5" t="s">
        <v>15142</v>
      </c>
      <c r="H583" s="8">
        <v>592.79999999999995</v>
      </c>
      <c r="I583" s="5" t="s">
        <v>1522</v>
      </c>
      <c r="J583" s="5" t="s">
        <v>7416</v>
      </c>
      <c r="K583" s="2">
        <f t="shared" si="9"/>
        <v>5.6999999999999993</v>
      </c>
    </row>
    <row r="584" spans="1:11" x14ac:dyDescent="0.25">
      <c r="A584" s="5" t="s">
        <v>15067</v>
      </c>
      <c r="B584" s="5" t="s">
        <v>15310</v>
      </c>
      <c r="C584" s="5" t="s">
        <v>1533</v>
      </c>
      <c r="D584" s="5" t="s">
        <v>1533</v>
      </c>
      <c r="E584" s="5" t="s">
        <v>1533</v>
      </c>
      <c r="F584" s="5">
        <v>22</v>
      </c>
      <c r="G584" s="5" t="s">
        <v>15142</v>
      </c>
      <c r="H584" s="8">
        <v>113.3</v>
      </c>
      <c r="I584" s="5" t="s">
        <v>1522</v>
      </c>
      <c r="J584" s="5" t="s">
        <v>7416</v>
      </c>
      <c r="K584" s="2">
        <f t="shared" si="9"/>
        <v>5.1499999999999995</v>
      </c>
    </row>
    <row r="585" spans="1:11" x14ac:dyDescent="0.25">
      <c r="A585" s="5" t="s">
        <v>15067</v>
      </c>
      <c r="B585" s="5" t="s">
        <v>15310</v>
      </c>
      <c r="C585" s="5" t="s">
        <v>1533</v>
      </c>
      <c r="D585" s="5" t="s">
        <v>1533</v>
      </c>
      <c r="E585" s="5" t="s">
        <v>1533</v>
      </c>
      <c r="F585" s="5">
        <v>22</v>
      </c>
      <c r="G585" s="5" t="s">
        <v>15142</v>
      </c>
      <c r="H585" s="8">
        <v>113.3</v>
      </c>
      <c r="I585" s="1" t="s">
        <v>1522</v>
      </c>
      <c r="J585" s="5" t="s">
        <v>7417</v>
      </c>
      <c r="K585" s="2">
        <f t="shared" si="9"/>
        <v>5.1499999999999995</v>
      </c>
    </row>
    <row r="586" spans="1:11" ht="27" x14ac:dyDescent="0.25">
      <c r="A586" s="1" t="s">
        <v>15067</v>
      </c>
      <c r="B586" s="1" t="s">
        <v>15310</v>
      </c>
      <c r="C586" s="1" t="s">
        <v>1533</v>
      </c>
      <c r="D586" s="1" t="s">
        <v>1533</v>
      </c>
      <c r="E586" s="1" t="s">
        <v>1533</v>
      </c>
      <c r="F586" s="1">
        <v>66</v>
      </c>
      <c r="G586" s="1" t="s">
        <v>15142</v>
      </c>
      <c r="H586" s="3">
        <v>339.9</v>
      </c>
      <c r="I586" s="1" t="s">
        <v>1522</v>
      </c>
      <c r="J586" s="5" t="s">
        <v>7418</v>
      </c>
      <c r="K586" s="2">
        <f t="shared" si="9"/>
        <v>5.1499999999999995</v>
      </c>
    </row>
    <row r="587" spans="1:11" ht="27" x14ac:dyDescent="0.25">
      <c r="A587" s="1" t="s">
        <v>15067</v>
      </c>
      <c r="B587" s="1" t="s">
        <v>15307</v>
      </c>
      <c r="C587" s="1" t="s">
        <v>1533</v>
      </c>
      <c r="D587" s="1" t="s">
        <v>1533</v>
      </c>
      <c r="E587" s="1" t="s">
        <v>1533</v>
      </c>
      <c r="F587" s="1">
        <v>22</v>
      </c>
      <c r="G587" s="1" t="s">
        <v>15142</v>
      </c>
      <c r="H587" s="3">
        <v>113.3</v>
      </c>
      <c r="I587" s="1" t="s">
        <v>1522</v>
      </c>
      <c r="J587" s="5" t="s">
        <v>7418</v>
      </c>
      <c r="K587" s="2">
        <f t="shared" si="9"/>
        <v>5.1499999999999995</v>
      </c>
    </row>
    <row r="588" spans="1:11" ht="27" x14ac:dyDescent="0.25">
      <c r="A588" s="1" t="s">
        <v>15067</v>
      </c>
      <c r="B588" s="1" t="s">
        <v>15310</v>
      </c>
      <c r="C588" s="1" t="s">
        <v>1533</v>
      </c>
      <c r="D588" s="1" t="s">
        <v>1533</v>
      </c>
      <c r="E588" s="1" t="s">
        <v>1533</v>
      </c>
      <c r="F588" s="1">
        <v>66</v>
      </c>
      <c r="G588" s="1" t="s">
        <v>15142</v>
      </c>
      <c r="H588" s="3">
        <v>339.9</v>
      </c>
      <c r="I588" s="1" t="s">
        <v>1522</v>
      </c>
      <c r="J588" s="5" t="s">
        <v>7419</v>
      </c>
      <c r="K588" s="2">
        <f t="shared" si="9"/>
        <v>5.1499999999999995</v>
      </c>
    </row>
    <row r="589" spans="1:11" ht="27" x14ac:dyDescent="0.25">
      <c r="A589" s="1" t="s">
        <v>15067</v>
      </c>
      <c r="B589" s="1" t="s">
        <v>15311</v>
      </c>
      <c r="C589" s="1" t="s">
        <v>1533</v>
      </c>
      <c r="D589" s="1" t="s">
        <v>1533</v>
      </c>
      <c r="E589" s="1" t="s">
        <v>1533</v>
      </c>
      <c r="F589" s="1">
        <v>27</v>
      </c>
      <c r="G589" s="1" t="s">
        <v>15142</v>
      </c>
      <c r="H589" s="3">
        <v>132.30000000000001</v>
      </c>
      <c r="I589" s="1" t="s">
        <v>1522</v>
      </c>
      <c r="J589" s="5" t="s">
        <v>7420</v>
      </c>
      <c r="K589" s="2">
        <f t="shared" si="9"/>
        <v>4.9000000000000004</v>
      </c>
    </row>
    <row r="590" spans="1:11" ht="40.5" x14ac:dyDescent="0.25">
      <c r="A590" s="1" t="s">
        <v>15067</v>
      </c>
      <c r="B590" s="1" t="s">
        <v>15312</v>
      </c>
      <c r="C590" s="1" t="s">
        <v>1533</v>
      </c>
      <c r="D590" s="1" t="s">
        <v>1533</v>
      </c>
      <c r="E590" s="1" t="s">
        <v>1533</v>
      </c>
      <c r="F590" s="1">
        <v>27</v>
      </c>
      <c r="G590" s="1" t="s">
        <v>15142</v>
      </c>
      <c r="H590" s="3">
        <v>132.30000000000001</v>
      </c>
      <c r="I590" s="1" t="s">
        <v>1522</v>
      </c>
      <c r="J590" s="5" t="s">
        <v>7420</v>
      </c>
      <c r="K590" s="2">
        <f t="shared" si="9"/>
        <v>4.9000000000000004</v>
      </c>
    </row>
    <row r="591" spans="1:11" x14ac:dyDescent="0.25">
      <c r="A591" s="1" t="s">
        <v>15113</v>
      </c>
      <c r="B591" s="1" t="s">
        <v>15313</v>
      </c>
      <c r="C591" s="1" t="s">
        <v>1533</v>
      </c>
      <c r="D591" s="1" t="s">
        <v>1533</v>
      </c>
      <c r="E591" s="1" t="s">
        <v>1533</v>
      </c>
      <c r="F591" s="1">
        <v>140</v>
      </c>
      <c r="G591" s="1" t="s">
        <v>15142</v>
      </c>
      <c r="H591" s="3">
        <v>644</v>
      </c>
      <c r="I591" s="1" t="s">
        <v>1522</v>
      </c>
      <c r="J591" s="5" t="s">
        <v>7418</v>
      </c>
      <c r="K591" s="2">
        <f t="shared" si="9"/>
        <v>4.5999999999999996</v>
      </c>
    </row>
    <row r="592" spans="1:11" x14ac:dyDescent="0.25">
      <c r="A592" s="5" t="s">
        <v>15067</v>
      </c>
      <c r="B592" s="5" t="s">
        <v>15314</v>
      </c>
      <c r="C592" s="5" t="s">
        <v>1533</v>
      </c>
      <c r="D592" s="5" t="s">
        <v>1533</v>
      </c>
      <c r="E592" s="5" t="s">
        <v>1533</v>
      </c>
      <c r="F592" s="5">
        <v>71</v>
      </c>
      <c r="G592" s="5" t="s">
        <v>15142</v>
      </c>
      <c r="H592" s="8">
        <v>303.88</v>
      </c>
      <c r="I592" s="5" t="s">
        <v>1522</v>
      </c>
      <c r="J592" s="5" t="s">
        <v>7416</v>
      </c>
      <c r="K592" s="2">
        <f t="shared" si="9"/>
        <v>4.28</v>
      </c>
    </row>
    <row r="593" spans="1:11" ht="40.5" x14ac:dyDescent="0.25">
      <c r="A593" s="1" t="s">
        <v>15067</v>
      </c>
      <c r="B593" s="1" t="s">
        <v>15315</v>
      </c>
      <c r="C593" s="1" t="s">
        <v>1533</v>
      </c>
      <c r="D593" s="1" t="s">
        <v>1533</v>
      </c>
      <c r="E593" s="1" t="s">
        <v>1533</v>
      </c>
      <c r="F593" s="1">
        <v>71</v>
      </c>
      <c r="G593" s="1" t="s">
        <v>15142</v>
      </c>
      <c r="H593" s="3">
        <v>303.88</v>
      </c>
      <c r="I593" s="1" t="s">
        <v>1522</v>
      </c>
      <c r="J593" s="5" t="s">
        <v>7418</v>
      </c>
      <c r="K593" s="2">
        <f t="shared" si="9"/>
        <v>4.28</v>
      </c>
    </row>
    <row r="594" spans="1:11" ht="27" x14ac:dyDescent="0.25">
      <c r="A594" s="1" t="s">
        <v>15067</v>
      </c>
      <c r="B594" s="1" t="s">
        <v>15314</v>
      </c>
      <c r="C594" s="1" t="s">
        <v>1533</v>
      </c>
      <c r="D594" s="1" t="s">
        <v>1533</v>
      </c>
      <c r="E594" s="1" t="s">
        <v>1533</v>
      </c>
      <c r="F594" s="1">
        <v>60</v>
      </c>
      <c r="G594" s="1" t="s">
        <v>15142</v>
      </c>
      <c r="H594" s="3">
        <v>256.8</v>
      </c>
      <c r="I594" s="1" t="s">
        <v>1522</v>
      </c>
      <c r="J594" s="5" t="s">
        <v>7418</v>
      </c>
      <c r="K594" s="2">
        <f t="shared" si="9"/>
        <v>4.28</v>
      </c>
    </row>
    <row r="595" spans="1:11" ht="27" x14ac:dyDescent="0.25">
      <c r="A595" s="1" t="s">
        <v>15067</v>
      </c>
      <c r="B595" s="1" t="s">
        <v>15314</v>
      </c>
      <c r="C595" s="1" t="s">
        <v>1533</v>
      </c>
      <c r="D595" s="1" t="s">
        <v>1533</v>
      </c>
      <c r="E595" s="1" t="s">
        <v>1533</v>
      </c>
      <c r="F595" s="1">
        <v>72</v>
      </c>
      <c r="G595" s="1" t="s">
        <v>15142</v>
      </c>
      <c r="H595" s="3">
        <v>308.16000000000003</v>
      </c>
      <c r="I595" s="1" t="s">
        <v>1522</v>
      </c>
      <c r="J595" s="5" t="s">
        <v>7419</v>
      </c>
      <c r="K595" s="2">
        <f t="shared" si="9"/>
        <v>4.28</v>
      </c>
    </row>
    <row r="596" spans="1:11" x14ac:dyDescent="0.25">
      <c r="A596" s="5" t="s">
        <v>15067</v>
      </c>
      <c r="B596" s="5" t="s">
        <v>15316</v>
      </c>
      <c r="C596" s="5" t="s">
        <v>1533</v>
      </c>
      <c r="D596" s="5" t="s">
        <v>1533</v>
      </c>
      <c r="E596" s="5" t="s">
        <v>1533</v>
      </c>
      <c r="F596" s="5">
        <v>64</v>
      </c>
      <c r="G596" s="5" t="s">
        <v>15142</v>
      </c>
      <c r="H596" s="8">
        <v>268.8</v>
      </c>
      <c r="I596" s="5" t="s">
        <v>1522</v>
      </c>
      <c r="J596" s="5" t="s">
        <v>7416</v>
      </c>
      <c r="K596" s="2">
        <f t="shared" si="9"/>
        <v>4.2</v>
      </c>
    </row>
    <row r="597" spans="1:11" x14ac:dyDescent="0.25">
      <c r="A597" s="5" t="s">
        <v>15067</v>
      </c>
      <c r="B597" s="5" t="s">
        <v>15317</v>
      </c>
      <c r="C597" s="5" t="s">
        <v>1533</v>
      </c>
      <c r="D597" s="5" t="s">
        <v>1533</v>
      </c>
      <c r="E597" s="5" t="s">
        <v>1533</v>
      </c>
      <c r="F597" s="5">
        <v>54</v>
      </c>
      <c r="G597" s="5" t="s">
        <v>15142</v>
      </c>
      <c r="H597" s="8">
        <v>226.8</v>
      </c>
      <c r="I597" s="5" t="s">
        <v>1522</v>
      </c>
      <c r="J597" s="5" t="s">
        <v>7416</v>
      </c>
      <c r="K597" s="2">
        <f t="shared" si="9"/>
        <v>4.2</v>
      </c>
    </row>
    <row r="598" spans="1:11" x14ac:dyDescent="0.25">
      <c r="A598" s="5" t="s">
        <v>15067</v>
      </c>
      <c r="B598" s="5" t="s">
        <v>15318</v>
      </c>
      <c r="C598" s="5" t="s">
        <v>1533</v>
      </c>
      <c r="D598" s="5" t="s">
        <v>1533</v>
      </c>
      <c r="E598" s="5" t="s">
        <v>1533</v>
      </c>
      <c r="F598" s="5">
        <v>27</v>
      </c>
      <c r="G598" s="5" t="s">
        <v>15142</v>
      </c>
      <c r="H598" s="8">
        <v>113.4</v>
      </c>
      <c r="I598" s="5" t="s">
        <v>1522</v>
      </c>
      <c r="J598" s="5" t="s">
        <v>7416</v>
      </c>
      <c r="K598" s="2">
        <f t="shared" si="9"/>
        <v>4.2</v>
      </c>
    </row>
    <row r="599" spans="1:11" x14ac:dyDescent="0.25">
      <c r="A599" s="5" t="s">
        <v>15067</v>
      </c>
      <c r="B599" s="5" t="s">
        <v>15311</v>
      </c>
      <c r="C599" s="5" t="s">
        <v>1533</v>
      </c>
      <c r="D599" s="5" t="s">
        <v>1533</v>
      </c>
      <c r="E599" s="5" t="s">
        <v>1533</v>
      </c>
      <c r="F599" s="5">
        <v>27</v>
      </c>
      <c r="G599" s="5" t="s">
        <v>15142</v>
      </c>
      <c r="H599" s="8">
        <v>113.4</v>
      </c>
      <c r="I599" s="5" t="s">
        <v>1522</v>
      </c>
      <c r="J599" s="5" t="s">
        <v>7416</v>
      </c>
      <c r="K599" s="2">
        <f t="shared" si="9"/>
        <v>4.2</v>
      </c>
    </row>
    <row r="600" spans="1:11" x14ac:dyDescent="0.25">
      <c r="A600" s="5" t="s">
        <v>15067</v>
      </c>
      <c r="B600" s="5" t="s">
        <v>15312</v>
      </c>
      <c r="C600" s="5" t="s">
        <v>1533</v>
      </c>
      <c r="D600" s="5" t="s">
        <v>1533</v>
      </c>
      <c r="E600" s="5" t="s">
        <v>1533</v>
      </c>
      <c r="F600" s="5">
        <v>27</v>
      </c>
      <c r="G600" s="5" t="s">
        <v>15142</v>
      </c>
      <c r="H600" s="8">
        <v>113.4</v>
      </c>
      <c r="I600" s="5" t="s">
        <v>1522</v>
      </c>
      <c r="J600" s="5" t="s">
        <v>7416</v>
      </c>
      <c r="K600" s="2">
        <f t="shared" si="9"/>
        <v>4.2</v>
      </c>
    </row>
    <row r="601" spans="1:11" x14ac:dyDescent="0.25">
      <c r="A601" s="5" t="s">
        <v>15067</v>
      </c>
      <c r="B601" s="5" t="s">
        <v>15319</v>
      </c>
      <c r="C601" s="5" t="s">
        <v>1533</v>
      </c>
      <c r="D601" s="5" t="s">
        <v>1533</v>
      </c>
      <c r="E601" s="5" t="s">
        <v>1533</v>
      </c>
      <c r="F601" s="5">
        <v>27</v>
      </c>
      <c r="G601" s="5" t="s">
        <v>15142</v>
      </c>
      <c r="H601" s="8">
        <v>113.4</v>
      </c>
      <c r="I601" s="5" t="s">
        <v>1522</v>
      </c>
      <c r="J601" s="5" t="s">
        <v>7416</v>
      </c>
      <c r="K601" s="2">
        <f t="shared" si="9"/>
        <v>4.2</v>
      </c>
    </row>
    <row r="602" spans="1:11" x14ac:dyDescent="0.25">
      <c r="A602" s="5" t="s">
        <v>15067</v>
      </c>
      <c r="B602" s="5" t="s">
        <v>15312</v>
      </c>
      <c r="C602" s="5" t="s">
        <v>1533</v>
      </c>
      <c r="D602" s="5" t="s">
        <v>1533</v>
      </c>
      <c r="E602" s="5" t="s">
        <v>1533</v>
      </c>
      <c r="F602" s="5">
        <v>81</v>
      </c>
      <c r="G602" s="5" t="s">
        <v>15142</v>
      </c>
      <c r="H602" s="8">
        <v>340.2</v>
      </c>
      <c r="I602" s="1" t="s">
        <v>1522</v>
      </c>
      <c r="J602" s="5" t="s">
        <v>7417</v>
      </c>
      <c r="K602" s="2">
        <f t="shared" si="9"/>
        <v>4.2</v>
      </c>
    </row>
    <row r="603" spans="1:11" x14ac:dyDescent="0.25">
      <c r="A603" s="5" t="s">
        <v>15067</v>
      </c>
      <c r="B603" s="5" t="s">
        <v>15317</v>
      </c>
      <c r="C603" s="5" t="s">
        <v>1533</v>
      </c>
      <c r="D603" s="5" t="s">
        <v>1533</v>
      </c>
      <c r="E603" s="5" t="s">
        <v>1533</v>
      </c>
      <c r="F603" s="5">
        <v>81</v>
      </c>
      <c r="G603" s="5" t="s">
        <v>15142</v>
      </c>
      <c r="H603" s="8">
        <v>340.2</v>
      </c>
      <c r="I603" s="1" t="s">
        <v>1522</v>
      </c>
      <c r="J603" s="5" t="s">
        <v>7417</v>
      </c>
      <c r="K603" s="2">
        <f t="shared" si="9"/>
        <v>4.2</v>
      </c>
    </row>
    <row r="604" spans="1:11" x14ac:dyDescent="0.25">
      <c r="A604" s="5" t="s">
        <v>15067</v>
      </c>
      <c r="B604" s="5" t="s">
        <v>15316</v>
      </c>
      <c r="C604" s="5" t="s">
        <v>1533</v>
      </c>
      <c r="D604" s="5" t="s">
        <v>1533</v>
      </c>
      <c r="E604" s="5" t="s">
        <v>1533</v>
      </c>
      <c r="F604" s="5">
        <v>54</v>
      </c>
      <c r="G604" s="5" t="s">
        <v>15142</v>
      </c>
      <c r="H604" s="8">
        <v>226.8</v>
      </c>
      <c r="I604" s="1" t="s">
        <v>1522</v>
      </c>
      <c r="J604" s="5" t="s">
        <v>7417</v>
      </c>
      <c r="K604" s="2">
        <f t="shared" si="9"/>
        <v>4.2</v>
      </c>
    </row>
    <row r="605" spans="1:11" x14ac:dyDescent="0.25">
      <c r="A605" s="5" t="s">
        <v>15067</v>
      </c>
      <c r="B605" s="5" t="s">
        <v>15320</v>
      </c>
      <c r="C605" s="5" t="s">
        <v>1533</v>
      </c>
      <c r="D605" s="5" t="s">
        <v>1533</v>
      </c>
      <c r="E605" s="5" t="s">
        <v>1533</v>
      </c>
      <c r="F605" s="5">
        <v>27</v>
      </c>
      <c r="G605" s="5" t="s">
        <v>15142</v>
      </c>
      <c r="H605" s="8">
        <v>113.4</v>
      </c>
      <c r="I605" s="1" t="s">
        <v>1522</v>
      </c>
      <c r="J605" s="5" t="s">
        <v>7417</v>
      </c>
      <c r="K605" s="2">
        <f t="shared" si="9"/>
        <v>4.2</v>
      </c>
    </row>
    <row r="606" spans="1:11" x14ac:dyDescent="0.25">
      <c r="A606" s="5" t="s">
        <v>15067</v>
      </c>
      <c r="B606" s="5" t="s">
        <v>15321</v>
      </c>
      <c r="C606" s="5" t="s">
        <v>1533</v>
      </c>
      <c r="D606" s="5" t="s">
        <v>1533</v>
      </c>
      <c r="E606" s="5" t="s">
        <v>1533</v>
      </c>
      <c r="F606" s="5">
        <v>27</v>
      </c>
      <c r="G606" s="5" t="s">
        <v>15142</v>
      </c>
      <c r="H606" s="8">
        <v>113.4</v>
      </c>
      <c r="I606" s="1" t="s">
        <v>1522</v>
      </c>
      <c r="J606" s="5" t="s">
        <v>7417</v>
      </c>
      <c r="K606" s="2">
        <f t="shared" si="9"/>
        <v>4.2</v>
      </c>
    </row>
    <row r="607" spans="1:11" x14ac:dyDescent="0.25">
      <c r="A607" s="5" t="s">
        <v>15067</v>
      </c>
      <c r="B607" s="5" t="s">
        <v>15322</v>
      </c>
      <c r="C607" s="5" t="s">
        <v>1533</v>
      </c>
      <c r="D607" s="5" t="s">
        <v>1533</v>
      </c>
      <c r="E607" s="5" t="s">
        <v>1533</v>
      </c>
      <c r="F607" s="5">
        <v>27</v>
      </c>
      <c r="G607" s="5" t="s">
        <v>15142</v>
      </c>
      <c r="H607" s="8">
        <v>113.4</v>
      </c>
      <c r="I607" s="1" t="s">
        <v>1522</v>
      </c>
      <c r="J607" s="5" t="s">
        <v>7417</v>
      </c>
      <c r="K607" s="2">
        <f t="shared" si="9"/>
        <v>4.2</v>
      </c>
    </row>
    <row r="608" spans="1:11" x14ac:dyDescent="0.25">
      <c r="A608" s="5" t="s">
        <v>15067</v>
      </c>
      <c r="B608" s="5" t="s">
        <v>15323</v>
      </c>
      <c r="C608" s="5" t="s">
        <v>1533</v>
      </c>
      <c r="D608" s="5" t="s">
        <v>1533</v>
      </c>
      <c r="E608" s="5" t="s">
        <v>1533</v>
      </c>
      <c r="F608" s="5">
        <v>1</v>
      </c>
      <c r="G608" s="5" t="s">
        <v>15142</v>
      </c>
      <c r="H608" s="8">
        <v>4.2</v>
      </c>
      <c r="I608" s="1" t="s">
        <v>1522</v>
      </c>
      <c r="J608" s="5" t="s">
        <v>7417</v>
      </c>
      <c r="K608" s="2">
        <f t="shared" si="9"/>
        <v>4.2</v>
      </c>
    </row>
    <row r="609" spans="1:11" ht="40.5" x14ac:dyDescent="0.25">
      <c r="A609" s="1" t="s">
        <v>15067</v>
      </c>
      <c r="B609" s="1" t="s">
        <v>15312</v>
      </c>
      <c r="C609" s="1" t="s">
        <v>1533</v>
      </c>
      <c r="D609" s="1" t="s">
        <v>1533</v>
      </c>
      <c r="E609" s="1" t="s">
        <v>1533</v>
      </c>
      <c r="F609" s="1">
        <v>81</v>
      </c>
      <c r="G609" s="1" t="s">
        <v>15142</v>
      </c>
      <c r="H609" s="3">
        <v>340.2</v>
      </c>
      <c r="I609" s="1" t="s">
        <v>1522</v>
      </c>
      <c r="J609" s="5" t="s">
        <v>7418</v>
      </c>
      <c r="K609" s="2">
        <f t="shared" si="9"/>
        <v>4.2</v>
      </c>
    </row>
    <row r="610" spans="1:11" ht="40.5" x14ac:dyDescent="0.25">
      <c r="A610" s="1" t="s">
        <v>15067</v>
      </c>
      <c r="B610" s="1" t="s">
        <v>15317</v>
      </c>
      <c r="C610" s="1" t="s">
        <v>1533</v>
      </c>
      <c r="D610" s="1" t="s">
        <v>1533</v>
      </c>
      <c r="E610" s="1" t="s">
        <v>1533</v>
      </c>
      <c r="F610" s="1">
        <v>60</v>
      </c>
      <c r="G610" s="1" t="s">
        <v>15142</v>
      </c>
      <c r="H610" s="3">
        <v>252</v>
      </c>
      <c r="I610" s="1" t="s">
        <v>1522</v>
      </c>
      <c r="J610" s="5" t="s">
        <v>7418</v>
      </c>
      <c r="K610" s="2">
        <f t="shared" si="9"/>
        <v>4.2</v>
      </c>
    </row>
    <row r="611" spans="1:11" ht="40.5" x14ac:dyDescent="0.25">
      <c r="A611" s="1" t="s">
        <v>15067</v>
      </c>
      <c r="B611" s="1" t="s">
        <v>15321</v>
      </c>
      <c r="C611" s="1" t="s">
        <v>1533</v>
      </c>
      <c r="D611" s="1" t="s">
        <v>1533</v>
      </c>
      <c r="E611" s="1" t="s">
        <v>1533</v>
      </c>
      <c r="F611" s="1">
        <v>27</v>
      </c>
      <c r="G611" s="1" t="s">
        <v>15142</v>
      </c>
      <c r="H611" s="3">
        <v>113.4</v>
      </c>
      <c r="I611" s="1" t="s">
        <v>1522</v>
      </c>
      <c r="J611" s="5" t="s">
        <v>7418</v>
      </c>
      <c r="K611" s="2">
        <f t="shared" si="9"/>
        <v>4.2</v>
      </c>
    </row>
    <row r="612" spans="1:11" ht="40.5" x14ac:dyDescent="0.25">
      <c r="A612" s="1" t="s">
        <v>15067</v>
      </c>
      <c r="B612" s="1" t="s">
        <v>15312</v>
      </c>
      <c r="C612" s="1" t="s">
        <v>1533</v>
      </c>
      <c r="D612" s="1" t="s">
        <v>1533</v>
      </c>
      <c r="E612" s="1" t="s">
        <v>1533</v>
      </c>
      <c r="F612" s="1">
        <v>216</v>
      </c>
      <c r="G612" s="1" t="s">
        <v>15142</v>
      </c>
      <c r="H612" s="3">
        <v>907.2</v>
      </c>
      <c r="I612" s="1" t="s">
        <v>1522</v>
      </c>
      <c r="J612" s="5" t="s">
        <v>7419</v>
      </c>
      <c r="K612" s="2">
        <f t="shared" si="9"/>
        <v>4.2</v>
      </c>
    </row>
    <row r="613" spans="1:11" ht="40.5" x14ac:dyDescent="0.25">
      <c r="A613" s="1" t="s">
        <v>15067</v>
      </c>
      <c r="B613" s="1" t="s">
        <v>15317</v>
      </c>
      <c r="C613" s="1" t="s">
        <v>1533</v>
      </c>
      <c r="D613" s="1" t="s">
        <v>1533</v>
      </c>
      <c r="E613" s="1" t="s">
        <v>1533</v>
      </c>
      <c r="F613" s="1">
        <v>108</v>
      </c>
      <c r="G613" s="1" t="s">
        <v>15142</v>
      </c>
      <c r="H613" s="3">
        <v>453.6</v>
      </c>
      <c r="I613" s="1" t="s">
        <v>1522</v>
      </c>
      <c r="J613" s="5" t="s">
        <v>7419</v>
      </c>
      <c r="K613" s="2">
        <f t="shared" si="9"/>
        <v>4.2</v>
      </c>
    </row>
    <row r="614" spans="1:11" ht="40.5" x14ac:dyDescent="0.25">
      <c r="A614" s="1" t="s">
        <v>15067</v>
      </c>
      <c r="B614" s="1" t="s">
        <v>15321</v>
      </c>
      <c r="C614" s="1" t="s">
        <v>1533</v>
      </c>
      <c r="D614" s="1" t="s">
        <v>1533</v>
      </c>
      <c r="E614" s="1" t="s">
        <v>1533</v>
      </c>
      <c r="F614" s="1">
        <v>81</v>
      </c>
      <c r="G614" s="1" t="s">
        <v>15142</v>
      </c>
      <c r="H614" s="3">
        <v>340.2</v>
      </c>
      <c r="I614" s="1" t="s">
        <v>1522</v>
      </c>
      <c r="J614" s="5" t="s">
        <v>7419</v>
      </c>
      <c r="K614" s="2">
        <f t="shared" si="9"/>
        <v>4.2</v>
      </c>
    </row>
    <row r="615" spans="1:11" ht="40.5" x14ac:dyDescent="0.25">
      <c r="A615" s="1" t="s">
        <v>15067</v>
      </c>
      <c r="B615" s="1" t="s">
        <v>15319</v>
      </c>
      <c r="C615" s="1" t="s">
        <v>1533</v>
      </c>
      <c r="D615" s="1" t="s">
        <v>1533</v>
      </c>
      <c r="E615" s="1" t="s">
        <v>1533</v>
      </c>
      <c r="F615" s="1">
        <v>76</v>
      </c>
      <c r="G615" s="1" t="s">
        <v>15142</v>
      </c>
      <c r="H615" s="3">
        <v>319.2</v>
      </c>
      <c r="I615" s="1" t="s">
        <v>1522</v>
      </c>
      <c r="J615" s="5" t="s">
        <v>7419</v>
      </c>
      <c r="K615" s="2">
        <f t="shared" si="9"/>
        <v>4.2</v>
      </c>
    </row>
    <row r="616" spans="1:11" ht="40.5" x14ac:dyDescent="0.25">
      <c r="A616" s="1" t="s">
        <v>15067</v>
      </c>
      <c r="B616" s="1" t="s">
        <v>15316</v>
      </c>
      <c r="C616" s="1" t="s">
        <v>1533</v>
      </c>
      <c r="D616" s="1" t="s">
        <v>1533</v>
      </c>
      <c r="E616" s="1" t="s">
        <v>1533</v>
      </c>
      <c r="F616" s="1">
        <v>54</v>
      </c>
      <c r="G616" s="1" t="s">
        <v>15142</v>
      </c>
      <c r="H616" s="3">
        <v>226.8</v>
      </c>
      <c r="I616" s="1" t="s">
        <v>1522</v>
      </c>
      <c r="J616" s="5" t="s">
        <v>7419</v>
      </c>
      <c r="K616" s="2">
        <f t="shared" si="9"/>
        <v>4.2</v>
      </c>
    </row>
    <row r="617" spans="1:11" ht="40.5" x14ac:dyDescent="0.25">
      <c r="A617" s="1" t="s">
        <v>15067</v>
      </c>
      <c r="B617" s="1" t="s">
        <v>15323</v>
      </c>
      <c r="C617" s="1" t="s">
        <v>1533</v>
      </c>
      <c r="D617" s="1" t="s">
        <v>1533</v>
      </c>
      <c r="E617" s="1" t="s">
        <v>1533</v>
      </c>
      <c r="F617" s="1">
        <v>27</v>
      </c>
      <c r="G617" s="1" t="s">
        <v>15142</v>
      </c>
      <c r="H617" s="3">
        <v>113.4</v>
      </c>
      <c r="I617" s="1" t="s">
        <v>1522</v>
      </c>
      <c r="J617" s="5" t="s">
        <v>7419</v>
      </c>
      <c r="K617" s="2">
        <f t="shared" si="9"/>
        <v>4.2</v>
      </c>
    </row>
    <row r="618" spans="1:11" ht="40.5" x14ac:dyDescent="0.25">
      <c r="A618" s="1" t="s">
        <v>15067</v>
      </c>
      <c r="B618" s="1" t="s">
        <v>15318</v>
      </c>
      <c r="C618" s="1" t="s">
        <v>1533</v>
      </c>
      <c r="D618" s="1" t="s">
        <v>1533</v>
      </c>
      <c r="E618" s="1" t="s">
        <v>1533</v>
      </c>
      <c r="F618" s="1">
        <v>27</v>
      </c>
      <c r="G618" s="1" t="s">
        <v>15142</v>
      </c>
      <c r="H618" s="3">
        <v>113.4</v>
      </c>
      <c r="I618" s="1" t="s">
        <v>1522</v>
      </c>
      <c r="J618" s="5" t="s">
        <v>7419</v>
      </c>
      <c r="K618" s="2">
        <f t="shared" si="9"/>
        <v>4.2</v>
      </c>
    </row>
    <row r="619" spans="1:11" ht="40.5" x14ac:dyDescent="0.25">
      <c r="A619" s="1" t="s">
        <v>15067</v>
      </c>
      <c r="B619" s="1" t="s">
        <v>15324</v>
      </c>
      <c r="C619" s="1" t="s">
        <v>1533</v>
      </c>
      <c r="D619" s="1" t="s">
        <v>1533</v>
      </c>
      <c r="E619" s="1" t="s">
        <v>1533</v>
      </c>
      <c r="F619" s="1">
        <v>25</v>
      </c>
      <c r="G619" s="1" t="s">
        <v>15142</v>
      </c>
      <c r="H619" s="3">
        <v>105</v>
      </c>
      <c r="I619" s="1" t="s">
        <v>1522</v>
      </c>
      <c r="J619" s="5" t="s">
        <v>7419</v>
      </c>
      <c r="K619" s="2">
        <f t="shared" si="9"/>
        <v>4.2</v>
      </c>
    </row>
    <row r="620" spans="1:11" ht="40.5" x14ac:dyDescent="0.25">
      <c r="A620" s="1" t="s">
        <v>15067</v>
      </c>
      <c r="B620" s="1" t="s">
        <v>15325</v>
      </c>
      <c r="C620" s="1" t="s">
        <v>1533</v>
      </c>
      <c r="D620" s="1" t="s">
        <v>1533</v>
      </c>
      <c r="E620" s="1" t="s">
        <v>1533</v>
      </c>
      <c r="F620" s="1">
        <v>21</v>
      </c>
      <c r="G620" s="1" t="s">
        <v>15142</v>
      </c>
      <c r="H620" s="3">
        <v>84</v>
      </c>
      <c r="I620" s="1" t="s">
        <v>1522</v>
      </c>
      <c r="J620" s="5" t="s">
        <v>7418</v>
      </c>
      <c r="K620" s="2">
        <f t="shared" si="9"/>
        <v>4</v>
      </c>
    </row>
    <row r="621" spans="1:11" x14ac:dyDescent="0.25">
      <c r="A621" s="1" t="s">
        <v>15068</v>
      </c>
      <c r="B621" s="1" t="s">
        <v>15326</v>
      </c>
      <c r="C621" s="1" t="s">
        <v>1533</v>
      </c>
      <c r="D621" s="1" t="s">
        <v>1533</v>
      </c>
      <c r="E621" s="1" t="s">
        <v>1533</v>
      </c>
      <c r="F621" s="1">
        <v>132</v>
      </c>
      <c r="G621" s="1" t="s">
        <v>15142</v>
      </c>
      <c r="H621" s="3">
        <v>513.5</v>
      </c>
      <c r="I621" s="1" t="s">
        <v>4</v>
      </c>
      <c r="J621" s="5" t="s">
        <v>7419</v>
      </c>
      <c r="K621" s="2">
        <f t="shared" si="9"/>
        <v>3.8901515151515151</v>
      </c>
    </row>
    <row r="622" spans="1:11" x14ac:dyDescent="0.25">
      <c r="A622" s="1" t="s">
        <v>15068</v>
      </c>
      <c r="B622" s="1" t="s">
        <v>15326</v>
      </c>
      <c r="C622" s="1" t="s">
        <v>1533</v>
      </c>
      <c r="D622" s="1" t="s">
        <v>1533</v>
      </c>
      <c r="E622" s="1" t="s">
        <v>1533</v>
      </c>
      <c r="F622" s="1">
        <v>100</v>
      </c>
      <c r="G622" s="1" t="s">
        <v>15142</v>
      </c>
      <c r="H622" s="3">
        <v>389</v>
      </c>
      <c r="I622" s="1" t="s">
        <v>1522</v>
      </c>
      <c r="J622" s="5" t="s">
        <v>7418</v>
      </c>
      <c r="K622" s="2">
        <f t="shared" si="9"/>
        <v>3.89</v>
      </c>
    </row>
    <row r="623" spans="1:11" x14ac:dyDescent="0.25">
      <c r="A623" s="1" t="s">
        <v>15068</v>
      </c>
      <c r="B623" s="1" t="s">
        <v>15326</v>
      </c>
      <c r="C623" s="1" t="s">
        <v>1533</v>
      </c>
      <c r="D623" s="1" t="s">
        <v>1533</v>
      </c>
      <c r="E623" s="1" t="s">
        <v>1533</v>
      </c>
      <c r="F623" s="1">
        <v>400</v>
      </c>
      <c r="G623" s="1" t="s">
        <v>15142</v>
      </c>
      <c r="H623" s="3">
        <v>1556</v>
      </c>
      <c r="I623" s="1" t="s">
        <v>4</v>
      </c>
      <c r="J623" s="5" t="s">
        <v>7417</v>
      </c>
      <c r="K623" s="2">
        <f t="shared" si="9"/>
        <v>3.89</v>
      </c>
    </row>
    <row r="624" spans="1:11" x14ac:dyDescent="0.25">
      <c r="A624" s="1" t="s">
        <v>15068</v>
      </c>
      <c r="B624" s="1" t="s">
        <v>15326</v>
      </c>
      <c r="C624" s="1" t="s">
        <v>1533</v>
      </c>
      <c r="D624" s="1" t="s">
        <v>1533</v>
      </c>
      <c r="E624" s="1" t="s">
        <v>1533</v>
      </c>
      <c r="F624" s="1">
        <v>65</v>
      </c>
      <c r="G624" s="1" t="s">
        <v>15142</v>
      </c>
      <c r="H624" s="3">
        <v>252.85</v>
      </c>
      <c r="I624" s="1" t="s">
        <v>4</v>
      </c>
      <c r="J624" s="5" t="s">
        <v>7418</v>
      </c>
      <c r="K624" s="2">
        <f t="shared" si="9"/>
        <v>3.89</v>
      </c>
    </row>
    <row r="625" spans="1:11" x14ac:dyDescent="0.25">
      <c r="A625" s="1" t="s">
        <v>15068</v>
      </c>
      <c r="B625" s="1" t="s">
        <v>15326</v>
      </c>
      <c r="C625" s="1" t="s">
        <v>1533</v>
      </c>
      <c r="D625" s="1" t="s">
        <v>1533</v>
      </c>
      <c r="E625" s="1" t="s">
        <v>1533</v>
      </c>
      <c r="F625" s="1">
        <v>235</v>
      </c>
      <c r="G625" s="1" t="s">
        <v>15142</v>
      </c>
      <c r="H625" s="3">
        <v>914.15</v>
      </c>
      <c r="I625" s="1" t="s">
        <v>4</v>
      </c>
      <c r="J625" s="5" t="s">
        <v>7420</v>
      </c>
      <c r="K625" s="2">
        <f t="shared" si="9"/>
        <v>3.89</v>
      </c>
    </row>
    <row r="626" spans="1:11" x14ac:dyDescent="0.25">
      <c r="A626" s="5" t="s">
        <v>15068</v>
      </c>
      <c r="B626" s="5" t="s">
        <v>15326</v>
      </c>
      <c r="C626" s="5" t="s">
        <v>1533</v>
      </c>
      <c r="D626" s="5" t="s">
        <v>1533</v>
      </c>
      <c r="E626" s="5" t="s">
        <v>1533</v>
      </c>
      <c r="F626" s="5">
        <v>110</v>
      </c>
      <c r="G626" s="5" t="s">
        <v>15142</v>
      </c>
      <c r="H626" s="8">
        <v>427.9</v>
      </c>
      <c r="I626" s="5" t="s">
        <v>4</v>
      </c>
      <c r="J626" s="5" t="s">
        <v>7416</v>
      </c>
      <c r="K626" s="2">
        <f t="shared" si="9"/>
        <v>3.8899999999999997</v>
      </c>
    </row>
    <row r="627" spans="1:11" x14ac:dyDescent="0.25">
      <c r="A627" s="5" t="s">
        <v>15068</v>
      </c>
      <c r="B627" s="5" t="s">
        <v>15326</v>
      </c>
      <c r="C627" s="5" t="s">
        <v>1533</v>
      </c>
      <c r="D627" s="5" t="s">
        <v>1533</v>
      </c>
      <c r="E627" s="5" t="s">
        <v>1533</v>
      </c>
      <c r="F627" s="5">
        <v>20</v>
      </c>
      <c r="G627" s="5" t="s">
        <v>15142</v>
      </c>
      <c r="H627" s="8">
        <v>77.8</v>
      </c>
      <c r="I627" s="1" t="s">
        <v>1522</v>
      </c>
      <c r="J627" s="5" t="s">
        <v>7417</v>
      </c>
      <c r="K627" s="2">
        <f t="shared" si="9"/>
        <v>3.8899999999999997</v>
      </c>
    </row>
    <row r="628" spans="1:11" ht="40.5" x14ac:dyDescent="0.25">
      <c r="A628" s="1" t="s">
        <v>15067</v>
      </c>
      <c r="B628" s="1" t="s">
        <v>15327</v>
      </c>
      <c r="C628" s="1" t="s">
        <v>1533</v>
      </c>
      <c r="D628" s="1" t="s">
        <v>1533</v>
      </c>
      <c r="E628" s="1" t="s">
        <v>1533</v>
      </c>
      <c r="F628" s="1">
        <v>33</v>
      </c>
      <c r="G628" s="1" t="s">
        <v>15142</v>
      </c>
      <c r="H628" s="3">
        <v>121.44</v>
      </c>
      <c r="I628" s="1" t="s">
        <v>1522</v>
      </c>
      <c r="J628" s="5" t="s">
        <v>7420</v>
      </c>
      <c r="K628" s="2">
        <f t="shared" si="9"/>
        <v>3.6799999999999997</v>
      </c>
    </row>
    <row r="629" spans="1:11" x14ac:dyDescent="0.25">
      <c r="A629" s="5" t="s">
        <v>15067</v>
      </c>
      <c r="B629" s="5" t="s">
        <v>15328</v>
      </c>
      <c r="C629" s="5" t="s">
        <v>1533</v>
      </c>
      <c r="D629" s="5" t="s">
        <v>1533</v>
      </c>
      <c r="E629" s="5" t="s">
        <v>1533</v>
      </c>
      <c r="F629" s="5">
        <v>10</v>
      </c>
      <c r="G629" s="5" t="s">
        <v>15142</v>
      </c>
      <c r="H629" s="8">
        <v>35</v>
      </c>
      <c r="I629" s="1" t="s">
        <v>1522</v>
      </c>
      <c r="J629" s="5" t="s">
        <v>7417</v>
      </c>
      <c r="K629" s="2">
        <f t="shared" si="9"/>
        <v>3.5</v>
      </c>
    </row>
    <row r="630" spans="1:11" ht="40.5" x14ac:dyDescent="0.25">
      <c r="A630" s="1" t="s">
        <v>15067</v>
      </c>
      <c r="B630" s="1" t="s">
        <v>15328</v>
      </c>
      <c r="C630" s="1" t="s">
        <v>1533</v>
      </c>
      <c r="D630" s="1" t="s">
        <v>1533</v>
      </c>
      <c r="E630" s="1" t="s">
        <v>1533</v>
      </c>
      <c r="F630" s="1">
        <v>7</v>
      </c>
      <c r="G630" s="1" t="s">
        <v>15142</v>
      </c>
      <c r="H630" s="3">
        <v>24.5</v>
      </c>
      <c r="I630" s="1" t="s">
        <v>1522</v>
      </c>
      <c r="J630" s="5" t="s">
        <v>7418</v>
      </c>
      <c r="K630" s="2">
        <f t="shared" si="9"/>
        <v>3.5</v>
      </c>
    </row>
    <row r="631" spans="1:11" ht="40.5" x14ac:dyDescent="0.25">
      <c r="A631" s="1" t="s">
        <v>15067</v>
      </c>
      <c r="B631" s="1" t="s">
        <v>15329</v>
      </c>
      <c r="C631" s="1" t="s">
        <v>1533</v>
      </c>
      <c r="D631" s="1" t="s">
        <v>1533</v>
      </c>
      <c r="E631" s="1" t="s">
        <v>1533</v>
      </c>
      <c r="F631" s="1">
        <v>34</v>
      </c>
      <c r="G631" s="1" t="s">
        <v>15142</v>
      </c>
      <c r="H631" s="3">
        <v>119</v>
      </c>
      <c r="I631" s="1" t="s">
        <v>1522</v>
      </c>
      <c r="J631" s="5" t="s">
        <v>7419</v>
      </c>
      <c r="K631" s="2">
        <f t="shared" si="9"/>
        <v>3.5</v>
      </c>
    </row>
    <row r="632" spans="1:11" ht="27" x14ac:dyDescent="0.25">
      <c r="A632" s="1" t="s">
        <v>15067</v>
      </c>
      <c r="B632" s="1" t="s">
        <v>15330</v>
      </c>
      <c r="C632" s="1" t="s">
        <v>1533</v>
      </c>
      <c r="D632" s="1" t="s">
        <v>1533</v>
      </c>
      <c r="E632" s="1" t="s">
        <v>1533</v>
      </c>
      <c r="F632" s="1">
        <v>33</v>
      </c>
      <c r="G632" s="1" t="s">
        <v>15142</v>
      </c>
      <c r="H632" s="3">
        <v>115.5</v>
      </c>
      <c r="I632" s="1" t="s">
        <v>1522</v>
      </c>
      <c r="J632" s="5" t="s">
        <v>7419</v>
      </c>
      <c r="K632" s="2">
        <f t="shared" si="9"/>
        <v>3.5</v>
      </c>
    </row>
    <row r="633" spans="1:11" ht="27" x14ac:dyDescent="0.25">
      <c r="A633" s="1" t="s">
        <v>15067</v>
      </c>
      <c r="B633" s="1" t="s">
        <v>15331</v>
      </c>
      <c r="C633" s="1" t="s">
        <v>1533</v>
      </c>
      <c r="D633" s="1" t="s">
        <v>1533</v>
      </c>
      <c r="E633" s="1" t="s">
        <v>1533</v>
      </c>
      <c r="F633" s="1">
        <v>33</v>
      </c>
      <c r="G633" s="1" t="s">
        <v>15142</v>
      </c>
      <c r="H633" s="3">
        <v>115.5</v>
      </c>
      <c r="I633" s="1" t="s">
        <v>1522</v>
      </c>
      <c r="J633" s="5" t="s">
        <v>7419</v>
      </c>
      <c r="K633" s="2">
        <f t="shared" si="9"/>
        <v>3.5</v>
      </c>
    </row>
    <row r="634" spans="1:11" ht="40.5" x14ac:dyDescent="0.25">
      <c r="A634" s="1" t="s">
        <v>15067</v>
      </c>
      <c r="B634" s="1" t="s">
        <v>15328</v>
      </c>
      <c r="C634" s="1" t="s">
        <v>1533</v>
      </c>
      <c r="D634" s="1" t="s">
        <v>1533</v>
      </c>
      <c r="E634" s="1" t="s">
        <v>1533</v>
      </c>
      <c r="F634" s="1">
        <v>17</v>
      </c>
      <c r="G634" s="1" t="s">
        <v>15142</v>
      </c>
      <c r="H634" s="3">
        <v>59.5</v>
      </c>
      <c r="I634" s="1" t="s">
        <v>1522</v>
      </c>
      <c r="J634" s="5" t="s">
        <v>7419</v>
      </c>
      <c r="K634" s="2">
        <f t="shared" si="9"/>
        <v>3.5</v>
      </c>
    </row>
    <row r="635" spans="1:11" ht="40.5" x14ac:dyDescent="0.25">
      <c r="A635" s="1" t="s">
        <v>15067</v>
      </c>
      <c r="B635" s="1" t="s">
        <v>15329</v>
      </c>
      <c r="C635" s="1" t="s">
        <v>1533</v>
      </c>
      <c r="D635" s="1" t="s">
        <v>1533</v>
      </c>
      <c r="E635" s="1" t="s">
        <v>1533</v>
      </c>
      <c r="F635" s="1">
        <v>33</v>
      </c>
      <c r="G635" s="1" t="s">
        <v>15142</v>
      </c>
      <c r="H635" s="3">
        <v>115.5</v>
      </c>
      <c r="I635" s="1" t="s">
        <v>1522</v>
      </c>
      <c r="J635" s="5" t="s">
        <v>7420</v>
      </c>
      <c r="K635" s="2">
        <f t="shared" si="9"/>
        <v>3.5</v>
      </c>
    </row>
    <row r="636" spans="1:11" ht="27" x14ac:dyDescent="0.25">
      <c r="A636" s="1" t="s">
        <v>15067</v>
      </c>
      <c r="B636" s="1" t="s">
        <v>15331</v>
      </c>
      <c r="C636" s="1" t="s">
        <v>1533</v>
      </c>
      <c r="D636" s="1" t="s">
        <v>1533</v>
      </c>
      <c r="E636" s="1" t="s">
        <v>1533</v>
      </c>
      <c r="F636" s="1">
        <v>33</v>
      </c>
      <c r="G636" s="1" t="s">
        <v>15142</v>
      </c>
      <c r="H636" s="3">
        <v>115.5</v>
      </c>
      <c r="I636" s="1" t="s">
        <v>1522</v>
      </c>
      <c r="J636" s="5" t="s">
        <v>7420</v>
      </c>
      <c r="K636" s="2">
        <f t="shared" si="9"/>
        <v>3.5</v>
      </c>
    </row>
    <row r="637" spans="1:11" ht="40.5" x14ac:dyDescent="0.25">
      <c r="A637" s="1" t="s">
        <v>15067</v>
      </c>
      <c r="B637" s="1" t="s">
        <v>15328</v>
      </c>
      <c r="C637" s="1" t="s">
        <v>1533</v>
      </c>
      <c r="D637" s="1" t="s">
        <v>1533</v>
      </c>
      <c r="E637" s="1" t="s">
        <v>1533</v>
      </c>
      <c r="F637" s="1">
        <v>4</v>
      </c>
      <c r="G637" s="1" t="s">
        <v>15142</v>
      </c>
      <c r="H637" s="3">
        <v>14</v>
      </c>
      <c r="I637" s="1" t="s">
        <v>1522</v>
      </c>
      <c r="J637" s="5" t="s">
        <v>7420</v>
      </c>
      <c r="K637" s="2">
        <f t="shared" si="9"/>
        <v>3.5</v>
      </c>
    </row>
    <row r="638" spans="1:11" x14ac:dyDescent="0.25">
      <c r="A638" s="1" t="s">
        <v>15091</v>
      </c>
      <c r="B638" s="1" t="s">
        <v>15091</v>
      </c>
      <c r="C638" s="1" t="s">
        <v>1533</v>
      </c>
      <c r="D638" s="1" t="s">
        <v>1533</v>
      </c>
      <c r="E638" s="1" t="s">
        <v>1533</v>
      </c>
      <c r="F638" s="1">
        <v>358</v>
      </c>
      <c r="G638" s="1" t="s">
        <v>15142</v>
      </c>
      <c r="H638" s="3">
        <v>1242.26</v>
      </c>
      <c r="I638" s="1" t="s">
        <v>1522</v>
      </c>
      <c r="J638" s="5" t="s">
        <v>7418</v>
      </c>
      <c r="K638" s="2">
        <f t="shared" si="9"/>
        <v>3.47</v>
      </c>
    </row>
    <row r="639" spans="1:11" x14ac:dyDescent="0.25">
      <c r="A639" s="1" t="s">
        <v>15110</v>
      </c>
      <c r="B639" s="1" t="s">
        <v>15332</v>
      </c>
      <c r="C639" s="1" t="s">
        <v>1533</v>
      </c>
      <c r="D639" s="1" t="s">
        <v>1533</v>
      </c>
      <c r="E639" s="1" t="s">
        <v>1533</v>
      </c>
      <c r="F639" s="1">
        <v>250</v>
      </c>
      <c r="G639" s="1" t="s">
        <v>15142</v>
      </c>
      <c r="H639" s="3">
        <v>844.5</v>
      </c>
      <c r="I639" s="1" t="s">
        <v>4</v>
      </c>
      <c r="J639" s="5" t="s">
        <v>7420</v>
      </c>
      <c r="K639" s="2">
        <f t="shared" si="9"/>
        <v>3.3780000000000001</v>
      </c>
    </row>
    <row r="640" spans="1:11" x14ac:dyDescent="0.25">
      <c r="A640" s="5" t="s">
        <v>15067</v>
      </c>
      <c r="B640" s="5" t="s">
        <v>15333</v>
      </c>
      <c r="C640" s="5" t="s">
        <v>1533</v>
      </c>
      <c r="D640" s="5" t="s">
        <v>1533</v>
      </c>
      <c r="E640" s="5" t="s">
        <v>1533</v>
      </c>
      <c r="F640" s="5">
        <v>25</v>
      </c>
      <c r="G640" s="5" t="s">
        <v>15142</v>
      </c>
      <c r="H640" s="8">
        <v>80.25</v>
      </c>
      <c r="I640" s="1" t="s">
        <v>1522</v>
      </c>
      <c r="J640" s="5" t="s">
        <v>7417</v>
      </c>
      <c r="K640" s="2">
        <f t="shared" si="9"/>
        <v>3.21</v>
      </c>
    </row>
    <row r="641" spans="1:11" ht="27" x14ac:dyDescent="0.25">
      <c r="A641" s="1" t="s">
        <v>15067</v>
      </c>
      <c r="B641" s="1" t="s">
        <v>15334</v>
      </c>
      <c r="C641" s="1" t="s">
        <v>1533</v>
      </c>
      <c r="D641" s="1" t="s">
        <v>1533</v>
      </c>
      <c r="E641" s="1" t="s">
        <v>1533</v>
      </c>
      <c r="F641" s="1">
        <v>54</v>
      </c>
      <c r="G641" s="1" t="s">
        <v>15142</v>
      </c>
      <c r="H641" s="3">
        <v>132.30000000000001</v>
      </c>
      <c r="I641" s="1" t="s">
        <v>1522</v>
      </c>
      <c r="J641" s="5" t="s">
        <v>7420</v>
      </c>
      <c r="K641" s="2">
        <f t="shared" si="9"/>
        <v>2.4500000000000002</v>
      </c>
    </row>
    <row r="642" spans="1:11" x14ac:dyDescent="0.25">
      <c r="A642" s="5" t="s">
        <v>15067</v>
      </c>
      <c r="B642" s="5" t="s">
        <v>15335</v>
      </c>
      <c r="C642" s="5" t="s">
        <v>1533</v>
      </c>
      <c r="D642" s="5" t="s">
        <v>1533</v>
      </c>
      <c r="E642" s="5" t="s">
        <v>1533</v>
      </c>
      <c r="F642" s="5">
        <v>30</v>
      </c>
      <c r="G642" s="5" t="s">
        <v>15142</v>
      </c>
      <c r="H642" s="8">
        <v>63</v>
      </c>
      <c r="I642" s="1" t="s">
        <v>1522</v>
      </c>
      <c r="J642" s="5" t="s">
        <v>7417</v>
      </c>
      <c r="K642" s="2">
        <f t="shared" ref="K642:K705" si="10">H642/F642</f>
        <v>2.1</v>
      </c>
    </row>
    <row r="643" spans="1:11" ht="27" x14ac:dyDescent="0.25">
      <c r="A643" s="1" t="s">
        <v>15067</v>
      </c>
      <c r="B643" s="1" t="s">
        <v>15336</v>
      </c>
      <c r="C643" s="1" t="s">
        <v>1533</v>
      </c>
      <c r="D643" s="1" t="s">
        <v>1533</v>
      </c>
      <c r="E643" s="1" t="s">
        <v>1533</v>
      </c>
      <c r="F643" s="1">
        <v>54</v>
      </c>
      <c r="G643" s="1" t="s">
        <v>15142</v>
      </c>
      <c r="H643" s="3">
        <v>113.4</v>
      </c>
      <c r="I643" s="1" t="s">
        <v>1522</v>
      </c>
      <c r="J643" s="5" t="s">
        <v>7418</v>
      </c>
      <c r="K643" s="2">
        <f t="shared" si="10"/>
        <v>2.1</v>
      </c>
    </row>
    <row r="644" spans="1:11" ht="27" x14ac:dyDescent="0.25">
      <c r="A644" s="1" t="s">
        <v>15067</v>
      </c>
      <c r="B644" s="1" t="s">
        <v>15335</v>
      </c>
      <c r="C644" s="1" t="s">
        <v>1533</v>
      </c>
      <c r="D644" s="1" t="s">
        <v>1533</v>
      </c>
      <c r="E644" s="1" t="s">
        <v>1533</v>
      </c>
      <c r="F644" s="1">
        <v>24</v>
      </c>
      <c r="G644" s="1" t="s">
        <v>15142</v>
      </c>
      <c r="H644" s="3">
        <v>50.4</v>
      </c>
      <c r="I644" s="1" t="s">
        <v>1522</v>
      </c>
      <c r="J644" s="5" t="s">
        <v>7418</v>
      </c>
      <c r="K644" s="2">
        <f t="shared" si="10"/>
        <v>2.1</v>
      </c>
    </row>
    <row r="645" spans="1:11" ht="27" x14ac:dyDescent="0.25">
      <c r="A645" s="1" t="s">
        <v>15067</v>
      </c>
      <c r="B645" s="1" t="s">
        <v>15337</v>
      </c>
      <c r="C645" s="1" t="s">
        <v>1533</v>
      </c>
      <c r="D645" s="1" t="s">
        <v>1533</v>
      </c>
      <c r="E645" s="1" t="s">
        <v>1533</v>
      </c>
      <c r="F645" s="1">
        <v>54</v>
      </c>
      <c r="G645" s="1" t="s">
        <v>15142</v>
      </c>
      <c r="H645" s="3">
        <v>113.4</v>
      </c>
      <c r="I645" s="1" t="s">
        <v>1522</v>
      </c>
      <c r="J645" s="5" t="s">
        <v>7420</v>
      </c>
      <c r="K645" s="2">
        <f t="shared" si="10"/>
        <v>2.1</v>
      </c>
    </row>
    <row r="646" spans="1:11" x14ac:dyDescent="0.25">
      <c r="A646" s="5" t="s">
        <v>15071</v>
      </c>
      <c r="B646" s="5" t="s">
        <v>15338</v>
      </c>
      <c r="C646" s="5" t="s">
        <v>1533</v>
      </c>
      <c r="D646" s="5" t="s">
        <v>1533</v>
      </c>
      <c r="E646" s="5" t="s">
        <v>1533</v>
      </c>
      <c r="F646" s="5">
        <v>1</v>
      </c>
      <c r="G646" s="5" t="s">
        <v>15142</v>
      </c>
      <c r="H646" s="8">
        <v>2</v>
      </c>
      <c r="I646" s="5" t="s">
        <v>1522</v>
      </c>
      <c r="J646" s="5" t="s">
        <v>7416</v>
      </c>
      <c r="K646" s="2">
        <f t="shared" si="10"/>
        <v>2</v>
      </c>
    </row>
    <row r="647" spans="1:11" ht="27" x14ac:dyDescent="0.25">
      <c r="A647" s="1" t="s">
        <v>15067</v>
      </c>
      <c r="B647" s="1" t="s">
        <v>15339</v>
      </c>
      <c r="C647" s="1" t="s">
        <v>1533</v>
      </c>
      <c r="D647" s="1" t="s">
        <v>1533</v>
      </c>
      <c r="E647" s="1" t="s">
        <v>1533</v>
      </c>
      <c r="F647" s="1">
        <v>72</v>
      </c>
      <c r="G647" s="1" t="s">
        <v>15142</v>
      </c>
      <c r="H647" s="3">
        <v>132.47999999999999</v>
      </c>
      <c r="I647" s="1" t="s">
        <v>1522</v>
      </c>
      <c r="J647" s="5" t="s">
        <v>7420</v>
      </c>
      <c r="K647" s="2">
        <f t="shared" si="10"/>
        <v>1.8399999999999999</v>
      </c>
    </row>
    <row r="648" spans="1:11" x14ac:dyDescent="0.25">
      <c r="A648" s="5" t="s">
        <v>15061</v>
      </c>
      <c r="B648" s="5" t="s">
        <v>15151</v>
      </c>
      <c r="C648" s="5" t="s">
        <v>1533</v>
      </c>
      <c r="D648" s="5" t="s">
        <v>1533</v>
      </c>
      <c r="E648" s="5" t="s">
        <v>1533</v>
      </c>
      <c r="F648" s="5">
        <v>330</v>
      </c>
      <c r="G648" s="5" t="s">
        <v>15142</v>
      </c>
      <c r="H648" s="8">
        <v>528</v>
      </c>
      <c r="I648" s="5" t="s">
        <v>1522</v>
      </c>
      <c r="J648" s="5" t="s">
        <v>7416</v>
      </c>
      <c r="K648" s="2">
        <f t="shared" si="10"/>
        <v>1.6</v>
      </c>
    </row>
    <row r="649" spans="1:11" x14ac:dyDescent="0.25">
      <c r="A649" s="5" t="s">
        <v>15067</v>
      </c>
      <c r="B649" s="5" t="s">
        <v>15339</v>
      </c>
      <c r="C649" s="5" t="s">
        <v>1533</v>
      </c>
      <c r="D649" s="5" t="s">
        <v>1533</v>
      </c>
      <c r="E649" s="5" t="s">
        <v>1533</v>
      </c>
      <c r="F649" s="5">
        <v>84</v>
      </c>
      <c r="G649" s="5" t="s">
        <v>15142</v>
      </c>
      <c r="H649" s="8">
        <v>132.72</v>
      </c>
      <c r="I649" s="5" t="s">
        <v>1522</v>
      </c>
      <c r="J649" s="5" t="s">
        <v>7416</v>
      </c>
      <c r="K649" s="2">
        <f t="shared" si="10"/>
        <v>1.58</v>
      </c>
    </row>
    <row r="650" spans="1:11" x14ac:dyDescent="0.25">
      <c r="A650" s="5" t="s">
        <v>15067</v>
      </c>
      <c r="B650" s="5" t="s">
        <v>15340</v>
      </c>
      <c r="C650" s="5" t="s">
        <v>1533</v>
      </c>
      <c r="D650" s="5" t="s">
        <v>1533</v>
      </c>
      <c r="E650" s="5" t="s">
        <v>1533</v>
      </c>
      <c r="F650" s="5">
        <v>32</v>
      </c>
      <c r="G650" s="5" t="s">
        <v>15142</v>
      </c>
      <c r="H650" s="8">
        <v>50.56</v>
      </c>
      <c r="I650" s="5" t="s">
        <v>1522</v>
      </c>
      <c r="J650" s="5" t="s">
        <v>7416</v>
      </c>
      <c r="K650" s="2">
        <f t="shared" si="10"/>
        <v>1.58</v>
      </c>
    </row>
    <row r="651" spans="1:11" ht="27" x14ac:dyDescent="0.25">
      <c r="A651" s="1" t="s">
        <v>15067</v>
      </c>
      <c r="B651" s="1" t="s">
        <v>15339</v>
      </c>
      <c r="C651" s="1" t="s">
        <v>1533</v>
      </c>
      <c r="D651" s="1" t="s">
        <v>1533</v>
      </c>
      <c r="E651" s="1" t="s">
        <v>1533</v>
      </c>
      <c r="F651" s="1">
        <v>36</v>
      </c>
      <c r="G651" s="1" t="s">
        <v>15142</v>
      </c>
      <c r="H651" s="3">
        <v>56.88</v>
      </c>
      <c r="I651" s="1" t="s">
        <v>1522</v>
      </c>
      <c r="J651" s="5" t="s">
        <v>7419</v>
      </c>
      <c r="K651" s="2">
        <f t="shared" si="10"/>
        <v>1.58</v>
      </c>
    </row>
    <row r="652" spans="1:11" ht="27" x14ac:dyDescent="0.25">
      <c r="A652" s="1" t="s">
        <v>15067</v>
      </c>
      <c r="B652" s="1" t="s">
        <v>15340</v>
      </c>
      <c r="C652" s="1" t="s">
        <v>1533</v>
      </c>
      <c r="D652" s="1" t="s">
        <v>1533</v>
      </c>
      <c r="E652" s="1" t="s">
        <v>1533</v>
      </c>
      <c r="F652" s="1">
        <v>43</v>
      </c>
      <c r="G652" s="1" t="s">
        <v>15142</v>
      </c>
      <c r="H652" s="3">
        <v>67.94</v>
      </c>
      <c r="I652" s="1" t="s">
        <v>1522</v>
      </c>
      <c r="J652" s="5" t="s">
        <v>7418</v>
      </c>
      <c r="K652" s="2">
        <f t="shared" si="10"/>
        <v>1.5799999999999998</v>
      </c>
    </row>
    <row r="653" spans="1:11" ht="40.5" x14ac:dyDescent="0.25">
      <c r="A653" s="1" t="s">
        <v>15067</v>
      </c>
      <c r="B653" s="1" t="s">
        <v>15341</v>
      </c>
      <c r="C653" s="1" t="s">
        <v>1533</v>
      </c>
      <c r="D653" s="1" t="s">
        <v>1533</v>
      </c>
      <c r="E653" s="1" t="s">
        <v>1533</v>
      </c>
      <c r="F653" s="1">
        <v>40</v>
      </c>
      <c r="G653" s="1" t="s">
        <v>15142</v>
      </c>
      <c r="H653" s="3">
        <v>47.2</v>
      </c>
      <c r="I653" s="1" t="s">
        <v>1522</v>
      </c>
      <c r="J653" s="5" t="s">
        <v>7418</v>
      </c>
      <c r="K653" s="2">
        <f t="shared" si="10"/>
        <v>1.1800000000000002</v>
      </c>
    </row>
    <row r="654" spans="1:11" ht="27" x14ac:dyDescent="0.25">
      <c r="A654" s="1" t="s">
        <v>15067</v>
      </c>
      <c r="B654" s="1" t="s">
        <v>15342</v>
      </c>
      <c r="C654" s="1" t="s">
        <v>1533</v>
      </c>
      <c r="D654" s="1" t="s">
        <v>1533</v>
      </c>
      <c r="E654" s="1" t="s">
        <v>1533</v>
      </c>
      <c r="F654" s="1">
        <v>56</v>
      </c>
      <c r="G654" s="1" t="s">
        <v>15142</v>
      </c>
      <c r="H654" s="3">
        <v>66.08</v>
      </c>
      <c r="I654" s="1" t="s">
        <v>1522</v>
      </c>
      <c r="J654" s="5" t="s">
        <v>7420</v>
      </c>
      <c r="K654" s="2">
        <f t="shared" si="10"/>
        <v>1.18</v>
      </c>
    </row>
    <row r="655" spans="1:11" ht="27" x14ac:dyDescent="0.25">
      <c r="A655" s="1" t="s">
        <v>15067</v>
      </c>
      <c r="B655" s="1" t="s">
        <v>15343</v>
      </c>
      <c r="C655" s="1" t="s">
        <v>1533</v>
      </c>
      <c r="D655" s="1" t="s">
        <v>1533</v>
      </c>
      <c r="E655" s="1" t="s">
        <v>1533</v>
      </c>
      <c r="F655" s="1">
        <v>13</v>
      </c>
      <c r="G655" s="1" t="s">
        <v>15142</v>
      </c>
      <c r="H655" s="3">
        <v>15.34</v>
      </c>
      <c r="I655" s="1" t="s">
        <v>1522</v>
      </c>
      <c r="J655" s="5" t="s">
        <v>7420</v>
      </c>
      <c r="K655" s="2">
        <f t="shared" si="10"/>
        <v>1.18</v>
      </c>
    </row>
    <row r="656" spans="1:11" ht="27" x14ac:dyDescent="0.25">
      <c r="A656" s="1" t="s">
        <v>15067</v>
      </c>
      <c r="B656" s="1" t="s">
        <v>15344</v>
      </c>
      <c r="C656" s="1" t="s">
        <v>1533</v>
      </c>
      <c r="D656" s="1" t="s">
        <v>1533</v>
      </c>
      <c r="E656" s="1" t="s">
        <v>1533</v>
      </c>
      <c r="F656" s="1">
        <v>12</v>
      </c>
      <c r="G656" s="1" t="s">
        <v>15142</v>
      </c>
      <c r="H656" s="3">
        <v>14.16</v>
      </c>
      <c r="I656" s="1" t="s">
        <v>1522</v>
      </c>
      <c r="J656" s="5" t="s">
        <v>7420</v>
      </c>
      <c r="K656" s="2">
        <f t="shared" si="10"/>
        <v>1.18</v>
      </c>
    </row>
    <row r="657" spans="1:11" x14ac:dyDescent="0.25">
      <c r="A657" s="5" t="s">
        <v>15067</v>
      </c>
      <c r="B657" s="5" t="s">
        <v>15343</v>
      </c>
      <c r="C657" s="5" t="s">
        <v>1533</v>
      </c>
      <c r="D657" s="5" t="s">
        <v>1533</v>
      </c>
      <c r="E657" s="5" t="s">
        <v>1533</v>
      </c>
      <c r="F657" s="5">
        <v>12</v>
      </c>
      <c r="G657" s="5" t="s">
        <v>15142</v>
      </c>
      <c r="H657" s="8">
        <v>12</v>
      </c>
      <c r="I657" s="5" t="s">
        <v>1522</v>
      </c>
      <c r="J657" s="5" t="s">
        <v>7416</v>
      </c>
      <c r="K657" s="2">
        <f t="shared" si="10"/>
        <v>1</v>
      </c>
    </row>
    <row r="658" spans="1:11" x14ac:dyDescent="0.25">
      <c r="A658" s="5" t="s">
        <v>15067</v>
      </c>
      <c r="B658" s="5" t="s">
        <v>15342</v>
      </c>
      <c r="C658" s="5" t="s">
        <v>1533</v>
      </c>
      <c r="D658" s="5" t="s">
        <v>1533</v>
      </c>
      <c r="E658" s="5" t="s">
        <v>1533</v>
      </c>
      <c r="F658" s="5">
        <v>10</v>
      </c>
      <c r="G658" s="5" t="s">
        <v>15142</v>
      </c>
      <c r="H658" s="8">
        <v>10</v>
      </c>
      <c r="I658" s="5" t="s">
        <v>1522</v>
      </c>
      <c r="J658" s="5" t="s">
        <v>7416</v>
      </c>
      <c r="K658" s="2">
        <f t="shared" si="10"/>
        <v>1</v>
      </c>
    </row>
    <row r="659" spans="1:11" x14ac:dyDescent="0.25">
      <c r="A659" s="5" t="s">
        <v>15067</v>
      </c>
      <c r="B659" s="5" t="s">
        <v>15344</v>
      </c>
      <c r="C659" s="5" t="s">
        <v>1533</v>
      </c>
      <c r="D659" s="5" t="s">
        <v>1533</v>
      </c>
      <c r="E659" s="5" t="s">
        <v>1533</v>
      </c>
      <c r="F659" s="5">
        <v>2</v>
      </c>
      <c r="G659" s="5" t="s">
        <v>15142</v>
      </c>
      <c r="H659" s="8">
        <v>2</v>
      </c>
      <c r="I659" s="5" t="s">
        <v>1522</v>
      </c>
      <c r="J659" s="5" t="s">
        <v>7416</v>
      </c>
      <c r="K659" s="2">
        <f t="shared" si="10"/>
        <v>1</v>
      </c>
    </row>
    <row r="660" spans="1:11" x14ac:dyDescent="0.25">
      <c r="A660" s="5" t="s">
        <v>15067</v>
      </c>
      <c r="B660" s="5" t="s">
        <v>15344</v>
      </c>
      <c r="C660" s="5" t="s">
        <v>1533</v>
      </c>
      <c r="D660" s="5" t="s">
        <v>1533</v>
      </c>
      <c r="E660" s="5" t="s">
        <v>1533</v>
      </c>
      <c r="F660" s="5">
        <v>14</v>
      </c>
      <c r="G660" s="5" t="s">
        <v>15142</v>
      </c>
      <c r="H660" s="8">
        <v>14</v>
      </c>
      <c r="I660" s="1" t="s">
        <v>1522</v>
      </c>
      <c r="J660" s="5" t="s">
        <v>7417</v>
      </c>
      <c r="K660" s="2">
        <f t="shared" si="10"/>
        <v>1</v>
      </c>
    </row>
    <row r="661" spans="1:11" x14ac:dyDescent="0.25">
      <c r="A661" s="5" t="s">
        <v>15067</v>
      </c>
      <c r="B661" s="5" t="s">
        <v>15342</v>
      </c>
      <c r="C661" s="5" t="s">
        <v>1533</v>
      </c>
      <c r="D661" s="5" t="s">
        <v>1533</v>
      </c>
      <c r="E661" s="5" t="s">
        <v>1533</v>
      </c>
      <c r="F661" s="5">
        <v>6</v>
      </c>
      <c r="G661" s="5" t="s">
        <v>15142</v>
      </c>
      <c r="H661" s="8">
        <v>6</v>
      </c>
      <c r="I661" s="1" t="s">
        <v>1522</v>
      </c>
      <c r="J661" s="5" t="s">
        <v>7417</v>
      </c>
      <c r="K661" s="2">
        <f t="shared" si="10"/>
        <v>1</v>
      </c>
    </row>
    <row r="662" spans="1:11" x14ac:dyDescent="0.25">
      <c r="A662" s="5" t="s">
        <v>15067</v>
      </c>
      <c r="B662" s="5" t="s">
        <v>15343</v>
      </c>
      <c r="C662" s="5" t="s">
        <v>1533</v>
      </c>
      <c r="D662" s="5" t="s">
        <v>1533</v>
      </c>
      <c r="E662" s="5" t="s">
        <v>1533</v>
      </c>
      <c r="F662" s="5">
        <v>4</v>
      </c>
      <c r="G662" s="5" t="s">
        <v>15142</v>
      </c>
      <c r="H662" s="8">
        <v>4</v>
      </c>
      <c r="I662" s="1" t="s">
        <v>1522</v>
      </c>
      <c r="J662" s="5" t="s">
        <v>7417</v>
      </c>
      <c r="K662" s="2">
        <f t="shared" si="10"/>
        <v>1</v>
      </c>
    </row>
    <row r="663" spans="1:11" ht="27" x14ac:dyDescent="0.25">
      <c r="A663" s="1" t="s">
        <v>15067</v>
      </c>
      <c r="B663" s="1" t="s">
        <v>15344</v>
      </c>
      <c r="C663" s="1" t="s">
        <v>1533</v>
      </c>
      <c r="D663" s="1" t="s">
        <v>1533</v>
      </c>
      <c r="E663" s="1" t="s">
        <v>1533</v>
      </c>
      <c r="F663" s="1">
        <v>20</v>
      </c>
      <c r="G663" s="1" t="s">
        <v>15142</v>
      </c>
      <c r="H663" s="3">
        <v>20</v>
      </c>
      <c r="I663" s="1" t="s">
        <v>1522</v>
      </c>
      <c r="J663" s="5" t="s">
        <v>7418</v>
      </c>
      <c r="K663" s="2">
        <f t="shared" si="10"/>
        <v>1</v>
      </c>
    </row>
    <row r="664" spans="1:11" ht="27" x14ac:dyDescent="0.25">
      <c r="A664" s="1" t="s">
        <v>15067</v>
      </c>
      <c r="B664" s="1" t="s">
        <v>15343</v>
      </c>
      <c r="C664" s="1" t="s">
        <v>1533</v>
      </c>
      <c r="D664" s="1" t="s">
        <v>1533</v>
      </c>
      <c r="E664" s="1" t="s">
        <v>1533</v>
      </c>
      <c r="F664" s="1">
        <v>7</v>
      </c>
      <c r="G664" s="1" t="s">
        <v>15142</v>
      </c>
      <c r="H664" s="3">
        <v>7</v>
      </c>
      <c r="I664" s="1" t="s">
        <v>1522</v>
      </c>
      <c r="J664" s="5" t="s">
        <v>7418</v>
      </c>
      <c r="K664" s="2">
        <f t="shared" si="10"/>
        <v>1</v>
      </c>
    </row>
    <row r="665" spans="1:11" ht="27" x14ac:dyDescent="0.25">
      <c r="A665" s="1" t="s">
        <v>15067</v>
      </c>
      <c r="B665" s="1" t="s">
        <v>15342</v>
      </c>
      <c r="C665" s="1" t="s">
        <v>1533</v>
      </c>
      <c r="D665" s="1" t="s">
        <v>1533</v>
      </c>
      <c r="E665" s="1" t="s">
        <v>1533</v>
      </c>
      <c r="F665" s="1">
        <v>15</v>
      </c>
      <c r="G665" s="1" t="s">
        <v>15142</v>
      </c>
      <c r="H665" s="3">
        <v>15</v>
      </c>
      <c r="I665" s="1" t="s">
        <v>1522</v>
      </c>
      <c r="J665" s="5" t="s">
        <v>7419</v>
      </c>
      <c r="K665" s="2">
        <f t="shared" si="10"/>
        <v>1</v>
      </c>
    </row>
    <row r="666" spans="1:11" ht="27" x14ac:dyDescent="0.25">
      <c r="A666" s="1" t="s">
        <v>15067</v>
      </c>
      <c r="B666" s="1" t="s">
        <v>15343</v>
      </c>
      <c r="C666" s="1" t="s">
        <v>1533</v>
      </c>
      <c r="D666" s="1" t="s">
        <v>1533</v>
      </c>
      <c r="E666" s="1" t="s">
        <v>1533</v>
      </c>
      <c r="F666" s="1">
        <v>14</v>
      </c>
      <c r="G666" s="1" t="s">
        <v>15142</v>
      </c>
      <c r="H666" s="3">
        <v>14</v>
      </c>
      <c r="I666" s="1" t="s">
        <v>1522</v>
      </c>
      <c r="J666" s="5" t="s">
        <v>7419</v>
      </c>
      <c r="K666" s="2">
        <f t="shared" si="10"/>
        <v>1</v>
      </c>
    </row>
    <row r="667" spans="1:11" ht="27" x14ac:dyDescent="0.25">
      <c r="A667" s="1" t="s">
        <v>15067</v>
      </c>
      <c r="B667" s="1" t="s">
        <v>15344</v>
      </c>
      <c r="C667" s="1" t="s">
        <v>1533</v>
      </c>
      <c r="D667" s="1" t="s">
        <v>1533</v>
      </c>
      <c r="E667" s="1" t="s">
        <v>1533</v>
      </c>
      <c r="F667" s="1">
        <v>8</v>
      </c>
      <c r="G667" s="1" t="s">
        <v>15142</v>
      </c>
      <c r="H667" s="3">
        <v>8</v>
      </c>
      <c r="I667" s="1" t="s">
        <v>1522</v>
      </c>
      <c r="J667" s="5" t="s">
        <v>7419</v>
      </c>
      <c r="K667" s="2">
        <f t="shared" si="10"/>
        <v>1</v>
      </c>
    </row>
    <row r="668" spans="1:11" x14ac:dyDescent="0.25">
      <c r="A668" s="5" t="s">
        <v>15067</v>
      </c>
      <c r="B668" s="5" t="s">
        <v>15345</v>
      </c>
      <c r="C668" s="5" t="s">
        <v>1533</v>
      </c>
      <c r="D668" s="5" t="s">
        <v>1533</v>
      </c>
      <c r="E668" s="5" t="s">
        <v>1533</v>
      </c>
      <c r="F668" s="5">
        <v>58</v>
      </c>
      <c r="G668" s="5" t="s">
        <v>15142</v>
      </c>
      <c r="H668" s="8">
        <v>52.2</v>
      </c>
      <c r="I668" s="5" t="s">
        <v>1522</v>
      </c>
      <c r="J668" s="5" t="s">
        <v>7416</v>
      </c>
      <c r="K668" s="2">
        <f t="shared" si="10"/>
        <v>0.9</v>
      </c>
    </row>
    <row r="669" spans="1:11" x14ac:dyDescent="0.25">
      <c r="A669" s="5" t="s">
        <v>15067</v>
      </c>
      <c r="B669" s="5" t="s">
        <v>15346</v>
      </c>
      <c r="C669" s="5" t="s">
        <v>1533</v>
      </c>
      <c r="D669" s="5" t="s">
        <v>1533</v>
      </c>
      <c r="E669" s="5" t="s">
        <v>1533</v>
      </c>
      <c r="F669" s="5">
        <v>35</v>
      </c>
      <c r="G669" s="5" t="s">
        <v>15142</v>
      </c>
      <c r="H669" s="8">
        <v>31.5</v>
      </c>
      <c r="I669" s="5" t="s">
        <v>1522</v>
      </c>
      <c r="J669" s="5" t="s">
        <v>7416</v>
      </c>
      <c r="K669" s="2">
        <f t="shared" si="10"/>
        <v>0.9</v>
      </c>
    </row>
    <row r="670" spans="1:11" x14ac:dyDescent="0.25">
      <c r="A670" s="5" t="s">
        <v>15067</v>
      </c>
      <c r="B670" s="5" t="s">
        <v>15347</v>
      </c>
      <c r="C670" s="5" t="s">
        <v>1533</v>
      </c>
      <c r="D670" s="5" t="s">
        <v>1533</v>
      </c>
      <c r="E670" s="5" t="s">
        <v>1533</v>
      </c>
      <c r="F670" s="5">
        <v>28</v>
      </c>
      <c r="G670" s="5" t="s">
        <v>15142</v>
      </c>
      <c r="H670" s="8">
        <v>25.2</v>
      </c>
      <c r="I670" s="5" t="s">
        <v>1522</v>
      </c>
      <c r="J670" s="5" t="s">
        <v>7416</v>
      </c>
      <c r="K670" s="2">
        <f t="shared" si="10"/>
        <v>0.9</v>
      </c>
    </row>
    <row r="671" spans="1:11" x14ac:dyDescent="0.25">
      <c r="A671" s="5" t="s">
        <v>15067</v>
      </c>
      <c r="B671" s="5" t="s">
        <v>15348</v>
      </c>
      <c r="C671" s="5" t="s">
        <v>1533</v>
      </c>
      <c r="D671" s="5" t="s">
        <v>1533</v>
      </c>
      <c r="E671" s="5" t="s">
        <v>1533</v>
      </c>
      <c r="F671" s="5">
        <v>15</v>
      </c>
      <c r="G671" s="5" t="s">
        <v>15142</v>
      </c>
      <c r="H671" s="8">
        <v>13.5</v>
      </c>
      <c r="I671" s="5" t="s">
        <v>1522</v>
      </c>
      <c r="J671" s="5" t="s">
        <v>7416</v>
      </c>
      <c r="K671" s="2">
        <f t="shared" si="10"/>
        <v>0.9</v>
      </c>
    </row>
    <row r="672" spans="1:11" x14ac:dyDescent="0.25">
      <c r="A672" s="5" t="s">
        <v>15067</v>
      </c>
      <c r="B672" s="5" t="s">
        <v>15349</v>
      </c>
      <c r="C672" s="5" t="s">
        <v>1533</v>
      </c>
      <c r="D672" s="5" t="s">
        <v>1533</v>
      </c>
      <c r="E672" s="5" t="s">
        <v>1533</v>
      </c>
      <c r="F672" s="5">
        <v>15</v>
      </c>
      <c r="G672" s="5" t="s">
        <v>15142</v>
      </c>
      <c r="H672" s="8">
        <v>13.5</v>
      </c>
      <c r="I672" s="5" t="s">
        <v>1522</v>
      </c>
      <c r="J672" s="5" t="s">
        <v>7416</v>
      </c>
      <c r="K672" s="2">
        <f t="shared" si="10"/>
        <v>0.9</v>
      </c>
    </row>
    <row r="673" spans="1:11" x14ac:dyDescent="0.25">
      <c r="A673" s="5" t="s">
        <v>15067</v>
      </c>
      <c r="B673" s="5" t="s">
        <v>15350</v>
      </c>
      <c r="C673" s="5" t="s">
        <v>1533</v>
      </c>
      <c r="D673" s="5" t="s">
        <v>1533</v>
      </c>
      <c r="E673" s="5" t="s">
        <v>1533</v>
      </c>
      <c r="F673" s="5">
        <v>10</v>
      </c>
      <c r="G673" s="5" t="s">
        <v>15142</v>
      </c>
      <c r="H673" s="8">
        <v>9</v>
      </c>
      <c r="I673" s="5" t="s">
        <v>1522</v>
      </c>
      <c r="J673" s="5" t="s">
        <v>7416</v>
      </c>
      <c r="K673" s="2">
        <f t="shared" si="10"/>
        <v>0.9</v>
      </c>
    </row>
    <row r="674" spans="1:11" x14ac:dyDescent="0.25">
      <c r="A674" s="5" t="s">
        <v>15067</v>
      </c>
      <c r="B674" s="5" t="s">
        <v>15351</v>
      </c>
      <c r="C674" s="5" t="s">
        <v>1533</v>
      </c>
      <c r="D674" s="5" t="s">
        <v>1533</v>
      </c>
      <c r="E674" s="5" t="s">
        <v>1533</v>
      </c>
      <c r="F674" s="5">
        <v>28</v>
      </c>
      <c r="G674" s="5" t="s">
        <v>15142</v>
      </c>
      <c r="H674" s="8">
        <v>25.2</v>
      </c>
      <c r="I674" s="1" t="s">
        <v>1522</v>
      </c>
      <c r="J674" s="5" t="s">
        <v>7417</v>
      </c>
      <c r="K674" s="2">
        <f t="shared" si="10"/>
        <v>0.9</v>
      </c>
    </row>
    <row r="675" spans="1:11" x14ac:dyDescent="0.25">
      <c r="A675" s="5" t="s">
        <v>15067</v>
      </c>
      <c r="B675" s="5" t="s">
        <v>15349</v>
      </c>
      <c r="C675" s="5" t="s">
        <v>1533</v>
      </c>
      <c r="D675" s="5" t="s">
        <v>1533</v>
      </c>
      <c r="E675" s="5" t="s">
        <v>1533</v>
      </c>
      <c r="F675" s="5">
        <v>23</v>
      </c>
      <c r="G675" s="5" t="s">
        <v>15142</v>
      </c>
      <c r="H675" s="8">
        <v>20.7</v>
      </c>
      <c r="I675" s="1" t="s">
        <v>1522</v>
      </c>
      <c r="J675" s="5" t="s">
        <v>7417</v>
      </c>
      <c r="K675" s="2">
        <f t="shared" si="10"/>
        <v>0.9</v>
      </c>
    </row>
    <row r="676" spans="1:11" x14ac:dyDescent="0.25">
      <c r="A676" s="5" t="s">
        <v>15067</v>
      </c>
      <c r="B676" s="5" t="s">
        <v>15348</v>
      </c>
      <c r="C676" s="5" t="s">
        <v>1533</v>
      </c>
      <c r="D676" s="5" t="s">
        <v>1533</v>
      </c>
      <c r="E676" s="5" t="s">
        <v>1533</v>
      </c>
      <c r="F676" s="5">
        <v>23</v>
      </c>
      <c r="G676" s="5" t="s">
        <v>15142</v>
      </c>
      <c r="H676" s="8">
        <v>20.7</v>
      </c>
      <c r="I676" s="1" t="s">
        <v>1522</v>
      </c>
      <c r="J676" s="5" t="s">
        <v>7417</v>
      </c>
      <c r="K676" s="2">
        <f t="shared" si="10"/>
        <v>0.9</v>
      </c>
    </row>
    <row r="677" spans="1:11" x14ac:dyDescent="0.25">
      <c r="A677" s="5" t="s">
        <v>15067</v>
      </c>
      <c r="B677" s="5" t="s">
        <v>15350</v>
      </c>
      <c r="C677" s="5" t="s">
        <v>1533</v>
      </c>
      <c r="D677" s="5" t="s">
        <v>1533</v>
      </c>
      <c r="E677" s="5" t="s">
        <v>1533</v>
      </c>
      <c r="F677" s="5">
        <v>22</v>
      </c>
      <c r="G677" s="5" t="s">
        <v>15142</v>
      </c>
      <c r="H677" s="8">
        <v>19.8</v>
      </c>
      <c r="I677" s="1" t="s">
        <v>1522</v>
      </c>
      <c r="J677" s="5" t="s">
        <v>7417</v>
      </c>
      <c r="K677" s="2">
        <f t="shared" si="10"/>
        <v>0.9</v>
      </c>
    </row>
    <row r="678" spans="1:11" x14ac:dyDescent="0.25">
      <c r="A678" s="5" t="s">
        <v>15067</v>
      </c>
      <c r="B678" s="5" t="s">
        <v>15347</v>
      </c>
      <c r="C678" s="5" t="s">
        <v>1533</v>
      </c>
      <c r="D678" s="5" t="s">
        <v>1533</v>
      </c>
      <c r="E678" s="5" t="s">
        <v>1533</v>
      </c>
      <c r="F678" s="5">
        <v>20</v>
      </c>
      <c r="G678" s="5" t="s">
        <v>15142</v>
      </c>
      <c r="H678" s="8">
        <v>18</v>
      </c>
      <c r="I678" s="1" t="s">
        <v>1522</v>
      </c>
      <c r="J678" s="5" t="s">
        <v>7417</v>
      </c>
      <c r="K678" s="2">
        <f t="shared" si="10"/>
        <v>0.9</v>
      </c>
    </row>
    <row r="679" spans="1:11" x14ac:dyDescent="0.25">
      <c r="A679" s="5" t="s">
        <v>15067</v>
      </c>
      <c r="B679" s="5" t="s">
        <v>15352</v>
      </c>
      <c r="C679" s="5" t="s">
        <v>1533</v>
      </c>
      <c r="D679" s="5" t="s">
        <v>1533</v>
      </c>
      <c r="E679" s="5" t="s">
        <v>1533</v>
      </c>
      <c r="F679" s="5">
        <v>14</v>
      </c>
      <c r="G679" s="5" t="s">
        <v>15142</v>
      </c>
      <c r="H679" s="8">
        <v>12.6</v>
      </c>
      <c r="I679" s="1" t="s">
        <v>1522</v>
      </c>
      <c r="J679" s="5" t="s">
        <v>7417</v>
      </c>
      <c r="K679" s="2">
        <f t="shared" si="10"/>
        <v>0.9</v>
      </c>
    </row>
    <row r="680" spans="1:11" x14ac:dyDescent="0.25">
      <c r="A680" s="5" t="s">
        <v>15067</v>
      </c>
      <c r="B680" s="5" t="s">
        <v>15353</v>
      </c>
      <c r="C680" s="5" t="s">
        <v>1533</v>
      </c>
      <c r="D680" s="5" t="s">
        <v>1533</v>
      </c>
      <c r="E680" s="5" t="s">
        <v>1533</v>
      </c>
      <c r="F680" s="5">
        <v>14</v>
      </c>
      <c r="G680" s="5" t="s">
        <v>15142</v>
      </c>
      <c r="H680" s="8">
        <v>12.6</v>
      </c>
      <c r="I680" s="1" t="s">
        <v>1522</v>
      </c>
      <c r="J680" s="5" t="s">
        <v>7417</v>
      </c>
      <c r="K680" s="2">
        <f t="shared" si="10"/>
        <v>0.9</v>
      </c>
    </row>
    <row r="681" spans="1:11" ht="40.5" x14ac:dyDescent="0.25">
      <c r="A681" s="1" t="s">
        <v>15067</v>
      </c>
      <c r="B681" s="1" t="s">
        <v>15351</v>
      </c>
      <c r="C681" s="1" t="s">
        <v>1533</v>
      </c>
      <c r="D681" s="1" t="s">
        <v>1533</v>
      </c>
      <c r="E681" s="1" t="s">
        <v>1533</v>
      </c>
      <c r="F681" s="1">
        <v>78</v>
      </c>
      <c r="G681" s="1" t="s">
        <v>15142</v>
      </c>
      <c r="H681" s="3">
        <v>70.2</v>
      </c>
      <c r="I681" s="1" t="s">
        <v>1522</v>
      </c>
      <c r="J681" s="5" t="s">
        <v>7418</v>
      </c>
      <c r="K681" s="2">
        <f t="shared" si="10"/>
        <v>0.9</v>
      </c>
    </row>
    <row r="682" spans="1:11" ht="27" x14ac:dyDescent="0.25">
      <c r="A682" s="1" t="s">
        <v>15067</v>
      </c>
      <c r="B682" s="1" t="s">
        <v>15346</v>
      </c>
      <c r="C682" s="1" t="s">
        <v>1533</v>
      </c>
      <c r="D682" s="1" t="s">
        <v>1533</v>
      </c>
      <c r="E682" s="1" t="s">
        <v>1533</v>
      </c>
      <c r="F682" s="1">
        <v>58</v>
      </c>
      <c r="G682" s="1" t="s">
        <v>15142</v>
      </c>
      <c r="H682" s="3">
        <v>52.2</v>
      </c>
      <c r="I682" s="1" t="s">
        <v>1522</v>
      </c>
      <c r="J682" s="5" t="s">
        <v>7418</v>
      </c>
      <c r="K682" s="2">
        <f t="shared" si="10"/>
        <v>0.9</v>
      </c>
    </row>
    <row r="683" spans="1:11" ht="40.5" x14ac:dyDescent="0.25">
      <c r="A683" s="1" t="s">
        <v>15067</v>
      </c>
      <c r="B683" s="1" t="s">
        <v>15347</v>
      </c>
      <c r="C683" s="1" t="s">
        <v>1533</v>
      </c>
      <c r="D683" s="1" t="s">
        <v>1533</v>
      </c>
      <c r="E683" s="1" t="s">
        <v>1533</v>
      </c>
      <c r="F683" s="1">
        <v>32</v>
      </c>
      <c r="G683" s="1" t="s">
        <v>15142</v>
      </c>
      <c r="H683" s="3">
        <v>28.8</v>
      </c>
      <c r="I683" s="1" t="s">
        <v>1522</v>
      </c>
      <c r="J683" s="5" t="s">
        <v>7418</v>
      </c>
      <c r="K683" s="2">
        <f t="shared" si="10"/>
        <v>0.9</v>
      </c>
    </row>
    <row r="684" spans="1:11" ht="27" x14ac:dyDescent="0.25">
      <c r="A684" s="1" t="s">
        <v>15067</v>
      </c>
      <c r="B684" s="1" t="s">
        <v>15350</v>
      </c>
      <c r="C684" s="1" t="s">
        <v>1533</v>
      </c>
      <c r="D684" s="1" t="s">
        <v>1533</v>
      </c>
      <c r="E684" s="1" t="s">
        <v>1533</v>
      </c>
      <c r="F684" s="1">
        <v>14</v>
      </c>
      <c r="G684" s="1" t="s">
        <v>15142</v>
      </c>
      <c r="H684" s="3">
        <v>12.6</v>
      </c>
      <c r="I684" s="1" t="s">
        <v>1522</v>
      </c>
      <c r="J684" s="5" t="s">
        <v>7418</v>
      </c>
      <c r="K684" s="2">
        <f t="shared" si="10"/>
        <v>0.9</v>
      </c>
    </row>
    <row r="685" spans="1:11" ht="27" x14ac:dyDescent="0.25">
      <c r="A685" s="1" t="s">
        <v>15067</v>
      </c>
      <c r="B685" s="1" t="s">
        <v>15345</v>
      </c>
      <c r="C685" s="1" t="s">
        <v>1533</v>
      </c>
      <c r="D685" s="1" t="s">
        <v>1533</v>
      </c>
      <c r="E685" s="1" t="s">
        <v>1533</v>
      </c>
      <c r="F685" s="1">
        <v>12</v>
      </c>
      <c r="G685" s="1" t="s">
        <v>15142</v>
      </c>
      <c r="H685" s="3">
        <v>10.8</v>
      </c>
      <c r="I685" s="1" t="s">
        <v>1522</v>
      </c>
      <c r="J685" s="5" t="s">
        <v>7418</v>
      </c>
      <c r="K685" s="2">
        <f t="shared" si="10"/>
        <v>0.9</v>
      </c>
    </row>
    <row r="686" spans="1:11" ht="27" x14ac:dyDescent="0.25">
      <c r="A686" s="1" t="s">
        <v>15067</v>
      </c>
      <c r="B686" s="1" t="s">
        <v>15353</v>
      </c>
      <c r="C686" s="1" t="s">
        <v>1533</v>
      </c>
      <c r="D686" s="1" t="s">
        <v>1533</v>
      </c>
      <c r="E686" s="1" t="s">
        <v>1533</v>
      </c>
      <c r="F686" s="1">
        <v>12</v>
      </c>
      <c r="G686" s="1" t="s">
        <v>15142</v>
      </c>
      <c r="H686" s="3">
        <v>10.8</v>
      </c>
      <c r="I686" s="1" t="s">
        <v>1522</v>
      </c>
      <c r="J686" s="5" t="s">
        <v>7418</v>
      </c>
      <c r="K686" s="2">
        <f t="shared" si="10"/>
        <v>0.9</v>
      </c>
    </row>
    <row r="687" spans="1:11" ht="27" x14ac:dyDescent="0.25">
      <c r="A687" s="1" t="s">
        <v>15067</v>
      </c>
      <c r="B687" s="1" t="s">
        <v>15346</v>
      </c>
      <c r="C687" s="1" t="s">
        <v>1533</v>
      </c>
      <c r="D687" s="1" t="s">
        <v>1533</v>
      </c>
      <c r="E687" s="1" t="s">
        <v>1533</v>
      </c>
      <c r="F687" s="1">
        <v>35</v>
      </c>
      <c r="G687" s="1" t="s">
        <v>15142</v>
      </c>
      <c r="H687" s="3">
        <v>31.5</v>
      </c>
      <c r="I687" s="1" t="s">
        <v>1522</v>
      </c>
      <c r="J687" s="5" t="s">
        <v>7419</v>
      </c>
      <c r="K687" s="2">
        <f t="shared" si="10"/>
        <v>0.9</v>
      </c>
    </row>
    <row r="688" spans="1:11" ht="27" x14ac:dyDescent="0.25">
      <c r="A688" s="1" t="s">
        <v>15067</v>
      </c>
      <c r="B688" s="1" t="s">
        <v>15350</v>
      </c>
      <c r="C688" s="1" t="s">
        <v>1533</v>
      </c>
      <c r="D688" s="1" t="s">
        <v>1533</v>
      </c>
      <c r="E688" s="1" t="s">
        <v>1533</v>
      </c>
      <c r="F688" s="1">
        <v>29</v>
      </c>
      <c r="G688" s="1" t="s">
        <v>15142</v>
      </c>
      <c r="H688" s="3">
        <v>26.1</v>
      </c>
      <c r="I688" s="1" t="s">
        <v>1522</v>
      </c>
      <c r="J688" s="5" t="s">
        <v>7419</v>
      </c>
      <c r="K688" s="2">
        <f t="shared" si="10"/>
        <v>0.9</v>
      </c>
    </row>
    <row r="689" spans="1:11" ht="40.5" x14ac:dyDescent="0.25">
      <c r="A689" s="1" t="s">
        <v>15067</v>
      </c>
      <c r="B689" s="1" t="s">
        <v>15351</v>
      </c>
      <c r="C689" s="1" t="s">
        <v>1533</v>
      </c>
      <c r="D689" s="1" t="s">
        <v>1533</v>
      </c>
      <c r="E689" s="1" t="s">
        <v>1533</v>
      </c>
      <c r="F689" s="1">
        <v>15</v>
      </c>
      <c r="G689" s="1" t="s">
        <v>15142</v>
      </c>
      <c r="H689" s="3">
        <v>13.5</v>
      </c>
      <c r="I689" s="1" t="s">
        <v>1522</v>
      </c>
      <c r="J689" s="5" t="s">
        <v>7419</v>
      </c>
      <c r="K689" s="2">
        <f t="shared" si="10"/>
        <v>0.9</v>
      </c>
    </row>
    <row r="690" spans="1:11" ht="27" x14ac:dyDescent="0.25">
      <c r="A690" s="1" t="s">
        <v>15067</v>
      </c>
      <c r="B690" s="1" t="s">
        <v>15349</v>
      </c>
      <c r="C690" s="1" t="s">
        <v>1533</v>
      </c>
      <c r="D690" s="1" t="s">
        <v>1533</v>
      </c>
      <c r="E690" s="1" t="s">
        <v>1533</v>
      </c>
      <c r="F690" s="1">
        <v>11</v>
      </c>
      <c r="G690" s="1" t="s">
        <v>15142</v>
      </c>
      <c r="H690" s="3">
        <v>9.9</v>
      </c>
      <c r="I690" s="1" t="s">
        <v>1522</v>
      </c>
      <c r="J690" s="5" t="s">
        <v>7419</v>
      </c>
      <c r="K690" s="2">
        <f t="shared" si="10"/>
        <v>0.9</v>
      </c>
    </row>
    <row r="691" spans="1:11" ht="27" x14ac:dyDescent="0.25">
      <c r="A691" s="1" t="s">
        <v>15067</v>
      </c>
      <c r="B691" s="1" t="s">
        <v>15348</v>
      </c>
      <c r="C691" s="1" t="s">
        <v>1533</v>
      </c>
      <c r="D691" s="1" t="s">
        <v>1533</v>
      </c>
      <c r="E691" s="1" t="s">
        <v>1533</v>
      </c>
      <c r="F691" s="1">
        <v>8</v>
      </c>
      <c r="G691" s="1" t="s">
        <v>15142</v>
      </c>
      <c r="H691" s="3">
        <v>7.2</v>
      </c>
      <c r="I691" s="1" t="s">
        <v>1522</v>
      </c>
      <c r="J691" s="5" t="s">
        <v>7419</v>
      </c>
      <c r="K691" s="2">
        <f t="shared" si="10"/>
        <v>0.9</v>
      </c>
    </row>
    <row r="692" spans="1:11" ht="27" x14ac:dyDescent="0.25">
      <c r="A692" s="1" t="s">
        <v>15067</v>
      </c>
      <c r="B692" s="1" t="s">
        <v>15354</v>
      </c>
      <c r="C692" s="1" t="s">
        <v>1533</v>
      </c>
      <c r="D692" s="1" t="s">
        <v>1533</v>
      </c>
      <c r="E692" s="1" t="s">
        <v>1533</v>
      </c>
      <c r="F692" s="1">
        <v>4</v>
      </c>
      <c r="G692" s="1" t="s">
        <v>15142</v>
      </c>
      <c r="H692" s="3">
        <v>3.6</v>
      </c>
      <c r="I692" s="1" t="s">
        <v>1522</v>
      </c>
      <c r="J692" s="5" t="s">
        <v>7419</v>
      </c>
      <c r="K692" s="2">
        <f t="shared" si="10"/>
        <v>0.9</v>
      </c>
    </row>
    <row r="693" spans="1:11" ht="27" x14ac:dyDescent="0.25">
      <c r="A693" s="1" t="s">
        <v>15067</v>
      </c>
      <c r="B693" s="1" t="s">
        <v>15346</v>
      </c>
      <c r="C693" s="1" t="s">
        <v>1533</v>
      </c>
      <c r="D693" s="1" t="s">
        <v>1533</v>
      </c>
      <c r="E693" s="1" t="s">
        <v>1533</v>
      </c>
      <c r="F693" s="1">
        <v>75</v>
      </c>
      <c r="G693" s="1" t="s">
        <v>15142</v>
      </c>
      <c r="H693" s="3">
        <v>67.5</v>
      </c>
      <c r="I693" s="1" t="s">
        <v>1522</v>
      </c>
      <c r="J693" s="5" t="s">
        <v>7420</v>
      </c>
      <c r="K693" s="2">
        <f t="shared" si="10"/>
        <v>0.9</v>
      </c>
    </row>
    <row r="694" spans="1:11" ht="27" x14ac:dyDescent="0.25">
      <c r="A694" s="1" t="s">
        <v>15067</v>
      </c>
      <c r="B694" s="1" t="s">
        <v>15350</v>
      </c>
      <c r="C694" s="1" t="s">
        <v>1533</v>
      </c>
      <c r="D694" s="1" t="s">
        <v>1533</v>
      </c>
      <c r="E694" s="1" t="s">
        <v>1533</v>
      </c>
      <c r="F694" s="1">
        <v>43</v>
      </c>
      <c r="G694" s="1" t="s">
        <v>15142</v>
      </c>
      <c r="H694" s="3">
        <v>38.700000000000003</v>
      </c>
      <c r="I694" s="1" t="s">
        <v>1522</v>
      </c>
      <c r="J694" s="5" t="s">
        <v>7420</v>
      </c>
      <c r="K694" s="2">
        <f t="shared" si="10"/>
        <v>0.9</v>
      </c>
    </row>
    <row r="695" spans="1:11" ht="27" x14ac:dyDescent="0.25">
      <c r="A695" s="1" t="s">
        <v>15067</v>
      </c>
      <c r="B695" s="1" t="s">
        <v>15348</v>
      </c>
      <c r="C695" s="1" t="s">
        <v>1533</v>
      </c>
      <c r="D695" s="1" t="s">
        <v>1533</v>
      </c>
      <c r="E695" s="1" t="s">
        <v>1533</v>
      </c>
      <c r="F695" s="1">
        <v>29</v>
      </c>
      <c r="G695" s="1" t="s">
        <v>15142</v>
      </c>
      <c r="H695" s="3">
        <v>26.1</v>
      </c>
      <c r="I695" s="1" t="s">
        <v>1522</v>
      </c>
      <c r="J695" s="5" t="s">
        <v>7420</v>
      </c>
      <c r="K695" s="2">
        <f t="shared" si="10"/>
        <v>0.9</v>
      </c>
    </row>
    <row r="696" spans="1:11" ht="40.5" x14ac:dyDescent="0.25">
      <c r="A696" s="1" t="s">
        <v>15067</v>
      </c>
      <c r="B696" s="1" t="s">
        <v>15347</v>
      </c>
      <c r="C696" s="1" t="s">
        <v>1533</v>
      </c>
      <c r="D696" s="1" t="s">
        <v>1533</v>
      </c>
      <c r="E696" s="1" t="s">
        <v>1533</v>
      </c>
      <c r="F696" s="1">
        <v>12</v>
      </c>
      <c r="G696" s="1" t="s">
        <v>15142</v>
      </c>
      <c r="H696" s="3">
        <v>10.8</v>
      </c>
      <c r="I696" s="1" t="s">
        <v>1522</v>
      </c>
      <c r="J696" s="5" t="s">
        <v>7420</v>
      </c>
      <c r="K696" s="2">
        <f t="shared" si="10"/>
        <v>0.9</v>
      </c>
    </row>
    <row r="697" spans="1:11" ht="27" x14ac:dyDescent="0.25">
      <c r="A697" s="1" t="s">
        <v>15067</v>
      </c>
      <c r="B697" s="1" t="s">
        <v>15354</v>
      </c>
      <c r="C697" s="1" t="s">
        <v>1533</v>
      </c>
      <c r="D697" s="1" t="s">
        <v>1533</v>
      </c>
      <c r="E697" s="1" t="s">
        <v>1533</v>
      </c>
      <c r="F697" s="1">
        <v>10</v>
      </c>
      <c r="G697" s="1" t="s">
        <v>15142</v>
      </c>
      <c r="H697" s="3">
        <v>9</v>
      </c>
      <c r="I697" s="1" t="s">
        <v>1522</v>
      </c>
      <c r="J697" s="5" t="s">
        <v>7420</v>
      </c>
      <c r="K697" s="2">
        <f t="shared" si="10"/>
        <v>0.9</v>
      </c>
    </row>
    <row r="698" spans="1:11" ht="27" x14ac:dyDescent="0.25">
      <c r="A698" s="1" t="s">
        <v>15067</v>
      </c>
      <c r="B698" s="1" t="s">
        <v>15353</v>
      </c>
      <c r="C698" s="1" t="s">
        <v>1533</v>
      </c>
      <c r="D698" s="1" t="s">
        <v>1533</v>
      </c>
      <c r="E698" s="1" t="s">
        <v>1533</v>
      </c>
      <c r="F698" s="1">
        <v>10</v>
      </c>
      <c r="G698" s="1" t="s">
        <v>15142</v>
      </c>
      <c r="H698" s="3">
        <v>9</v>
      </c>
      <c r="I698" s="1" t="s">
        <v>1522</v>
      </c>
      <c r="J698" s="5" t="s">
        <v>7420</v>
      </c>
      <c r="K698" s="2">
        <f t="shared" si="10"/>
        <v>0.9</v>
      </c>
    </row>
    <row r="699" spans="1:11" ht="40.5" x14ac:dyDescent="0.25">
      <c r="A699" s="1" t="s">
        <v>15067</v>
      </c>
      <c r="B699" s="1" t="s">
        <v>15351</v>
      </c>
      <c r="C699" s="1" t="s">
        <v>1533</v>
      </c>
      <c r="D699" s="1" t="s">
        <v>1533</v>
      </c>
      <c r="E699" s="1" t="s">
        <v>1533</v>
      </c>
      <c r="F699" s="1">
        <v>25</v>
      </c>
      <c r="G699" s="1" t="s">
        <v>15142</v>
      </c>
      <c r="H699" s="3">
        <v>22.5</v>
      </c>
      <c r="I699" s="1" t="s">
        <v>4</v>
      </c>
      <c r="J699" s="5" t="s">
        <v>7420</v>
      </c>
      <c r="K699" s="2">
        <f t="shared" si="10"/>
        <v>0.9</v>
      </c>
    </row>
    <row r="700" spans="1:11" ht="40.5" x14ac:dyDescent="0.25">
      <c r="A700" s="1" t="s">
        <v>15067</v>
      </c>
      <c r="B700" s="1" t="s">
        <v>15347</v>
      </c>
      <c r="C700" s="1" t="s">
        <v>1533</v>
      </c>
      <c r="D700" s="1" t="s">
        <v>1533</v>
      </c>
      <c r="E700" s="1" t="s">
        <v>1533</v>
      </c>
      <c r="F700" s="1">
        <v>20</v>
      </c>
      <c r="G700" s="1" t="s">
        <v>15142</v>
      </c>
      <c r="H700" s="3">
        <v>18</v>
      </c>
      <c r="I700" s="1" t="s">
        <v>4</v>
      </c>
      <c r="J700" s="5" t="s">
        <v>7420</v>
      </c>
      <c r="K700" s="2">
        <f t="shared" si="10"/>
        <v>0.9</v>
      </c>
    </row>
    <row r="701" spans="1:11" x14ac:dyDescent="0.25">
      <c r="A701" s="5" t="s">
        <v>15067</v>
      </c>
      <c r="B701" s="5" t="s">
        <v>15351</v>
      </c>
      <c r="C701" s="5" t="s">
        <v>1533</v>
      </c>
      <c r="D701" s="5" t="s">
        <v>1533</v>
      </c>
      <c r="E701" s="5" t="s">
        <v>1533</v>
      </c>
      <c r="F701" s="5">
        <v>21</v>
      </c>
      <c r="G701" s="5" t="s">
        <v>15142</v>
      </c>
      <c r="H701" s="8">
        <v>18.899999999999999</v>
      </c>
      <c r="I701" s="5" t="s">
        <v>1522</v>
      </c>
      <c r="J701" s="5" t="s">
        <v>7416</v>
      </c>
      <c r="K701" s="2">
        <f t="shared" si="10"/>
        <v>0.89999999999999991</v>
      </c>
    </row>
    <row r="702" spans="1:11" x14ac:dyDescent="0.25">
      <c r="A702" s="5" t="s">
        <v>15067</v>
      </c>
      <c r="B702" s="5" t="s">
        <v>15346</v>
      </c>
      <c r="C702" s="5" t="s">
        <v>1533</v>
      </c>
      <c r="D702" s="5" t="s">
        <v>1533</v>
      </c>
      <c r="E702" s="5" t="s">
        <v>1533</v>
      </c>
      <c r="F702" s="5">
        <v>41</v>
      </c>
      <c r="G702" s="5" t="s">
        <v>15142</v>
      </c>
      <c r="H702" s="8">
        <v>36.9</v>
      </c>
      <c r="I702" s="1" t="s">
        <v>1522</v>
      </c>
      <c r="J702" s="5" t="s">
        <v>7417</v>
      </c>
      <c r="K702" s="2">
        <f t="shared" si="10"/>
        <v>0.89999999999999991</v>
      </c>
    </row>
    <row r="703" spans="1:11" x14ac:dyDescent="0.25">
      <c r="A703" s="5" t="s">
        <v>15067</v>
      </c>
      <c r="B703" s="5" t="s">
        <v>15345</v>
      </c>
      <c r="C703" s="5" t="s">
        <v>1533</v>
      </c>
      <c r="D703" s="5" t="s">
        <v>1533</v>
      </c>
      <c r="E703" s="5" t="s">
        <v>1533</v>
      </c>
      <c r="F703" s="5">
        <v>31</v>
      </c>
      <c r="G703" s="5" t="s">
        <v>15142</v>
      </c>
      <c r="H703" s="8">
        <v>27.9</v>
      </c>
      <c r="I703" s="1" t="s">
        <v>1522</v>
      </c>
      <c r="J703" s="5" t="s">
        <v>7417</v>
      </c>
      <c r="K703" s="2">
        <f t="shared" si="10"/>
        <v>0.89999999999999991</v>
      </c>
    </row>
    <row r="704" spans="1:11" x14ac:dyDescent="0.25">
      <c r="A704" s="5" t="s">
        <v>15067</v>
      </c>
      <c r="B704" s="5" t="s">
        <v>15354</v>
      </c>
      <c r="C704" s="5" t="s">
        <v>1533</v>
      </c>
      <c r="D704" s="5" t="s">
        <v>1533</v>
      </c>
      <c r="E704" s="5" t="s">
        <v>1533</v>
      </c>
      <c r="F704" s="5">
        <v>9</v>
      </c>
      <c r="G704" s="5" t="s">
        <v>15142</v>
      </c>
      <c r="H704" s="8">
        <v>8.1</v>
      </c>
      <c r="I704" s="1" t="s">
        <v>1522</v>
      </c>
      <c r="J704" s="5" t="s">
        <v>7417</v>
      </c>
      <c r="K704" s="2">
        <f t="shared" si="10"/>
        <v>0.89999999999999991</v>
      </c>
    </row>
    <row r="705" spans="1:11" ht="27" x14ac:dyDescent="0.25">
      <c r="A705" s="1" t="s">
        <v>15067</v>
      </c>
      <c r="B705" s="1" t="s">
        <v>15348</v>
      </c>
      <c r="C705" s="1" t="s">
        <v>1533</v>
      </c>
      <c r="D705" s="1" t="s">
        <v>1533</v>
      </c>
      <c r="E705" s="1" t="s">
        <v>1533</v>
      </c>
      <c r="F705" s="1">
        <v>9</v>
      </c>
      <c r="G705" s="1" t="s">
        <v>15142</v>
      </c>
      <c r="H705" s="3">
        <v>8.1</v>
      </c>
      <c r="I705" s="1" t="s">
        <v>1522</v>
      </c>
      <c r="J705" s="5" t="s">
        <v>7418</v>
      </c>
      <c r="K705" s="2">
        <f t="shared" si="10"/>
        <v>0.89999999999999991</v>
      </c>
    </row>
    <row r="706" spans="1:11" ht="40.5" x14ac:dyDescent="0.25">
      <c r="A706" s="1" t="s">
        <v>15067</v>
      </c>
      <c r="B706" s="1" t="s">
        <v>15351</v>
      </c>
      <c r="C706" s="1" t="s">
        <v>1533</v>
      </c>
      <c r="D706" s="1" t="s">
        <v>1533</v>
      </c>
      <c r="E706" s="1" t="s">
        <v>1533</v>
      </c>
      <c r="F706" s="1">
        <v>13</v>
      </c>
      <c r="G706" s="1" t="s">
        <v>15142</v>
      </c>
      <c r="H706" s="3">
        <v>11.7</v>
      </c>
      <c r="I706" s="1" t="s">
        <v>1522</v>
      </c>
      <c r="J706" s="5" t="s">
        <v>7420</v>
      </c>
      <c r="K706" s="2">
        <f t="shared" ref="K706:K718" si="11">H706/F706</f>
        <v>0.89999999999999991</v>
      </c>
    </row>
    <row r="707" spans="1:11" x14ac:dyDescent="0.25">
      <c r="A707" s="1" t="s">
        <v>15067</v>
      </c>
      <c r="B707" s="1" t="s">
        <v>15355</v>
      </c>
      <c r="C707" s="1" t="s">
        <v>1533</v>
      </c>
      <c r="D707" s="1" t="s">
        <v>1533</v>
      </c>
      <c r="E707" s="1" t="s">
        <v>1533</v>
      </c>
      <c r="F707" s="1">
        <v>200</v>
      </c>
      <c r="G707" s="1" t="s">
        <v>15142</v>
      </c>
      <c r="H707" s="3">
        <v>106</v>
      </c>
      <c r="I707" s="1" t="s">
        <v>1522</v>
      </c>
      <c r="J707" s="5" t="s">
        <v>7420</v>
      </c>
      <c r="K707" s="2">
        <f t="shared" si="11"/>
        <v>0.53</v>
      </c>
    </row>
    <row r="708" spans="1:11" x14ac:dyDescent="0.25">
      <c r="A708" s="5" t="s">
        <v>15067</v>
      </c>
      <c r="B708" s="5" t="s">
        <v>15356</v>
      </c>
      <c r="C708" s="5" t="s">
        <v>1533</v>
      </c>
      <c r="D708" s="5" t="s">
        <v>1533</v>
      </c>
      <c r="E708" s="5" t="s">
        <v>1533</v>
      </c>
      <c r="F708" s="5">
        <v>40</v>
      </c>
      <c r="G708" s="5" t="s">
        <v>15142</v>
      </c>
      <c r="H708" s="8">
        <v>14</v>
      </c>
      <c r="I708" s="1" t="s">
        <v>1522</v>
      </c>
      <c r="J708" s="5" t="s">
        <v>7417</v>
      </c>
      <c r="K708" s="2">
        <f t="shared" si="11"/>
        <v>0.35</v>
      </c>
    </row>
    <row r="709" spans="1:11" ht="27" x14ac:dyDescent="0.25">
      <c r="A709" s="1" t="s">
        <v>15067</v>
      </c>
      <c r="B709" s="1" t="s">
        <v>15356</v>
      </c>
      <c r="C709" s="1" t="s">
        <v>1533</v>
      </c>
      <c r="D709" s="1" t="s">
        <v>1533</v>
      </c>
      <c r="E709" s="1" t="s">
        <v>1533</v>
      </c>
      <c r="F709" s="1">
        <v>40</v>
      </c>
      <c r="G709" s="1" t="s">
        <v>15142</v>
      </c>
      <c r="H709" s="3">
        <v>14</v>
      </c>
      <c r="I709" s="1" t="s">
        <v>1522</v>
      </c>
      <c r="J709" s="5" t="s">
        <v>7418</v>
      </c>
      <c r="K709" s="2">
        <f t="shared" si="11"/>
        <v>0.35</v>
      </c>
    </row>
    <row r="710" spans="1:11" ht="27" x14ac:dyDescent="0.25">
      <c r="A710" s="1" t="s">
        <v>15067</v>
      </c>
      <c r="B710" s="1" t="s">
        <v>15356</v>
      </c>
      <c r="C710" s="1" t="s">
        <v>1533</v>
      </c>
      <c r="D710" s="1" t="s">
        <v>1533</v>
      </c>
      <c r="E710" s="1" t="s">
        <v>1533</v>
      </c>
      <c r="F710" s="1">
        <v>50</v>
      </c>
      <c r="G710" s="1" t="s">
        <v>15142</v>
      </c>
      <c r="H710" s="3">
        <v>17.5</v>
      </c>
      <c r="I710" s="1" t="s">
        <v>1522</v>
      </c>
      <c r="J710" s="5" t="s">
        <v>7419</v>
      </c>
      <c r="K710" s="2">
        <f t="shared" si="11"/>
        <v>0.35</v>
      </c>
    </row>
    <row r="711" spans="1:11" x14ac:dyDescent="0.25">
      <c r="A711" s="5" t="s">
        <v>15067</v>
      </c>
      <c r="B711" s="5" t="s">
        <v>15355</v>
      </c>
      <c r="C711" s="5" t="s">
        <v>1533</v>
      </c>
      <c r="D711" s="5" t="s">
        <v>1533</v>
      </c>
      <c r="E711" s="5" t="s">
        <v>1533</v>
      </c>
      <c r="F711" s="5">
        <v>600</v>
      </c>
      <c r="G711" s="5" t="s">
        <v>15142</v>
      </c>
      <c r="H711" s="8">
        <v>180</v>
      </c>
      <c r="I711" s="5" t="s">
        <v>1522</v>
      </c>
      <c r="J711" s="5" t="s">
        <v>7416</v>
      </c>
      <c r="K711" s="2">
        <f t="shared" si="11"/>
        <v>0.3</v>
      </c>
    </row>
    <row r="712" spans="1:11" x14ac:dyDescent="0.25">
      <c r="A712" s="5" t="s">
        <v>15067</v>
      </c>
      <c r="B712" s="5" t="s">
        <v>15355</v>
      </c>
      <c r="C712" s="5" t="s">
        <v>1533</v>
      </c>
      <c r="D712" s="5" t="s">
        <v>1533</v>
      </c>
      <c r="E712" s="5" t="s">
        <v>1533</v>
      </c>
      <c r="F712" s="5">
        <v>200</v>
      </c>
      <c r="G712" s="5" t="s">
        <v>15142</v>
      </c>
      <c r="H712" s="8">
        <v>60</v>
      </c>
      <c r="I712" s="1" t="s">
        <v>1522</v>
      </c>
      <c r="J712" s="5" t="s">
        <v>7417</v>
      </c>
      <c r="K712" s="2">
        <f t="shared" si="11"/>
        <v>0.3</v>
      </c>
    </row>
    <row r="713" spans="1:11" x14ac:dyDescent="0.25">
      <c r="A713" s="5" t="s">
        <v>15067</v>
      </c>
      <c r="B713" s="5" t="s">
        <v>15357</v>
      </c>
      <c r="C713" s="5" t="s">
        <v>1533</v>
      </c>
      <c r="D713" s="5" t="s">
        <v>1533</v>
      </c>
      <c r="E713" s="5" t="s">
        <v>1533</v>
      </c>
      <c r="F713" s="5">
        <v>170</v>
      </c>
      <c r="G713" s="5" t="s">
        <v>15142</v>
      </c>
      <c r="H713" s="8">
        <v>51</v>
      </c>
      <c r="I713" s="1" t="s">
        <v>1522</v>
      </c>
      <c r="J713" s="5" t="s">
        <v>7417</v>
      </c>
      <c r="K713" s="2">
        <f t="shared" si="11"/>
        <v>0.3</v>
      </c>
    </row>
    <row r="714" spans="1:11" x14ac:dyDescent="0.25">
      <c r="A714" s="1" t="s">
        <v>15067</v>
      </c>
      <c r="B714" s="1" t="s">
        <v>15355</v>
      </c>
      <c r="C714" s="1" t="s">
        <v>1533</v>
      </c>
      <c r="D714" s="1" t="s">
        <v>1533</v>
      </c>
      <c r="E714" s="1" t="s">
        <v>1533</v>
      </c>
      <c r="F714" s="1">
        <v>500</v>
      </c>
      <c r="G714" s="1" t="s">
        <v>15142</v>
      </c>
      <c r="H714" s="3">
        <v>150</v>
      </c>
      <c r="I714" s="1" t="s">
        <v>1522</v>
      </c>
      <c r="J714" s="5" t="s">
        <v>7418</v>
      </c>
      <c r="K714" s="2">
        <f t="shared" si="11"/>
        <v>0.3</v>
      </c>
    </row>
    <row r="715" spans="1:11" x14ac:dyDescent="0.25">
      <c r="A715" s="1" t="s">
        <v>15067</v>
      </c>
      <c r="B715" s="1" t="s">
        <v>15355</v>
      </c>
      <c r="C715" s="1" t="s">
        <v>1533</v>
      </c>
      <c r="D715" s="1" t="s">
        <v>1533</v>
      </c>
      <c r="E715" s="1" t="s">
        <v>1533</v>
      </c>
      <c r="F715" s="10">
        <v>1200</v>
      </c>
      <c r="G715" s="1" t="s">
        <v>15142</v>
      </c>
      <c r="H715" s="3">
        <v>360</v>
      </c>
      <c r="I715" s="1" t="s">
        <v>1522</v>
      </c>
      <c r="J715" s="5" t="s">
        <v>7419</v>
      </c>
      <c r="K715" s="2">
        <f t="shared" si="11"/>
        <v>0.3</v>
      </c>
    </row>
    <row r="716" spans="1:11" ht="27" x14ac:dyDescent="0.25">
      <c r="A716" s="1" t="s">
        <v>15067</v>
      </c>
      <c r="B716" s="1" t="s">
        <v>15357</v>
      </c>
      <c r="C716" s="1" t="s">
        <v>1533</v>
      </c>
      <c r="D716" s="1" t="s">
        <v>1533</v>
      </c>
      <c r="E716" s="1" t="s">
        <v>1533</v>
      </c>
      <c r="F716" s="1">
        <v>200</v>
      </c>
      <c r="G716" s="1" t="s">
        <v>15142</v>
      </c>
      <c r="H716" s="3">
        <v>60</v>
      </c>
      <c r="I716" s="1" t="s">
        <v>1522</v>
      </c>
      <c r="J716" s="5" t="s">
        <v>7419</v>
      </c>
      <c r="K716" s="2">
        <f t="shared" si="11"/>
        <v>0.3</v>
      </c>
    </row>
    <row r="717" spans="1:11" x14ac:dyDescent="0.25">
      <c r="A717" s="5" t="s">
        <v>15091</v>
      </c>
      <c r="B717" s="5" t="s">
        <v>15091</v>
      </c>
      <c r="C717" s="5" t="s">
        <v>1533</v>
      </c>
      <c r="D717" s="5" t="s">
        <v>1533</v>
      </c>
      <c r="E717" s="5" t="s">
        <v>1533</v>
      </c>
      <c r="F717" s="5">
        <v>1</v>
      </c>
      <c r="G717" s="5" t="s">
        <v>15142</v>
      </c>
      <c r="H717" s="8">
        <v>0</v>
      </c>
      <c r="I717" s="1" t="s">
        <v>1522</v>
      </c>
      <c r="J717" s="5" t="s">
        <v>7417</v>
      </c>
      <c r="K717" s="2">
        <f t="shared" si="11"/>
        <v>0</v>
      </c>
    </row>
    <row r="718" spans="1:11" x14ac:dyDescent="0.25">
      <c r="A718" s="1" t="s">
        <v>15124</v>
      </c>
      <c r="B718" s="1" t="s">
        <v>1533</v>
      </c>
      <c r="C718" s="1" t="s">
        <v>1533</v>
      </c>
      <c r="D718" s="1" t="s">
        <v>15155</v>
      </c>
      <c r="E718" s="1" t="s">
        <v>15156</v>
      </c>
      <c r="F718" s="1">
        <v>1.2</v>
      </c>
      <c r="G718" s="1" t="s">
        <v>15157</v>
      </c>
      <c r="H718" s="3">
        <v>0</v>
      </c>
      <c r="I718" s="1" t="s">
        <v>1522</v>
      </c>
      <c r="J718" s="5" t="s">
        <v>7420</v>
      </c>
      <c r="K718" s="2">
        <f t="shared" si="11"/>
        <v>0</v>
      </c>
    </row>
  </sheetData>
  <autoFilter ref="A1:K718" xr:uid="{B86C5529-EFCA-4BFE-B36D-F0F6523D2D2E}">
    <sortState xmlns:xlrd2="http://schemas.microsoft.com/office/spreadsheetml/2017/richdata2" ref="A2:K718">
      <sortCondition descending="1" ref="K1:K71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Vendas Iplacas e Shock Jan-Mai</vt:lpstr>
      <vt:lpstr>CAC</vt:lpstr>
      <vt:lpstr>Retrabalhos e Motivos</vt:lpstr>
      <vt:lpstr>Metas</vt:lpstr>
      <vt:lpstr>Orçamentos Feitos</vt:lpstr>
      <vt:lpstr>Produtos Mais Vendidos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Charles machado</dc:creator>
  <cp:keywords/>
  <dc:description/>
  <cp:lastModifiedBy>kaique8mateus@gmail.com</cp:lastModifiedBy>
  <cp:revision/>
  <dcterms:created xsi:type="dcterms:W3CDTF">2026-06-12T13:31:05Z</dcterms:created>
  <dcterms:modified xsi:type="dcterms:W3CDTF">2026-06-20T19:10:16Z</dcterms:modified>
  <cp:category/>
  <cp:contentStatus/>
</cp:coreProperties>
</file>